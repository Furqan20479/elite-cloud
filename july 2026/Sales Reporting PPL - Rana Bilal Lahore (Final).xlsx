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july 2026\"/>
    </mc:Choice>
  </mc:AlternateContent>
  <xr:revisionPtr revIDLastSave="0" documentId="13_ncr:1_{EF86E91F-EB02-412B-B936-2866CEC66BFA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5" i="1" l="1"/>
  <c r="O6" i="1"/>
  <c r="O7" i="1"/>
  <c r="O8" i="1"/>
  <c r="O9" i="1"/>
  <c r="O10" i="1"/>
  <c r="O11" i="1"/>
  <c r="O12" i="1"/>
  <c r="O4" i="1"/>
  <c r="K11" i="2" l="1"/>
  <c r="H11" i="2"/>
  <c r="K10" i="2"/>
  <c r="K8" i="2"/>
  <c r="K7" i="2"/>
  <c r="K6" i="2"/>
  <c r="K5" i="2"/>
  <c r="K4" i="2"/>
  <c r="H10" i="2"/>
  <c r="H8" i="2"/>
  <c r="H7" i="2"/>
  <c r="H5" i="2"/>
  <c r="H4" i="2"/>
  <c r="R5" i="1" l="1"/>
  <c r="T5" i="1" s="1"/>
  <c r="R6" i="1"/>
  <c r="T6" i="1" s="1"/>
  <c r="R7" i="1"/>
  <c r="T7" i="1" s="1"/>
  <c r="R8" i="1"/>
  <c r="T8" i="1" s="1"/>
  <c r="R9" i="1"/>
  <c r="T9" i="1" s="1"/>
  <c r="R10" i="1"/>
  <c r="T10" i="1" s="1"/>
  <c r="R11" i="1"/>
  <c r="T11" i="1" s="1"/>
  <c r="R12" i="1"/>
  <c r="T12" i="1" s="1"/>
  <c r="R4" i="1"/>
  <c r="T4" i="1" s="1"/>
  <c r="Q5" i="1"/>
  <c r="Q6" i="1"/>
  <c r="Q7" i="1"/>
  <c r="Q8" i="1"/>
  <c r="Q9" i="1"/>
  <c r="Q10" i="1"/>
  <c r="Q11" i="1"/>
  <c r="Q12" i="1"/>
  <c r="Q4" i="1"/>
  <c r="J19" i="2"/>
  <c r="G19" i="2"/>
  <c r="P30" i="2"/>
  <c r="K30" i="2"/>
  <c r="J30" i="2"/>
  <c r="H30" i="2"/>
  <c r="G30" i="2"/>
  <c r="O29" i="2"/>
  <c r="M29" i="2"/>
  <c r="L29" i="2"/>
  <c r="I29" i="2"/>
  <c r="O28" i="2"/>
  <c r="M28" i="2"/>
  <c r="L28" i="2"/>
  <c r="I28" i="2"/>
  <c r="O27" i="2"/>
  <c r="M27" i="2"/>
  <c r="L27" i="2"/>
  <c r="I27" i="2"/>
  <c r="O26" i="2"/>
  <c r="M26" i="2"/>
  <c r="L26" i="2"/>
  <c r="I26" i="2"/>
  <c r="P25" i="2"/>
  <c r="K25" i="2"/>
  <c r="J25" i="2"/>
  <c r="M25" i="2" s="1"/>
  <c r="H25" i="2"/>
  <c r="G25" i="2"/>
  <c r="O24" i="2"/>
  <c r="M24" i="2"/>
  <c r="L24" i="2"/>
  <c r="I24" i="2"/>
  <c r="O23" i="2"/>
  <c r="M23" i="2"/>
  <c r="L23" i="2"/>
  <c r="I23" i="2"/>
  <c r="O22" i="2"/>
  <c r="M22" i="2"/>
  <c r="L22" i="2"/>
  <c r="I22" i="2"/>
  <c r="O21" i="2"/>
  <c r="M21" i="2"/>
  <c r="L21" i="2"/>
  <c r="I21" i="2"/>
  <c r="O20" i="2"/>
  <c r="M20" i="2"/>
  <c r="L20" i="2"/>
  <c r="I20" i="2"/>
  <c r="K19" i="2"/>
  <c r="H19" i="2"/>
  <c r="M18" i="2"/>
  <c r="M17" i="2"/>
  <c r="M16" i="2"/>
  <c r="M15" i="2"/>
  <c r="M14" i="2"/>
  <c r="M13" i="2"/>
  <c r="O12" i="2"/>
  <c r="M12" i="2"/>
  <c r="L12" i="2"/>
  <c r="I12" i="2"/>
  <c r="O11" i="2"/>
  <c r="M11" i="2"/>
  <c r="L11" i="2"/>
  <c r="I11" i="2"/>
  <c r="O10" i="2"/>
  <c r="M10" i="2"/>
  <c r="L10" i="2"/>
  <c r="I10" i="2"/>
  <c r="O9" i="2"/>
  <c r="M9" i="2"/>
  <c r="L9" i="2"/>
  <c r="I9" i="2"/>
  <c r="O8" i="2"/>
  <c r="M8" i="2"/>
  <c r="L8" i="2"/>
  <c r="I8" i="2"/>
  <c r="O7" i="2"/>
  <c r="M7" i="2"/>
  <c r="L7" i="2"/>
  <c r="I7" i="2"/>
  <c r="O6" i="2"/>
  <c r="M6" i="2"/>
  <c r="L6" i="2"/>
  <c r="I6" i="2"/>
  <c r="O5" i="2"/>
  <c r="M5" i="2"/>
  <c r="L5" i="2"/>
  <c r="I5" i="2"/>
  <c r="O4" i="2"/>
  <c r="M4" i="2"/>
  <c r="L4" i="2"/>
  <c r="I4" i="2"/>
  <c r="D2" i="2"/>
  <c r="C2" i="2"/>
  <c r="S19" i="1"/>
  <c r="P19" i="1"/>
  <c r="K19" i="1"/>
  <c r="J19" i="1"/>
  <c r="H19" i="1"/>
  <c r="G19" i="1"/>
  <c r="V30" i="1"/>
  <c r="S30" i="1"/>
  <c r="R30" i="1"/>
  <c r="P30" i="1"/>
  <c r="O30" i="1"/>
  <c r="N30" i="1"/>
  <c r="K30" i="1"/>
  <c r="J30" i="1"/>
  <c r="H30" i="1"/>
  <c r="G30" i="1"/>
  <c r="U29" i="1"/>
  <c r="T29" i="1"/>
  <c r="Q29" i="1"/>
  <c r="M29" i="1"/>
  <c r="L29" i="1"/>
  <c r="I29" i="1"/>
  <c r="U28" i="1"/>
  <c r="T28" i="1"/>
  <c r="Q28" i="1"/>
  <c r="M28" i="1"/>
  <c r="L28" i="1"/>
  <c r="I28" i="1"/>
  <c r="U27" i="1"/>
  <c r="T27" i="1"/>
  <c r="Q27" i="1"/>
  <c r="M27" i="1"/>
  <c r="L27" i="1"/>
  <c r="I27" i="1"/>
  <c r="U26" i="1"/>
  <c r="T26" i="1"/>
  <c r="Q26" i="1"/>
  <c r="M26" i="1"/>
  <c r="L26" i="1"/>
  <c r="I26" i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U20" i="1"/>
  <c r="T20" i="1"/>
  <c r="Q20" i="1"/>
  <c r="M20" i="1"/>
  <c r="L20" i="1"/>
  <c r="I20" i="1"/>
  <c r="U12" i="1"/>
  <c r="M12" i="1"/>
  <c r="L12" i="1"/>
  <c r="I12" i="1"/>
  <c r="U11" i="1"/>
  <c r="M11" i="1"/>
  <c r="L11" i="1"/>
  <c r="I11" i="1"/>
  <c r="U10" i="1"/>
  <c r="M10" i="1"/>
  <c r="L10" i="1"/>
  <c r="I10" i="1"/>
  <c r="U9" i="1"/>
  <c r="M9" i="1"/>
  <c r="L9" i="1"/>
  <c r="I9" i="1"/>
  <c r="U8" i="1"/>
  <c r="M8" i="1"/>
  <c r="L8" i="1"/>
  <c r="I8" i="1"/>
  <c r="U7" i="1"/>
  <c r="M7" i="1"/>
  <c r="L7" i="1"/>
  <c r="I7" i="1"/>
  <c r="U6" i="1"/>
  <c r="M6" i="1"/>
  <c r="L6" i="1"/>
  <c r="I6" i="1"/>
  <c r="U5" i="1"/>
  <c r="M5" i="1"/>
  <c r="L5" i="1"/>
  <c r="I5" i="1"/>
  <c r="U4" i="1"/>
  <c r="M4" i="1"/>
  <c r="L4" i="1"/>
  <c r="I4" i="1"/>
  <c r="R19" i="1" l="1"/>
  <c r="T19" i="1" s="1"/>
  <c r="V4" i="1"/>
  <c r="O19" i="1"/>
  <c r="O31" i="1" s="1"/>
  <c r="V7" i="1"/>
  <c r="V11" i="1"/>
  <c r="M25" i="1"/>
  <c r="N5" i="1"/>
  <c r="N8" i="1"/>
  <c r="N12" i="1"/>
  <c r="V5" i="1"/>
  <c r="V8" i="1"/>
  <c r="V10" i="1"/>
  <c r="V12" i="1"/>
  <c r="L19" i="1"/>
  <c r="M30" i="2"/>
  <c r="P12" i="2"/>
  <c r="P10" i="2"/>
  <c r="P8" i="2"/>
  <c r="P5" i="2"/>
  <c r="N18" i="2"/>
  <c r="N26" i="2"/>
  <c r="N28" i="2"/>
  <c r="N30" i="2"/>
  <c r="O30" i="2"/>
  <c r="P6" i="2"/>
  <c r="P9" i="2"/>
  <c r="G31" i="2"/>
  <c r="M19" i="2"/>
  <c r="N19" i="2" s="1"/>
  <c r="N13" i="2"/>
  <c r="N4" i="2"/>
  <c r="N6" i="2"/>
  <c r="N7" i="2"/>
  <c r="N9" i="2"/>
  <c r="N11" i="2"/>
  <c r="I30" i="2"/>
  <c r="I25" i="2"/>
  <c r="N14" i="2"/>
  <c r="N23" i="2"/>
  <c r="O19" i="2"/>
  <c r="L25" i="2"/>
  <c r="N25" i="2"/>
  <c r="O25" i="2"/>
  <c r="N27" i="2"/>
  <c r="N29" i="2"/>
  <c r="P11" i="2"/>
  <c r="I19" i="2"/>
  <c r="N16" i="2"/>
  <c r="N21" i="2"/>
  <c r="N10" i="2"/>
  <c r="P7" i="2"/>
  <c r="N17" i="2"/>
  <c r="N20" i="2"/>
  <c r="N22" i="2"/>
  <c r="H31" i="2"/>
  <c r="L19" i="2"/>
  <c r="L30" i="2"/>
  <c r="J31" i="2"/>
  <c r="K31" i="2"/>
  <c r="N5" i="2"/>
  <c r="N8" i="2"/>
  <c r="N12" i="2"/>
  <c r="N15" i="2"/>
  <c r="N24" i="2"/>
  <c r="M19" i="1"/>
  <c r="Q25" i="1"/>
  <c r="N10" i="1"/>
  <c r="I19" i="1"/>
  <c r="L25" i="1"/>
  <c r="G31" i="1"/>
  <c r="Q30" i="1"/>
  <c r="T30" i="1"/>
  <c r="N4" i="1"/>
  <c r="I30" i="1"/>
  <c r="J31" i="1"/>
  <c r="S31" i="1"/>
  <c r="N7" i="1"/>
  <c r="K31" i="1"/>
  <c r="L30" i="1"/>
  <c r="N11" i="1"/>
  <c r="U30" i="1"/>
  <c r="U19" i="1"/>
  <c r="I25" i="1"/>
  <c r="T25" i="1"/>
  <c r="M30" i="1"/>
  <c r="N6" i="1"/>
  <c r="N9" i="1"/>
  <c r="U25" i="1"/>
  <c r="V6" i="1"/>
  <c r="V9" i="1"/>
  <c r="H31" i="1"/>
  <c r="P31" i="1"/>
  <c r="Q19" i="1" l="1"/>
  <c r="R31" i="1"/>
  <c r="T31" i="1" s="1"/>
  <c r="V19" i="1"/>
  <c r="V31" i="1" s="1"/>
  <c r="I31" i="1"/>
  <c r="L31" i="1"/>
  <c r="N19" i="1"/>
  <c r="N31" i="1" s="1"/>
  <c r="Q31" i="1"/>
  <c r="I31" i="2"/>
  <c r="M31" i="2"/>
  <c r="N31" i="2" s="1"/>
  <c r="P19" i="2"/>
  <c r="P31" i="2" s="1"/>
  <c r="L31" i="2"/>
  <c r="O31" i="2"/>
  <c r="U31" i="1"/>
  <c r="M31" i="1"/>
</calcChain>
</file>

<file path=xl/sharedStrings.xml><?xml version="1.0" encoding="utf-8"?>
<sst xmlns="http://schemas.openxmlformats.org/spreadsheetml/2006/main" count="367" uniqueCount="67">
  <si>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</si>
  <si>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</si>
  <si>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</si>
  <si>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</si>
  <si>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</si>
  <si>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</si>
  <si>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</si>
  <si>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</si>
  <si>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</si>
  <si>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</si>
  <si>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</si>
  <si>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</si>
  <si>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</si>
  <si>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</si>
  <si>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</si>
  <si>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</si>
  <si>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</si>
  <si>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</si>
  <si>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</si>
  <si>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</si>
  <si>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</si>
  <si>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</si>
  <si>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</si>
  <si>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</si>
  <si>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</si>
  <si>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Mobeen Butt</t>
  </si>
  <si>
    <t>Furqan Ali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</si>
  <si>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</si>
  <si>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</si>
  <si>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</si>
  <si>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</si>
  <si>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</si>
  <si>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</si>
  <si>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</si>
  <si>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</si>
  <si>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</si>
  <si>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</si>
  <si>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</si>
  <si>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</si>
  <si>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</si>
  <si>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</si>
  <si>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</si>
  <si>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Productive</t>
  </si>
  <si>
    <t>Target</t>
  </si>
  <si>
    <t>Ach(CTN)</t>
  </si>
  <si>
    <t>Raiwind</t>
  </si>
  <si>
    <t>Kasur</t>
  </si>
  <si>
    <t>Kot Radha Kashin</t>
  </si>
  <si>
    <t>Chunnia</t>
  </si>
  <si>
    <t>Phool Nagar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</si>
  <si>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</si>
  <si>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</si>
  <si>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</si>
  <si>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</si>
  <si>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</si>
  <si>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</si>
  <si>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</si>
  <si>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</si>
  <si>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</si>
  <si>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</si>
  <si>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</si>
  <si>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</si>
  <si>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</si>
  <si>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</si>
  <si>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</si>
  <si>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>Vacant (SD)</t>
  </si>
  <si>
    <t xml:space="preserve">Qasim Khan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</si>
</sst>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0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0" fontId="3" fillId="3" borderId="17" xfId="0" applyFont="1" applyFill="1" applyBorder="1"/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1"/>
  <sheetViews>
    <sheetView tabSelected="1" topLeftCell="E1" workbookViewId="0">
      <selection activeCell="S10" sqref="S10"/>
    </sheetView>
  </sheetViews>
  <sheetFormatPr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2.1796875" bestFit="1" customWidth="1"/>
    <col min="7" max="7" width="5.453125" style="24" bestFit="1" customWidth="1"/>
    <col min="8" max="8" width="7.7265625" bestFit="1" customWidth="1"/>
    <col min="9" max="9" width="5.54296875" customWidth="1"/>
    <col min="10" max="10" width="8.1796875" bestFit="1" customWidth="1"/>
    <col min="11" max="11" width="8.81640625" bestFit="1" customWidth="1"/>
    <col min="12" max="12" width="5.54296875" bestFit="1" customWidth="1"/>
    <col min="13" max="14" width="5.26953125" customWidth="1"/>
    <col min="15" max="15" width="7.7265625" bestFit="1" customWidth="1"/>
    <col min="16" max="16" width="9.453125" customWidth="1"/>
    <col min="17" max="17" width="5.54296875" bestFit="1" customWidth="1"/>
    <col min="18" max="18" width="7.7265625" bestFit="1" customWidth="1"/>
    <col min="19" max="19" width="9.7265625" customWidth="1"/>
    <col min="20" max="20" width="5.54296875" bestFit="1" customWidth="1"/>
    <col min="21" max="21" width="5.7265625" customWidth="1"/>
    <col min="22" max="22" width="5.453125" bestFit="1" customWidth="1"/>
    <col min="23" max="23" width="20.453125" customWidth="1"/>
  </cols>
  <sheetData>
    <row r="1" spans="1:23" ht="15" thickBot="1" x14ac:dyDescent="0.4">
      <c r="G1" s="99" t="s">
        <v>0</v>
      </c>
      <c r="H1" s="100"/>
      <c r="I1" s="100"/>
      <c r="J1" s="100"/>
      <c r="K1" s="100"/>
      <c r="L1" s="100"/>
      <c r="M1" s="100"/>
      <c r="N1" s="101"/>
      <c r="O1" s="102" t="s">
        <v>1</v>
      </c>
      <c r="P1" s="103"/>
      <c r="Q1" s="103"/>
      <c r="R1" s="103"/>
      <c r="S1" s="103"/>
      <c r="T1" s="103"/>
      <c r="U1" s="103"/>
      <c r="V1" s="104"/>
    </row>
    <row r="2" spans="1:23" ht="15" thickBot="1" x14ac:dyDescent="0.4">
      <c r="F2" s="94">
        <v>46205</v>
      </c>
      <c r="G2" s="105" t="s">
        <v>2</v>
      </c>
      <c r="H2" s="106"/>
      <c r="I2" s="107"/>
      <c r="J2" s="106" t="s">
        <v>3</v>
      </c>
      <c r="K2" s="106"/>
      <c r="L2" s="107"/>
      <c r="M2" s="1"/>
      <c r="N2" s="2"/>
      <c r="O2" s="105" t="s">
        <v>2</v>
      </c>
      <c r="P2" s="106"/>
      <c r="Q2" s="107"/>
      <c r="R2" s="106" t="s">
        <v>3</v>
      </c>
      <c r="S2" s="106"/>
      <c r="T2" s="107"/>
      <c r="U2" s="1"/>
      <c r="V2" s="2"/>
    </row>
    <row r="3" spans="1:23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4" t="s">
        <v>11</v>
      </c>
      <c r="I3" s="5" t="s">
        <v>12</v>
      </c>
      <c r="J3" s="6" t="s">
        <v>13</v>
      </c>
      <c r="K3" s="4" t="s">
        <v>14</v>
      </c>
      <c r="L3" s="5" t="s">
        <v>12</v>
      </c>
      <c r="M3" s="6" t="s">
        <v>15</v>
      </c>
      <c r="N3" s="5" t="s">
        <v>16</v>
      </c>
      <c r="O3" s="3" t="s">
        <v>11</v>
      </c>
      <c r="P3" s="4" t="s">
        <v>54</v>
      </c>
      <c r="Q3" s="5" t="s">
        <v>12</v>
      </c>
      <c r="R3" s="6" t="s">
        <v>55</v>
      </c>
      <c r="S3" s="4" t="s">
        <v>56</v>
      </c>
      <c r="T3" s="5" t="s">
        <v>12</v>
      </c>
      <c r="U3" s="6" t="s">
        <v>15</v>
      </c>
      <c r="V3" s="5" t="s">
        <v>16</v>
      </c>
      <c r="W3" s="28" t="s">
        <v>17</v>
      </c>
    </row>
    <row r="4" spans="1:23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8">
        <v>9</v>
      </c>
      <c r="I4" s="32">
        <f t="shared" ref="I4:I31" si="0">H4/G4</f>
        <v>0.18</v>
      </c>
      <c r="J4" s="30">
        <v>40</v>
      </c>
      <c r="K4" s="31">
        <v>9</v>
      </c>
      <c r="L4" s="32">
        <f t="shared" ref="L4:L12" si="1">K4/J4</f>
        <v>0.22500000000000001</v>
      </c>
      <c r="M4" s="30">
        <f t="shared" ref="M4:N12" si="2">K4/H4</f>
        <v>1</v>
      </c>
      <c r="N4" s="33">
        <f t="shared" si="2"/>
        <v>1.25</v>
      </c>
      <c r="O4" s="30">
        <f>H4</f>
        <v>9</v>
      </c>
      <c r="P4" s="31">
        <v>8</v>
      </c>
      <c r="Q4" s="32">
        <f t="shared" ref="Q4:Q12" si="3">P4/O4</f>
        <v>0.88888888888888884</v>
      </c>
      <c r="R4" s="30">
        <f>K4</f>
        <v>9</v>
      </c>
      <c r="S4" s="31">
        <v>8</v>
      </c>
      <c r="T4" s="32">
        <f t="shared" ref="T4:T12" si="4">S4/R4</f>
        <v>0.88888888888888884</v>
      </c>
      <c r="U4" s="30">
        <f t="shared" ref="U4:V12" si="5">S4/P4</f>
        <v>1</v>
      </c>
      <c r="V4" s="33">
        <f t="shared" si="5"/>
        <v>1</v>
      </c>
      <c r="W4" s="34"/>
    </row>
    <row r="5" spans="1:23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50</v>
      </c>
      <c r="H5" s="12">
        <v>8</v>
      </c>
      <c r="I5" s="13">
        <f t="shared" si="0"/>
        <v>0.16</v>
      </c>
      <c r="J5" s="30">
        <v>30</v>
      </c>
      <c r="K5" s="12">
        <v>12</v>
      </c>
      <c r="L5" s="13">
        <f t="shared" si="1"/>
        <v>0.4</v>
      </c>
      <c r="M5" s="11">
        <f t="shared" si="2"/>
        <v>1.5</v>
      </c>
      <c r="N5" s="14">
        <f t="shared" si="2"/>
        <v>2.5</v>
      </c>
      <c r="O5" s="30">
        <f t="shared" ref="O5:O12" si="6">H5</f>
        <v>8</v>
      </c>
      <c r="P5" s="12">
        <v>6</v>
      </c>
      <c r="Q5" s="13">
        <f t="shared" si="3"/>
        <v>0.75</v>
      </c>
      <c r="R5" s="30">
        <f t="shared" ref="R5:R12" si="7">K5</f>
        <v>12</v>
      </c>
      <c r="S5" s="12">
        <v>9</v>
      </c>
      <c r="T5" s="13">
        <f t="shared" si="4"/>
        <v>0.75</v>
      </c>
      <c r="U5" s="11">
        <f t="shared" si="5"/>
        <v>1.5</v>
      </c>
      <c r="V5" s="14">
        <f t="shared" si="5"/>
        <v>1</v>
      </c>
      <c r="W5" s="34"/>
    </row>
    <row r="6" spans="1:23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50</v>
      </c>
      <c r="H6" s="12">
        <v>9</v>
      </c>
      <c r="I6" s="13">
        <f t="shared" si="0"/>
        <v>0.18</v>
      </c>
      <c r="J6" s="30">
        <v>25</v>
      </c>
      <c r="K6" s="12">
        <v>14.3</v>
      </c>
      <c r="L6" s="13">
        <f t="shared" si="1"/>
        <v>0.57200000000000006</v>
      </c>
      <c r="M6" s="11">
        <f t="shared" si="2"/>
        <v>1.588888888888889</v>
      </c>
      <c r="N6" s="14">
        <f t="shared" si="2"/>
        <v>3.177777777777778</v>
      </c>
      <c r="O6" s="30">
        <f t="shared" si="6"/>
        <v>9</v>
      </c>
      <c r="P6" s="12">
        <v>7</v>
      </c>
      <c r="Q6" s="13">
        <f t="shared" si="3"/>
        <v>0.77777777777777779</v>
      </c>
      <c r="R6" s="30">
        <f t="shared" si="7"/>
        <v>14.3</v>
      </c>
      <c r="S6" s="12">
        <v>11.2</v>
      </c>
      <c r="T6" s="13">
        <f t="shared" si="4"/>
        <v>0.78321678321678312</v>
      </c>
      <c r="U6" s="11">
        <f t="shared" si="5"/>
        <v>1.5999999999999999</v>
      </c>
      <c r="V6" s="14">
        <f t="shared" si="5"/>
        <v>1.0069930069930069</v>
      </c>
      <c r="W6" s="34"/>
    </row>
    <row r="7" spans="1:23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26</v>
      </c>
      <c r="G7" s="30">
        <v>50</v>
      </c>
      <c r="H7" s="12">
        <v>13</v>
      </c>
      <c r="I7" s="13">
        <f t="shared" si="0"/>
        <v>0.26</v>
      </c>
      <c r="J7" s="30">
        <v>30</v>
      </c>
      <c r="K7" s="12">
        <v>11.92</v>
      </c>
      <c r="L7" s="13">
        <f t="shared" si="1"/>
        <v>0.39733333333333332</v>
      </c>
      <c r="M7" s="11">
        <f t="shared" si="2"/>
        <v>0.91692307692307695</v>
      </c>
      <c r="N7" s="14">
        <f t="shared" si="2"/>
        <v>1.5282051282051281</v>
      </c>
      <c r="O7" s="30">
        <f t="shared" si="6"/>
        <v>13</v>
      </c>
      <c r="P7" s="12">
        <v>10</v>
      </c>
      <c r="Q7" s="13">
        <f t="shared" si="3"/>
        <v>0.76923076923076927</v>
      </c>
      <c r="R7" s="30">
        <f t="shared" si="7"/>
        <v>11.92</v>
      </c>
      <c r="S7" s="12">
        <v>12.87</v>
      </c>
      <c r="T7" s="13">
        <f t="shared" si="4"/>
        <v>1.0796979865771812</v>
      </c>
      <c r="U7" s="11">
        <f t="shared" si="5"/>
        <v>1.2869999999999999</v>
      </c>
      <c r="V7" s="14">
        <f t="shared" si="5"/>
        <v>1.4036073825503355</v>
      </c>
      <c r="W7" s="34"/>
    </row>
    <row r="8" spans="1:23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27</v>
      </c>
      <c r="G8" s="30">
        <v>50</v>
      </c>
      <c r="H8" s="12">
        <v>10</v>
      </c>
      <c r="I8" s="13">
        <f t="shared" si="0"/>
        <v>0.2</v>
      </c>
      <c r="J8" s="30">
        <v>20</v>
      </c>
      <c r="K8" s="12">
        <v>12.9</v>
      </c>
      <c r="L8" s="13">
        <f t="shared" si="1"/>
        <v>0.64500000000000002</v>
      </c>
      <c r="M8" s="11">
        <f t="shared" si="2"/>
        <v>1.29</v>
      </c>
      <c r="N8" s="14">
        <f t="shared" si="2"/>
        <v>3.2250000000000001</v>
      </c>
      <c r="O8" s="30">
        <f t="shared" si="6"/>
        <v>10</v>
      </c>
      <c r="P8" s="12">
        <v>10</v>
      </c>
      <c r="Q8" s="13">
        <f t="shared" si="3"/>
        <v>1</v>
      </c>
      <c r="R8" s="30">
        <f t="shared" si="7"/>
        <v>12.9</v>
      </c>
      <c r="S8" s="12">
        <v>12.87</v>
      </c>
      <c r="T8" s="13">
        <f t="shared" si="4"/>
        <v>0.99767441860465111</v>
      </c>
      <c r="U8" s="11">
        <f t="shared" si="5"/>
        <v>1.2869999999999999</v>
      </c>
      <c r="V8" s="14">
        <f t="shared" si="5"/>
        <v>0.99767441860465111</v>
      </c>
      <c r="W8" s="34"/>
    </row>
    <row r="9" spans="1:23" ht="17" thickBot="1" x14ac:dyDescent="0.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95" t="s">
        <v>28</v>
      </c>
      <c r="G9" s="30">
        <v>0</v>
      </c>
      <c r="H9" s="12"/>
      <c r="I9" s="13" t="e">
        <f t="shared" si="0"/>
        <v>#DIV/0!</v>
      </c>
      <c r="J9" s="30">
        <v>20</v>
      </c>
      <c r="K9" s="12"/>
      <c r="L9" s="13">
        <f t="shared" si="1"/>
        <v>0</v>
      </c>
      <c r="M9" s="11" t="e">
        <f t="shared" si="2"/>
        <v>#DIV/0!</v>
      </c>
      <c r="N9" s="14" t="e">
        <f t="shared" si="2"/>
        <v>#DIV/0!</v>
      </c>
      <c r="O9" s="30">
        <f t="shared" si="6"/>
        <v>0</v>
      </c>
      <c r="P9" s="12"/>
      <c r="Q9" s="13" t="e">
        <f t="shared" si="3"/>
        <v>#DIV/0!</v>
      </c>
      <c r="R9" s="30">
        <f t="shared" si="7"/>
        <v>0</v>
      </c>
      <c r="S9" s="12"/>
      <c r="T9" s="13" t="e">
        <f t="shared" si="4"/>
        <v>#DIV/0!</v>
      </c>
      <c r="U9" s="11" t="e">
        <f t="shared" si="5"/>
        <v>#DIV/0!</v>
      </c>
      <c r="V9" s="14" t="e">
        <f t="shared" si="5"/>
        <v>#DIV/0!</v>
      </c>
      <c r="W9" s="34"/>
    </row>
    <row r="10" spans="1:23" ht="17" thickBot="1" x14ac:dyDescent="0.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29</v>
      </c>
      <c r="G10" s="30">
        <v>25</v>
      </c>
      <c r="H10" s="12">
        <v>7</v>
      </c>
      <c r="I10" s="13">
        <f t="shared" si="0"/>
        <v>0.28000000000000003</v>
      </c>
      <c r="J10" s="30">
        <v>0</v>
      </c>
      <c r="K10" s="12">
        <v>70</v>
      </c>
      <c r="L10" s="13" t="e">
        <f t="shared" si="1"/>
        <v>#DIV/0!</v>
      </c>
      <c r="M10" s="11">
        <f t="shared" si="2"/>
        <v>10</v>
      </c>
      <c r="N10" s="14" t="e">
        <f t="shared" si="2"/>
        <v>#DIV/0!</v>
      </c>
      <c r="O10" s="30">
        <f t="shared" si="6"/>
        <v>7</v>
      </c>
      <c r="P10" s="12">
        <v>4</v>
      </c>
      <c r="Q10" s="13">
        <f t="shared" si="3"/>
        <v>0.5714285714285714</v>
      </c>
      <c r="R10" s="30">
        <f t="shared" si="7"/>
        <v>70</v>
      </c>
      <c r="S10" s="12">
        <v>42</v>
      </c>
      <c r="T10" s="13">
        <f t="shared" si="4"/>
        <v>0.6</v>
      </c>
      <c r="U10" s="11">
        <f t="shared" si="5"/>
        <v>10.5</v>
      </c>
      <c r="V10" s="14">
        <f t="shared" si="5"/>
        <v>1.05</v>
      </c>
      <c r="W10" s="34"/>
    </row>
    <row r="11" spans="1:23" ht="17" thickBot="1" x14ac:dyDescent="0.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30</v>
      </c>
      <c r="G11" s="30">
        <v>50</v>
      </c>
      <c r="H11" s="12"/>
      <c r="I11" s="13">
        <f t="shared" si="0"/>
        <v>0</v>
      </c>
      <c r="J11" s="30">
        <v>200</v>
      </c>
      <c r="K11" s="12"/>
      <c r="L11" s="13">
        <f t="shared" si="1"/>
        <v>0</v>
      </c>
      <c r="M11" s="11" t="e">
        <f t="shared" si="2"/>
        <v>#DIV/0!</v>
      </c>
      <c r="N11" s="14" t="e">
        <f t="shared" si="2"/>
        <v>#DIV/0!</v>
      </c>
      <c r="O11" s="30">
        <f t="shared" si="6"/>
        <v>0</v>
      </c>
      <c r="P11" s="12"/>
      <c r="Q11" s="13" t="e">
        <f t="shared" si="3"/>
        <v>#DIV/0!</v>
      </c>
      <c r="R11" s="30">
        <f t="shared" si="7"/>
        <v>0</v>
      </c>
      <c r="S11" s="12"/>
      <c r="T11" s="13" t="e">
        <f t="shared" si="4"/>
        <v>#DIV/0!</v>
      </c>
      <c r="U11" s="11" t="e">
        <f t="shared" si="5"/>
        <v>#DIV/0!</v>
      </c>
      <c r="V11" s="14" t="e">
        <f t="shared" si="5"/>
        <v>#DIV/0!</v>
      </c>
      <c r="W11" s="34"/>
    </row>
    <row r="12" spans="1:23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66</v>
      </c>
      <c r="G12" s="30">
        <v>50</v>
      </c>
      <c r="H12" s="12"/>
      <c r="I12" s="13">
        <f t="shared" si="0"/>
        <v>0</v>
      </c>
      <c r="J12" s="30">
        <v>20</v>
      </c>
      <c r="K12" s="12"/>
      <c r="L12" s="13">
        <f t="shared" si="1"/>
        <v>0</v>
      </c>
      <c r="M12" s="11" t="e">
        <f t="shared" si="2"/>
        <v>#DIV/0!</v>
      </c>
      <c r="N12" s="14" t="e">
        <f t="shared" si="2"/>
        <v>#DIV/0!</v>
      </c>
      <c r="O12" s="30">
        <f t="shared" si="6"/>
        <v>0</v>
      </c>
      <c r="P12" s="12"/>
      <c r="Q12" s="13" t="e">
        <f t="shared" si="3"/>
        <v>#DIV/0!</v>
      </c>
      <c r="R12" s="30">
        <f t="shared" si="7"/>
        <v>0</v>
      </c>
      <c r="S12" s="12"/>
      <c r="T12" s="13" t="e">
        <f t="shared" si="4"/>
        <v>#DIV/0!</v>
      </c>
      <c r="U12" s="11" t="e">
        <f t="shared" si="5"/>
        <v>#DIV/0!</v>
      </c>
      <c r="V12" s="14" t="e">
        <f t="shared" si="5"/>
        <v>#DIV/0!</v>
      </c>
      <c r="W12" s="34"/>
    </row>
    <row r="13" spans="1:23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 t="s">
        <v>45</v>
      </c>
      <c r="G13" s="11"/>
      <c r="H13" s="12"/>
      <c r="I13" s="13"/>
      <c r="J13" s="11"/>
      <c r="K13" s="12"/>
      <c r="L13" s="13"/>
      <c r="M13" s="11"/>
      <c r="N13" s="14"/>
      <c r="O13" s="11"/>
      <c r="P13" s="12"/>
      <c r="Q13" s="13"/>
      <c r="R13" s="11"/>
      <c r="S13" s="12"/>
      <c r="T13" s="13"/>
      <c r="U13" s="11"/>
      <c r="V13" s="14"/>
      <c r="W13" s="34"/>
    </row>
    <row r="14" spans="1:23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46</v>
      </c>
      <c r="G14" s="11"/>
      <c r="H14" s="12"/>
      <c r="I14" s="13"/>
      <c r="J14" s="11"/>
      <c r="K14" s="12"/>
      <c r="L14" s="13"/>
      <c r="M14" s="11"/>
      <c r="N14" s="14"/>
      <c r="O14" s="11"/>
      <c r="P14" s="12"/>
      <c r="Q14" s="13"/>
      <c r="R14" s="11"/>
      <c r="S14" s="12"/>
      <c r="T14" s="13"/>
      <c r="U14" s="11"/>
      <c r="V14" s="14"/>
      <c r="W14" s="34"/>
    </row>
    <row r="15" spans="1:23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47</v>
      </c>
      <c r="G15" s="11"/>
      <c r="H15" s="12"/>
      <c r="I15" s="13"/>
      <c r="J15" s="11"/>
      <c r="K15" s="12"/>
      <c r="L15" s="13"/>
      <c r="M15" s="11"/>
      <c r="N15" s="14"/>
      <c r="O15" s="11"/>
      <c r="P15" s="12"/>
      <c r="Q15" s="13"/>
      <c r="R15" s="11"/>
      <c r="S15" s="12"/>
      <c r="T15" s="13"/>
      <c r="U15" s="11"/>
      <c r="V15" s="14"/>
      <c r="W15" s="34"/>
    </row>
    <row r="16" spans="1:23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12"/>
      <c r="I16" s="13"/>
      <c r="J16" s="11"/>
      <c r="K16" s="12"/>
      <c r="L16" s="13"/>
      <c r="M16" s="11"/>
      <c r="N16" s="14"/>
      <c r="O16" s="11"/>
      <c r="P16" s="12"/>
      <c r="Q16" s="13"/>
      <c r="R16" s="11"/>
      <c r="S16" s="12"/>
      <c r="T16" s="13"/>
      <c r="U16" s="11"/>
      <c r="V16" s="14"/>
      <c r="W16" s="34"/>
    </row>
    <row r="17" spans="1:23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48</v>
      </c>
      <c r="G17" s="11"/>
      <c r="H17" s="12"/>
      <c r="I17" s="13"/>
      <c r="J17" s="11"/>
      <c r="K17" s="12"/>
      <c r="L17" s="13"/>
      <c r="M17" s="11"/>
      <c r="N17" s="14"/>
      <c r="O17" s="11"/>
      <c r="P17" s="12"/>
      <c r="Q17" s="13"/>
      <c r="R17" s="11"/>
      <c r="S17" s="12"/>
      <c r="T17" s="13"/>
      <c r="U17" s="11"/>
      <c r="V17" s="14"/>
      <c r="W17" s="34"/>
    </row>
    <row r="18" spans="1:23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49</v>
      </c>
      <c r="G18" s="36"/>
      <c r="H18" s="37"/>
      <c r="I18" s="38"/>
      <c r="J18" s="36"/>
      <c r="K18" s="37"/>
      <c r="L18" s="38"/>
      <c r="M18" s="36"/>
      <c r="N18" s="39"/>
      <c r="O18" s="36"/>
      <c r="P18" s="37"/>
      <c r="Q18" s="38"/>
      <c r="R18" s="36"/>
      <c r="S18" s="37"/>
      <c r="T18" s="38"/>
      <c r="U18" s="36"/>
      <c r="V18" s="39"/>
      <c r="W18" s="34"/>
    </row>
    <row r="19" spans="1:23" ht="15" thickBot="1" x14ac:dyDescent="0.4">
      <c r="A19" s="35" t="s">
        <v>20</v>
      </c>
      <c r="B19" s="26" t="s">
        <v>20</v>
      </c>
      <c r="C19" s="51" t="s">
        <v>21</v>
      </c>
      <c r="D19" s="96" t="s">
        <v>18</v>
      </c>
      <c r="E19" s="97"/>
      <c r="F19" s="98"/>
      <c r="G19" s="40">
        <f>SUM(G4:G18)</f>
        <v>375</v>
      </c>
      <c r="H19" s="41">
        <f>SUM(H4:H18)</f>
        <v>56</v>
      </c>
      <c r="I19" s="42">
        <f t="shared" si="0"/>
        <v>0.14933333333333335</v>
      </c>
      <c r="J19" s="40">
        <f>SUM(J4:J18)</f>
        <v>385</v>
      </c>
      <c r="K19" s="41">
        <f>SUM(K4:K18)</f>
        <v>130.12</v>
      </c>
      <c r="L19" s="42">
        <f t="shared" ref="L19" si="8">K19/J19</f>
        <v>0.33797402597402598</v>
      </c>
      <c r="M19" s="40">
        <f>K19/H19</f>
        <v>2.3235714285714288</v>
      </c>
      <c r="N19" s="43" t="e">
        <f>AVERAGE(N4:N18)</f>
        <v>#DIV/0!</v>
      </c>
      <c r="O19" s="40">
        <f>SUM(O4:O18)</f>
        <v>56</v>
      </c>
      <c r="P19" s="41">
        <f>SUM(P4:P18)</f>
        <v>45</v>
      </c>
      <c r="Q19" s="42">
        <f t="shared" ref="Q19" si="9">P19/O19</f>
        <v>0.8035714285714286</v>
      </c>
      <c r="R19" s="40">
        <f>SUM(R4:R18)</f>
        <v>130.12</v>
      </c>
      <c r="S19" s="41">
        <f>SUM(S4:S18)</f>
        <v>95.94</v>
      </c>
      <c r="T19" s="42">
        <f t="shared" ref="T19" si="10">S19/R19</f>
        <v>0.73731939747924991</v>
      </c>
      <c r="U19" s="40">
        <f>S19/P19</f>
        <v>2.1320000000000001</v>
      </c>
      <c r="V19" s="43" t="e">
        <f>AVERAGE(V4:V18)</f>
        <v>#DIV/0!</v>
      </c>
      <c r="W19" s="44"/>
    </row>
    <row r="20" spans="1:23" ht="16.5" x14ac:dyDescent="0.45">
      <c r="A20" s="35" t="s">
        <v>20</v>
      </c>
      <c r="B20" s="26" t="s">
        <v>20</v>
      </c>
      <c r="C20" s="16" t="s">
        <v>21</v>
      </c>
      <c r="D20" s="15" t="s">
        <v>31</v>
      </c>
      <c r="E20" s="15" t="s">
        <v>32</v>
      </c>
      <c r="F20" s="52" t="s">
        <v>33</v>
      </c>
      <c r="G20" s="7">
        <v>1</v>
      </c>
      <c r="H20" s="8">
        <v>1</v>
      </c>
      <c r="I20" s="9">
        <f t="shared" si="0"/>
        <v>1</v>
      </c>
      <c r="J20" s="7">
        <v>1</v>
      </c>
      <c r="K20" s="8">
        <v>1</v>
      </c>
      <c r="L20" s="9">
        <f t="shared" ref="L20:L31" si="11">K20/J20</f>
        <v>1</v>
      </c>
      <c r="M20" s="7">
        <f t="shared" ref="M20:M24" si="12">K20/H20</f>
        <v>1</v>
      </c>
      <c r="N20" s="10">
        <v>1</v>
      </c>
      <c r="O20" s="7">
        <v>1</v>
      </c>
      <c r="P20" s="8">
        <v>1</v>
      </c>
      <c r="Q20" s="9">
        <f t="shared" ref="Q20:Q31" si="13">P20/O20</f>
        <v>1</v>
      </c>
      <c r="R20" s="7">
        <v>1</v>
      </c>
      <c r="S20" s="8">
        <v>1</v>
      </c>
      <c r="T20" s="9">
        <f t="shared" ref="T20:T31" si="14">S20/R20</f>
        <v>1</v>
      </c>
      <c r="U20" s="7">
        <f t="shared" ref="U20:U24" si="15">S20/P20</f>
        <v>1</v>
      </c>
      <c r="V20" s="10">
        <v>1</v>
      </c>
      <c r="W20" s="34"/>
    </row>
    <row r="21" spans="1:23" ht="16.5" x14ac:dyDescent="0.45">
      <c r="A21" s="35" t="s">
        <v>20</v>
      </c>
      <c r="B21" s="26" t="s">
        <v>20</v>
      </c>
      <c r="C21" s="16" t="s">
        <v>21</v>
      </c>
      <c r="D21" s="16" t="s">
        <v>31</v>
      </c>
      <c r="E21" s="16" t="s">
        <v>32</v>
      </c>
      <c r="F21" s="18" t="s">
        <v>34</v>
      </c>
      <c r="G21" s="11">
        <v>1</v>
      </c>
      <c r="H21" s="12">
        <v>1</v>
      </c>
      <c r="I21" s="13">
        <f t="shared" si="0"/>
        <v>1</v>
      </c>
      <c r="J21" s="11">
        <v>1</v>
      </c>
      <c r="K21" s="12">
        <v>1</v>
      </c>
      <c r="L21" s="13">
        <f t="shared" si="11"/>
        <v>1</v>
      </c>
      <c r="M21" s="11">
        <f t="shared" si="12"/>
        <v>1</v>
      </c>
      <c r="N21" s="14">
        <v>1</v>
      </c>
      <c r="O21" s="11">
        <v>1</v>
      </c>
      <c r="P21" s="12">
        <v>1</v>
      </c>
      <c r="Q21" s="13">
        <f t="shared" si="13"/>
        <v>1</v>
      </c>
      <c r="R21" s="11">
        <v>1</v>
      </c>
      <c r="S21" s="12">
        <v>1</v>
      </c>
      <c r="T21" s="13">
        <f t="shared" si="14"/>
        <v>1</v>
      </c>
      <c r="U21" s="11">
        <f t="shared" si="15"/>
        <v>1</v>
      </c>
      <c r="V21" s="14">
        <v>1</v>
      </c>
      <c r="W21" s="34"/>
    </row>
    <row r="22" spans="1:23" ht="16.5" x14ac:dyDescent="0.45">
      <c r="A22" s="35" t="s">
        <v>20</v>
      </c>
      <c r="B22" s="26" t="s">
        <v>20</v>
      </c>
      <c r="C22" s="16" t="s">
        <v>21</v>
      </c>
      <c r="D22" s="16" t="s">
        <v>31</v>
      </c>
      <c r="E22" s="16" t="s">
        <v>32</v>
      </c>
      <c r="F22" s="18" t="s">
        <v>35</v>
      </c>
      <c r="G22" s="11">
        <v>1</v>
      </c>
      <c r="H22" s="12">
        <v>1</v>
      </c>
      <c r="I22" s="13">
        <f t="shared" si="0"/>
        <v>1</v>
      </c>
      <c r="J22" s="11">
        <v>1</v>
      </c>
      <c r="K22" s="12">
        <v>1</v>
      </c>
      <c r="L22" s="13">
        <f t="shared" si="11"/>
        <v>1</v>
      </c>
      <c r="M22" s="11">
        <f t="shared" si="12"/>
        <v>1</v>
      </c>
      <c r="N22" s="14">
        <v>1</v>
      </c>
      <c r="O22" s="11">
        <v>1</v>
      </c>
      <c r="P22" s="12">
        <v>1</v>
      </c>
      <c r="Q22" s="13">
        <f t="shared" si="13"/>
        <v>1</v>
      </c>
      <c r="R22" s="11">
        <v>1</v>
      </c>
      <c r="S22" s="12">
        <v>1</v>
      </c>
      <c r="T22" s="13">
        <f t="shared" si="14"/>
        <v>1</v>
      </c>
      <c r="U22" s="11">
        <f t="shared" si="15"/>
        <v>1</v>
      </c>
      <c r="V22" s="14">
        <v>1</v>
      </c>
      <c r="W22" s="34"/>
    </row>
    <row r="23" spans="1:23" ht="16.5" x14ac:dyDescent="0.45">
      <c r="A23" s="35" t="s">
        <v>20</v>
      </c>
      <c r="B23" s="26" t="s">
        <v>20</v>
      </c>
      <c r="C23" s="16" t="s">
        <v>21</v>
      </c>
      <c r="D23" s="16" t="s">
        <v>31</v>
      </c>
      <c r="E23" s="16" t="s">
        <v>32</v>
      </c>
      <c r="F23" s="18" t="s">
        <v>36</v>
      </c>
      <c r="G23" s="11">
        <v>1</v>
      </c>
      <c r="H23" s="12">
        <v>1</v>
      </c>
      <c r="I23" s="13">
        <f t="shared" si="0"/>
        <v>1</v>
      </c>
      <c r="J23" s="11">
        <v>1</v>
      </c>
      <c r="K23" s="12">
        <v>1</v>
      </c>
      <c r="L23" s="13">
        <f t="shared" si="11"/>
        <v>1</v>
      </c>
      <c r="M23" s="11">
        <f t="shared" si="12"/>
        <v>1</v>
      </c>
      <c r="N23" s="14">
        <v>1</v>
      </c>
      <c r="O23" s="11">
        <v>1</v>
      </c>
      <c r="P23" s="12">
        <v>1</v>
      </c>
      <c r="Q23" s="13">
        <f t="shared" si="13"/>
        <v>1</v>
      </c>
      <c r="R23" s="11">
        <v>1</v>
      </c>
      <c r="S23" s="12">
        <v>1</v>
      </c>
      <c r="T23" s="13">
        <f t="shared" si="14"/>
        <v>1</v>
      </c>
      <c r="U23" s="11">
        <f t="shared" si="15"/>
        <v>1</v>
      </c>
      <c r="V23" s="14">
        <v>1</v>
      </c>
      <c r="W23" s="34"/>
    </row>
    <row r="24" spans="1:23" ht="17" thickBot="1" x14ac:dyDescent="0.5">
      <c r="A24" s="35" t="s">
        <v>20</v>
      </c>
      <c r="B24" s="26" t="s">
        <v>20</v>
      </c>
      <c r="C24" s="16" t="s">
        <v>21</v>
      </c>
      <c r="D24" s="19" t="s">
        <v>31</v>
      </c>
      <c r="E24" s="19" t="s">
        <v>32</v>
      </c>
      <c r="F24" s="53" t="s">
        <v>50</v>
      </c>
      <c r="G24" s="36">
        <v>1</v>
      </c>
      <c r="H24" s="37">
        <v>1</v>
      </c>
      <c r="I24" s="38">
        <f t="shared" si="0"/>
        <v>1</v>
      </c>
      <c r="J24" s="36">
        <v>1</v>
      </c>
      <c r="K24" s="37">
        <v>1</v>
      </c>
      <c r="L24" s="38">
        <f t="shared" si="11"/>
        <v>1</v>
      </c>
      <c r="M24" s="36">
        <f t="shared" si="12"/>
        <v>1</v>
      </c>
      <c r="N24" s="39">
        <v>1</v>
      </c>
      <c r="O24" s="36">
        <v>1</v>
      </c>
      <c r="P24" s="37">
        <v>1</v>
      </c>
      <c r="Q24" s="38">
        <f t="shared" si="13"/>
        <v>1</v>
      </c>
      <c r="R24" s="36">
        <v>1</v>
      </c>
      <c r="S24" s="37">
        <v>1</v>
      </c>
      <c r="T24" s="38">
        <f t="shared" si="14"/>
        <v>1</v>
      </c>
      <c r="U24" s="36">
        <f t="shared" si="15"/>
        <v>1</v>
      </c>
      <c r="V24" s="39">
        <v>1</v>
      </c>
      <c r="W24" s="34"/>
    </row>
    <row r="25" spans="1:23" ht="15" thickBot="1" x14ac:dyDescent="0.4">
      <c r="A25" s="35" t="s">
        <v>20</v>
      </c>
      <c r="B25" s="26" t="s">
        <v>20</v>
      </c>
      <c r="C25" s="51" t="s">
        <v>21</v>
      </c>
      <c r="D25" s="96" t="s">
        <v>18</v>
      </c>
      <c r="E25" s="97"/>
      <c r="F25" s="98"/>
      <c r="G25" s="40">
        <f>SUM(G20:G24)</f>
        <v>5</v>
      </c>
      <c r="H25" s="41">
        <f t="shared" ref="H25" si="16">SUM(H20:H24)</f>
        <v>5</v>
      </c>
      <c r="I25" s="42">
        <f t="shared" si="0"/>
        <v>1</v>
      </c>
      <c r="J25" s="40">
        <f>SUM(J20:J24)</f>
        <v>5</v>
      </c>
      <c r="K25" s="41">
        <f t="shared" ref="K25" si="17">SUM(K20:K24)</f>
        <v>5</v>
      </c>
      <c r="L25" s="42">
        <f t="shared" si="11"/>
        <v>1</v>
      </c>
      <c r="M25" s="40">
        <f>K25/H25</f>
        <v>1</v>
      </c>
      <c r="N25" s="43">
        <f>AVERAGE(N20:N24)</f>
        <v>1</v>
      </c>
      <c r="O25" s="40">
        <f>SUM(O20:O24)</f>
        <v>5</v>
      </c>
      <c r="P25" s="41">
        <f t="shared" ref="P25" si="18">SUM(P20:P24)</f>
        <v>5</v>
      </c>
      <c r="Q25" s="42">
        <f t="shared" si="13"/>
        <v>1</v>
      </c>
      <c r="R25" s="40">
        <f>SUM(R20:R24)</f>
        <v>5</v>
      </c>
      <c r="S25" s="41">
        <f t="shared" ref="S25" si="19">SUM(S20:S24)</f>
        <v>5</v>
      </c>
      <c r="T25" s="42">
        <f t="shared" si="14"/>
        <v>1</v>
      </c>
      <c r="U25" s="40">
        <f>S25/P25</f>
        <v>1</v>
      </c>
      <c r="V25" s="43">
        <f>AVERAGE(V20:V24)</f>
        <v>1</v>
      </c>
      <c r="W25" s="44"/>
    </row>
    <row r="26" spans="1:23" ht="16.5" x14ac:dyDescent="0.45">
      <c r="A26" s="35" t="s">
        <v>20</v>
      </c>
      <c r="B26" s="26" t="s">
        <v>20</v>
      </c>
      <c r="C26" s="16" t="s">
        <v>21</v>
      </c>
      <c r="D26" s="15" t="s">
        <v>37</v>
      </c>
      <c r="E26" s="15" t="s">
        <v>38</v>
      </c>
      <c r="F26" s="52" t="s">
        <v>51</v>
      </c>
      <c r="G26" s="7">
        <v>1</v>
      </c>
      <c r="H26" s="8">
        <v>1</v>
      </c>
      <c r="I26" s="9">
        <f t="shared" si="0"/>
        <v>1</v>
      </c>
      <c r="J26" s="7">
        <v>1</v>
      </c>
      <c r="K26" s="8">
        <v>1</v>
      </c>
      <c r="L26" s="9">
        <f t="shared" si="11"/>
        <v>1</v>
      </c>
      <c r="M26" s="7">
        <f t="shared" ref="M26:M29" si="20">K26/H26</f>
        <v>1</v>
      </c>
      <c r="N26" s="10">
        <v>1</v>
      </c>
      <c r="O26" s="7">
        <v>1</v>
      </c>
      <c r="P26" s="8">
        <v>1</v>
      </c>
      <c r="Q26" s="9">
        <f t="shared" si="13"/>
        <v>1</v>
      </c>
      <c r="R26" s="7">
        <v>1</v>
      </c>
      <c r="S26" s="8">
        <v>1</v>
      </c>
      <c r="T26" s="9">
        <f t="shared" si="14"/>
        <v>1</v>
      </c>
      <c r="U26" s="7">
        <f t="shared" ref="U26:U29" si="21">S26/P26</f>
        <v>1</v>
      </c>
      <c r="V26" s="10">
        <v>1</v>
      </c>
      <c r="W26" s="34"/>
    </row>
    <row r="27" spans="1:23" ht="16.5" x14ac:dyDescent="0.45">
      <c r="A27" s="35" t="s">
        <v>20</v>
      </c>
      <c r="B27" s="26" t="s">
        <v>20</v>
      </c>
      <c r="C27" s="16" t="s">
        <v>21</v>
      </c>
      <c r="D27" s="16" t="s">
        <v>37</v>
      </c>
      <c r="E27" s="16" t="s">
        <v>38</v>
      </c>
      <c r="F27" s="18" t="s">
        <v>52</v>
      </c>
      <c r="G27" s="11">
        <v>1</v>
      </c>
      <c r="H27" s="12">
        <v>1</v>
      </c>
      <c r="I27" s="13">
        <f t="shared" si="0"/>
        <v>1</v>
      </c>
      <c r="J27" s="11">
        <v>1</v>
      </c>
      <c r="K27" s="12">
        <v>1</v>
      </c>
      <c r="L27" s="13">
        <f t="shared" si="11"/>
        <v>1</v>
      </c>
      <c r="M27" s="11">
        <f t="shared" si="20"/>
        <v>1</v>
      </c>
      <c r="N27" s="14">
        <v>1</v>
      </c>
      <c r="O27" s="11">
        <v>1</v>
      </c>
      <c r="P27" s="12">
        <v>1</v>
      </c>
      <c r="Q27" s="13">
        <f t="shared" si="13"/>
        <v>1</v>
      </c>
      <c r="R27" s="11">
        <v>1</v>
      </c>
      <c r="S27" s="12">
        <v>1</v>
      </c>
      <c r="T27" s="13">
        <f t="shared" si="14"/>
        <v>1</v>
      </c>
      <c r="U27" s="11">
        <f t="shared" si="21"/>
        <v>1</v>
      </c>
      <c r="V27" s="14">
        <v>1</v>
      </c>
      <c r="W27" s="34"/>
    </row>
    <row r="28" spans="1:23" ht="16.5" x14ac:dyDescent="0.45">
      <c r="A28" s="35" t="s">
        <v>20</v>
      </c>
      <c r="B28" s="26" t="s">
        <v>20</v>
      </c>
      <c r="C28" s="16" t="s">
        <v>21</v>
      </c>
      <c r="D28" s="16" t="s">
        <v>37</v>
      </c>
      <c r="E28" s="16" t="s">
        <v>38</v>
      </c>
      <c r="F28" s="18" t="s">
        <v>53</v>
      </c>
      <c r="G28" s="11">
        <v>1</v>
      </c>
      <c r="H28" s="12">
        <v>1</v>
      </c>
      <c r="I28" s="13">
        <f t="shared" si="0"/>
        <v>1</v>
      </c>
      <c r="J28" s="11">
        <v>1</v>
      </c>
      <c r="K28" s="12">
        <v>1</v>
      </c>
      <c r="L28" s="13">
        <f t="shared" si="11"/>
        <v>1</v>
      </c>
      <c r="M28" s="11">
        <f t="shared" si="20"/>
        <v>1</v>
      </c>
      <c r="N28" s="14">
        <v>1</v>
      </c>
      <c r="O28" s="11">
        <v>1</v>
      </c>
      <c r="P28" s="12">
        <v>1</v>
      </c>
      <c r="Q28" s="13">
        <f t="shared" si="13"/>
        <v>1</v>
      </c>
      <c r="R28" s="11">
        <v>1</v>
      </c>
      <c r="S28" s="12">
        <v>1</v>
      </c>
      <c r="T28" s="13">
        <f t="shared" si="14"/>
        <v>1</v>
      </c>
      <c r="U28" s="11">
        <f t="shared" si="21"/>
        <v>1</v>
      </c>
      <c r="V28" s="14">
        <v>1</v>
      </c>
      <c r="W28" s="34"/>
    </row>
    <row r="29" spans="1:23" ht="17" thickBot="1" x14ac:dyDescent="0.5">
      <c r="A29" s="35" t="s">
        <v>20</v>
      </c>
      <c r="B29" s="26" t="s">
        <v>20</v>
      </c>
      <c r="C29" s="16" t="s">
        <v>21</v>
      </c>
      <c r="D29" s="19" t="s">
        <v>37</v>
      </c>
      <c r="E29" s="19" t="s">
        <v>38</v>
      </c>
      <c r="F29" s="53" t="s">
        <v>28</v>
      </c>
      <c r="G29" s="36">
        <v>1</v>
      </c>
      <c r="H29" s="37">
        <v>1</v>
      </c>
      <c r="I29" s="38">
        <f t="shared" si="0"/>
        <v>1</v>
      </c>
      <c r="J29" s="36">
        <v>1</v>
      </c>
      <c r="K29" s="37">
        <v>1</v>
      </c>
      <c r="L29" s="38">
        <f t="shared" si="11"/>
        <v>1</v>
      </c>
      <c r="M29" s="36">
        <f t="shared" si="20"/>
        <v>1</v>
      </c>
      <c r="N29" s="39">
        <v>1</v>
      </c>
      <c r="O29" s="36">
        <v>1</v>
      </c>
      <c r="P29" s="37">
        <v>1</v>
      </c>
      <c r="Q29" s="38">
        <f t="shared" si="13"/>
        <v>1</v>
      </c>
      <c r="R29" s="36">
        <v>1</v>
      </c>
      <c r="S29" s="37">
        <v>1</v>
      </c>
      <c r="T29" s="38">
        <f t="shared" si="14"/>
        <v>1</v>
      </c>
      <c r="U29" s="36">
        <f t="shared" si="21"/>
        <v>1</v>
      </c>
      <c r="V29" s="39">
        <v>1</v>
      </c>
      <c r="W29" s="34"/>
    </row>
    <row r="30" spans="1:23" ht="15" thickBot="1" x14ac:dyDescent="0.4">
      <c r="A30" s="35" t="s">
        <v>20</v>
      </c>
      <c r="B30" s="54" t="s">
        <v>20</v>
      </c>
      <c r="C30" s="55" t="s">
        <v>21</v>
      </c>
      <c r="D30" s="96" t="s">
        <v>18</v>
      </c>
      <c r="E30" s="97"/>
      <c r="F30" s="98"/>
      <c r="G30" s="40">
        <f>SUM(G26:G29)</f>
        <v>4</v>
      </c>
      <c r="H30" s="41">
        <f t="shared" ref="H30" si="22">SUM(H26:H29)</f>
        <v>4</v>
      </c>
      <c r="I30" s="42">
        <f t="shared" si="0"/>
        <v>1</v>
      </c>
      <c r="J30" s="40">
        <f>SUM(J26:J29)</f>
        <v>4</v>
      </c>
      <c r="K30" s="41">
        <f t="shared" ref="K30" si="23">SUM(K26:K29)</f>
        <v>4</v>
      </c>
      <c r="L30" s="42">
        <f t="shared" si="11"/>
        <v>1</v>
      </c>
      <c r="M30" s="40">
        <f>K30/H30</f>
        <v>1</v>
      </c>
      <c r="N30" s="43">
        <f>AVERAGE(N26:N29)</f>
        <v>1</v>
      </c>
      <c r="O30" s="40">
        <f>SUM(O26:O29)</f>
        <v>4</v>
      </c>
      <c r="P30" s="41">
        <f t="shared" ref="P30" si="24">SUM(P26:P29)</f>
        <v>4</v>
      </c>
      <c r="Q30" s="42">
        <f t="shared" si="13"/>
        <v>1</v>
      </c>
      <c r="R30" s="40">
        <f>SUM(R26:R29)</f>
        <v>4</v>
      </c>
      <c r="S30" s="41">
        <f t="shared" ref="S30" si="25">SUM(S26:S29)</f>
        <v>4</v>
      </c>
      <c r="T30" s="42">
        <f t="shared" si="14"/>
        <v>1</v>
      </c>
      <c r="U30" s="40">
        <f>S30/P30</f>
        <v>1</v>
      </c>
      <c r="V30" s="43">
        <f>AVERAGE(V26:V29)</f>
        <v>1</v>
      </c>
      <c r="W30" s="44"/>
    </row>
    <row r="31" spans="1:23" ht="15" thickBot="1" x14ac:dyDescent="0.4">
      <c r="A31" s="45" t="s">
        <v>20</v>
      </c>
      <c r="B31" s="56" t="s">
        <v>39</v>
      </c>
      <c r="C31" s="57"/>
      <c r="D31" s="57"/>
      <c r="E31" s="57"/>
      <c r="F31" s="57"/>
      <c r="G31" s="20">
        <f>+G30+G25+G19</f>
        <v>384</v>
      </c>
      <c r="H31" s="21">
        <f t="shared" ref="H31" si="26">+H30+H25+H19</f>
        <v>65</v>
      </c>
      <c r="I31" s="22">
        <f t="shared" si="0"/>
        <v>0.16927083333333334</v>
      </c>
      <c r="J31" s="20">
        <f>+J30+J25+J19</f>
        <v>394</v>
      </c>
      <c r="K31" s="21">
        <f t="shared" ref="K31" si="27">+K30+K25+K19</f>
        <v>139.12</v>
      </c>
      <c r="L31" s="22">
        <f t="shared" si="11"/>
        <v>0.3530964467005076</v>
      </c>
      <c r="M31" s="20">
        <f>K31/H31</f>
        <v>2.1403076923076925</v>
      </c>
      <c r="N31" s="23" t="e">
        <f>AVERAGE(N30,N19,N25)</f>
        <v>#DIV/0!</v>
      </c>
      <c r="O31" s="20">
        <f>+O30+O25+O19</f>
        <v>65</v>
      </c>
      <c r="P31" s="21">
        <f t="shared" ref="P31" si="28">+P30+P25+P19</f>
        <v>54</v>
      </c>
      <c r="Q31" s="22">
        <f t="shared" si="13"/>
        <v>0.83076923076923082</v>
      </c>
      <c r="R31" s="20">
        <f>+R30+R25+R19</f>
        <v>139.12</v>
      </c>
      <c r="S31" s="21">
        <f t="shared" ref="S31" si="29">+S30+S25+S19</f>
        <v>104.94</v>
      </c>
      <c r="T31" s="22">
        <f t="shared" si="14"/>
        <v>0.75431282346175954</v>
      </c>
      <c r="U31" s="20">
        <f>S31/P31</f>
        <v>1.9433333333333334</v>
      </c>
      <c r="V31" s="23" t="e">
        <f>AVERAGE(V30,V19,V25)</f>
        <v>#DIV/0!</v>
      </c>
      <c r="W31" s="34"/>
    </row>
  </sheetData>
  <mergeCells count="9">
    <mergeCell ref="D19:F19"/>
    <mergeCell ref="D25:F25"/>
    <mergeCell ref="D30:F30"/>
    <mergeCell ref="G1:N1"/>
    <mergeCell ref="O1:V1"/>
    <mergeCell ref="G2:I2"/>
    <mergeCell ref="J2:L2"/>
    <mergeCell ref="O2:Q2"/>
    <mergeCell ref="R2:T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Q31"/>
  <sheetViews>
    <sheetView topLeftCell="C1" workbookViewId="0">
      <selection activeCell="K15" sqref="K15"/>
    </sheetView>
  </sheetViews>
  <sheetFormatPr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2.1796875" bestFit="1" customWidth="1"/>
    <col min="7" max="7" width="6.26953125" style="24" customWidth="1"/>
    <col min="8" max="8" width="10.54296875" customWidth="1"/>
    <col min="9" max="9" width="5.54296875" customWidth="1"/>
    <col min="10" max="10" width="8.1796875" bestFit="1" customWidth="1"/>
    <col min="11" max="11" width="9.26953125" bestFit="1" customWidth="1"/>
    <col min="12" max="12" width="7.7265625" bestFit="1" customWidth="1"/>
    <col min="13" max="14" width="7.7265625" customWidth="1"/>
    <col min="15" max="15" width="5.26953125" customWidth="1"/>
    <col min="17" max="17" width="8.54296875" bestFit="1" customWidth="1"/>
  </cols>
  <sheetData>
    <row r="1" spans="1:17" ht="15" thickBot="1" x14ac:dyDescent="0.4">
      <c r="A1" s="61" t="s">
        <v>57</v>
      </c>
      <c r="B1" s="61" t="s">
        <v>58</v>
      </c>
      <c r="C1" s="61" t="s">
        <v>59</v>
      </c>
      <c r="D1" s="61" t="s">
        <v>60</v>
      </c>
    </row>
    <row r="2" spans="1:17" ht="15" thickBot="1" x14ac:dyDescent="0.4">
      <c r="A2" s="62">
        <v>27</v>
      </c>
      <c r="B2" s="24">
        <v>2</v>
      </c>
      <c r="C2" s="63">
        <f>+B2/A2</f>
        <v>7.407407407407407E-2</v>
      </c>
      <c r="D2" s="62">
        <f>+A2-B2</f>
        <v>25</v>
      </c>
      <c r="F2" s="94">
        <v>46205</v>
      </c>
      <c r="G2" s="105" t="s">
        <v>40</v>
      </c>
      <c r="H2" s="106"/>
      <c r="I2" s="106"/>
      <c r="J2" s="102" t="s">
        <v>61</v>
      </c>
      <c r="K2" s="103"/>
      <c r="L2" s="103"/>
      <c r="M2" s="103"/>
      <c r="N2" s="104"/>
      <c r="O2" s="108" t="s">
        <v>41</v>
      </c>
      <c r="P2" s="109"/>
    </row>
    <row r="3" spans="1:17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59" t="s">
        <v>42</v>
      </c>
      <c r="I3" s="27" t="s">
        <v>12</v>
      </c>
      <c r="J3" s="64" t="s">
        <v>43</v>
      </c>
      <c r="K3" s="65" t="s">
        <v>44</v>
      </c>
      <c r="L3" s="65" t="s">
        <v>12</v>
      </c>
      <c r="M3" s="65" t="s">
        <v>62</v>
      </c>
      <c r="N3" s="66" t="s">
        <v>63</v>
      </c>
      <c r="O3" s="67" t="s">
        <v>15</v>
      </c>
      <c r="P3" s="60" t="s">
        <v>16</v>
      </c>
      <c r="Q3" s="28" t="s">
        <v>17</v>
      </c>
    </row>
    <row r="4" spans="1:17" ht="16.5" x14ac:dyDescent="0.4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600</v>
      </c>
      <c r="H4" s="31">
        <f>5+9</f>
        <v>14</v>
      </c>
      <c r="I4" s="68">
        <f t="shared" ref="I4:I31" si="0">H4/G4</f>
        <v>2.3333333333333334E-2</v>
      </c>
      <c r="J4" s="30">
        <v>550</v>
      </c>
      <c r="K4" s="8">
        <f>8.5+9</f>
        <v>17.5</v>
      </c>
      <c r="L4" s="87">
        <f t="shared" ref="L4:L29" si="1">K4/J4</f>
        <v>3.1818181818181815E-2</v>
      </c>
      <c r="M4" s="8">
        <f t="shared" ref="M4:M6" si="2">J4-K4</f>
        <v>532.5</v>
      </c>
      <c r="N4" s="10">
        <f t="shared" ref="N4:N6" si="3">M4/$D$2</f>
        <v>21.3</v>
      </c>
      <c r="O4" s="69">
        <f t="shared" ref="O4:P12" si="4">K4/H4</f>
        <v>1.25</v>
      </c>
      <c r="P4" s="33">
        <v>3</v>
      </c>
      <c r="Q4" s="34"/>
    </row>
    <row r="5" spans="1:17" ht="16.5" x14ac:dyDescent="0.4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11">
        <v>600</v>
      </c>
      <c r="H5" s="12">
        <f>4+8</f>
        <v>12</v>
      </c>
      <c r="I5" s="70">
        <f t="shared" si="0"/>
        <v>0.02</v>
      </c>
      <c r="J5" s="11">
        <v>550</v>
      </c>
      <c r="K5" s="12">
        <f>6.6+9</f>
        <v>15.6</v>
      </c>
      <c r="L5" s="71">
        <f t="shared" si="1"/>
        <v>2.8363636363636362E-2</v>
      </c>
      <c r="M5" s="12">
        <f t="shared" si="2"/>
        <v>534.4</v>
      </c>
      <c r="N5" s="14">
        <f t="shared" si="3"/>
        <v>21.375999999999998</v>
      </c>
      <c r="O5" s="72">
        <f t="shared" si="4"/>
        <v>1.3</v>
      </c>
      <c r="P5" s="14">
        <f t="shared" si="4"/>
        <v>1.418181818181818</v>
      </c>
      <c r="Q5" s="34"/>
    </row>
    <row r="6" spans="1:17" ht="16.5" x14ac:dyDescent="0.4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11">
        <v>600</v>
      </c>
      <c r="H6" s="12">
        <v>9</v>
      </c>
      <c r="I6" s="70">
        <f t="shared" si="0"/>
        <v>1.4999999999999999E-2</v>
      </c>
      <c r="J6" s="11">
        <v>550</v>
      </c>
      <c r="K6" s="12">
        <f>11+0</f>
        <v>11</v>
      </c>
      <c r="L6" s="71">
        <f t="shared" si="1"/>
        <v>0.02</v>
      </c>
      <c r="M6" s="12">
        <f t="shared" si="2"/>
        <v>539</v>
      </c>
      <c r="N6" s="14">
        <f t="shared" si="3"/>
        <v>21.56</v>
      </c>
      <c r="O6" s="72">
        <f t="shared" si="4"/>
        <v>1.2222222222222223</v>
      </c>
      <c r="P6" s="14">
        <f t="shared" si="4"/>
        <v>1.3333333333333335</v>
      </c>
      <c r="Q6" s="34"/>
    </row>
    <row r="7" spans="1:17" ht="16.5" x14ac:dyDescent="0.4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26</v>
      </c>
      <c r="G7" s="11">
        <v>600</v>
      </c>
      <c r="H7" s="12">
        <f>5+13</f>
        <v>18</v>
      </c>
      <c r="I7" s="70">
        <f t="shared" si="0"/>
        <v>0.03</v>
      </c>
      <c r="J7" s="11">
        <v>550</v>
      </c>
      <c r="K7" s="12">
        <f>7.1+13</f>
        <v>20.100000000000001</v>
      </c>
      <c r="L7" s="71">
        <f t="shared" si="1"/>
        <v>3.6545454545454548E-2</v>
      </c>
      <c r="M7" s="12">
        <f t="shared" ref="M7:M31" si="5">J7-K7</f>
        <v>529.9</v>
      </c>
      <c r="N7" s="14">
        <f t="shared" ref="N7:N31" si="6">M7/$D$2</f>
        <v>21.195999999999998</v>
      </c>
      <c r="O7" s="72">
        <f t="shared" si="4"/>
        <v>1.1166666666666667</v>
      </c>
      <c r="P7" s="14">
        <f t="shared" si="4"/>
        <v>1.2181818181818183</v>
      </c>
      <c r="Q7" s="34"/>
    </row>
    <row r="8" spans="1:17" ht="16.5" x14ac:dyDescent="0.4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27</v>
      </c>
      <c r="G8" s="11">
        <v>600</v>
      </c>
      <c r="H8" s="12">
        <f>10+10</f>
        <v>20</v>
      </c>
      <c r="I8" s="70">
        <f t="shared" si="0"/>
        <v>3.3333333333333333E-2</v>
      </c>
      <c r="J8" s="11">
        <v>550</v>
      </c>
      <c r="K8" s="12">
        <f>14.1+13</f>
        <v>27.1</v>
      </c>
      <c r="L8" s="71">
        <f t="shared" si="1"/>
        <v>4.9272727272727274E-2</v>
      </c>
      <c r="M8" s="12">
        <f t="shared" si="5"/>
        <v>522.9</v>
      </c>
      <c r="N8" s="14">
        <f t="shared" si="6"/>
        <v>20.916</v>
      </c>
      <c r="O8" s="72">
        <f t="shared" si="4"/>
        <v>1.355</v>
      </c>
      <c r="P8" s="14">
        <f t="shared" si="4"/>
        <v>1.4781818181818183</v>
      </c>
      <c r="Q8" s="34"/>
    </row>
    <row r="9" spans="1:17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28</v>
      </c>
      <c r="G9" s="11">
        <v>600</v>
      </c>
      <c r="H9" s="12"/>
      <c r="I9" s="70">
        <f t="shared" si="0"/>
        <v>0</v>
      </c>
      <c r="J9" s="11">
        <v>550</v>
      </c>
      <c r="K9" s="12"/>
      <c r="L9" s="71">
        <f t="shared" si="1"/>
        <v>0</v>
      </c>
      <c r="M9" s="12">
        <f t="shared" si="5"/>
        <v>550</v>
      </c>
      <c r="N9" s="14">
        <f t="shared" si="6"/>
        <v>22</v>
      </c>
      <c r="O9" s="72" t="e">
        <f t="shared" si="4"/>
        <v>#DIV/0!</v>
      </c>
      <c r="P9" s="14" t="e">
        <f t="shared" si="4"/>
        <v>#DIV/0!</v>
      </c>
      <c r="Q9" s="34"/>
    </row>
    <row r="10" spans="1:17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29</v>
      </c>
      <c r="G10" s="11">
        <v>200</v>
      </c>
      <c r="H10" s="12">
        <f>4+7</f>
        <v>11</v>
      </c>
      <c r="I10" s="70">
        <f t="shared" si="0"/>
        <v>5.5E-2</v>
      </c>
      <c r="J10" s="11">
        <v>5000</v>
      </c>
      <c r="K10" s="12">
        <f>70+42</f>
        <v>112</v>
      </c>
      <c r="L10" s="71">
        <f t="shared" si="1"/>
        <v>2.24E-2</v>
      </c>
      <c r="M10" s="12">
        <f t="shared" si="5"/>
        <v>4888</v>
      </c>
      <c r="N10" s="14">
        <f t="shared" si="6"/>
        <v>195.52</v>
      </c>
      <c r="O10" s="72">
        <f t="shared" si="4"/>
        <v>10.181818181818182</v>
      </c>
      <c r="P10" s="14">
        <f t="shared" si="4"/>
        <v>0.40727272727272729</v>
      </c>
      <c r="Q10" s="34"/>
    </row>
    <row r="11" spans="1:17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64</v>
      </c>
      <c r="G11" s="11">
        <v>600</v>
      </c>
      <c r="H11" s="12">
        <f>12+0</f>
        <v>12</v>
      </c>
      <c r="I11" s="70">
        <f t="shared" si="0"/>
        <v>0.02</v>
      </c>
      <c r="J11" s="11">
        <v>750</v>
      </c>
      <c r="K11" s="12">
        <f>18+0</f>
        <v>18</v>
      </c>
      <c r="L11" s="71">
        <f t="shared" si="1"/>
        <v>2.4E-2</v>
      </c>
      <c r="M11" s="12">
        <f t="shared" si="5"/>
        <v>732</v>
      </c>
      <c r="N11" s="14">
        <f t="shared" si="6"/>
        <v>29.28</v>
      </c>
      <c r="O11" s="72">
        <f t="shared" si="4"/>
        <v>1.5</v>
      </c>
      <c r="P11" s="14">
        <f t="shared" si="4"/>
        <v>1.2</v>
      </c>
      <c r="Q11" s="34"/>
    </row>
    <row r="12" spans="1:17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11">
        <v>600</v>
      </c>
      <c r="H12" s="12"/>
      <c r="I12" s="70">
        <f t="shared" si="0"/>
        <v>0</v>
      </c>
      <c r="J12" s="11">
        <v>750</v>
      </c>
      <c r="K12" s="12"/>
      <c r="L12" s="71">
        <f t="shared" si="1"/>
        <v>0</v>
      </c>
      <c r="M12" s="12">
        <f t="shared" si="5"/>
        <v>750</v>
      </c>
      <c r="N12" s="14">
        <f t="shared" si="6"/>
        <v>30</v>
      </c>
      <c r="O12" s="72" t="e">
        <f t="shared" si="4"/>
        <v>#DIV/0!</v>
      </c>
      <c r="P12" s="14" t="e">
        <f t="shared" si="4"/>
        <v>#DIV/0!</v>
      </c>
      <c r="Q12" s="34"/>
    </row>
    <row r="13" spans="1:17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 t="s">
        <v>45</v>
      </c>
      <c r="G13" s="11"/>
      <c r="H13" s="12"/>
      <c r="I13" s="70"/>
      <c r="J13" s="11">
        <v>100</v>
      </c>
      <c r="K13" s="12"/>
      <c r="L13" s="71"/>
      <c r="M13" s="12">
        <f t="shared" si="5"/>
        <v>100</v>
      </c>
      <c r="N13" s="14">
        <f t="shared" si="6"/>
        <v>4</v>
      </c>
      <c r="O13" s="72"/>
      <c r="P13" s="14"/>
      <c r="Q13" s="34"/>
    </row>
    <row r="14" spans="1:17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46</v>
      </c>
      <c r="G14" s="11"/>
      <c r="H14" s="12"/>
      <c r="I14" s="70"/>
      <c r="J14" s="11">
        <v>100</v>
      </c>
      <c r="K14" s="12"/>
      <c r="L14" s="71"/>
      <c r="M14" s="12">
        <f t="shared" si="5"/>
        <v>100</v>
      </c>
      <c r="N14" s="14">
        <f t="shared" si="6"/>
        <v>4</v>
      </c>
      <c r="O14" s="72"/>
      <c r="P14" s="14"/>
      <c r="Q14" s="34"/>
    </row>
    <row r="15" spans="1:17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47</v>
      </c>
      <c r="G15" s="11"/>
      <c r="H15" s="12"/>
      <c r="I15" s="70"/>
      <c r="J15" s="11"/>
      <c r="K15" s="12"/>
      <c r="L15" s="71"/>
      <c r="M15" s="12">
        <f t="shared" si="5"/>
        <v>0</v>
      </c>
      <c r="N15" s="14">
        <f t="shared" si="6"/>
        <v>0</v>
      </c>
      <c r="O15" s="72"/>
      <c r="P15" s="14"/>
      <c r="Q15" s="34"/>
    </row>
    <row r="16" spans="1:17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12"/>
      <c r="I16" s="70"/>
      <c r="J16" s="11"/>
      <c r="K16" s="12"/>
      <c r="L16" s="71"/>
      <c r="M16" s="12">
        <f t="shared" si="5"/>
        <v>0</v>
      </c>
      <c r="N16" s="14">
        <f t="shared" si="6"/>
        <v>0</v>
      </c>
      <c r="O16" s="72"/>
      <c r="P16" s="14"/>
      <c r="Q16" s="34"/>
    </row>
    <row r="17" spans="1:17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48</v>
      </c>
      <c r="G17" s="11"/>
      <c r="H17" s="12"/>
      <c r="I17" s="70"/>
      <c r="J17" s="11"/>
      <c r="K17" s="12"/>
      <c r="L17" s="71"/>
      <c r="M17" s="12">
        <f t="shared" si="5"/>
        <v>0</v>
      </c>
      <c r="N17" s="14">
        <f t="shared" si="6"/>
        <v>0</v>
      </c>
      <c r="O17" s="72"/>
      <c r="P17" s="14"/>
      <c r="Q17" s="34"/>
    </row>
    <row r="18" spans="1:17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49</v>
      </c>
      <c r="G18" s="36"/>
      <c r="H18" s="37"/>
      <c r="I18" s="73"/>
      <c r="J18" s="74"/>
      <c r="K18" s="75"/>
      <c r="L18" s="76"/>
      <c r="M18" s="75">
        <f t="shared" si="5"/>
        <v>0</v>
      </c>
      <c r="N18" s="77">
        <f t="shared" si="6"/>
        <v>0</v>
      </c>
      <c r="O18" s="78"/>
      <c r="P18" s="39"/>
      <c r="Q18" s="34"/>
    </row>
    <row r="19" spans="1:17" ht="15" thickBot="1" x14ac:dyDescent="0.4">
      <c r="A19" s="35" t="s">
        <v>20</v>
      </c>
      <c r="B19" s="26" t="s">
        <v>20</v>
      </c>
      <c r="C19" s="51" t="s">
        <v>21</v>
      </c>
      <c r="D19" s="96" t="s">
        <v>18</v>
      </c>
      <c r="E19" s="97"/>
      <c r="F19" s="98"/>
      <c r="G19" s="40">
        <f>SUM(G4:G14)</f>
        <v>5000</v>
      </c>
      <c r="H19" s="41">
        <f>SUM(H4:H12)</f>
        <v>96</v>
      </c>
      <c r="I19" s="79">
        <f t="shared" si="0"/>
        <v>1.9199999999999998E-2</v>
      </c>
      <c r="J19" s="80">
        <f>SUM(J4:J14)</f>
        <v>10000</v>
      </c>
      <c r="K19" s="81">
        <f>SUM(K4:K12)</f>
        <v>221.3</v>
      </c>
      <c r="L19" s="82">
        <f>K19/J19</f>
        <v>2.213E-2</v>
      </c>
      <c r="M19" s="81">
        <f t="shared" si="5"/>
        <v>9778.7000000000007</v>
      </c>
      <c r="N19" s="83">
        <f t="shared" si="6"/>
        <v>391.14800000000002</v>
      </c>
      <c r="O19" s="84">
        <f>K19/H19</f>
        <v>2.3052083333333333</v>
      </c>
      <c r="P19" s="43" t="e">
        <f>AVERAGE(P4:P12)</f>
        <v>#DIV/0!</v>
      </c>
      <c r="Q19" s="44"/>
    </row>
    <row r="20" spans="1:17" ht="16.5" x14ac:dyDescent="0.45">
      <c r="A20" s="35" t="s">
        <v>20</v>
      </c>
      <c r="B20" s="26" t="s">
        <v>20</v>
      </c>
      <c r="C20" s="16" t="s">
        <v>21</v>
      </c>
      <c r="D20" s="15" t="s">
        <v>31</v>
      </c>
      <c r="E20" s="15" t="s">
        <v>32</v>
      </c>
      <c r="F20" s="52" t="s">
        <v>33</v>
      </c>
      <c r="G20" s="7">
        <v>1</v>
      </c>
      <c r="H20" s="8">
        <v>1</v>
      </c>
      <c r="I20" s="85">
        <f t="shared" si="0"/>
        <v>1</v>
      </c>
      <c r="J20" s="7">
        <v>500</v>
      </c>
      <c r="K20" s="8">
        <v>149</v>
      </c>
      <c r="L20" s="87">
        <f t="shared" si="1"/>
        <v>0.29799999999999999</v>
      </c>
      <c r="M20" s="8">
        <f t="shared" si="5"/>
        <v>351</v>
      </c>
      <c r="N20" s="10">
        <f t="shared" si="6"/>
        <v>14.04</v>
      </c>
      <c r="O20" s="86">
        <f t="shared" ref="O20:O24" si="7">K20/H20</f>
        <v>149</v>
      </c>
      <c r="P20" s="10">
        <v>1</v>
      </c>
      <c r="Q20" s="34"/>
    </row>
    <row r="21" spans="1:17" ht="16.5" x14ac:dyDescent="0.45">
      <c r="A21" s="35" t="s">
        <v>20</v>
      </c>
      <c r="B21" s="26" t="s">
        <v>20</v>
      </c>
      <c r="C21" s="16" t="s">
        <v>21</v>
      </c>
      <c r="D21" s="16" t="s">
        <v>31</v>
      </c>
      <c r="E21" s="16" t="s">
        <v>32</v>
      </c>
      <c r="F21" s="18" t="s">
        <v>34</v>
      </c>
      <c r="G21" s="11">
        <v>1</v>
      </c>
      <c r="H21" s="12">
        <v>1</v>
      </c>
      <c r="I21" s="70">
        <f t="shared" si="0"/>
        <v>1</v>
      </c>
      <c r="J21" s="11">
        <v>500</v>
      </c>
      <c r="K21" s="12">
        <v>348</v>
      </c>
      <c r="L21" s="71">
        <f t="shared" si="1"/>
        <v>0.69599999999999995</v>
      </c>
      <c r="M21" s="12">
        <f t="shared" si="5"/>
        <v>152</v>
      </c>
      <c r="N21" s="14">
        <f t="shared" si="6"/>
        <v>6.08</v>
      </c>
      <c r="O21" s="72">
        <f t="shared" si="7"/>
        <v>348</v>
      </c>
      <c r="P21" s="14">
        <v>1</v>
      </c>
      <c r="Q21" s="34"/>
    </row>
    <row r="22" spans="1:17" ht="16.5" x14ac:dyDescent="0.45">
      <c r="A22" s="35" t="s">
        <v>20</v>
      </c>
      <c r="B22" s="26" t="s">
        <v>20</v>
      </c>
      <c r="C22" s="16" t="s">
        <v>21</v>
      </c>
      <c r="D22" s="16" t="s">
        <v>31</v>
      </c>
      <c r="E22" s="16" t="s">
        <v>32</v>
      </c>
      <c r="F22" s="18" t="s">
        <v>35</v>
      </c>
      <c r="G22" s="11">
        <v>1</v>
      </c>
      <c r="H22" s="12">
        <v>1</v>
      </c>
      <c r="I22" s="70">
        <f t="shared" si="0"/>
        <v>1</v>
      </c>
      <c r="J22" s="11">
        <v>500</v>
      </c>
      <c r="K22" s="12">
        <v>281</v>
      </c>
      <c r="L22" s="71">
        <f t="shared" si="1"/>
        <v>0.56200000000000006</v>
      </c>
      <c r="M22" s="12">
        <f t="shared" si="5"/>
        <v>219</v>
      </c>
      <c r="N22" s="14">
        <f t="shared" si="6"/>
        <v>8.76</v>
      </c>
      <c r="O22" s="72">
        <f t="shared" si="7"/>
        <v>281</v>
      </c>
      <c r="P22" s="14">
        <v>1</v>
      </c>
      <c r="Q22" s="34"/>
    </row>
    <row r="23" spans="1:17" ht="16.5" x14ac:dyDescent="0.45">
      <c r="A23" s="35" t="s">
        <v>20</v>
      </c>
      <c r="B23" s="26" t="s">
        <v>20</v>
      </c>
      <c r="C23" s="16" t="s">
        <v>21</v>
      </c>
      <c r="D23" s="16" t="s">
        <v>31</v>
      </c>
      <c r="E23" s="16" t="s">
        <v>32</v>
      </c>
      <c r="F23" s="18" t="s">
        <v>36</v>
      </c>
      <c r="G23" s="11">
        <v>1</v>
      </c>
      <c r="H23" s="12">
        <v>1</v>
      </c>
      <c r="I23" s="70">
        <f t="shared" si="0"/>
        <v>1</v>
      </c>
      <c r="J23" s="11">
        <v>500</v>
      </c>
      <c r="K23" s="12">
        <v>263</v>
      </c>
      <c r="L23" s="71">
        <f t="shared" si="1"/>
        <v>0.52600000000000002</v>
      </c>
      <c r="M23" s="12">
        <f t="shared" si="5"/>
        <v>237</v>
      </c>
      <c r="N23" s="14">
        <f t="shared" si="6"/>
        <v>9.48</v>
      </c>
      <c r="O23" s="72">
        <f t="shared" si="7"/>
        <v>263</v>
      </c>
      <c r="P23" s="14">
        <v>1</v>
      </c>
      <c r="Q23" s="34"/>
    </row>
    <row r="24" spans="1:17" ht="17" thickBot="1" x14ac:dyDescent="0.5">
      <c r="A24" s="35" t="s">
        <v>20</v>
      </c>
      <c r="B24" s="26" t="s">
        <v>20</v>
      </c>
      <c r="C24" s="16" t="s">
        <v>21</v>
      </c>
      <c r="D24" s="19" t="s">
        <v>31</v>
      </c>
      <c r="E24" s="19" t="s">
        <v>32</v>
      </c>
      <c r="F24" s="53" t="s">
        <v>50</v>
      </c>
      <c r="G24" s="36">
        <v>1</v>
      </c>
      <c r="H24" s="37">
        <v>1</v>
      </c>
      <c r="I24" s="73">
        <f t="shared" si="0"/>
        <v>1</v>
      </c>
      <c r="J24" s="74">
        <v>500</v>
      </c>
      <c r="K24" s="75">
        <v>103</v>
      </c>
      <c r="L24" s="76">
        <f t="shared" si="1"/>
        <v>0.20599999999999999</v>
      </c>
      <c r="M24" s="75">
        <f t="shared" si="5"/>
        <v>397</v>
      </c>
      <c r="N24" s="77">
        <f t="shared" si="6"/>
        <v>15.88</v>
      </c>
      <c r="O24" s="78">
        <f t="shared" si="7"/>
        <v>103</v>
      </c>
      <c r="P24" s="39">
        <v>1</v>
      </c>
      <c r="Q24" s="34"/>
    </row>
    <row r="25" spans="1:17" ht="15" thickBot="1" x14ac:dyDescent="0.4">
      <c r="A25" s="35" t="s">
        <v>20</v>
      </c>
      <c r="B25" s="26" t="s">
        <v>20</v>
      </c>
      <c r="C25" s="51" t="s">
        <v>21</v>
      </c>
      <c r="D25" s="96" t="s">
        <v>18</v>
      </c>
      <c r="E25" s="97"/>
      <c r="F25" s="98"/>
      <c r="G25" s="40">
        <f>SUM(G20:G24)</f>
        <v>5</v>
      </c>
      <c r="H25" s="41">
        <f t="shared" ref="H25:K25" si="8">SUM(H20:H24)</f>
        <v>5</v>
      </c>
      <c r="I25" s="79">
        <f t="shared" si="0"/>
        <v>1</v>
      </c>
      <c r="J25" s="80">
        <f t="shared" si="8"/>
        <v>2500</v>
      </c>
      <c r="K25" s="81">
        <f t="shared" si="8"/>
        <v>1144</v>
      </c>
      <c r="L25" s="82">
        <f>K25/J25</f>
        <v>0.45760000000000001</v>
      </c>
      <c r="M25" s="81">
        <f t="shared" si="5"/>
        <v>1356</v>
      </c>
      <c r="N25" s="83">
        <f t="shared" si="6"/>
        <v>54.24</v>
      </c>
      <c r="O25" s="84">
        <f>K25/H25</f>
        <v>228.8</v>
      </c>
      <c r="P25" s="43">
        <f>AVERAGE(P20:P24)</f>
        <v>1</v>
      </c>
      <c r="Q25" s="44"/>
    </row>
    <row r="26" spans="1:17" ht="16.5" x14ac:dyDescent="0.45">
      <c r="A26" s="35" t="s">
        <v>20</v>
      </c>
      <c r="B26" s="26" t="s">
        <v>20</v>
      </c>
      <c r="C26" s="16" t="s">
        <v>21</v>
      </c>
      <c r="D26" s="15" t="s">
        <v>37</v>
      </c>
      <c r="E26" s="15" t="s">
        <v>38</v>
      </c>
      <c r="F26" s="52" t="s">
        <v>51</v>
      </c>
      <c r="G26" s="7">
        <v>1</v>
      </c>
      <c r="H26" s="8">
        <v>1</v>
      </c>
      <c r="I26" s="85">
        <f t="shared" si="0"/>
        <v>1</v>
      </c>
      <c r="J26" s="7">
        <v>650</v>
      </c>
      <c r="K26" s="8">
        <v>248</v>
      </c>
      <c r="L26" s="87">
        <f t="shared" si="1"/>
        <v>0.38153846153846155</v>
      </c>
      <c r="M26" s="8">
        <f t="shared" si="5"/>
        <v>402</v>
      </c>
      <c r="N26" s="10">
        <f t="shared" si="6"/>
        <v>16.079999999999998</v>
      </c>
      <c r="O26" s="86">
        <f t="shared" ref="O26:O29" si="9">K26/H26</f>
        <v>248</v>
      </c>
      <c r="P26" s="10">
        <v>1</v>
      </c>
      <c r="Q26" s="34"/>
    </row>
    <row r="27" spans="1:17" ht="16.5" x14ac:dyDescent="0.45">
      <c r="A27" s="35" t="s">
        <v>20</v>
      </c>
      <c r="B27" s="26" t="s">
        <v>20</v>
      </c>
      <c r="C27" s="16" t="s">
        <v>21</v>
      </c>
      <c r="D27" s="16" t="s">
        <v>37</v>
      </c>
      <c r="E27" s="16" t="s">
        <v>38</v>
      </c>
      <c r="F27" s="18" t="s">
        <v>52</v>
      </c>
      <c r="G27" s="11">
        <v>1</v>
      </c>
      <c r="H27" s="12">
        <v>1</v>
      </c>
      <c r="I27" s="70">
        <f t="shared" si="0"/>
        <v>1</v>
      </c>
      <c r="J27" s="11">
        <v>600</v>
      </c>
      <c r="K27" s="12">
        <v>165</v>
      </c>
      <c r="L27" s="71">
        <f t="shared" si="1"/>
        <v>0.27500000000000002</v>
      </c>
      <c r="M27" s="12">
        <f t="shared" si="5"/>
        <v>435</v>
      </c>
      <c r="N27" s="14">
        <f t="shared" si="6"/>
        <v>17.399999999999999</v>
      </c>
      <c r="O27" s="72">
        <f t="shared" si="9"/>
        <v>165</v>
      </c>
      <c r="P27" s="14">
        <v>1</v>
      </c>
      <c r="Q27" s="34"/>
    </row>
    <row r="28" spans="1:17" ht="16.5" x14ac:dyDescent="0.45">
      <c r="A28" s="35" t="s">
        <v>20</v>
      </c>
      <c r="B28" s="26" t="s">
        <v>20</v>
      </c>
      <c r="C28" s="16" t="s">
        <v>21</v>
      </c>
      <c r="D28" s="16" t="s">
        <v>37</v>
      </c>
      <c r="E28" s="16" t="s">
        <v>38</v>
      </c>
      <c r="F28" s="18" t="s">
        <v>53</v>
      </c>
      <c r="G28" s="11">
        <v>1</v>
      </c>
      <c r="H28" s="12">
        <v>1</v>
      </c>
      <c r="I28" s="70">
        <f t="shared" si="0"/>
        <v>1</v>
      </c>
      <c r="J28" s="11">
        <v>600</v>
      </c>
      <c r="K28" s="12">
        <v>198</v>
      </c>
      <c r="L28" s="71">
        <f t="shared" si="1"/>
        <v>0.33</v>
      </c>
      <c r="M28" s="12">
        <f t="shared" si="5"/>
        <v>402</v>
      </c>
      <c r="N28" s="14">
        <f t="shared" si="6"/>
        <v>16.079999999999998</v>
      </c>
      <c r="O28" s="72">
        <f t="shared" si="9"/>
        <v>198</v>
      </c>
      <c r="P28" s="14">
        <v>1</v>
      </c>
      <c r="Q28" s="34"/>
    </row>
    <row r="29" spans="1:17" ht="17" thickBot="1" x14ac:dyDescent="0.5">
      <c r="A29" s="35" t="s">
        <v>20</v>
      </c>
      <c r="B29" s="26" t="s">
        <v>20</v>
      </c>
      <c r="C29" s="16" t="s">
        <v>21</v>
      </c>
      <c r="D29" s="19" t="s">
        <v>37</v>
      </c>
      <c r="E29" s="19" t="s">
        <v>38</v>
      </c>
      <c r="F29" s="53" t="s">
        <v>28</v>
      </c>
      <c r="G29" s="36">
        <v>1</v>
      </c>
      <c r="H29" s="37">
        <v>1</v>
      </c>
      <c r="I29" s="73">
        <f t="shared" si="0"/>
        <v>1</v>
      </c>
      <c r="J29" s="74">
        <v>650</v>
      </c>
      <c r="K29" s="75">
        <v>171</v>
      </c>
      <c r="L29" s="76">
        <f t="shared" si="1"/>
        <v>0.2630769230769231</v>
      </c>
      <c r="M29" s="75">
        <f t="shared" si="5"/>
        <v>479</v>
      </c>
      <c r="N29" s="77">
        <f t="shared" si="6"/>
        <v>19.16</v>
      </c>
      <c r="O29" s="78">
        <f t="shared" si="9"/>
        <v>171</v>
      </c>
      <c r="P29" s="39">
        <v>1</v>
      </c>
      <c r="Q29" s="34"/>
    </row>
    <row r="30" spans="1:17" ht="15" thickBot="1" x14ac:dyDescent="0.4">
      <c r="A30" s="35" t="s">
        <v>20</v>
      </c>
      <c r="B30" s="54" t="s">
        <v>20</v>
      </c>
      <c r="C30" s="55" t="s">
        <v>21</v>
      </c>
      <c r="D30" s="96" t="s">
        <v>18</v>
      </c>
      <c r="E30" s="97"/>
      <c r="F30" s="98"/>
      <c r="G30" s="40">
        <f>SUM(G26:G29)</f>
        <v>4</v>
      </c>
      <c r="H30" s="41">
        <f t="shared" ref="H30:K30" si="10">SUM(H26:H29)</f>
        <v>4</v>
      </c>
      <c r="I30" s="79">
        <f t="shared" si="0"/>
        <v>1</v>
      </c>
      <c r="J30" s="80">
        <f t="shared" si="10"/>
        <v>2500</v>
      </c>
      <c r="K30" s="81">
        <f t="shared" si="10"/>
        <v>782</v>
      </c>
      <c r="L30" s="82">
        <f>K30/J30</f>
        <v>0.31280000000000002</v>
      </c>
      <c r="M30" s="81">
        <f t="shared" si="5"/>
        <v>1718</v>
      </c>
      <c r="N30" s="83">
        <f t="shared" si="6"/>
        <v>68.72</v>
      </c>
      <c r="O30" s="84">
        <f>K30/H30</f>
        <v>195.5</v>
      </c>
      <c r="P30" s="43">
        <f>AVERAGE(P26:P29)</f>
        <v>1</v>
      </c>
      <c r="Q30" s="44"/>
    </row>
    <row r="31" spans="1:17" ht="15" thickBot="1" x14ac:dyDescent="0.4">
      <c r="A31" s="45" t="s">
        <v>20</v>
      </c>
      <c r="B31" s="56" t="s">
        <v>39</v>
      </c>
      <c r="C31" s="57"/>
      <c r="D31" s="57"/>
      <c r="E31" s="57"/>
      <c r="F31" s="57"/>
      <c r="G31" s="20">
        <f>+G30+G25+G19</f>
        <v>5009</v>
      </c>
      <c r="H31" s="21">
        <f t="shared" ref="H31:K31" si="11">+H30+H25+H19</f>
        <v>105</v>
      </c>
      <c r="I31" s="88">
        <f t="shared" si="0"/>
        <v>2.0962267917748054E-2</v>
      </c>
      <c r="J31" s="89">
        <f t="shared" si="11"/>
        <v>15000</v>
      </c>
      <c r="K31" s="90">
        <f t="shared" si="11"/>
        <v>2147.3000000000002</v>
      </c>
      <c r="L31" s="91">
        <f>K31/J31</f>
        <v>0.14315333333333335</v>
      </c>
      <c r="M31" s="90">
        <f t="shared" si="5"/>
        <v>12852.7</v>
      </c>
      <c r="N31" s="92">
        <f t="shared" si="6"/>
        <v>514.10800000000006</v>
      </c>
      <c r="O31" s="93">
        <f>K31/H31</f>
        <v>20.450476190476191</v>
      </c>
      <c r="P31" s="23" t="e">
        <f>AVERAGE(P30,P19,P25)</f>
        <v>#DIV/0!</v>
      </c>
      <c r="Q31" s="34"/>
    </row>
  </sheetData>
  <mergeCells count="6">
    <mergeCell ref="D19:F19"/>
    <mergeCell ref="D25:F25"/>
    <mergeCell ref="D30:F30"/>
    <mergeCell ref="O2:P2"/>
    <mergeCell ref="G2:I2"/>
    <mergeCell ref="J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2026-07-03T07:37:23Z</dcterms:modified>
</cp:coreProperties>
</file>