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1B153E85-F30E-4DB1-8DE9-F57D8276DA7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5" i="1" l="1"/>
  <c r="R6" i="1"/>
  <c r="R7" i="1"/>
  <c r="R8" i="1"/>
  <c r="R9" i="1"/>
  <c r="R10" i="1"/>
  <c r="R11" i="1"/>
  <c r="R12" i="1"/>
  <c r="O5" i="1"/>
  <c r="O6" i="1"/>
  <c r="O7" i="1"/>
  <c r="O8" i="1"/>
  <c r="O9" i="1"/>
  <c r="O10" i="1"/>
  <c r="O11" i="1"/>
  <c r="O12" i="1"/>
  <c r="R4" i="1"/>
  <c r="O4" i="1"/>
  <c r="K11" i="2" l="1"/>
  <c r="H11" i="2"/>
  <c r="K10" i="2"/>
  <c r="K8" i="2"/>
  <c r="K7" i="2"/>
  <c r="K6" i="2"/>
  <c r="K5" i="2"/>
  <c r="K4" i="2"/>
  <c r="H10" i="2"/>
  <c r="H8" i="2"/>
  <c r="H7" i="2"/>
  <c r="H5" i="2"/>
  <c r="H4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J19" i="2"/>
  <c r="G19" i="2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M25" i="2" s="1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K19" i="2"/>
  <c r="H19" i="2"/>
  <c r="M18" i="2"/>
  <c r="M17" i="2"/>
  <c r="M16" i="2"/>
  <c r="M15" i="2"/>
  <c r="M14" i="2"/>
  <c r="M13" i="2"/>
  <c r="O12" i="2"/>
  <c r="M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R19" i="1" l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P12" i="2"/>
  <c r="P10" i="2"/>
  <c r="P8" i="2"/>
  <c r="P5" i="2"/>
  <c r="N18" i="2"/>
  <c r="N26" i="2"/>
  <c r="N28" i="2"/>
  <c r="N30" i="2"/>
  <c r="O30" i="2"/>
  <c r="P6" i="2"/>
  <c r="P9" i="2"/>
  <c r="G31" i="2"/>
  <c r="M19" i="2"/>
  <c r="N19" i="2" s="1"/>
  <c r="N13" i="2"/>
  <c r="N4" i="2"/>
  <c r="N6" i="2"/>
  <c r="N7" i="2"/>
  <c r="N9" i="2"/>
  <c r="N11" i="2"/>
  <c r="I30" i="2"/>
  <c r="I25" i="2"/>
  <c r="N14" i="2"/>
  <c r="N23" i="2"/>
  <c r="O19" i="2"/>
  <c r="L25" i="2"/>
  <c r="N25" i="2"/>
  <c r="O25" i="2"/>
  <c r="N27" i="2"/>
  <c r="N29" i="2"/>
  <c r="P11" i="2"/>
  <c r="I19" i="2"/>
  <c r="N16" i="2"/>
  <c r="N21" i="2"/>
  <c r="N10" i="2"/>
  <c r="P7" i="2"/>
  <c r="N17" i="2"/>
  <c r="N20" i="2"/>
  <c r="N22" i="2"/>
  <c r="H31" i="2"/>
  <c r="L19" i="2"/>
  <c r="L30" i="2"/>
  <c r="J31" i="2"/>
  <c r="K31" i="2"/>
  <c r="N5" i="2"/>
  <c r="N8" i="2"/>
  <c r="N12" i="2"/>
  <c r="N15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<sst xmlns="http://schemas.openxmlformats.org/spreadsheetml/2006/main" count="369" uniqueCount="68">
  <si>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</si>
  <si>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</si>
  <si>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</si>
  <si>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</si>
  <si>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</si>
  <si>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</si>
  <si>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</si>
  <si>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</si>
  <si>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</si>
  <si>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</si>
  <si>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</si>
  <si>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</si>
  <si>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</si>
  <si>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</si>
  <si>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</si>
  <si>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</si>
  <si>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</si>
  <si>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</si>
  <si>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</si>
  <si>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</si>
  <si>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</si>
  <si>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</si>
  <si>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</si>
  <si>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</si>
  <si>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</si>
  <si>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</si>
  <si>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</si>
  <si>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</si>
  <si>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</si>
  <si>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</si>
  <si>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</si>
  <si>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</si>
  <si>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</si>
  <si>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</si>
  <si>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</si>
  <si>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</si>
  <si>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</si>
  <si>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</si>
  <si>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</si>
  <si>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</si>
  <si>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</si>
  <si>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</si>
  <si>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</si>
  <si>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</si>
  <si>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</si>
  <si>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</si>
  <si>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</si>
  <si>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</si>
  <si>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</si>
  <si>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</si>
  <si>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</si>
  <si>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</si>
  <si>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</si>
  <si>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</si>
  <si>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</si>
  <si>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</si>
  <si>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</si>
  <si>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</si>
  <si>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</si>
  <si>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</si>
  <si>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</si>
  <si>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</si>
  <si>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</si>
  <si>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</si>
  <si>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</si>
  <si>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>Vacant (SD)</t>
  </si>
  <si>
    <t xml:space="preserve">Qasim Khan </t>
  </si>
  <si>
    <t>Over Load On Saleman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</si>
</sst>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0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tabSelected="1" topLeftCell="F1" workbookViewId="0">
      <selection activeCell="Y10" sqref="Y10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2.1796875" bestFit="1" customWidth="1"/>
    <col min="7" max="7" width="5.453125" style="24" bestFit="1" customWidth="1"/>
    <col min="8" max="8" width="7.7265625" bestFit="1" customWidth="1"/>
    <col min="9" max="9" width="5.54296875" customWidth="1"/>
    <col min="10" max="10" width="8.1796875" bestFit="1" customWidth="1"/>
    <col min="11" max="11" width="8.81640625" bestFit="1" customWidth="1"/>
    <col min="12" max="12" width="5.54296875" bestFit="1" customWidth="1"/>
    <col min="13" max="14" width="5.26953125" customWidth="1"/>
    <col min="15" max="15" width="7.7265625" bestFit="1" customWidth="1"/>
    <col min="16" max="16" width="9.453125" customWidth="1"/>
    <col min="17" max="17" width="5.54296875" bestFit="1" customWidth="1"/>
    <col min="18" max="18" width="7.7265625" bestFit="1" customWidth="1"/>
    <col min="19" max="19" width="9.7265625" customWidth="1"/>
    <col min="20" max="20" width="5.54296875" bestFit="1" customWidth="1"/>
    <col min="21" max="21" width="5.7265625" customWidth="1"/>
    <col min="22" max="22" width="5.453125" bestFit="1" customWidth="1"/>
    <col min="23" max="23" width="20.453125" customWidth="1"/>
  </cols>
  <sheetData>
    <row r="1" spans="1:23" ht="15" thickBot="1" x14ac:dyDescent="0.4">
      <c r="G1" s="99" t="s">
        <v>0</v>
      </c>
      <c r="H1" s="100"/>
      <c r="I1" s="100"/>
      <c r="J1" s="100"/>
      <c r="K1" s="100"/>
      <c r="L1" s="100"/>
      <c r="M1" s="100"/>
      <c r="N1" s="101"/>
      <c r="O1" s="102" t="s">
        <v>1</v>
      </c>
      <c r="P1" s="103"/>
      <c r="Q1" s="103"/>
      <c r="R1" s="103"/>
      <c r="S1" s="103"/>
      <c r="T1" s="103"/>
      <c r="U1" s="103"/>
      <c r="V1" s="104"/>
    </row>
    <row r="2" spans="1:23" ht="15" thickBot="1" x14ac:dyDescent="0.4">
      <c r="F2" s="94">
        <v>46206</v>
      </c>
      <c r="G2" s="105" t="s">
        <v>2</v>
      </c>
      <c r="H2" s="106"/>
      <c r="I2" s="107"/>
      <c r="J2" s="106" t="s">
        <v>3</v>
      </c>
      <c r="K2" s="106"/>
      <c r="L2" s="107"/>
      <c r="M2" s="1"/>
      <c r="N2" s="2"/>
      <c r="O2" s="105" t="s">
        <v>2</v>
      </c>
      <c r="P2" s="106"/>
      <c r="Q2" s="107"/>
      <c r="R2" s="106" t="s">
        <v>3</v>
      </c>
      <c r="S2" s="106"/>
      <c r="T2" s="107"/>
      <c r="U2" s="1"/>
      <c r="V2" s="2"/>
    </row>
    <row r="3" spans="1:23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3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12.25</v>
      </c>
      <c r="L4" s="32">
        <f t="shared" ref="L4:L12" si="1">K4/J4</f>
        <v>0.30625000000000002</v>
      </c>
      <c r="M4" s="30">
        <f t="shared" ref="M4:N12" si="2">K4/H4</f>
        <v>1.3611111111111112</v>
      </c>
      <c r="N4" s="33">
        <f t="shared" si="2"/>
        <v>1.7013888888888891</v>
      </c>
      <c r="O4" s="30">
        <f>H4</f>
        <v>9</v>
      </c>
      <c r="P4" s="31">
        <v>9</v>
      </c>
      <c r="Q4" s="32">
        <f t="shared" ref="Q4:Q12" si="3">P4/O4</f>
        <v>1</v>
      </c>
      <c r="R4" s="30">
        <f>K4</f>
        <v>12.25</v>
      </c>
      <c r="S4" s="31">
        <v>12.25</v>
      </c>
      <c r="T4" s="32">
        <f t="shared" ref="T4:T12" si="4">S4/R4</f>
        <v>1</v>
      </c>
      <c r="U4" s="30">
        <f t="shared" ref="U4:V12" si="5">S4/P4</f>
        <v>1.3611111111111112</v>
      </c>
      <c r="V4" s="33">
        <f t="shared" si="5"/>
        <v>1</v>
      </c>
      <c r="W4" s="34"/>
    </row>
    <row r="5" spans="1:23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7</v>
      </c>
      <c r="I5" s="13">
        <f t="shared" si="0"/>
        <v>0.14000000000000001</v>
      </c>
      <c r="J5" s="30">
        <v>30</v>
      </c>
      <c r="K5" s="12">
        <v>5.55</v>
      </c>
      <c r="L5" s="13">
        <f t="shared" si="1"/>
        <v>0.185</v>
      </c>
      <c r="M5" s="11">
        <f t="shared" si="2"/>
        <v>0.79285714285714282</v>
      </c>
      <c r="N5" s="14">
        <f t="shared" si="2"/>
        <v>1.3214285714285714</v>
      </c>
      <c r="O5" s="30">
        <f t="shared" ref="O5:O12" si="6">H5</f>
        <v>7</v>
      </c>
      <c r="P5" s="12">
        <v>7</v>
      </c>
      <c r="Q5" s="13">
        <f t="shared" si="3"/>
        <v>1</v>
      </c>
      <c r="R5" s="30">
        <f t="shared" ref="R5:R12" si="7">K5</f>
        <v>5.55</v>
      </c>
      <c r="S5" s="12">
        <v>5.07</v>
      </c>
      <c r="T5" s="13">
        <f t="shared" si="4"/>
        <v>0.91351351351351362</v>
      </c>
      <c r="U5" s="11">
        <f t="shared" si="5"/>
        <v>0.72428571428571431</v>
      </c>
      <c r="V5" s="14">
        <f t="shared" si="5"/>
        <v>0.91351351351351362</v>
      </c>
      <c r="W5" s="34"/>
    </row>
    <row r="6" spans="1:23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4</v>
      </c>
      <c r="I6" s="13">
        <f t="shared" si="0"/>
        <v>0.08</v>
      </c>
      <c r="J6" s="30">
        <v>25</v>
      </c>
      <c r="K6" s="12">
        <v>13.35</v>
      </c>
      <c r="L6" s="13">
        <f t="shared" si="1"/>
        <v>0.53400000000000003</v>
      </c>
      <c r="M6" s="11">
        <f t="shared" si="2"/>
        <v>3.3374999999999999</v>
      </c>
      <c r="N6" s="14">
        <f t="shared" si="2"/>
        <v>6.6749999999999998</v>
      </c>
      <c r="O6" s="30">
        <f t="shared" si="6"/>
        <v>4</v>
      </c>
      <c r="P6" s="12">
        <v>1</v>
      </c>
      <c r="Q6" s="13">
        <f t="shared" si="3"/>
        <v>0.25</v>
      </c>
      <c r="R6" s="30">
        <f t="shared" si="7"/>
        <v>13.35</v>
      </c>
      <c r="S6" s="12">
        <v>3</v>
      </c>
      <c r="T6" s="13">
        <f t="shared" si="4"/>
        <v>0.2247191011235955</v>
      </c>
      <c r="U6" s="11">
        <f t="shared" si="5"/>
        <v>3</v>
      </c>
      <c r="V6" s="14">
        <f t="shared" si="5"/>
        <v>0.898876404494382</v>
      </c>
      <c r="W6" s="34"/>
    </row>
    <row r="7" spans="1:23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>
        <v>7</v>
      </c>
      <c r="I7" s="13">
        <f t="shared" si="0"/>
        <v>0.14000000000000001</v>
      </c>
      <c r="J7" s="30">
        <v>30</v>
      </c>
      <c r="K7" s="12">
        <v>7.8</v>
      </c>
      <c r="L7" s="13">
        <f t="shared" si="1"/>
        <v>0.26</v>
      </c>
      <c r="M7" s="11">
        <f t="shared" si="2"/>
        <v>1.1142857142857143</v>
      </c>
      <c r="N7" s="14">
        <f t="shared" si="2"/>
        <v>1.857142857142857</v>
      </c>
      <c r="O7" s="30">
        <f t="shared" si="6"/>
        <v>7</v>
      </c>
      <c r="P7" s="12">
        <v>0</v>
      </c>
      <c r="Q7" s="13">
        <f t="shared" si="3"/>
        <v>0</v>
      </c>
      <c r="R7" s="30">
        <f t="shared" si="7"/>
        <v>7.8</v>
      </c>
      <c r="S7" s="12">
        <v>0</v>
      </c>
      <c r="T7" s="13">
        <f t="shared" si="4"/>
        <v>0</v>
      </c>
      <c r="U7" s="11" t="e">
        <f t="shared" si="5"/>
        <v>#DIV/0!</v>
      </c>
      <c r="V7" s="14" t="e">
        <f t="shared" si="5"/>
        <v>#DIV/0!</v>
      </c>
      <c r="W7" s="34" t="s">
        <v>67</v>
      </c>
    </row>
    <row r="8" spans="1:23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7</v>
      </c>
      <c r="I8" s="13">
        <f t="shared" si="0"/>
        <v>0.14000000000000001</v>
      </c>
      <c r="J8" s="30">
        <v>20</v>
      </c>
      <c r="K8" s="12">
        <v>26.3</v>
      </c>
      <c r="L8" s="13">
        <f t="shared" si="1"/>
        <v>1.3149999999999999</v>
      </c>
      <c r="M8" s="11">
        <f t="shared" si="2"/>
        <v>3.7571428571428571</v>
      </c>
      <c r="N8" s="14">
        <f t="shared" si="2"/>
        <v>9.3928571428571423</v>
      </c>
      <c r="O8" s="30">
        <f t="shared" si="6"/>
        <v>7</v>
      </c>
      <c r="P8" s="12">
        <v>0</v>
      </c>
      <c r="Q8" s="13">
        <f t="shared" si="3"/>
        <v>0</v>
      </c>
      <c r="R8" s="30">
        <f t="shared" si="7"/>
        <v>26.3</v>
      </c>
      <c r="S8" s="12">
        <v>0</v>
      </c>
      <c r="T8" s="13">
        <f t="shared" si="4"/>
        <v>0</v>
      </c>
      <c r="U8" s="11" t="e">
        <f t="shared" si="5"/>
        <v>#DIV/0!</v>
      </c>
      <c r="V8" s="14" t="e">
        <f t="shared" si="5"/>
        <v>#DIV/0!</v>
      </c>
      <c r="W8" s="34" t="s">
        <v>67</v>
      </c>
    </row>
    <row r="9" spans="1:23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>
        <f t="shared" si="6"/>
        <v>0</v>
      </c>
      <c r="P9" s="12"/>
      <c r="Q9" s="13" t="e">
        <f t="shared" si="3"/>
        <v>#DIV/0!</v>
      </c>
      <c r="R9" s="30">
        <f t="shared" si="7"/>
        <v>0</v>
      </c>
      <c r="S9" s="12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3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4</v>
      </c>
      <c r="I10" s="13">
        <f t="shared" si="0"/>
        <v>0.16</v>
      </c>
      <c r="J10" s="30">
        <v>0</v>
      </c>
      <c r="K10" s="12">
        <v>70.349999999999994</v>
      </c>
      <c r="L10" s="13" t="e">
        <f t="shared" si="1"/>
        <v>#DIV/0!</v>
      </c>
      <c r="M10" s="11">
        <f t="shared" si="2"/>
        <v>17.587499999999999</v>
      </c>
      <c r="N10" s="14" t="e">
        <f t="shared" si="2"/>
        <v>#DIV/0!</v>
      </c>
      <c r="O10" s="30">
        <f t="shared" si="6"/>
        <v>4</v>
      </c>
      <c r="P10" s="12">
        <v>3</v>
      </c>
      <c r="Q10" s="13">
        <f t="shared" si="3"/>
        <v>0.75</v>
      </c>
      <c r="R10" s="30">
        <f t="shared" si="7"/>
        <v>70.349999999999994</v>
      </c>
      <c r="S10" s="12">
        <v>30.75</v>
      </c>
      <c r="T10" s="13">
        <f t="shared" si="4"/>
        <v>0.43710021321961623</v>
      </c>
      <c r="U10" s="11">
        <f t="shared" si="5"/>
        <v>10.25</v>
      </c>
      <c r="V10" s="14">
        <f t="shared" si="5"/>
        <v>0.5828002842928216</v>
      </c>
      <c r="W10" s="34"/>
    </row>
    <row r="11" spans="1:23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>
        <f t="shared" si="6"/>
        <v>0</v>
      </c>
      <c r="P11" s="12"/>
      <c r="Q11" s="13" t="e">
        <f t="shared" si="3"/>
        <v>#DIV/0!</v>
      </c>
      <c r="R11" s="30">
        <f t="shared" si="7"/>
        <v>0</v>
      </c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</row>
    <row r="12" spans="1:23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66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>
        <f t="shared" si="6"/>
        <v>0</v>
      </c>
      <c r="P12" s="12"/>
      <c r="Q12" s="13" t="e">
        <f t="shared" si="3"/>
        <v>#DIV/0!</v>
      </c>
      <c r="R12" s="30">
        <f t="shared" si="7"/>
        <v>0</v>
      </c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</row>
    <row r="13" spans="1:23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</row>
    <row r="14" spans="1:23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</row>
    <row r="15" spans="1:23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</row>
    <row r="16" spans="1:23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</row>
    <row r="17" spans="1:23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</row>
    <row r="18" spans="1:23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</row>
    <row r="19" spans="1:23" ht="15" thickBot="1" x14ac:dyDescent="0.4">
      <c r="A19" s="35" t="s">
        <v>20</v>
      </c>
      <c r="B19" s="26" t="s">
        <v>20</v>
      </c>
      <c r="C19" s="51" t="s">
        <v>21</v>
      </c>
      <c r="D19" s="96" t="s">
        <v>18</v>
      </c>
      <c r="E19" s="97"/>
      <c r="F19" s="98"/>
      <c r="G19" s="40">
        <f>SUM(G4:G18)</f>
        <v>375</v>
      </c>
      <c r="H19" s="41">
        <f>SUM(H4:H18)</f>
        <v>38</v>
      </c>
      <c r="I19" s="42">
        <f t="shared" si="0"/>
        <v>0.10133333333333333</v>
      </c>
      <c r="J19" s="40">
        <f>SUM(J4:J18)</f>
        <v>385</v>
      </c>
      <c r="K19" s="41">
        <f>SUM(K4:K18)</f>
        <v>135.6</v>
      </c>
      <c r="L19" s="42">
        <f t="shared" ref="L19" si="8">K19/J19</f>
        <v>0.35220779220779219</v>
      </c>
      <c r="M19" s="40">
        <f>K19/H19</f>
        <v>3.5684210526315789</v>
      </c>
      <c r="N19" s="43" t="e">
        <f>AVERAGE(N4:N18)</f>
        <v>#DIV/0!</v>
      </c>
      <c r="O19" s="40">
        <f>SUM(O4:O18)</f>
        <v>38</v>
      </c>
      <c r="P19" s="41">
        <f>SUM(P4:P18)</f>
        <v>20</v>
      </c>
      <c r="Q19" s="42">
        <f t="shared" ref="Q19" si="9">P19/O19</f>
        <v>0.52631578947368418</v>
      </c>
      <c r="R19" s="40">
        <f>SUM(R4:R18)</f>
        <v>135.6</v>
      </c>
      <c r="S19" s="41">
        <f>SUM(S4:S18)</f>
        <v>51.07</v>
      </c>
      <c r="T19" s="42">
        <f t="shared" ref="T19" si="10">S19/R19</f>
        <v>0.37662241887905606</v>
      </c>
      <c r="U19" s="40">
        <f>S19/P19</f>
        <v>2.5535000000000001</v>
      </c>
      <c r="V19" s="43" t="e">
        <f>AVERAGE(V4:V18)</f>
        <v>#DIV/0!</v>
      </c>
      <c r="W19" s="44"/>
    </row>
    <row r="20" spans="1:23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1</v>
      </c>
      <c r="H20" s="8">
        <v>1</v>
      </c>
      <c r="I20" s="9">
        <f t="shared" si="0"/>
        <v>1</v>
      </c>
      <c r="J20" s="7">
        <v>1</v>
      </c>
      <c r="K20" s="8">
        <v>1</v>
      </c>
      <c r="L20" s="9">
        <f t="shared" ref="L20:L31" si="11">K20/J20</f>
        <v>1</v>
      </c>
      <c r="M20" s="7">
        <f t="shared" ref="M20:M24" si="12">K20/H20</f>
        <v>1</v>
      </c>
      <c r="N20" s="10">
        <v>1</v>
      </c>
      <c r="O20" s="7">
        <v>1</v>
      </c>
      <c r="P20" s="8">
        <v>1</v>
      </c>
      <c r="Q20" s="9">
        <f t="shared" ref="Q20:Q31" si="13">P20/O20</f>
        <v>1</v>
      </c>
      <c r="R20" s="7">
        <v>1</v>
      </c>
      <c r="S20" s="8">
        <v>1</v>
      </c>
      <c r="T20" s="9">
        <f t="shared" ref="T20:T31" si="14">S20/R20</f>
        <v>1</v>
      </c>
      <c r="U20" s="7">
        <f t="shared" ref="U20:U24" si="15">S20/P20</f>
        <v>1</v>
      </c>
      <c r="V20" s="10">
        <v>1</v>
      </c>
      <c r="W20" s="34"/>
    </row>
    <row r="21" spans="1:23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11">
        <v>1</v>
      </c>
      <c r="H21" s="12">
        <v>1</v>
      </c>
      <c r="I21" s="13">
        <f t="shared" si="0"/>
        <v>1</v>
      </c>
      <c r="J21" s="11">
        <v>1</v>
      </c>
      <c r="K21" s="12">
        <v>1</v>
      </c>
      <c r="L21" s="13">
        <f t="shared" si="11"/>
        <v>1</v>
      </c>
      <c r="M21" s="11">
        <f t="shared" si="12"/>
        <v>1</v>
      </c>
      <c r="N21" s="14">
        <v>1</v>
      </c>
      <c r="O21" s="11">
        <v>1</v>
      </c>
      <c r="P21" s="12">
        <v>1</v>
      </c>
      <c r="Q21" s="13">
        <f t="shared" si="13"/>
        <v>1</v>
      </c>
      <c r="R21" s="11">
        <v>1</v>
      </c>
      <c r="S21" s="12">
        <v>1</v>
      </c>
      <c r="T21" s="13">
        <f t="shared" si="14"/>
        <v>1</v>
      </c>
      <c r="U21" s="11">
        <f t="shared" si="15"/>
        <v>1</v>
      </c>
      <c r="V21" s="14">
        <v>1</v>
      </c>
      <c r="W21" s="34"/>
    </row>
    <row r="22" spans="1:23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11">
        <v>1</v>
      </c>
      <c r="H22" s="12">
        <v>1</v>
      </c>
      <c r="I22" s="13">
        <f t="shared" si="0"/>
        <v>1</v>
      </c>
      <c r="J22" s="11">
        <v>1</v>
      </c>
      <c r="K22" s="12">
        <v>1</v>
      </c>
      <c r="L22" s="13">
        <f t="shared" si="11"/>
        <v>1</v>
      </c>
      <c r="M22" s="11">
        <f t="shared" si="12"/>
        <v>1</v>
      </c>
      <c r="N22" s="14">
        <v>1</v>
      </c>
      <c r="O22" s="11">
        <v>1</v>
      </c>
      <c r="P22" s="12">
        <v>1</v>
      </c>
      <c r="Q22" s="13">
        <f t="shared" si="13"/>
        <v>1</v>
      </c>
      <c r="R22" s="11">
        <v>1</v>
      </c>
      <c r="S22" s="12">
        <v>1</v>
      </c>
      <c r="T22" s="13">
        <f t="shared" si="14"/>
        <v>1</v>
      </c>
      <c r="U22" s="11">
        <f t="shared" si="15"/>
        <v>1</v>
      </c>
      <c r="V22" s="14">
        <v>1</v>
      </c>
      <c r="W22" s="34"/>
    </row>
    <row r="23" spans="1:23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11">
        <v>1</v>
      </c>
      <c r="H23" s="12">
        <v>1</v>
      </c>
      <c r="I23" s="13">
        <f t="shared" si="0"/>
        <v>1</v>
      </c>
      <c r="J23" s="11">
        <v>1</v>
      </c>
      <c r="K23" s="12">
        <v>1</v>
      </c>
      <c r="L23" s="13">
        <f t="shared" si="11"/>
        <v>1</v>
      </c>
      <c r="M23" s="11">
        <f t="shared" si="12"/>
        <v>1</v>
      </c>
      <c r="N23" s="14">
        <v>1</v>
      </c>
      <c r="O23" s="11">
        <v>1</v>
      </c>
      <c r="P23" s="12">
        <v>1</v>
      </c>
      <c r="Q23" s="13">
        <f t="shared" si="13"/>
        <v>1</v>
      </c>
      <c r="R23" s="11">
        <v>1</v>
      </c>
      <c r="S23" s="12">
        <v>1</v>
      </c>
      <c r="T23" s="13">
        <f t="shared" si="14"/>
        <v>1</v>
      </c>
      <c r="U23" s="11">
        <f t="shared" si="15"/>
        <v>1</v>
      </c>
      <c r="V23" s="14">
        <v>1</v>
      </c>
      <c r="W23" s="34"/>
    </row>
    <row r="24" spans="1:23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36">
        <v>1</v>
      </c>
      <c r="H24" s="37">
        <v>1</v>
      </c>
      <c r="I24" s="38">
        <f t="shared" si="0"/>
        <v>1</v>
      </c>
      <c r="J24" s="36">
        <v>1</v>
      </c>
      <c r="K24" s="37">
        <v>1</v>
      </c>
      <c r="L24" s="38">
        <f t="shared" si="11"/>
        <v>1</v>
      </c>
      <c r="M24" s="36">
        <f t="shared" si="12"/>
        <v>1</v>
      </c>
      <c r="N24" s="39">
        <v>1</v>
      </c>
      <c r="O24" s="36">
        <v>1</v>
      </c>
      <c r="P24" s="37">
        <v>1</v>
      </c>
      <c r="Q24" s="38">
        <f t="shared" si="13"/>
        <v>1</v>
      </c>
      <c r="R24" s="36">
        <v>1</v>
      </c>
      <c r="S24" s="37">
        <v>1</v>
      </c>
      <c r="T24" s="38">
        <f t="shared" si="14"/>
        <v>1</v>
      </c>
      <c r="U24" s="36">
        <f t="shared" si="15"/>
        <v>1</v>
      </c>
      <c r="V24" s="39">
        <v>1</v>
      </c>
      <c r="W24" s="34"/>
    </row>
    <row r="25" spans="1:23" ht="15" thickBot="1" x14ac:dyDescent="0.4">
      <c r="A25" s="35" t="s">
        <v>20</v>
      </c>
      <c r="B25" s="26" t="s">
        <v>20</v>
      </c>
      <c r="C25" s="51" t="s">
        <v>21</v>
      </c>
      <c r="D25" s="96" t="s">
        <v>18</v>
      </c>
      <c r="E25" s="97"/>
      <c r="F25" s="98"/>
      <c r="G25" s="40">
        <f>SUM(G20:G24)</f>
        <v>5</v>
      </c>
      <c r="H25" s="41">
        <f t="shared" ref="H25" si="16">SUM(H20:H24)</f>
        <v>5</v>
      </c>
      <c r="I25" s="42">
        <f t="shared" si="0"/>
        <v>1</v>
      </c>
      <c r="J25" s="40">
        <f>SUM(J20:J24)</f>
        <v>5</v>
      </c>
      <c r="K25" s="41">
        <f t="shared" ref="K25" si="17">SUM(K20:K24)</f>
        <v>5</v>
      </c>
      <c r="L25" s="42">
        <f t="shared" si="11"/>
        <v>1</v>
      </c>
      <c r="M25" s="40">
        <f>K25/H25</f>
        <v>1</v>
      </c>
      <c r="N25" s="43">
        <f>AVERAGE(N20:N24)</f>
        <v>1</v>
      </c>
      <c r="O25" s="40">
        <f>SUM(O20:O24)</f>
        <v>5</v>
      </c>
      <c r="P25" s="41">
        <f t="shared" ref="P25" si="18">SUM(P20:P24)</f>
        <v>5</v>
      </c>
      <c r="Q25" s="42">
        <f t="shared" si="13"/>
        <v>1</v>
      </c>
      <c r="R25" s="40">
        <f>SUM(R20:R24)</f>
        <v>5</v>
      </c>
      <c r="S25" s="41">
        <f t="shared" ref="S25" si="19">SUM(S20:S24)</f>
        <v>5</v>
      </c>
      <c r="T25" s="42">
        <f t="shared" si="14"/>
        <v>1</v>
      </c>
      <c r="U25" s="40">
        <f>S25/P25</f>
        <v>1</v>
      </c>
      <c r="V25" s="43">
        <f>AVERAGE(V20:V24)</f>
        <v>1</v>
      </c>
      <c r="W25" s="44"/>
    </row>
    <row r="26" spans="1:23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1</v>
      </c>
      <c r="H26" s="8">
        <v>1</v>
      </c>
      <c r="I26" s="9">
        <f t="shared" si="0"/>
        <v>1</v>
      </c>
      <c r="J26" s="7">
        <v>1</v>
      </c>
      <c r="K26" s="8">
        <v>1</v>
      </c>
      <c r="L26" s="9">
        <f t="shared" si="11"/>
        <v>1</v>
      </c>
      <c r="M26" s="7">
        <f t="shared" ref="M26:M29" si="20">K26/H26</f>
        <v>1</v>
      </c>
      <c r="N26" s="10">
        <v>1</v>
      </c>
      <c r="O26" s="7">
        <v>1</v>
      </c>
      <c r="P26" s="8">
        <v>1</v>
      </c>
      <c r="Q26" s="9">
        <f t="shared" si="13"/>
        <v>1</v>
      </c>
      <c r="R26" s="7">
        <v>1</v>
      </c>
      <c r="S26" s="8">
        <v>1</v>
      </c>
      <c r="T26" s="9">
        <f t="shared" si="14"/>
        <v>1</v>
      </c>
      <c r="U26" s="7">
        <f t="shared" ref="U26:U29" si="21">S26/P26</f>
        <v>1</v>
      </c>
      <c r="V26" s="10">
        <v>1</v>
      </c>
      <c r="W26" s="34"/>
    </row>
    <row r="27" spans="1:23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1</v>
      </c>
      <c r="H27" s="12">
        <v>1</v>
      </c>
      <c r="I27" s="13">
        <f t="shared" si="0"/>
        <v>1</v>
      </c>
      <c r="J27" s="11">
        <v>1</v>
      </c>
      <c r="K27" s="12">
        <v>1</v>
      </c>
      <c r="L27" s="13">
        <f t="shared" si="11"/>
        <v>1</v>
      </c>
      <c r="M27" s="11">
        <f t="shared" si="20"/>
        <v>1</v>
      </c>
      <c r="N27" s="14">
        <v>1</v>
      </c>
      <c r="O27" s="11">
        <v>1</v>
      </c>
      <c r="P27" s="12">
        <v>1</v>
      </c>
      <c r="Q27" s="13">
        <f t="shared" si="13"/>
        <v>1</v>
      </c>
      <c r="R27" s="11">
        <v>1</v>
      </c>
      <c r="S27" s="12">
        <v>1</v>
      </c>
      <c r="T27" s="13">
        <f t="shared" si="14"/>
        <v>1</v>
      </c>
      <c r="U27" s="11">
        <f t="shared" si="21"/>
        <v>1</v>
      </c>
      <c r="V27" s="14">
        <v>1</v>
      </c>
      <c r="W27" s="34"/>
    </row>
    <row r="28" spans="1:23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1</v>
      </c>
      <c r="H28" s="12">
        <v>1</v>
      </c>
      <c r="I28" s="13">
        <f t="shared" si="0"/>
        <v>1</v>
      </c>
      <c r="J28" s="11">
        <v>1</v>
      </c>
      <c r="K28" s="12">
        <v>1</v>
      </c>
      <c r="L28" s="13">
        <f t="shared" si="11"/>
        <v>1</v>
      </c>
      <c r="M28" s="11">
        <f t="shared" si="20"/>
        <v>1</v>
      </c>
      <c r="N28" s="14">
        <v>1</v>
      </c>
      <c r="O28" s="11">
        <v>1</v>
      </c>
      <c r="P28" s="12">
        <v>1</v>
      </c>
      <c r="Q28" s="13">
        <f t="shared" si="13"/>
        <v>1</v>
      </c>
      <c r="R28" s="11">
        <v>1</v>
      </c>
      <c r="S28" s="12">
        <v>1</v>
      </c>
      <c r="T28" s="13">
        <f t="shared" si="14"/>
        <v>1</v>
      </c>
      <c r="U28" s="11">
        <f t="shared" si="21"/>
        <v>1</v>
      </c>
      <c r="V28" s="14">
        <v>1</v>
      </c>
      <c r="W28" s="34"/>
    </row>
    <row r="29" spans="1:23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1</v>
      </c>
      <c r="H29" s="37">
        <v>1</v>
      </c>
      <c r="I29" s="38">
        <f t="shared" si="0"/>
        <v>1</v>
      </c>
      <c r="J29" s="36">
        <v>1</v>
      </c>
      <c r="K29" s="37">
        <v>1</v>
      </c>
      <c r="L29" s="38">
        <f t="shared" si="11"/>
        <v>1</v>
      </c>
      <c r="M29" s="36">
        <f t="shared" si="20"/>
        <v>1</v>
      </c>
      <c r="N29" s="39">
        <v>1</v>
      </c>
      <c r="O29" s="36">
        <v>1</v>
      </c>
      <c r="P29" s="37">
        <v>1</v>
      </c>
      <c r="Q29" s="38">
        <f t="shared" si="13"/>
        <v>1</v>
      </c>
      <c r="R29" s="36">
        <v>1</v>
      </c>
      <c r="S29" s="37">
        <v>1</v>
      </c>
      <c r="T29" s="38">
        <f t="shared" si="14"/>
        <v>1</v>
      </c>
      <c r="U29" s="36">
        <f t="shared" si="21"/>
        <v>1</v>
      </c>
      <c r="V29" s="39">
        <v>1</v>
      </c>
      <c r="W29" s="34"/>
    </row>
    <row r="30" spans="1:23" ht="15" thickBot="1" x14ac:dyDescent="0.4">
      <c r="A30" s="35" t="s">
        <v>20</v>
      </c>
      <c r="B30" s="54" t="s">
        <v>20</v>
      </c>
      <c r="C30" s="55" t="s">
        <v>21</v>
      </c>
      <c r="D30" s="96" t="s">
        <v>18</v>
      </c>
      <c r="E30" s="97"/>
      <c r="F30" s="98"/>
      <c r="G30" s="40">
        <f>SUM(G26:G29)</f>
        <v>4</v>
      </c>
      <c r="H30" s="41">
        <f t="shared" ref="H30" si="22">SUM(H26:H29)</f>
        <v>4</v>
      </c>
      <c r="I30" s="42">
        <f t="shared" si="0"/>
        <v>1</v>
      </c>
      <c r="J30" s="40">
        <f>SUM(J26:J29)</f>
        <v>4</v>
      </c>
      <c r="K30" s="41">
        <f t="shared" ref="K30" si="23">SUM(K26:K29)</f>
        <v>4</v>
      </c>
      <c r="L30" s="42">
        <f t="shared" si="11"/>
        <v>1</v>
      </c>
      <c r="M30" s="40">
        <f>K30/H30</f>
        <v>1</v>
      </c>
      <c r="N30" s="43">
        <f>AVERAGE(N26:N29)</f>
        <v>1</v>
      </c>
      <c r="O30" s="40">
        <f>SUM(O26:O29)</f>
        <v>4</v>
      </c>
      <c r="P30" s="41">
        <f t="shared" ref="P30" si="24">SUM(P26:P29)</f>
        <v>4</v>
      </c>
      <c r="Q30" s="42">
        <f t="shared" si="13"/>
        <v>1</v>
      </c>
      <c r="R30" s="40">
        <f>SUM(R26:R29)</f>
        <v>4</v>
      </c>
      <c r="S30" s="41">
        <f t="shared" ref="S30" si="25">SUM(S26:S29)</f>
        <v>4</v>
      </c>
      <c r="T30" s="42">
        <f t="shared" si="14"/>
        <v>1</v>
      </c>
      <c r="U30" s="40">
        <f>S30/P30</f>
        <v>1</v>
      </c>
      <c r="V30" s="43">
        <f>AVERAGE(V26:V29)</f>
        <v>1</v>
      </c>
      <c r="W30" s="44"/>
    </row>
    <row r="31" spans="1:23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384</v>
      </c>
      <c r="H31" s="21">
        <f t="shared" ref="H31" si="26">+H30+H25+H19</f>
        <v>47</v>
      </c>
      <c r="I31" s="22">
        <f t="shared" si="0"/>
        <v>0.12239583333333333</v>
      </c>
      <c r="J31" s="20">
        <f>+J30+J25+J19</f>
        <v>394</v>
      </c>
      <c r="K31" s="21">
        <f t="shared" ref="K31" si="27">+K30+K25+K19</f>
        <v>144.6</v>
      </c>
      <c r="L31" s="22">
        <f t="shared" si="11"/>
        <v>0.36700507614213196</v>
      </c>
      <c r="M31" s="20">
        <f>K31/H31</f>
        <v>3.076595744680851</v>
      </c>
      <c r="N31" s="23" t="e">
        <f>AVERAGE(N30,N19,N25)</f>
        <v>#DIV/0!</v>
      </c>
      <c r="O31" s="20">
        <f>+O30+O25+O19</f>
        <v>47</v>
      </c>
      <c r="P31" s="21">
        <f t="shared" ref="P31" si="28">+P30+P25+P19</f>
        <v>29</v>
      </c>
      <c r="Q31" s="22">
        <f t="shared" si="13"/>
        <v>0.61702127659574468</v>
      </c>
      <c r="R31" s="20">
        <f>+R30+R25+R19</f>
        <v>144.6</v>
      </c>
      <c r="S31" s="21">
        <f t="shared" ref="S31" si="29">+S30+S25+S19</f>
        <v>60.07</v>
      </c>
      <c r="T31" s="22">
        <f t="shared" si="14"/>
        <v>0.41542185338865839</v>
      </c>
      <c r="U31" s="20">
        <f>S31/P31</f>
        <v>2.0713793103448275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opLeftCell="C1" workbookViewId="0">
      <selection activeCell="K15" sqref="K15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2.1796875" bestFit="1" customWidth="1"/>
    <col min="7" max="7" width="6.26953125" style="24" customWidth="1"/>
    <col min="8" max="8" width="10.54296875" customWidth="1"/>
    <col min="9" max="9" width="5.54296875" customWidth="1"/>
    <col min="10" max="10" width="8.1796875" bestFit="1" customWidth="1"/>
    <col min="11" max="11" width="9.26953125" bestFit="1" customWidth="1"/>
    <col min="12" max="12" width="7.7265625" bestFit="1" customWidth="1"/>
    <col min="13" max="14" width="7.7265625" customWidth="1"/>
    <col min="15" max="15" width="5.26953125" customWidth="1"/>
    <col min="17" max="17" width="8.5429687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</v>
      </c>
      <c r="C2" s="63">
        <f>+B2/A2</f>
        <v>7.407407407407407E-2</v>
      </c>
      <c r="D2" s="62">
        <f>+A2-B2</f>
        <v>25</v>
      </c>
      <c r="F2" s="94">
        <v>46205</v>
      </c>
      <c r="G2" s="105" t="s">
        <v>40</v>
      </c>
      <c r="H2" s="106"/>
      <c r="I2" s="106"/>
      <c r="J2" s="102" t="s">
        <v>61</v>
      </c>
      <c r="K2" s="103"/>
      <c r="L2" s="103"/>
      <c r="M2" s="103"/>
      <c r="N2" s="104"/>
      <c r="O2" s="108" t="s">
        <v>41</v>
      </c>
      <c r="P2" s="109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</f>
        <v>14</v>
      </c>
      <c r="I4" s="68">
        <f t="shared" ref="I4:I31" si="0">H4/G4</f>
        <v>2.3333333333333334E-2</v>
      </c>
      <c r="J4" s="30">
        <v>550</v>
      </c>
      <c r="K4" s="8">
        <f>8.5+9</f>
        <v>17.5</v>
      </c>
      <c r="L4" s="87">
        <f t="shared" ref="L4:L29" si="1">K4/J4</f>
        <v>3.1818181818181815E-2</v>
      </c>
      <c r="M4" s="8">
        <f t="shared" ref="M4:M6" si="2">J4-K4</f>
        <v>532.5</v>
      </c>
      <c r="N4" s="10">
        <f t="shared" ref="N4:N6" si="3">M4/$D$2</f>
        <v>21.3</v>
      </c>
      <c r="O4" s="69">
        <f t="shared" ref="O4:P12" si="4">K4/H4</f>
        <v>1.25</v>
      </c>
      <c r="P4" s="33">
        <v>3</v>
      </c>
      <c r="Q4" s="34"/>
    </row>
    <row r="5" spans="1:17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600</v>
      </c>
      <c r="H5" s="12">
        <f>4+8</f>
        <v>12</v>
      </c>
      <c r="I5" s="70">
        <f t="shared" si="0"/>
        <v>0.02</v>
      </c>
      <c r="J5" s="11">
        <v>550</v>
      </c>
      <c r="K5" s="12">
        <f>6.6+9</f>
        <v>15.6</v>
      </c>
      <c r="L5" s="71">
        <f t="shared" si="1"/>
        <v>2.8363636363636362E-2</v>
      </c>
      <c r="M5" s="12">
        <f t="shared" si="2"/>
        <v>534.4</v>
      </c>
      <c r="N5" s="14">
        <f t="shared" si="3"/>
        <v>21.375999999999998</v>
      </c>
      <c r="O5" s="72">
        <f t="shared" si="4"/>
        <v>1.3</v>
      </c>
      <c r="P5" s="14">
        <f t="shared" si="4"/>
        <v>1.418181818181818</v>
      </c>
      <c r="Q5" s="34"/>
    </row>
    <row r="6" spans="1:17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11">
        <v>600</v>
      </c>
      <c r="H6" s="12">
        <v>9</v>
      </c>
      <c r="I6" s="70">
        <f t="shared" si="0"/>
        <v>1.4999999999999999E-2</v>
      </c>
      <c r="J6" s="11">
        <v>550</v>
      </c>
      <c r="K6" s="12">
        <f>11+0</f>
        <v>11</v>
      </c>
      <c r="L6" s="71">
        <f t="shared" si="1"/>
        <v>0.02</v>
      </c>
      <c r="M6" s="12">
        <f t="shared" si="2"/>
        <v>539</v>
      </c>
      <c r="N6" s="14">
        <f t="shared" si="3"/>
        <v>21.56</v>
      </c>
      <c r="O6" s="72">
        <f t="shared" si="4"/>
        <v>1.2222222222222223</v>
      </c>
      <c r="P6" s="14">
        <f t="shared" si="4"/>
        <v>1.3333333333333335</v>
      </c>
      <c r="Q6" s="34"/>
    </row>
    <row r="7" spans="1:17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11">
        <v>600</v>
      </c>
      <c r="H7" s="12">
        <f>5+13</f>
        <v>18</v>
      </c>
      <c r="I7" s="70">
        <f t="shared" si="0"/>
        <v>0.03</v>
      </c>
      <c r="J7" s="11">
        <v>550</v>
      </c>
      <c r="K7" s="12">
        <f>7.1+13</f>
        <v>20.100000000000001</v>
      </c>
      <c r="L7" s="71">
        <f t="shared" si="1"/>
        <v>3.6545454545454548E-2</v>
      </c>
      <c r="M7" s="12">
        <f t="shared" ref="M7:M31" si="5">J7-K7</f>
        <v>529.9</v>
      </c>
      <c r="N7" s="14">
        <f t="shared" ref="N7:N31" si="6">M7/$D$2</f>
        <v>21.195999999999998</v>
      </c>
      <c r="O7" s="72">
        <f t="shared" si="4"/>
        <v>1.1166666666666667</v>
      </c>
      <c r="P7" s="14">
        <f t="shared" si="4"/>
        <v>1.2181818181818183</v>
      </c>
      <c r="Q7" s="34"/>
    </row>
    <row r="8" spans="1:17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11">
        <v>600</v>
      </c>
      <c r="H8" s="12">
        <f>10+10</f>
        <v>20</v>
      </c>
      <c r="I8" s="70">
        <f t="shared" si="0"/>
        <v>3.3333333333333333E-2</v>
      </c>
      <c r="J8" s="11">
        <v>550</v>
      </c>
      <c r="K8" s="12">
        <f>14.1+13</f>
        <v>27.1</v>
      </c>
      <c r="L8" s="71">
        <f t="shared" si="1"/>
        <v>4.9272727272727274E-2</v>
      </c>
      <c r="M8" s="12">
        <f t="shared" si="5"/>
        <v>522.9</v>
      </c>
      <c r="N8" s="14">
        <f t="shared" si="6"/>
        <v>20.916</v>
      </c>
      <c r="O8" s="72">
        <f t="shared" si="4"/>
        <v>1.355</v>
      </c>
      <c r="P8" s="14">
        <f t="shared" si="4"/>
        <v>1.4781818181818183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11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22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</f>
        <v>11</v>
      </c>
      <c r="I10" s="70">
        <f t="shared" si="0"/>
        <v>5.5E-2</v>
      </c>
      <c r="J10" s="11">
        <v>5000</v>
      </c>
      <c r="K10" s="12">
        <f>70+42</f>
        <v>112</v>
      </c>
      <c r="L10" s="71">
        <f t="shared" si="1"/>
        <v>2.24E-2</v>
      </c>
      <c r="M10" s="12">
        <f t="shared" si="5"/>
        <v>4888</v>
      </c>
      <c r="N10" s="14">
        <f t="shared" si="6"/>
        <v>195.52</v>
      </c>
      <c r="O10" s="72">
        <f t="shared" si="4"/>
        <v>10.181818181818182</v>
      </c>
      <c r="P10" s="14">
        <f t="shared" si="4"/>
        <v>0.40727272727272729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750</v>
      </c>
      <c r="K11" s="12">
        <f>18+0</f>
        <v>18</v>
      </c>
      <c r="L11" s="71">
        <f t="shared" si="1"/>
        <v>2.4E-2</v>
      </c>
      <c r="M11" s="12">
        <f t="shared" si="5"/>
        <v>732</v>
      </c>
      <c r="N11" s="14">
        <f t="shared" si="6"/>
        <v>29.28</v>
      </c>
      <c r="O11" s="72">
        <f t="shared" si="4"/>
        <v>1.5</v>
      </c>
      <c r="P11" s="14">
        <f t="shared" si="4"/>
        <v>1.2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/>
      <c r="I12" s="70">
        <f t="shared" si="0"/>
        <v>0</v>
      </c>
      <c r="J12" s="11">
        <v>750</v>
      </c>
      <c r="K12" s="12"/>
      <c r="L12" s="71">
        <f t="shared" si="1"/>
        <v>0</v>
      </c>
      <c r="M12" s="12">
        <f t="shared" si="5"/>
        <v>750</v>
      </c>
      <c r="N12" s="14">
        <f t="shared" si="6"/>
        <v>30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70"/>
      <c r="J13" s="11">
        <v>100</v>
      </c>
      <c r="K13" s="12"/>
      <c r="L13" s="71"/>
      <c r="M13" s="12">
        <f t="shared" si="5"/>
        <v>100</v>
      </c>
      <c r="N13" s="14">
        <f t="shared" si="6"/>
        <v>4</v>
      </c>
      <c r="O13" s="72"/>
      <c r="P13" s="14"/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/>
      <c r="J14" s="11">
        <v>100</v>
      </c>
      <c r="K14" s="12"/>
      <c r="L14" s="71"/>
      <c r="M14" s="12">
        <f t="shared" si="5"/>
        <v>100</v>
      </c>
      <c r="N14" s="14">
        <f t="shared" si="6"/>
        <v>4</v>
      </c>
      <c r="O14" s="72"/>
      <c r="P14" s="14"/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70"/>
      <c r="J15" s="11"/>
      <c r="K15" s="12"/>
      <c r="L15" s="71"/>
      <c r="M15" s="12">
        <f t="shared" si="5"/>
        <v>0</v>
      </c>
      <c r="N15" s="14">
        <f t="shared" si="6"/>
        <v>0</v>
      </c>
      <c r="O15" s="72"/>
      <c r="P15" s="14"/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70"/>
      <c r="J16" s="11"/>
      <c r="K16" s="12"/>
      <c r="L16" s="71"/>
      <c r="M16" s="12">
        <f t="shared" si="5"/>
        <v>0</v>
      </c>
      <c r="N16" s="14">
        <f t="shared" si="6"/>
        <v>0</v>
      </c>
      <c r="O16" s="72"/>
      <c r="P16" s="14"/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6" t="s">
        <v>18</v>
      </c>
      <c r="E19" s="97"/>
      <c r="F19" s="98"/>
      <c r="G19" s="40">
        <f>SUM(G4:G14)</f>
        <v>5000</v>
      </c>
      <c r="H19" s="41">
        <f>SUM(H4:H12)</f>
        <v>96</v>
      </c>
      <c r="I19" s="79">
        <f t="shared" si="0"/>
        <v>1.9199999999999998E-2</v>
      </c>
      <c r="J19" s="80">
        <f>SUM(J4:J14)</f>
        <v>10000</v>
      </c>
      <c r="K19" s="81">
        <f>SUM(K4:K12)</f>
        <v>221.3</v>
      </c>
      <c r="L19" s="82">
        <f>K19/J19</f>
        <v>2.213E-2</v>
      </c>
      <c r="M19" s="81">
        <f t="shared" si="5"/>
        <v>9778.7000000000007</v>
      </c>
      <c r="N19" s="83">
        <f t="shared" si="6"/>
        <v>391.14800000000002</v>
      </c>
      <c r="O19" s="84">
        <f>K19/H19</f>
        <v>2.3052083333333333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1</v>
      </c>
      <c r="H20" s="8">
        <v>1</v>
      </c>
      <c r="I20" s="85">
        <f t="shared" si="0"/>
        <v>1</v>
      </c>
      <c r="J20" s="7">
        <v>500</v>
      </c>
      <c r="K20" s="8">
        <v>149</v>
      </c>
      <c r="L20" s="87">
        <f t="shared" si="1"/>
        <v>0.29799999999999999</v>
      </c>
      <c r="M20" s="8">
        <f t="shared" si="5"/>
        <v>351</v>
      </c>
      <c r="N20" s="10">
        <f t="shared" si="6"/>
        <v>14.04</v>
      </c>
      <c r="O20" s="86">
        <f t="shared" ref="O20:O24" si="7">K20/H20</f>
        <v>149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11">
        <v>1</v>
      </c>
      <c r="H21" s="12">
        <v>1</v>
      </c>
      <c r="I21" s="70">
        <f t="shared" si="0"/>
        <v>1</v>
      </c>
      <c r="J21" s="11">
        <v>500</v>
      </c>
      <c r="K21" s="12">
        <v>348</v>
      </c>
      <c r="L21" s="71">
        <f t="shared" si="1"/>
        <v>0.69599999999999995</v>
      </c>
      <c r="M21" s="12">
        <f t="shared" si="5"/>
        <v>152</v>
      </c>
      <c r="N21" s="14">
        <f t="shared" si="6"/>
        <v>6.08</v>
      </c>
      <c r="O21" s="72">
        <f t="shared" si="7"/>
        <v>348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11">
        <v>1</v>
      </c>
      <c r="H22" s="12">
        <v>1</v>
      </c>
      <c r="I22" s="70">
        <f t="shared" si="0"/>
        <v>1</v>
      </c>
      <c r="J22" s="11">
        <v>500</v>
      </c>
      <c r="K22" s="12">
        <v>281</v>
      </c>
      <c r="L22" s="71">
        <f t="shared" si="1"/>
        <v>0.56200000000000006</v>
      </c>
      <c r="M22" s="12">
        <f t="shared" si="5"/>
        <v>219</v>
      </c>
      <c r="N22" s="14">
        <f t="shared" si="6"/>
        <v>8.76</v>
      </c>
      <c r="O22" s="72">
        <f t="shared" si="7"/>
        <v>281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11">
        <v>1</v>
      </c>
      <c r="H23" s="12">
        <v>1</v>
      </c>
      <c r="I23" s="70">
        <f t="shared" si="0"/>
        <v>1</v>
      </c>
      <c r="J23" s="11">
        <v>500</v>
      </c>
      <c r="K23" s="12">
        <v>263</v>
      </c>
      <c r="L23" s="71">
        <f t="shared" si="1"/>
        <v>0.52600000000000002</v>
      </c>
      <c r="M23" s="12">
        <f t="shared" si="5"/>
        <v>237</v>
      </c>
      <c r="N23" s="14">
        <f t="shared" si="6"/>
        <v>9.48</v>
      </c>
      <c r="O23" s="72">
        <f t="shared" si="7"/>
        <v>263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36">
        <v>1</v>
      </c>
      <c r="H24" s="37">
        <v>1</v>
      </c>
      <c r="I24" s="73">
        <f t="shared" si="0"/>
        <v>1</v>
      </c>
      <c r="J24" s="74">
        <v>500</v>
      </c>
      <c r="K24" s="75">
        <v>103</v>
      </c>
      <c r="L24" s="76">
        <f t="shared" si="1"/>
        <v>0.20599999999999999</v>
      </c>
      <c r="M24" s="75">
        <f t="shared" si="5"/>
        <v>397</v>
      </c>
      <c r="N24" s="77">
        <f t="shared" si="6"/>
        <v>15.88</v>
      </c>
      <c r="O24" s="78">
        <f t="shared" si="7"/>
        <v>103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6" t="s">
        <v>18</v>
      </c>
      <c r="E25" s="97"/>
      <c r="F25" s="98"/>
      <c r="G25" s="40">
        <f>SUM(G20:G24)</f>
        <v>5</v>
      </c>
      <c r="H25" s="41">
        <f t="shared" ref="H25:K25" si="8">SUM(H20:H24)</f>
        <v>5</v>
      </c>
      <c r="I25" s="79">
        <f t="shared" si="0"/>
        <v>1</v>
      </c>
      <c r="J25" s="80">
        <f t="shared" si="8"/>
        <v>2500</v>
      </c>
      <c r="K25" s="81">
        <f t="shared" si="8"/>
        <v>1144</v>
      </c>
      <c r="L25" s="82">
        <f>K25/J25</f>
        <v>0.45760000000000001</v>
      </c>
      <c r="M25" s="81">
        <f t="shared" si="5"/>
        <v>1356</v>
      </c>
      <c r="N25" s="83">
        <f t="shared" si="6"/>
        <v>54.24</v>
      </c>
      <c r="O25" s="84">
        <f>K25/H25</f>
        <v>228.8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1</v>
      </c>
      <c r="H26" s="8">
        <v>1</v>
      </c>
      <c r="I26" s="85">
        <f t="shared" si="0"/>
        <v>1</v>
      </c>
      <c r="J26" s="7">
        <v>650</v>
      </c>
      <c r="K26" s="8">
        <v>248</v>
      </c>
      <c r="L26" s="87">
        <f t="shared" si="1"/>
        <v>0.38153846153846155</v>
      </c>
      <c r="M26" s="8">
        <f t="shared" si="5"/>
        <v>402</v>
      </c>
      <c r="N26" s="10">
        <f t="shared" si="6"/>
        <v>16.079999999999998</v>
      </c>
      <c r="O26" s="86">
        <f t="shared" ref="O26:O29" si="9">K26/H26</f>
        <v>248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1</v>
      </c>
      <c r="H27" s="12">
        <v>1</v>
      </c>
      <c r="I27" s="70">
        <f t="shared" si="0"/>
        <v>1</v>
      </c>
      <c r="J27" s="11">
        <v>600</v>
      </c>
      <c r="K27" s="12">
        <v>165</v>
      </c>
      <c r="L27" s="71">
        <f t="shared" si="1"/>
        <v>0.27500000000000002</v>
      </c>
      <c r="M27" s="12">
        <f t="shared" si="5"/>
        <v>435</v>
      </c>
      <c r="N27" s="14">
        <f t="shared" si="6"/>
        <v>17.399999999999999</v>
      </c>
      <c r="O27" s="72">
        <f t="shared" si="9"/>
        <v>165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1</v>
      </c>
      <c r="H28" s="12">
        <v>1</v>
      </c>
      <c r="I28" s="70">
        <f t="shared" si="0"/>
        <v>1</v>
      </c>
      <c r="J28" s="11">
        <v>600</v>
      </c>
      <c r="K28" s="12">
        <v>198</v>
      </c>
      <c r="L28" s="71">
        <f t="shared" si="1"/>
        <v>0.33</v>
      </c>
      <c r="M28" s="12">
        <f t="shared" si="5"/>
        <v>402</v>
      </c>
      <c r="N28" s="14">
        <f t="shared" si="6"/>
        <v>16.079999999999998</v>
      </c>
      <c r="O28" s="72">
        <f t="shared" si="9"/>
        <v>198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1</v>
      </c>
      <c r="H29" s="37">
        <v>1</v>
      </c>
      <c r="I29" s="73">
        <f t="shared" si="0"/>
        <v>1</v>
      </c>
      <c r="J29" s="74">
        <v>650</v>
      </c>
      <c r="K29" s="75">
        <v>171</v>
      </c>
      <c r="L29" s="76">
        <f t="shared" si="1"/>
        <v>0.2630769230769231</v>
      </c>
      <c r="M29" s="75">
        <f t="shared" si="5"/>
        <v>479</v>
      </c>
      <c r="N29" s="77">
        <f t="shared" si="6"/>
        <v>19.16</v>
      </c>
      <c r="O29" s="78">
        <f t="shared" si="9"/>
        <v>171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6" t="s">
        <v>18</v>
      </c>
      <c r="E30" s="97"/>
      <c r="F30" s="98"/>
      <c r="G30" s="40">
        <f>SUM(G26:G29)</f>
        <v>4</v>
      </c>
      <c r="H30" s="41">
        <f t="shared" ref="H30:K30" si="10">SUM(H26:H29)</f>
        <v>4</v>
      </c>
      <c r="I30" s="79">
        <f t="shared" si="0"/>
        <v>1</v>
      </c>
      <c r="J30" s="80">
        <f t="shared" si="10"/>
        <v>2500</v>
      </c>
      <c r="K30" s="81">
        <f t="shared" si="10"/>
        <v>782</v>
      </c>
      <c r="L30" s="82">
        <f>K30/J30</f>
        <v>0.31280000000000002</v>
      </c>
      <c r="M30" s="81">
        <f t="shared" si="5"/>
        <v>1718</v>
      </c>
      <c r="N30" s="83">
        <f t="shared" si="6"/>
        <v>68.72</v>
      </c>
      <c r="O30" s="84">
        <f>K30/H30</f>
        <v>195.5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5009</v>
      </c>
      <c r="H31" s="21">
        <f t="shared" ref="H31:K31" si="11">+H30+H25+H19</f>
        <v>105</v>
      </c>
      <c r="I31" s="88">
        <f t="shared" si="0"/>
        <v>2.0962267917748054E-2</v>
      </c>
      <c r="J31" s="89">
        <f t="shared" si="11"/>
        <v>15000</v>
      </c>
      <c r="K31" s="90">
        <f t="shared" si="11"/>
        <v>2147.3000000000002</v>
      </c>
      <c r="L31" s="91">
        <f>K31/J31</f>
        <v>0.14315333333333335</v>
      </c>
      <c r="M31" s="90">
        <f t="shared" si="5"/>
        <v>12852.7</v>
      </c>
      <c r="N31" s="92">
        <f t="shared" si="6"/>
        <v>514.10800000000006</v>
      </c>
      <c r="O31" s="93">
        <f>K31/H31</f>
        <v>20.450476190476191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2026-07-03T13:33:27Z</dcterms:modified>
</cp:coreProperties>
</file>