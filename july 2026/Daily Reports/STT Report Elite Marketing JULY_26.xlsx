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2327089F-9A9B-45ED-AE99-672573CB0E53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Report'!$A$1:$AP$552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58" i="1" l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8" i="1"/>
  <c r="S679" i="1"/>
  <c r="S680" i="1"/>
  <c r="S681" i="1"/>
  <c r="S682" i="1"/>
  <c r="S683" i="1"/>
  <c r="S684" i="1"/>
  <c r="S685" i="1"/>
  <c r="S688" i="1"/>
  <c r="S689" i="1"/>
  <c r="S690" i="1"/>
  <c r="S695" i="1"/>
  <c r="S696" i="1"/>
  <c r="S697" i="1"/>
  <c r="S698" i="1"/>
  <c r="S700" i="1"/>
  <c r="S705" i="1"/>
  <c r="S706" i="1"/>
  <c r="S707" i="1"/>
  <c r="S712" i="1"/>
  <c r="S713" i="1"/>
  <c r="S724" i="1"/>
  <c r="S725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R684" i="1"/>
  <c r="R685" i="1"/>
  <c r="R686" i="1"/>
  <c r="S686" i="1" s="1"/>
  <c r="R687" i="1"/>
  <c r="S687" i="1" s="1"/>
  <c r="R688" i="1"/>
  <c r="R689" i="1"/>
  <c r="R690" i="1"/>
  <c r="R691" i="1"/>
  <c r="S691" i="1" s="1"/>
  <c r="R692" i="1"/>
  <c r="R693" i="1"/>
  <c r="S693" i="1" s="1"/>
  <c r="R694" i="1"/>
  <c r="S694" i="1" s="1"/>
  <c r="R695" i="1"/>
  <c r="R696" i="1"/>
  <c r="R697" i="1"/>
  <c r="R698" i="1"/>
  <c r="R699" i="1"/>
  <c r="S699" i="1" s="1"/>
  <c r="R700" i="1"/>
  <c r="R701" i="1"/>
  <c r="S701" i="1" s="1"/>
  <c r="R702" i="1"/>
  <c r="S702" i="1" s="1"/>
  <c r="R703" i="1"/>
  <c r="S703" i="1" s="1"/>
  <c r="R704" i="1"/>
  <c r="R705" i="1"/>
  <c r="R706" i="1"/>
  <c r="R707" i="1"/>
  <c r="R708" i="1"/>
  <c r="S708" i="1" s="1"/>
  <c r="R709" i="1"/>
  <c r="S709" i="1" s="1"/>
  <c r="R710" i="1"/>
  <c r="S710" i="1" s="1"/>
  <c r="R711" i="1"/>
  <c r="R712" i="1"/>
  <c r="R713" i="1"/>
  <c r="R714" i="1"/>
  <c r="R715" i="1"/>
  <c r="R716" i="1"/>
  <c r="S716" i="1" s="1"/>
  <c r="R717" i="1"/>
  <c r="S717" i="1" s="1"/>
  <c r="R718" i="1"/>
  <c r="R719" i="1"/>
  <c r="R720" i="1"/>
  <c r="R721" i="1"/>
  <c r="S721" i="1" s="1"/>
  <c r="R722" i="1"/>
  <c r="R723" i="1"/>
  <c r="R724" i="1"/>
  <c r="R725" i="1"/>
  <c r="R726" i="1"/>
  <c r="S726" i="1" s="1"/>
  <c r="R727" i="1"/>
  <c r="R728" i="1"/>
  <c r="S728" i="1" s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S692" i="1" s="1"/>
  <c r="N693" i="1"/>
  <c r="N694" i="1"/>
  <c r="N695" i="1"/>
  <c r="N696" i="1"/>
  <c r="N697" i="1"/>
  <c r="N698" i="1"/>
  <c r="N699" i="1"/>
  <c r="N700" i="1"/>
  <c r="N701" i="1"/>
  <c r="N702" i="1"/>
  <c r="N703" i="1"/>
  <c r="N704" i="1"/>
  <c r="S704" i="1" s="1"/>
  <c r="N705" i="1"/>
  <c r="N706" i="1"/>
  <c r="N707" i="1"/>
  <c r="N708" i="1"/>
  <c r="N709" i="1"/>
  <c r="N710" i="1"/>
  <c r="N711" i="1"/>
  <c r="N712" i="1"/>
  <c r="N713" i="1"/>
  <c r="N714" i="1"/>
  <c r="N715" i="1"/>
  <c r="S715" i="1" s="1"/>
  <c r="N716" i="1"/>
  <c r="N717" i="1"/>
  <c r="N718" i="1"/>
  <c r="N719" i="1"/>
  <c r="S719" i="1" s="1"/>
  <c r="N720" i="1"/>
  <c r="S720" i="1" s="1"/>
  <c r="N721" i="1"/>
  <c r="N722" i="1"/>
  <c r="S722" i="1" s="1"/>
  <c r="N723" i="1"/>
  <c r="S723" i="1" s="1"/>
  <c r="N724" i="1"/>
  <c r="N725" i="1"/>
  <c r="N726" i="1"/>
  <c r="N727" i="1"/>
  <c r="S727" i="1" s="1"/>
  <c r="N728" i="1"/>
  <c r="N729" i="1"/>
  <c r="N730" i="1"/>
  <c r="N731" i="1"/>
  <c r="S731" i="1" s="1"/>
  <c r="N732" i="1"/>
  <c r="S732" i="1" s="1"/>
  <c r="N733" i="1"/>
  <c r="N734" i="1"/>
  <c r="S734" i="1" s="1"/>
  <c r="N735" i="1"/>
  <c r="N736" i="1"/>
  <c r="S733" i="1" l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S677" i="1" s="1"/>
  <c r="R678" i="1"/>
  <c r="R679" i="1"/>
  <c r="R680" i="1"/>
  <c r="R681" i="1"/>
  <c r="R682" i="1"/>
  <c r="R683" i="1"/>
  <c r="R852" i="1"/>
  <c r="R853" i="1"/>
  <c r="R854" i="1"/>
  <c r="R855" i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S601" i="1" s="1"/>
  <c r="R602" i="1"/>
  <c r="S602" i="1" s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580" i="1" l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858" i="1"/>
  <c r="R857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N857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1" i="1"/>
  <c r="M864" i="1" s="1"/>
  <c r="L861" i="1"/>
  <c r="L864" i="1" s="1"/>
  <c r="K861" i="1"/>
  <c r="K864" i="1" s="1"/>
  <c r="J861" i="1"/>
  <c r="J864" i="1" s="1"/>
  <c r="S574" i="1" l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S857" i="1"/>
  <c r="AE857" i="1" s="1"/>
  <c r="S565" i="1"/>
  <c r="AE565" i="1" s="1"/>
  <c r="S569" i="1"/>
  <c r="AE569" i="1" s="1"/>
  <c r="AE577" i="1"/>
  <c r="AE581" i="1"/>
  <c r="AE585" i="1"/>
  <c r="S858" i="1"/>
  <c r="AE858" i="1" s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<sst xmlns="http://schemas.openxmlformats.org/spreadsheetml/2006/main" count="3839" uniqueCount="673">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</sst>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868"/>
  <sheetViews>
    <sheetView tabSelected="1" workbookViewId="0">
      <pane xSplit="1" ySplit="2" topLeftCell="B721" activePane="bottomRight" state="frozen"/>
      <selection pane="topRight" activeCell="B1" sqref="B1"/>
      <selection pane="bottomLeft" activeCell="A3" sqref="A3"/>
      <selection pane="bottomRight" activeCell="G739" sqref="G739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23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3" t="s">
        <v>6</v>
      </c>
      <c r="H1" s="123" t="s">
        <v>7</v>
      </c>
      <c r="I1" s="1" t="s">
        <v>26</v>
      </c>
      <c r="J1" s="42"/>
      <c r="K1" s="123" t="s">
        <v>8</v>
      </c>
      <c r="L1" s="123"/>
      <c r="M1" s="123"/>
      <c r="N1" s="123"/>
      <c r="O1" s="125" t="s">
        <v>9</v>
      </c>
      <c r="P1" s="126"/>
      <c r="Q1" s="126"/>
      <c r="R1" s="126"/>
      <c r="S1" s="121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1" t="s">
        <v>65</v>
      </c>
      <c r="AC1" s="121" t="s">
        <v>13</v>
      </c>
      <c r="AD1" s="121" t="s">
        <v>14</v>
      </c>
      <c r="AE1" s="121" t="s">
        <v>15</v>
      </c>
      <c r="AF1" s="121" t="s">
        <v>16</v>
      </c>
      <c r="AG1" s="121" t="s">
        <v>17</v>
      </c>
      <c r="AH1" s="84">
        <v>3.5000000000000003E-2</v>
      </c>
      <c r="AI1" s="121" t="s">
        <v>18</v>
      </c>
      <c r="AJ1" s="121" t="s">
        <v>19</v>
      </c>
      <c r="AK1" s="121" t="s">
        <v>20</v>
      </c>
      <c r="AL1" s="121" t="s">
        <v>21</v>
      </c>
      <c r="AM1" s="121" t="s">
        <v>22</v>
      </c>
      <c r="AN1" s="119" t="s">
        <v>23</v>
      </c>
      <c r="AO1" s="119" t="s">
        <v>24</v>
      </c>
      <c r="AP1" s="121" t="s">
        <v>25</v>
      </c>
    </row>
    <row r="2" spans="1:42" s="2" customFormat="1" hidden="1" x14ac:dyDescent="0.35">
      <c r="A2" s="123"/>
      <c r="B2" s="123"/>
      <c r="C2" s="123"/>
      <c r="D2" s="123"/>
      <c r="E2" s="123"/>
      <c r="F2" s="123"/>
      <c r="G2" s="123"/>
      <c r="H2" s="123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2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2"/>
      <c r="AC2" s="122"/>
      <c r="AD2" s="122"/>
      <c r="AE2" s="122"/>
      <c r="AF2" s="122"/>
      <c r="AG2" s="122"/>
      <c r="AH2" s="82" t="s">
        <v>66</v>
      </c>
      <c r="AI2" s="122"/>
      <c r="AJ2" s="122"/>
      <c r="AK2" s="122"/>
      <c r="AL2" s="122"/>
      <c r="AM2" s="122"/>
      <c r="AN2" s="120"/>
      <c r="AO2" s="120"/>
      <c r="AP2" s="122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422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95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95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95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95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95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95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95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95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95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367</v>
      </c>
      <c r="G117" s="95" t="s">
        <v>420</v>
      </c>
      <c r="H117" s="95" t="s">
        <v>421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95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95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95" t="s">
        <v>136</v>
      </c>
      <c r="I171" s="48" t="s">
        <v>278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95" t="s">
        <v>136</v>
      </c>
      <c r="I172" s="48" t="s">
        <v>278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279</v>
      </c>
      <c r="H173" s="95" t="s">
        <v>176</v>
      </c>
      <c r="I173" s="48" t="s">
        <v>285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280</v>
      </c>
      <c r="H174" s="95" t="s">
        <v>176</v>
      </c>
      <c r="I174" s="48" t="s">
        <v>285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95" t="s">
        <v>176</v>
      </c>
      <c r="I175" s="48" t="s">
        <v>285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281</v>
      </c>
      <c r="H176" s="95" t="s">
        <v>176</v>
      </c>
      <c r="I176" s="48" t="s">
        <v>285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282</v>
      </c>
      <c r="H177" s="95" t="s">
        <v>176</v>
      </c>
      <c r="I177" s="48" t="s">
        <v>285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283</v>
      </c>
      <c r="H178" s="95" t="s">
        <v>176</v>
      </c>
      <c r="I178" s="48" t="s">
        <v>285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284</v>
      </c>
      <c r="H179" s="95" t="s">
        <v>176</v>
      </c>
      <c r="I179" s="48" t="s">
        <v>285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286</v>
      </c>
      <c r="H180" s="86" t="s">
        <v>112</v>
      </c>
      <c r="I180" s="48" t="s">
        <v>288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288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287</v>
      </c>
      <c r="H182" s="86" t="s">
        <v>112</v>
      </c>
      <c r="I182" s="48" t="s">
        <v>288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289</v>
      </c>
      <c r="H183" s="86" t="s">
        <v>127</v>
      </c>
      <c r="I183" s="48" t="s">
        <v>297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290</v>
      </c>
      <c r="H184" s="86" t="s">
        <v>127</v>
      </c>
      <c r="I184" s="48" t="s">
        <v>297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291</v>
      </c>
      <c r="H185" s="86" t="s">
        <v>127</v>
      </c>
      <c r="I185" s="48" t="s">
        <v>297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292</v>
      </c>
      <c r="H186" s="86" t="s">
        <v>127</v>
      </c>
      <c r="I186" s="48" t="s">
        <v>297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293</v>
      </c>
      <c r="H187" s="86" t="s">
        <v>127</v>
      </c>
      <c r="I187" s="48" t="s">
        <v>297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297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294</v>
      </c>
      <c r="H189" s="86" t="s">
        <v>127</v>
      </c>
      <c r="I189" s="48" t="s">
        <v>297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295</v>
      </c>
      <c r="H190" s="86" t="s">
        <v>127</v>
      </c>
      <c r="I190" s="48" t="s">
        <v>297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297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296</v>
      </c>
      <c r="H192" s="86" t="s">
        <v>127</v>
      </c>
      <c r="I192" s="48" t="s">
        <v>297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298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299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300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301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302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303</v>
      </c>
      <c r="H202" s="86" t="s">
        <v>110</v>
      </c>
      <c r="I202" s="48" t="s">
        <v>306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304</v>
      </c>
      <c r="H203" s="86" t="s">
        <v>110</v>
      </c>
      <c r="I203" s="48" t="s">
        <v>306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305</v>
      </c>
      <c r="H204" s="86" t="s">
        <v>110</v>
      </c>
      <c r="I204" s="48" t="s">
        <v>306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306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307</v>
      </c>
      <c r="H206" s="86" t="s">
        <v>112</v>
      </c>
      <c r="I206" s="48" t="s">
        <v>308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308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309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310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311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312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313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314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315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316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317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318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319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299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320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321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322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303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323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324</v>
      </c>
      <c r="H229" s="86" t="s">
        <v>89</v>
      </c>
      <c r="I229" s="48" t="s">
        <v>417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325</v>
      </c>
      <c r="H231" s="86" t="s">
        <v>89</v>
      </c>
      <c r="I231" s="48" t="s">
        <v>418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326</v>
      </c>
      <c r="H232" s="86" t="s">
        <v>112</v>
      </c>
      <c r="I232" s="48" t="s">
        <v>330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330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327</v>
      </c>
      <c r="H234" s="86" t="s">
        <v>112</v>
      </c>
      <c r="I234" s="48" t="s">
        <v>330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328</v>
      </c>
      <c r="H235" s="86" t="s">
        <v>112</v>
      </c>
      <c r="I235" s="48" t="s">
        <v>330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329</v>
      </c>
      <c r="H236" s="86" t="s">
        <v>112</v>
      </c>
      <c r="I236" s="48" t="s">
        <v>330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331</v>
      </c>
      <c r="H237" s="86" t="s">
        <v>127</v>
      </c>
      <c r="I237" s="48" t="s">
        <v>341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332</v>
      </c>
      <c r="H238" s="86" t="s">
        <v>127</v>
      </c>
      <c r="I238" s="48" t="s">
        <v>341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333</v>
      </c>
      <c r="H239" s="86" t="s">
        <v>127</v>
      </c>
      <c r="I239" s="48" t="s">
        <v>341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334</v>
      </c>
      <c r="H240" s="86" t="s">
        <v>127</v>
      </c>
      <c r="I240" s="48" t="s">
        <v>341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335</v>
      </c>
      <c r="H241" s="86" t="s">
        <v>127</v>
      </c>
      <c r="I241" s="48" t="s">
        <v>341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341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336</v>
      </c>
      <c r="H243" s="86" t="s">
        <v>127</v>
      </c>
      <c r="I243" s="48" t="s">
        <v>341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337</v>
      </c>
      <c r="H244" s="86" t="s">
        <v>127</v>
      </c>
      <c r="I244" s="48" t="s">
        <v>341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338</v>
      </c>
      <c r="H245" s="86" t="s">
        <v>127</v>
      </c>
      <c r="I245" s="48" t="s">
        <v>341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339</v>
      </c>
      <c r="H246" s="86" t="s">
        <v>127</v>
      </c>
      <c r="I246" s="48" t="s">
        <v>341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340</v>
      </c>
      <c r="H247" s="86" t="s">
        <v>127</v>
      </c>
      <c r="I247" s="48" t="s">
        <v>341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299</v>
      </c>
      <c r="H248" s="86" t="s">
        <v>129</v>
      </c>
      <c r="I248" s="48" t="s">
        <v>346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342</v>
      </c>
      <c r="H249" s="86" t="s">
        <v>129</v>
      </c>
      <c r="I249" s="48" t="s">
        <v>346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346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323</v>
      </c>
      <c r="H251" s="86" t="s">
        <v>129</v>
      </c>
      <c r="I251" s="48" t="s">
        <v>346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343</v>
      </c>
      <c r="H252" s="86" t="s">
        <v>129</v>
      </c>
      <c r="I252" s="48" t="s">
        <v>346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344</v>
      </c>
      <c r="H253" s="86" t="s">
        <v>129</v>
      </c>
      <c r="I253" s="48" t="s">
        <v>346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345</v>
      </c>
      <c r="H254" s="86" t="s">
        <v>129</v>
      </c>
      <c r="I254" s="48" t="s">
        <v>346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346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411</v>
      </c>
      <c r="H256" s="86" t="s">
        <v>89</v>
      </c>
      <c r="I256" s="48" t="s">
        <v>410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347</v>
      </c>
      <c r="H257" s="86" t="s">
        <v>89</v>
      </c>
      <c r="I257" s="48" t="s">
        <v>412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413</v>
      </c>
      <c r="H258" s="86" t="s">
        <v>89</v>
      </c>
      <c r="I258" s="48" t="s">
        <v>414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348</v>
      </c>
      <c r="H259" s="86" t="s">
        <v>89</v>
      </c>
      <c r="I259" s="48" t="s">
        <v>415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349</v>
      </c>
      <c r="H260" s="86" t="s">
        <v>89</v>
      </c>
      <c r="I260" s="48" t="s">
        <v>410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350</v>
      </c>
      <c r="H261" s="86" t="s">
        <v>89</v>
      </c>
      <c r="I261" s="48" t="s">
        <v>416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351</v>
      </c>
      <c r="H262" s="86" t="s">
        <v>112</v>
      </c>
      <c r="I262" s="48" t="s">
        <v>357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357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352</v>
      </c>
      <c r="H264" s="86" t="s">
        <v>112</v>
      </c>
      <c r="I264" s="48" t="s">
        <v>358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353</v>
      </c>
      <c r="H265" s="86" t="s">
        <v>112</v>
      </c>
      <c r="I265" s="48" t="s">
        <v>358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354</v>
      </c>
      <c r="H266" s="86" t="s">
        <v>112</v>
      </c>
      <c r="I266" s="48" t="s">
        <v>358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355</v>
      </c>
      <c r="H267" s="86" t="s">
        <v>112</v>
      </c>
      <c r="I267" s="48" t="s">
        <v>358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356</v>
      </c>
      <c r="H268" s="86" t="s">
        <v>112</v>
      </c>
      <c r="I268" s="48" t="s">
        <v>358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360</v>
      </c>
      <c r="H269" s="86" t="s">
        <v>127</v>
      </c>
      <c r="I269" s="48" t="s">
        <v>366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361</v>
      </c>
      <c r="H270" s="86" t="s">
        <v>127</v>
      </c>
      <c r="I270" s="48" t="s">
        <v>366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366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362</v>
      </c>
      <c r="H272" s="86" t="s">
        <v>127</v>
      </c>
      <c r="I272" s="48" t="s">
        <v>366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363</v>
      </c>
      <c r="H273" s="86" t="s">
        <v>127</v>
      </c>
      <c r="I273" s="48" t="s">
        <v>366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364</v>
      </c>
      <c r="H274" s="86" t="s">
        <v>127</v>
      </c>
      <c r="I274" s="48" t="s">
        <v>366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365</v>
      </c>
      <c r="H275" s="86" t="s">
        <v>127</v>
      </c>
      <c r="I275" s="48" t="s">
        <v>366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359</v>
      </c>
      <c r="H276" s="86" t="s">
        <v>127</v>
      </c>
      <c r="I276" s="48" t="s">
        <v>366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368</v>
      </c>
      <c r="H277" s="86" t="s">
        <v>370</v>
      </c>
      <c r="I277" s="48" t="s">
        <v>369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371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372</v>
      </c>
      <c r="H279" s="86" t="s">
        <v>112</v>
      </c>
      <c r="I279" s="48" t="s">
        <v>385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373</v>
      </c>
      <c r="H280" s="86" t="s">
        <v>112</v>
      </c>
      <c r="I280" s="48" t="s">
        <v>385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374</v>
      </c>
      <c r="H281" s="86" t="s">
        <v>112</v>
      </c>
      <c r="I281" s="48" t="s">
        <v>386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375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376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344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377</v>
      </c>
      <c r="H285" s="86" t="s">
        <v>112</v>
      </c>
      <c r="I285" s="48" t="s">
        <v>371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378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379</v>
      </c>
      <c r="H287" s="86" t="s">
        <v>112</v>
      </c>
      <c r="I287" s="48" t="s">
        <v>387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380</v>
      </c>
      <c r="H288" s="86" t="s">
        <v>112</v>
      </c>
      <c r="I288" s="48" t="s">
        <v>388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381</v>
      </c>
      <c r="H289" s="86" t="s">
        <v>112</v>
      </c>
      <c r="I289" s="48" t="s">
        <v>389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382</v>
      </c>
      <c r="H290" s="86" t="s">
        <v>112</v>
      </c>
      <c r="I290" s="48" t="s">
        <v>390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383</v>
      </c>
      <c r="H291" s="86" t="s">
        <v>112</v>
      </c>
      <c r="I291" s="48" t="s">
        <v>390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384</v>
      </c>
      <c r="H292" s="86" t="s">
        <v>112</v>
      </c>
      <c r="I292" s="48" t="s">
        <v>391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392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393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394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395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396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397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402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398</v>
      </c>
      <c r="H301" s="86" t="s">
        <v>129</v>
      </c>
      <c r="I301" s="48" t="s">
        <v>402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402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402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402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399</v>
      </c>
      <c r="H305" s="86" t="s">
        <v>129</v>
      </c>
      <c r="I305" s="48" t="s">
        <v>402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402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400</v>
      </c>
      <c r="H307" s="86" t="s">
        <v>129</v>
      </c>
      <c r="I307" s="48" t="s">
        <v>402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402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401</v>
      </c>
      <c r="H309" s="86" t="s">
        <v>129</v>
      </c>
      <c r="I309" s="48" t="s">
        <v>402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406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403</v>
      </c>
      <c r="H311" s="86" t="s">
        <v>89</v>
      </c>
      <c r="I311" s="48" t="s">
        <v>405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404</v>
      </c>
      <c r="H312" s="86" t="s">
        <v>89</v>
      </c>
      <c r="I312" s="48" t="s">
        <v>407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409</v>
      </c>
      <c r="H313" s="86" t="s">
        <v>89</v>
      </c>
      <c r="I313" s="48" t="s">
        <v>408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95" t="s">
        <v>136</v>
      </c>
      <c r="I314" s="117" t="s">
        <v>423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176</v>
      </c>
      <c r="I315" s="95" t="s">
        <v>424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78" t="s">
        <v>87</v>
      </c>
      <c r="G434" s="118" t="s">
        <v>425</v>
      </c>
      <c r="H434" s="52" t="s">
        <v>89</v>
      </c>
      <c r="I434" s="118" t="s">
        <v>426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433</v>
      </c>
      <c r="I435" s="94" t="s">
        <v>434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427</v>
      </c>
      <c r="H436" s="94" t="s">
        <v>433</v>
      </c>
      <c r="I436" s="94" t="s">
        <v>434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428</v>
      </c>
      <c r="H437" s="94" t="s">
        <v>433</v>
      </c>
      <c r="I437" s="94" t="s">
        <v>434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429</v>
      </c>
      <c r="H438" s="94" t="s">
        <v>433</v>
      </c>
      <c r="I438" s="94" t="s">
        <v>434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433</v>
      </c>
      <c r="I439" s="94" t="s">
        <v>434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430</v>
      </c>
      <c r="H440" s="94" t="s">
        <v>433</v>
      </c>
      <c r="I440" s="94" t="s">
        <v>434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433</v>
      </c>
      <c r="I441" s="94" t="s">
        <v>434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432</v>
      </c>
      <c r="H442" s="94" t="s">
        <v>433</v>
      </c>
      <c r="I442" s="94" t="s">
        <v>434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431</v>
      </c>
      <c r="H443" s="94" t="s">
        <v>433</v>
      </c>
      <c r="I443" s="94" t="s">
        <v>434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436</v>
      </c>
      <c r="H444" s="94" t="s">
        <v>435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435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437</v>
      </c>
      <c r="H446" s="94" t="s">
        <v>435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438</v>
      </c>
      <c r="H447" s="94" t="s">
        <v>435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435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439</v>
      </c>
      <c r="H449" s="94" t="s">
        <v>435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435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440</v>
      </c>
      <c r="H451" s="94" t="s">
        <v>435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441</v>
      </c>
      <c r="H452" s="94" t="s">
        <v>89</v>
      </c>
      <c r="I452" s="94" t="s">
        <v>445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442</v>
      </c>
      <c r="H453" s="94" t="s">
        <v>89</v>
      </c>
      <c r="I453" s="94" t="s">
        <v>446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443</v>
      </c>
      <c r="H454" s="94" t="s">
        <v>89</v>
      </c>
      <c r="I454" s="94" t="s">
        <v>447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444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411</v>
      </c>
      <c r="H456" s="94" t="s">
        <v>89</v>
      </c>
      <c r="I456" s="94" t="s">
        <v>448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450</v>
      </c>
      <c r="H457" s="94" t="s">
        <v>89</v>
      </c>
      <c r="I457" s="94" t="s">
        <v>449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452</v>
      </c>
      <c r="H458" s="94" t="s">
        <v>89</v>
      </c>
      <c r="I458" s="94" t="s">
        <v>451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453</v>
      </c>
      <c r="H459" s="94" t="s">
        <v>460</v>
      </c>
      <c r="I459" s="94" t="s">
        <v>461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460</v>
      </c>
      <c r="I460" s="94" t="s">
        <v>461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454</v>
      </c>
      <c r="H461" s="94" t="s">
        <v>460</v>
      </c>
      <c r="I461" s="94" t="s">
        <v>461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455</v>
      </c>
      <c r="H462" s="94" t="s">
        <v>460</v>
      </c>
      <c r="I462" s="94" t="s">
        <v>461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456</v>
      </c>
      <c r="H463" s="94" t="s">
        <v>460</v>
      </c>
      <c r="I463" s="94" t="s">
        <v>461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457</v>
      </c>
      <c r="H464" s="94" t="s">
        <v>460</v>
      </c>
      <c r="I464" s="94" t="s">
        <v>461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460</v>
      </c>
      <c r="I465" s="94" t="s">
        <v>461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458</v>
      </c>
      <c r="H466" s="94" t="s">
        <v>460</v>
      </c>
      <c r="I466" s="94" t="s">
        <v>461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459</v>
      </c>
      <c r="H467" s="94" t="s">
        <v>460</v>
      </c>
      <c r="I467" s="94" t="s">
        <v>461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466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462</v>
      </c>
      <c r="H469" s="94" t="s">
        <v>112</v>
      </c>
      <c r="I469" s="94" t="s">
        <v>466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463</v>
      </c>
      <c r="H470" s="94" t="s">
        <v>112</v>
      </c>
      <c r="I470" s="94" t="s">
        <v>466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466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464</v>
      </c>
      <c r="H472" s="94" t="s">
        <v>112</v>
      </c>
      <c r="I472" s="94" t="s">
        <v>466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465</v>
      </c>
      <c r="H473" s="94" t="s">
        <v>112</v>
      </c>
      <c r="I473" s="94" t="s">
        <v>466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422</v>
      </c>
      <c r="H474" s="94" t="s">
        <v>467</v>
      </c>
      <c r="I474" s="94" t="s">
        <v>422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296</v>
      </c>
      <c r="H475" s="94" t="s">
        <v>433</v>
      </c>
      <c r="I475" s="94" t="s">
        <v>297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468</v>
      </c>
      <c r="H476" s="94" t="s">
        <v>433</v>
      </c>
      <c r="I476" s="94" t="s">
        <v>297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293</v>
      </c>
      <c r="H477" s="94" t="s">
        <v>433</v>
      </c>
      <c r="I477" s="94" t="s">
        <v>297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433</v>
      </c>
      <c r="I478" s="94" t="s">
        <v>297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469</v>
      </c>
      <c r="H479" s="94" t="s">
        <v>433</v>
      </c>
      <c r="I479" s="94" t="s">
        <v>297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470</v>
      </c>
      <c r="H480" s="94" t="s">
        <v>433</v>
      </c>
      <c r="I480" s="94" t="s">
        <v>297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471</v>
      </c>
      <c r="H481" s="94" t="s">
        <v>433</v>
      </c>
      <c r="I481" s="94" t="s">
        <v>297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472</v>
      </c>
      <c r="H482" s="94" t="s">
        <v>433</v>
      </c>
      <c r="I482" s="94" t="s">
        <v>297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473</v>
      </c>
      <c r="H483" s="94" t="s">
        <v>433</v>
      </c>
      <c r="I483" s="94" t="s">
        <v>297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474</v>
      </c>
      <c r="H484" s="94" t="s">
        <v>433</v>
      </c>
      <c r="I484" s="94" t="s">
        <v>297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475</v>
      </c>
      <c r="H485" s="94" t="s">
        <v>433</v>
      </c>
      <c r="I485" s="94" t="s">
        <v>297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476</v>
      </c>
      <c r="H486" s="94" t="s">
        <v>433</v>
      </c>
      <c r="I486" s="94" t="s">
        <v>297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477</v>
      </c>
      <c r="H487" s="94" t="s">
        <v>433</v>
      </c>
      <c r="I487" s="94" t="s">
        <v>297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478</v>
      </c>
      <c r="H488" s="94" t="s">
        <v>433</v>
      </c>
      <c r="I488" s="94" t="s">
        <v>297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299</v>
      </c>
      <c r="H489" s="94" t="s">
        <v>435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435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435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302</v>
      </c>
      <c r="H492" s="94" t="s">
        <v>435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435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479</v>
      </c>
      <c r="H494" s="94" t="s">
        <v>435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435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480</v>
      </c>
      <c r="H496" s="94" t="s">
        <v>435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435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481</v>
      </c>
      <c r="H498" s="94" t="s">
        <v>435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435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482</v>
      </c>
      <c r="H500" s="94" t="s">
        <v>435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301</v>
      </c>
      <c r="H501" s="94" t="s">
        <v>435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483</v>
      </c>
      <c r="H502" s="94" t="s">
        <v>460</v>
      </c>
      <c r="I502" s="94" t="s">
        <v>424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484</v>
      </c>
      <c r="H503" s="94" t="s">
        <v>460</v>
      </c>
      <c r="I503" s="94" t="s">
        <v>424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460</v>
      </c>
      <c r="I504" s="94" t="s">
        <v>424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460</v>
      </c>
      <c r="I505" s="94" t="s">
        <v>424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485</v>
      </c>
      <c r="H506" s="94" t="s">
        <v>460</v>
      </c>
      <c r="I506" s="94" t="s">
        <v>424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486</v>
      </c>
      <c r="H507" s="94" t="s">
        <v>460</v>
      </c>
      <c r="I507" s="94" t="s">
        <v>424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327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487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488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489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327</v>
      </c>
      <c r="H512" s="94" t="s">
        <v>112</v>
      </c>
      <c r="I512" s="94" t="s">
        <v>491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490</v>
      </c>
      <c r="H513" s="94" t="s">
        <v>112</v>
      </c>
      <c r="I513" s="94" t="s">
        <v>492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493</v>
      </c>
      <c r="H514" s="94" t="s">
        <v>433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494</v>
      </c>
      <c r="H515" s="94" t="s">
        <v>433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495</v>
      </c>
      <c r="H516" s="94" t="s">
        <v>433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496</v>
      </c>
      <c r="H517" s="94" t="s">
        <v>433</v>
      </c>
      <c r="I517" s="94" t="s">
        <v>500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497</v>
      </c>
      <c r="H518" s="94" t="s">
        <v>433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498</v>
      </c>
      <c r="H519" s="94" t="s">
        <v>433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499</v>
      </c>
      <c r="H520" s="94" t="s">
        <v>433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315</v>
      </c>
      <c r="H521" s="94" t="s">
        <v>433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501</v>
      </c>
      <c r="H522" s="94" t="s">
        <v>435</v>
      </c>
      <c r="I522" s="94" t="s">
        <v>508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502</v>
      </c>
      <c r="H523" s="94" t="s">
        <v>435</v>
      </c>
      <c r="I523" s="94" t="s">
        <v>508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503</v>
      </c>
      <c r="H524" s="94" t="s">
        <v>435</v>
      </c>
      <c r="I524" s="94" t="s">
        <v>508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504</v>
      </c>
      <c r="H525" s="94" t="s">
        <v>435</v>
      </c>
      <c r="I525" s="94" t="s">
        <v>508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505</v>
      </c>
      <c r="H526" s="94" t="s">
        <v>435</v>
      </c>
      <c r="I526" s="94" t="s">
        <v>508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506</v>
      </c>
      <c r="H527" s="94" t="s">
        <v>435</v>
      </c>
      <c r="I527" s="94" t="s">
        <v>508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435</v>
      </c>
      <c r="I528" s="94" t="s">
        <v>508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507</v>
      </c>
      <c r="H529" s="94" t="s">
        <v>435</v>
      </c>
      <c r="I529" s="94" t="s">
        <v>508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481</v>
      </c>
      <c r="H530" s="94" t="s">
        <v>435</v>
      </c>
      <c r="I530" s="94" t="s">
        <v>508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464</v>
      </c>
      <c r="H531" s="94" t="s">
        <v>435</v>
      </c>
      <c r="I531" s="94" t="s">
        <v>508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509</v>
      </c>
      <c r="H532" s="94" t="s">
        <v>89</v>
      </c>
      <c r="I532" s="94" t="s">
        <v>510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512</v>
      </c>
      <c r="H533" s="94" t="s">
        <v>460</v>
      </c>
      <c r="I533" s="94" t="s">
        <v>511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513</v>
      </c>
      <c r="H534" s="94" t="s">
        <v>460</v>
      </c>
      <c r="I534" s="94" t="s">
        <v>511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514</v>
      </c>
      <c r="H535" s="94" t="s">
        <v>460</v>
      </c>
      <c r="I535" s="94" t="s">
        <v>511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460</v>
      </c>
      <c r="I536" s="94" t="s">
        <v>511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516</v>
      </c>
      <c r="H537" s="94" t="s">
        <v>112</v>
      </c>
      <c r="I537" s="94" t="s">
        <v>515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517</v>
      </c>
      <c r="H538" s="94" t="s">
        <v>112</v>
      </c>
      <c r="I538" s="94" t="s">
        <v>515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518</v>
      </c>
      <c r="H539" s="94" t="s">
        <v>112</v>
      </c>
      <c r="I539" s="94" t="s">
        <v>515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458</v>
      </c>
      <c r="H540" s="94" t="s">
        <v>112</v>
      </c>
      <c r="I540" s="94" t="s">
        <v>515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519</v>
      </c>
      <c r="H541" s="94" t="s">
        <v>112</v>
      </c>
      <c r="I541" s="94" t="s">
        <v>515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520</v>
      </c>
      <c r="H542" s="94" t="s">
        <v>112</v>
      </c>
      <c r="I542" s="94" t="s">
        <v>515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521</v>
      </c>
      <c r="H543" s="94" t="s">
        <v>112</v>
      </c>
      <c r="I543" s="94" t="s">
        <v>515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522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523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524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342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513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525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526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x14ac:dyDescent="0.35">
      <c r="A553" s="85">
        <v>46220</v>
      </c>
      <c r="B553" s="51" t="s">
        <v>85</v>
      </c>
      <c r="C553" s="97">
        <v>61123995.678571403</v>
      </c>
      <c r="D553" s="97">
        <v>87119.5</v>
      </c>
      <c r="E553" s="48" t="s">
        <v>86</v>
      </c>
      <c r="F553" s="94" t="s">
        <v>87</v>
      </c>
      <c r="G553" s="94" t="s">
        <v>347</v>
      </c>
      <c r="H553" s="94" t="s">
        <v>89</v>
      </c>
      <c r="I553" s="94" t="s">
        <v>94</v>
      </c>
      <c r="J553" s="52"/>
      <c r="K553" s="52">
        <v>160</v>
      </c>
      <c r="L553" s="52">
        <v>120</v>
      </c>
      <c r="M553" s="52"/>
      <c r="N553" s="104">
        <f t="shared" si="141"/>
        <v>280</v>
      </c>
      <c r="O553" s="52">
        <v>160</v>
      </c>
      <c r="P553" s="52"/>
      <c r="Q553" s="52">
        <v>280</v>
      </c>
      <c r="R553" s="104">
        <f t="shared" si="140"/>
        <v>440</v>
      </c>
      <c r="S553" s="86">
        <f t="shared" si="142"/>
        <v>720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66990.3</v>
      </c>
      <c r="AF553" s="90">
        <v>6.5000000000000002E-2</v>
      </c>
      <c r="AG553" s="4">
        <f t="shared" si="135"/>
        <v>4354.3695000000007</v>
      </c>
      <c r="AH553" s="49">
        <f t="shared" si="136"/>
        <v>0</v>
      </c>
      <c r="AI553" s="89">
        <f t="shared" si="137"/>
        <v>62635.930500000002</v>
      </c>
      <c r="AJ553" s="91">
        <v>0.18</v>
      </c>
      <c r="AK553" s="5">
        <f t="shared" si="138"/>
        <v>11274.467489999999</v>
      </c>
      <c r="AL553" s="89">
        <f t="shared" si="139"/>
        <v>73910.397989999998</v>
      </c>
      <c r="AP553" s="7"/>
    </row>
    <row r="554" spans="1:42" x14ac:dyDescent="0.35">
      <c r="A554" s="85">
        <v>46220</v>
      </c>
      <c r="B554" s="51" t="s">
        <v>85</v>
      </c>
      <c r="C554" s="97">
        <v>61123995.678571403</v>
      </c>
      <c r="D554" s="97">
        <v>87119.5</v>
      </c>
      <c r="E554" s="48" t="s">
        <v>86</v>
      </c>
      <c r="F554" s="94" t="s">
        <v>87</v>
      </c>
      <c r="G554" s="94" t="s">
        <v>530</v>
      </c>
      <c r="H554" s="94" t="s">
        <v>89</v>
      </c>
      <c r="I554" s="94" t="s">
        <v>527</v>
      </c>
      <c r="J554" s="52"/>
      <c r="K554" s="52">
        <v>80</v>
      </c>
      <c r="L554" s="52">
        <v>80</v>
      </c>
      <c r="M554" s="52"/>
      <c r="N554" s="104">
        <f t="shared" si="141"/>
        <v>160</v>
      </c>
      <c r="O554" s="52">
        <v>80</v>
      </c>
      <c r="P554" s="52"/>
      <c r="Q554" s="52">
        <v>160</v>
      </c>
      <c r="R554" s="104">
        <f t="shared" si="140"/>
        <v>240</v>
      </c>
      <c r="S554" s="86">
        <f t="shared" si="142"/>
        <v>400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37450</v>
      </c>
      <c r="AF554" s="90">
        <v>6.5000000000000002E-2</v>
      </c>
      <c r="AG554" s="4">
        <f t="shared" si="135"/>
        <v>2434.25</v>
      </c>
      <c r="AH554" s="49">
        <f t="shared" si="136"/>
        <v>0</v>
      </c>
      <c r="AI554" s="89">
        <f t="shared" si="137"/>
        <v>35015.75</v>
      </c>
      <c r="AJ554" s="91">
        <v>0.18</v>
      </c>
      <c r="AK554" s="5">
        <f t="shared" si="138"/>
        <v>6302.835</v>
      </c>
      <c r="AL554" s="89">
        <f t="shared" si="139"/>
        <v>41318.584999999999</v>
      </c>
      <c r="AP554" s="7"/>
    </row>
    <row r="555" spans="1:42" x14ac:dyDescent="0.35">
      <c r="A555" s="85">
        <v>46220</v>
      </c>
      <c r="B555" s="51" t="s">
        <v>85</v>
      </c>
      <c r="C555" s="97">
        <v>61123995.678571403</v>
      </c>
      <c r="D555" s="97">
        <v>87119.5</v>
      </c>
      <c r="E555" s="48" t="s">
        <v>86</v>
      </c>
      <c r="F555" s="94" t="s">
        <v>87</v>
      </c>
      <c r="G555" s="94" t="s">
        <v>531</v>
      </c>
      <c r="H555" s="94" t="s">
        <v>89</v>
      </c>
      <c r="I555" s="94" t="s">
        <v>529</v>
      </c>
      <c r="J555" s="52"/>
      <c r="K555" s="52">
        <v>80</v>
      </c>
      <c r="L555" s="52">
        <v>120</v>
      </c>
      <c r="M555" s="52"/>
      <c r="N555" s="104">
        <f t="shared" si="141"/>
        <v>200</v>
      </c>
      <c r="O555" s="52">
        <v>160</v>
      </c>
      <c r="P555" s="52"/>
      <c r="Q555" s="52">
        <v>320</v>
      </c>
      <c r="R555" s="104">
        <f t="shared" si="140"/>
        <v>480</v>
      </c>
      <c r="S555" s="86">
        <f t="shared" si="142"/>
        <v>680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59887.7</v>
      </c>
      <c r="AF555" s="90">
        <v>6.5000000000000002E-2</v>
      </c>
      <c r="AG555" s="4">
        <f t="shared" si="135"/>
        <v>3892.7004999999999</v>
      </c>
      <c r="AH555" s="49">
        <f t="shared" si="136"/>
        <v>0</v>
      </c>
      <c r="AI555" s="89">
        <f t="shared" si="137"/>
        <v>55994.999499999998</v>
      </c>
      <c r="AJ555" s="91">
        <v>0.18</v>
      </c>
      <c r="AK555" s="5">
        <f t="shared" si="138"/>
        <v>10079.099909999999</v>
      </c>
      <c r="AL555" s="89">
        <f t="shared" si="139"/>
        <v>66074.099409999995</v>
      </c>
      <c r="AP555" s="7"/>
    </row>
    <row r="556" spans="1:42" x14ac:dyDescent="0.35">
      <c r="A556" s="85">
        <v>46220</v>
      </c>
      <c r="B556" s="51" t="s">
        <v>85</v>
      </c>
      <c r="C556" s="97">
        <v>61123995.678571403</v>
      </c>
      <c r="D556" s="97">
        <v>87119.5</v>
      </c>
      <c r="E556" s="48" t="s">
        <v>86</v>
      </c>
      <c r="F556" s="94" t="s">
        <v>87</v>
      </c>
      <c r="G556" s="94" t="s">
        <v>425</v>
      </c>
      <c r="H556" s="94" t="s">
        <v>89</v>
      </c>
      <c r="I556" s="94" t="s">
        <v>528</v>
      </c>
      <c r="J556" s="52"/>
      <c r="K556" s="52">
        <v>160</v>
      </c>
      <c r="L556" s="52">
        <v>160</v>
      </c>
      <c r="M556" s="52"/>
      <c r="N556" s="104">
        <f t="shared" si="141"/>
        <v>320</v>
      </c>
      <c r="O556" s="52">
        <v>120</v>
      </c>
      <c r="P556" s="52"/>
      <c r="Q556" s="52">
        <v>120</v>
      </c>
      <c r="R556" s="104">
        <f t="shared" si="140"/>
        <v>240</v>
      </c>
      <c r="S556" s="86">
        <f t="shared" si="142"/>
        <v>560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57466.400000000001</v>
      </c>
      <c r="AF556" s="90">
        <v>6.5000000000000002E-2</v>
      </c>
      <c r="AG556" s="4">
        <f t="shared" si="135"/>
        <v>3735.3160000000003</v>
      </c>
      <c r="AH556" s="49">
        <f t="shared" si="136"/>
        <v>0</v>
      </c>
      <c r="AI556" s="89">
        <f t="shared" si="137"/>
        <v>53731.084000000003</v>
      </c>
      <c r="AJ556" s="91">
        <v>0.18</v>
      </c>
      <c r="AK556" s="5">
        <f t="shared" si="138"/>
        <v>9671.59512</v>
      </c>
      <c r="AL556" s="89">
        <f t="shared" si="139"/>
        <v>63402.679120000001</v>
      </c>
      <c r="AP556" s="7"/>
    </row>
    <row r="557" spans="1:42" x14ac:dyDescent="0.35">
      <c r="A557" s="85">
        <v>46220</v>
      </c>
      <c r="B557" s="51" t="s">
        <v>85</v>
      </c>
      <c r="C557" s="97">
        <v>61123995.678571403</v>
      </c>
      <c r="D557" s="97">
        <v>87119.5</v>
      </c>
      <c r="E557" s="48" t="s">
        <v>86</v>
      </c>
      <c r="F557" s="94" t="s">
        <v>87</v>
      </c>
      <c r="G557" s="94" t="s">
        <v>532</v>
      </c>
      <c r="H557" s="94" t="s">
        <v>89</v>
      </c>
      <c r="I557" s="94" t="s">
        <v>244</v>
      </c>
      <c r="J557" s="52"/>
      <c r="K557" s="52">
        <v>120</v>
      </c>
      <c r="L557" s="52">
        <v>120</v>
      </c>
      <c r="M557" s="52"/>
      <c r="N557" s="104">
        <f t="shared" si="141"/>
        <v>240</v>
      </c>
      <c r="O557" s="52">
        <v>120</v>
      </c>
      <c r="P557" s="52"/>
      <c r="Q557" s="52">
        <v>120</v>
      </c>
      <c r="R557" s="104">
        <f t="shared" si="140"/>
        <v>240</v>
      </c>
      <c r="S557" s="86">
        <f t="shared" si="142"/>
        <v>480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47458.2</v>
      </c>
      <c r="AF557" s="90">
        <v>6.5000000000000002E-2</v>
      </c>
      <c r="AG557" s="4">
        <f t="shared" si="135"/>
        <v>3084.7829999999999</v>
      </c>
      <c r="AH557" s="49">
        <f t="shared" si="136"/>
        <v>0</v>
      </c>
      <c r="AI557" s="89">
        <f t="shared" si="137"/>
        <v>44373.416999999994</v>
      </c>
      <c r="AJ557" s="91">
        <v>0.18</v>
      </c>
      <c r="AK557" s="5">
        <f t="shared" si="138"/>
        <v>7987.2150599999986</v>
      </c>
      <c r="AL557" s="89">
        <f t="shared" si="139"/>
        <v>52360.632059999989</v>
      </c>
      <c r="AP557" s="7"/>
    </row>
    <row r="558" spans="1:42" x14ac:dyDescent="0.35">
      <c r="A558" s="85">
        <v>46220</v>
      </c>
      <c r="B558" s="51" t="s">
        <v>85</v>
      </c>
      <c r="C558" s="97">
        <v>61123995.678571403</v>
      </c>
      <c r="D558" s="97">
        <v>87119.5</v>
      </c>
      <c r="E558" s="48" t="s">
        <v>86</v>
      </c>
      <c r="F558" s="94" t="s">
        <v>109</v>
      </c>
      <c r="G558" s="94" t="s">
        <v>512</v>
      </c>
      <c r="H558" s="94" t="s">
        <v>460</v>
      </c>
      <c r="I558" s="94" t="s">
        <v>533</v>
      </c>
      <c r="J558" s="52"/>
      <c r="K558" s="52"/>
      <c r="L558" s="52"/>
      <c r="M558" s="52"/>
      <c r="N558" s="104">
        <f t="shared" si="141"/>
        <v>0</v>
      </c>
      <c r="O558" s="52">
        <v>20</v>
      </c>
      <c r="P558" s="52"/>
      <c r="Q558" s="52">
        <v>20</v>
      </c>
      <c r="R558" s="104">
        <f t="shared" si="140"/>
        <v>40</v>
      </c>
      <c r="S558" s="86">
        <f t="shared" si="142"/>
        <v>40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2905.6</v>
      </c>
      <c r="AF558" s="90">
        <v>6.5000000000000002E-2</v>
      </c>
      <c r="AG558" s="4">
        <f t="shared" si="135"/>
        <v>188.864</v>
      </c>
      <c r="AH558" s="49">
        <f t="shared" si="136"/>
        <v>0</v>
      </c>
      <c r="AI558" s="89">
        <f t="shared" si="137"/>
        <v>2716.7359999999999</v>
      </c>
      <c r="AJ558" s="91">
        <v>0.18</v>
      </c>
      <c r="AK558" s="5">
        <f t="shared" si="138"/>
        <v>489.01247999999998</v>
      </c>
      <c r="AL558" s="89">
        <f t="shared" si="139"/>
        <v>3205.7484799999997</v>
      </c>
      <c r="AP558" s="7"/>
    </row>
    <row r="559" spans="1:42" x14ac:dyDescent="0.35">
      <c r="A559" s="85">
        <v>46220</v>
      </c>
      <c r="B559" s="51" t="s">
        <v>85</v>
      </c>
      <c r="C559" s="97">
        <v>61123995.678571403</v>
      </c>
      <c r="D559" s="97">
        <v>87119.5</v>
      </c>
      <c r="E559" s="48" t="s">
        <v>86</v>
      </c>
      <c r="F559" s="94" t="s">
        <v>108</v>
      </c>
      <c r="G559" s="94" t="s">
        <v>230</v>
      </c>
      <c r="H559" s="94" t="s">
        <v>460</v>
      </c>
      <c r="I559" s="94" t="s">
        <v>534</v>
      </c>
      <c r="J559" s="52"/>
      <c r="K559" s="52"/>
      <c r="L559" s="52"/>
      <c r="M559" s="52"/>
      <c r="N559" s="104">
        <f t="shared" si="141"/>
        <v>0</v>
      </c>
      <c r="O559" s="52">
        <v>40</v>
      </c>
      <c r="P559" s="52"/>
      <c r="Q559" s="52">
        <v>40</v>
      </c>
      <c r="R559" s="104">
        <f t="shared" si="140"/>
        <v>80</v>
      </c>
      <c r="S559" s="86">
        <f t="shared" si="142"/>
        <v>80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5811.2</v>
      </c>
      <c r="AF559" s="90">
        <v>6.5000000000000002E-2</v>
      </c>
      <c r="AG559" s="4">
        <f t="shared" si="135"/>
        <v>377.72800000000001</v>
      </c>
      <c r="AH559" s="49">
        <f t="shared" si="136"/>
        <v>0</v>
      </c>
      <c r="AI559" s="89">
        <f t="shared" si="137"/>
        <v>5433.4719999999998</v>
      </c>
      <c r="AJ559" s="91">
        <v>0.18</v>
      </c>
      <c r="AK559" s="5">
        <f t="shared" si="138"/>
        <v>978.02495999999996</v>
      </c>
      <c r="AL559" s="89">
        <f t="shared" si="139"/>
        <v>6411.4969599999995</v>
      </c>
      <c r="AP559" s="7"/>
    </row>
    <row r="560" spans="1:42" x14ac:dyDescent="0.35">
      <c r="A560" s="85">
        <v>46220</v>
      </c>
      <c r="B560" s="51" t="s">
        <v>85</v>
      </c>
      <c r="C560" s="97">
        <v>61123995.678571403</v>
      </c>
      <c r="D560" s="97">
        <v>87119.5</v>
      </c>
      <c r="E560" s="48" t="s">
        <v>86</v>
      </c>
      <c r="F560" s="94" t="s">
        <v>108</v>
      </c>
      <c r="G560" s="94" t="s">
        <v>463</v>
      </c>
      <c r="H560" s="94" t="s">
        <v>112</v>
      </c>
      <c r="I560" s="94" t="s">
        <v>536</v>
      </c>
      <c r="J560" s="52">
        <v>40</v>
      </c>
      <c r="K560" s="52"/>
      <c r="L560" s="52"/>
      <c r="M560" s="52"/>
      <c r="N560" s="104">
        <f t="shared" si="141"/>
        <v>0</v>
      </c>
      <c r="O560" s="52">
        <v>40</v>
      </c>
      <c r="P560" s="52"/>
      <c r="Q560" s="52">
        <v>40</v>
      </c>
      <c r="R560" s="104">
        <f t="shared" si="140"/>
        <v>80</v>
      </c>
      <c r="S560" s="86">
        <f t="shared" si="142"/>
        <v>120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10287.599999999999</v>
      </c>
      <c r="AF560" s="90">
        <v>6.5000000000000002E-2</v>
      </c>
      <c r="AG560" s="4">
        <f t="shared" si="135"/>
        <v>668.69399999999996</v>
      </c>
      <c r="AH560" s="49">
        <f t="shared" si="136"/>
        <v>54.978000000000009</v>
      </c>
      <c r="AI560" s="89">
        <f t="shared" si="137"/>
        <v>9618.905999999999</v>
      </c>
      <c r="AJ560" s="91">
        <v>0.18</v>
      </c>
      <c r="AK560" s="5">
        <f t="shared" si="138"/>
        <v>1731.4030799999998</v>
      </c>
      <c r="AL560" s="89">
        <f t="shared" si="139"/>
        <v>11350.309079999999</v>
      </c>
      <c r="AP560" s="7"/>
    </row>
    <row r="561" spans="1:42" x14ac:dyDescent="0.35">
      <c r="A561" s="85">
        <v>46220</v>
      </c>
      <c r="B561" s="51" t="s">
        <v>85</v>
      </c>
      <c r="C561" s="97">
        <v>61123995.678571403</v>
      </c>
      <c r="D561" s="97">
        <v>87119.5</v>
      </c>
      <c r="E561" s="48" t="s">
        <v>86</v>
      </c>
      <c r="F561" s="94" t="s">
        <v>108</v>
      </c>
      <c r="G561" s="94" t="s">
        <v>494</v>
      </c>
      <c r="H561" s="94" t="s">
        <v>112</v>
      </c>
      <c r="I561" s="94" t="s">
        <v>536</v>
      </c>
      <c r="J561" s="52"/>
      <c r="K561" s="52">
        <v>20</v>
      </c>
      <c r="L561" s="52">
        <v>20</v>
      </c>
      <c r="M561" s="52"/>
      <c r="N561" s="104">
        <f t="shared" si="141"/>
        <v>40</v>
      </c>
      <c r="O561" s="52"/>
      <c r="P561" s="52"/>
      <c r="Q561" s="52"/>
      <c r="R561" s="104">
        <f t="shared" si="140"/>
        <v>0</v>
      </c>
      <c r="S561" s="86">
        <f t="shared" si="142"/>
        <v>40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5004.1000000000004</v>
      </c>
      <c r="AF561" s="90">
        <v>6.5000000000000002E-2</v>
      </c>
      <c r="AG561" s="4">
        <f t="shared" si="135"/>
        <v>325.26650000000001</v>
      </c>
      <c r="AH561" s="49">
        <f t="shared" si="136"/>
        <v>0</v>
      </c>
      <c r="AI561" s="89">
        <f t="shared" si="137"/>
        <v>4678.8335000000006</v>
      </c>
      <c r="AJ561" s="91">
        <v>0.18</v>
      </c>
      <c r="AK561" s="5">
        <f t="shared" si="138"/>
        <v>842.19003000000009</v>
      </c>
      <c r="AL561" s="89">
        <f t="shared" si="139"/>
        <v>5521.0235300000004</v>
      </c>
      <c r="AP561" s="7"/>
    </row>
    <row r="562" spans="1:42" x14ac:dyDescent="0.35">
      <c r="A562" s="85">
        <v>46220</v>
      </c>
      <c r="B562" s="51" t="s">
        <v>85</v>
      </c>
      <c r="C562" s="97">
        <v>61123995.678571403</v>
      </c>
      <c r="D562" s="97">
        <v>87119.5</v>
      </c>
      <c r="E562" s="48" t="s">
        <v>86</v>
      </c>
      <c r="F562" s="94" t="s">
        <v>108</v>
      </c>
      <c r="G562" s="94" t="s">
        <v>535</v>
      </c>
      <c r="H562" s="94" t="s">
        <v>112</v>
      </c>
      <c r="I562" s="94" t="s">
        <v>536</v>
      </c>
      <c r="J562" s="52">
        <v>12</v>
      </c>
      <c r="K562" s="52"/>
      <c r="L562" s="52"/>
      <c r="M562" s="52"/>
      <c r="N562" s="104">
        <f t="shared" si="141"/>
        <v>0</v>
      </c>
      <c r="O562" s="52">
        <v>12</v>
      </c>
      <c r="P562" s="52"/>
      <c r="Q562" s="52">
        <v>12</v>
      </c>
      <c r="R562" s="104">
        <f t="shared" si="140"/>
        <v>24</v>
      </c>
      <c r="S562" s="86">
        <f t="shared" si="142"/>
        <v>36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859" si="143">(J562*AB562)+(N562*AC562)+(AD562*S562)</f>
        <v>3086.2799999999997</v>
      </c>
      <c r="AF562" s="90">
        <v>6.5000000000000002E-2</v>
      </c>
      <c r="AG562" s="4">
        <f t="shared" ref="AG562:AG859" si="144">AE562*AF562</f>
        <v>200.60819999999998</v>
      </c>
      <c r="AH562" s="49">
        <f t="shared" ref="AH562:AH859" si="145">(AB562*J562)*$AH$1</f>
        <v>16.493400000000001</v>
      </c>
      <c r="AI562" s="89">
        <f t="shared" ref="AI562:AI859" si="146">AE562-AG562</f>
        <v>2885.6717999999996</v>
      </c>
      <c r="AJ562" s="91">
        <v>0.18</v>
      </c>
      <c r="AK562" s="5">
        <f t="shared" ref="AK562:AK859" si="147">AI562*AJ562</f>
        <v>519.4209239999999</v>
      </c>
      <c r="AL562" s="89">
        <f t="shared" ref="AL562:AL859" si="148">AI562+AK562</f>
        <v>3405.0927239999996</v>
      </c>
      <c r="AP562" s="7"/>
    </row>
    <row r="563" spans="1:42" x14ac:dyDescent="0.35">
      <c r="A563" s="85">
        <v>46220</v>
      </c>
      <c r="B563" s="51" t="s">
        <v>85</v>
      </c>
      <c r="C563" s="97">
        <v>61123995.678571403</v>
      </c>
      <c r="D563" s="97">
        <v>87119.5</v>
      </c>
      <c r="E563" s="48" t="s">
        <v>86</v>
      </c>
      <c r="F563" s="94" t="s">
        <v>108</v>
      </c>
      <c r="G563" s="94" t="s">
        <v>203</v>
      </c>
      <c r="H563" s="94" t="s">
        <v>112</v>
      </c>
      <c r="I563" s="94" t="s">
        <v>536</v>
      </c>
      <c r="J563" s="52">
        <v>40</v>
      </c>
      <c r="K563" s="52">
        <v>20</v>
      </c>
      <c r="L563" s="52">
        <v>20</v>
      </c>
      <c r="M563" s="52"/>
      <c r="N563" s="104">
        <f t="shared" si="141"/>
        <v>40</v>
      </c>
      <c r="O563" s="52">
        <v>20</v>
      </c>
      <c r="P563" s="52"/>
      <c r="Q563" s="52">
        <v>40</v>
      </c>
      <c r="R563" s="104">
        <f t="shared" si="140"/>
        <v>60</v>
      </c>
      <c r="S563" s="86">
        <f t="shared" si="142"/>
        <v>140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13838.900000000001</v>
      </c>
      <c r="AF563" s="90">
        <v>6.5000000000000002E-2</v>
      </c>
      <c r="AG563" s="4">
        <f t="shared" si="144"/>
        <v>899.52850000000012</v>
      </c>
      <c r="AH563" s="49">
        <f t="shared" si="145"/>
        <v>54.978000000000009</v>
      </c>
      <c r="AI563" s="89">
        <f t="shared" si="146"/>
        <v>12939.371500000001</v>
      </c>
      <c r="AJ563" s="91">
        <v>0.18</v>
      </c>
      <c r="AK563" s="5">
        <f t="shared" si="147"/>
        <v>2329.0868700000001</v>
      </c>
      <c r="AL563" s="89">
        <f t="shared" si="148"/>
        <v>15268.45837</v>
      </c>
      <c r="AP563" s="7"/>
    </row>
    <row r="564" spans="1:42" x14ac:dyDescent="0.35">
      <c r="A564" s="85">
        <v>46220</v>
      </c>
      <c r="B564" s="51" t="s">
        <v>85</v>
      </c>
      <c r="C564" s="97">
        <v>61123995.678571403</v>
      </c>
      <c r="D564" s="97">
        <v>87119.5</v>
      </c>
      <c r="E564" s="48" t="s">
        <v>86</v>
      </c>
      <c r="F564" s="94" t="s">
        <v>108</v>
      </c>
      <c r="G564" s="94" t="s">
        <v>537</v>
      </c>
      <c r="H564" s="94" t="s">
        <v>433</v>
      </c>
      <c r="I564" s="94" t="s">
        <v>544</v>
      </c>
      <c r="J564" s="52">
        <v>200</v>
      </c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200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22382</v>
      </c>
      <c r="AF564" s="90">
        <v>6.5000000000000002E-2</v>
      </c>
      <c r="AG564" s="4">
        <f t="shared" si="144"/>
        <v>1454.8300000000002</v>
      </c>
      <c r="AH564" s="49">
        <f t="shared" si="145"/>
        <v>274.89000000000004</v>
      </c>
      <c r="AI564" s="89">
        <f t="shared" si="146"/>
        <v>20927.169999999998</v>
      </c>
      <c r="AJ564" s="91">
        <v>0.18</v>
      </c>
      <c r="AK564" s="5">
        <f t="shared" si="147"/>
        <v>3766.8905999999997</v>
      </c>
      <c r="AL564" s="89">
        <f t="shared" si="148"/>
        <v>24694.060599999997</v>
      </c>
      <c r="AP564" s="7"/>
    </row>
    <row r="565" spans="1:42" x14ac:dyDescent="0.35">
      <c r="A565" s="85">
        <v>46220</v>
      </c>
      <c r="B565" s="51" t="s">
        <v>85</v>
      </c>
      <c r="C565" s="97">
        <v>61123995.678571403</v>
      </c>
      <c r="D565" s="97">
        <v>87119.5</v>
      </c>
      <c r="E565" s="48" t="s">
        <v>86</v>
      </c>
      <c r="F565" s="94" t="s">
        <v>108</v>
      </c>
      <c r="G565" s="94" t="s">
        <v>538</v>
      </c>
      <c r="H565" s="94" t="s">
        <v>433</v>
      </c>
      <c r="I565" s="94" t="s">
        <v>544</v>
      </c>
      <c r="J565" s="52">
        <v>40</v>
      </c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40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4476.3999999999996</v>
      </c>
      <c r="AF565" s="90">
        <v>6.5000000000000002E-2</v>
      </c>
      <c r="AG565" s="4">
        <f t="shared" si="144"/>
        <v>290.96600000000001</v>
      </c>
      <c r="AH565" s="49">
        <f t="shared" si="145"/>
        <v>54.978000000000009</v>
      </c>
      <c r="AI565" s="89">
        <f t="shared" si="146"/>
        <v>4185.4339999999993</v>
      </c>
      <c r="AJ565" s="91">
        <v>0.18</v>
      </c>
      <c r="AK565" s="5">
        <f t="shared" si="147"/>
        <v>753.37811999999985</v>
      </c>
      <c r="AL565" s="89">
        <f t="shared" si="148"/>
        <v>4938.8121199999987</v>
      </c>
      <c r="AP565" s="7"/>
    </row>
    <row r="566" spans="1:42" x14ac:dyDescent="0.35">
      <c r="A566" s="85">
        <v>46220</v>
      </c>
      <c r="B566" s="51" t="s">
        <v>85</v>
      </c>
      <c r="C566" s="97">
        <v>61123995.678571403</v>
      </c>
      <c r="D566" s="97">
        <v>87119.5</v>
      </c>
      <c r="E566" s="48" t="s">
        <v>86</v>
      </c>
      <c r="F566" s="94" t="s">
        <v>108</v>
      </c>
      <c r="G566" s="94" t="s">
        <v>539</v>
      </c>
      <c r="H566" s="94" t="s">
        <v>433</v>
      </c>
      <c r="I566" s="94" t="s">
        <v>544</v>
      </c>
      <c r="J566" s="52">
        <v>20</v>
      </c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20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2238.1999999999998</v>
      </c>
      <c r="AF566" s="90">
        <v>6.5000000000000002E-2</v>
      </c>
      <c r="AG566" s="4">
        <f t="shared" si="144"/>
        <v>145.483</v>
      </c>
      <c r="AH566" s="49">
        <f t="shared" si="145"/>
        <v>27.489000000000004</v>
      </c>
      <c r="AI566" s="89">
        <f t="shared" si="146"/>
        <v>2092.7169999999996</v>
      </c>
      <c r="AJ566" s="91">
        <v>0.18</v>
      </c>
      <c r="AK566" s="5">
        <f t="shared" si="147"/>
        <v>376.68905999999993</v>
      </c>
      <c r="AL566" s="89">
        <f t="shared" si="148"/>
        <v>2469.4060599999993</v>
      </c>
      <c r="AP566" s="7"/>
    </row>
    <row r="567" spans="1:42" x14ac:dyDescent="0.35">
      <c r="A567" s="85">
        <v>46220</v>
      </c>
      <c r="B567" s="51" t="s">
        <v>85</v>
      </c>
      <c r="C567" s="97">
        <v>61123995.678571403</v>
      </c>
      <c r="D567" s="97">
        <v>87119.5</v>
      </c>
      <c r="E567" s="48" t="s">
        <v>86</v>
      </c>
      <c r="F567" s="94" t="s">
        <v>108</v>
      </c>
      <c r="G567" s="94" t="s">
        <v>275</v>
      </c>
      <c r="H567" s="94" t="s">
        <v>433</v>
      </c>
      <c r="I567" s="94" t="s">
        <v>544</v>
      </c>
      <c r="J567" s="52"/>
      <c r="K567" s="52"/>
      <c r="L567" s="52"/>
      <c r="M567" s="52"/>
      <c r="N567" s="104">
        <f t="shared" si="141"/>
        <v>0</v>
      </c>
      <c r="O567" s="52">
        <v>6</v>
      </c>
      <c r="P567" s="52"/>
      <c r="Q567" s="52"/>
      <c r="R567" s="104">
        <f t="shared" si="140"/>
        <v>6</v>
      </c>
      <c r="S567" s="86">
        <f t="shared" si="142"/>
        <v>6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435.84000000000003</v>
      </c>
      <c r="AF567" s="90">
        <v>6.5000000000000002E-2</v>
      </c>
      <c r="AG567" s="4">
        <f t="shared" si="144"/>
        <v>28.329600000000003</v>
      </c>
      <c r="AH567" s="49">
        <f t="shared" si="145"/>
        <v>0</v>
      </c>
      <c r="AI567" s="89">
        <f t="shared" si="146"/>
        <v>407.5104</v>
      </c>
      <c r="AJ567" s="91">
        <v>0.18</v>
      </c>
      <c r="AK567" s="5">
        <f t="shared" si="147"/>
        <v>73.351872</v>
      </c>
      <c r="AL567" s="89">
        <f t="shared" si="148"/>
        <v>480.86227200000002</v>
      </c>
      <c r="AP567" s="7"/>
    </row>
    <row r="568" spans="1:42" x14ac:dyDescent="0.35">
      <c r="A568" s="85">
        <v>46220</v>
      </c>
      <c r="B568" s="51" t="s">
        <v>85</v>
      </c>
      <c r="C568" s="97">
        <v>61123995.678571403</v>
      </c>
      <c r="D568" s="97">
        <v>87119.5</v>
      </c>
      <c r="E568" s="48" t="s">
        <v>86</v>
      </c>
      <c r="F568" s="94" t="s">
        <v>108</v>
      </c>
      <c r="G568" s="94" t="s">
        <v>360</v>
      </c>
      <c r="H568" s="94" t="s">
        <v>433</v>
      </c>
      <c r="I568" s="94" t="s">
        <v>544</v>
      </c>
      <c r="J568" s="52"/>
      <c r="K568" s="52"/>
      <c r="L568" s="52"/>
      <c r="M568" s="52"/>
      <c r="N568" s="104">
        <f t="shared" si="141"/>
        <v>0</v>
      </c>
      <c r="O568" s="52">
        <v>40</v>
      </c>
      <c r="P568" s="52"/>
      <c r="Q568" s="52">
        <v>40</v>
      </c>
      <c r="R568" s="104">
        <f t="shared" si="140"/>
        <v>80</v>
      </c>
      <c r="S568" s="86">
        <f t="shared" si="142"/>
        <v>80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5811.2</v>
      </c>
      <c r="AF568" s="90">
        <v>6.5000000000000002E-2</v>
      </c>
      <c r="AG568" s="4">
        <f t="shared" si="144"/>
        <v>377.72800000000001</v>
      </c>
      <c r="AH568" s="49">
        <f t="shared" si="145"/>
        <v>0</v>
      </c>
      <c r="AI568" s="89">
        <f t="shared" si="146"/>
        <v>5433.4719999999998</v>
      </c>
      <c r="AJ568" s="91">
        <v>0.18</v>
      </c>
      <c r="AK568" s="5">
        <f t="shared" si="147"/>
        <v>978.02495999999996</v>
      </c>
      <c r="AL568" s="89">
        <f t="shared" si="148"/>
        <v>6411.4969599999995</v>
      </c>
      <c r="AP568" s="7"/>
    </row>
    <row r="569" spans="1:42" x14ac:dyDescent="0.35">
      <c r="A569" s="85">
        <v>46220</v>
      </c>
      <c r="B569" s="51" t="s">
        <v>85</v>
      </c>
      <c r="C569" s="97">
        <v>61123995.678571403</v>
      </c>
      <c r="D569" s="97">
        <v>87119.5</v>
      </c>
      <c r="E569" s="48" t="s">
        <v>86</v>
      </c>
      <c r="F569" s="94" t="s">
        <v>108</v>
      </c>
      <c r="G569" s="94" t="s">
        <v>540</v>
      </c>
      <c r="H569" s="94" t="s">
        <v>433</v>
      </c>
      <c r="I569" s="94" t="s">
        <v>544</v>
      </c>
      <c r="J569" s="52">
        <v>20</v>
      </c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20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2238.1999999999998</v>
      </c>
      <c r="AF569" s="90">
        <v>6.5000000000000002E-2</v>
      </c>
      <c r="AG569" s="4">
        <f t="shared" si="144"/>
        <v>145.483</v>
      </c>
      <c r="AH569" s="49">
        <f t="shared" si="145"/>
        <v>27.489000000000004</v>
      </c>
      <c r="AI569" s="89">
        <f t="shared" si="146"/>
        <v>2092.7169999999996</v>
      </c>
      <c r="AJ569" s="91">
        <v>0.18</v>
      </c>
      <c r="AK569" s="5">
        <f t="shared" si="147"/>
        <v>376.68905999999993</v>
      </c>
      <c r="AL569" s="89">
        <f t="shared" si="148"/>
        <v>2469.4060599999993</v>
      </c>
      <c r="AP569" s="7"/>
    </row>
    <row r="570" spans="1:42" x14ac:dyDescent="0.35">
      <c r="A570" s="85">
        <v>46220</v>
      </c>
      <c r="B570" s="51" t="s">
        <v>85</v>
      </c>
      <c r="C570" s="97">
        <v>61123995.678571403</v>
      </c>
      <c r="D570" s="97">
        <v>87119.5</v>
      </c>
      <c r="E570" s="48" t="s">
        <v>86</v>
      </c>
      <c r="F570" s="94" t="s">
        <v>108</v>
      </c>
      <c r="G570" s="94" t="s">
        <v>339</v>
      </c>
      <c r="H570" s="94" t="s">
        <v>433</v>
      </c>
      <c r="I570" s="94" t="s">
        <v>544</v>
      </c>
      <c r="J570" s="52">
        <v>40</v>
      </c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40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4476.3999999999996</v>
      </c>
      <c r="AF570" s="90">
        <v>6.5000000000000002E-2</v>
      </c>
      <c r="AG570" s="4">
        <f t="shared" si="144"/>
        <v>290.96600000000001</v>
      </c>
      <c r="AH570" s="49">
        <f t="shared" si="145"/>
        <v>54.978000000000009</v>
      </c>
      <c r="AI570" s="89">
        <f t="shared" si="146"/>
        <v>4185.4339999999993</v>
      </c>
      <c r="AJ570" s="91">
        <v>0.18</v>
      </c>
      <c r="AK570" s="5">
        <f t="shared" si="147"/>
        <v>753.37811999999985</v>
      </c>
      <c r="AL570" s="89">
        <f t="shared" si="148"/>
        <v>4938.8121199999987</v>
      </c>
      <c r="AP570" s="7"/>
    </row>
    <row r="571" spans="1:42" x14ac:dyDescent="0.35">
      <c r="A571" s="85">
        <v>46220</v>
      </c>
      <c r="B571" s="51" t="s">
        <v>85</v>
      </c>
      <c r="C571" s="97">
        <v>61123995.678571403</v>
      </c>
      <c r="D571" s="97">
        <v>87119.5</v>
      </c>
      <c r="E571" s="48" t="s">
        <v>86</v>
      </c>
      <c r="F571" s="94" t="s">
        <v>108</v>
      </c>
      <c r="G571" s="94" t="s">
        <v>541</v>
      </c>
      <c r="H571" s="94" t="s">
        <v>433</v>
      </c>
      <c r="I571" s="94" t="s">
        <v>544</v>
      </c>
      <c r="J571" s="52">
        <v>40</v>
      </c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40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4476.3999999999996</v>
      </c>
      <c r="AF571" s="90">
        <v>6.5000000000000002E-2</v>
      </c>
      <c r="AG571" s="4">
        <f t="shared" si="144"/>
        <v>290.96600000000001</v>
      </c>
      <c r="AH571" s="49">
        <f t="shared" si="145"/>
        <v>54.978000000000009</v>
      </c>
      <c r="AI571" s="89">
        <f t="shared" si="146"/>
        <v>4185.4339999999993</v>
      </c>
      <c r="AJ571" s="91">
        <v>0.18</v>
      </c>
      <c r="AK571" s="5">
        <f t="shared" si="147"/>
        <v>753.37811999999985</v>
      </c>
      <c r="AL571" s="89">
        <f t="shared" si="148"/>
        <v>4938.8121199999987</v>
      </c>
      <c r="AP571" s="7"/>
    </row>
    <row r="572" spans="1:42" x14ac:dyDescent="0.35">
      <c r="A572" s="85">
        <v>46220</v>
      </c>
      <c r="B572" s="51" t="s">
        <v>85</v>
      </c>
      <c r="C572" s="97">
        <v>61123995.678571403</v>
      </c>
      <c r="D572" s="97">
        <v>87119.5</v>
      </c>
      <c r="E572" s="48" t="s">
        <v>86</v>
      </c>
      <c r="F572" s="94" t="s">
        <v>108</v>
      </c>
      <c r="G572" s="94" t="s">
        <v>542</v>
      </c>
      <c r="H572" s="94" t="s">
        <v>433</v>
      </c>
      <c r="I572" s="94" t="s">
        <v>544</v>
      </c>
      <c r="J572" s="52">
        <v>20</v>
      </c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20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2238.1999999999998</v>
      </c>
      <c r="AF572" s="90">
        <v>6.5000000000000002E-2</v>
      </c>
      <c r="AG572" s="4">
        <f t="shared" si="144"/>
        <v>145.483</v>
      </c>
      <c r="AH572" s="49">
        <f t="shared" si="145"/>
        <v>27.489000000000004</v>
      </c>
      <c r="AI572" s="89">
        <f t="shared" si="146"/>
        <v>2092.7169999999996</v>
      </c>
      <c r="AJ572" s="91">
        <v>0.18</v>
      </c>
      <c r="AK572" s="5">
        <f t="shared" si="147"/>
        <v>376.68905999999993</v>
      </c>
      <c r="AL572" s="89">
        <f t="shared" si="148"/>
        <v>2469.4060599999993</v>
      </c>
      <c r="AP572" s="7"/>
    </row>
    <row r="573" spans="1:42" x14ac:dyDescent="0.35">
      <c r="A573" s="85">
        <v>46220</v>
      </c>
      <c r="B573" s="51" t="s">
        <v>85</v>
      </c>
      <c r="C573" s="97">
        <v>61123995.678571403</v>
      </c>
      <c r="D573" s="97">
        <v>87119.5</v>
      </c>
      <c r="E573" s="48" t="s">
        <v>86</v>
      </c>
      <c r="F573" s="94" t="s">
        <v>108</v>
      </c>
      <c r="G573" s="94" t="s">
        <v>543</v>
      </c>
      <c r="H573" s="94" t="s">
        <v>433</v>
      </c>
      <c r="I573" s="94" t="s">
        <v>544</v>
      </c>
      <c r="J573" s="52">
        <v>80</v>
      </c>
      <c r="K573" s="52"/>
      <c r="L573" s="52"/>
      <c r="M573" s="52"/>
      <c r="N573" s="104">
        <f t="shared" si="141"/>
        <v>0</v>
      </c>
      <c r="O573" s="52">
        <v>40</v>
      </c>
      <c r="P573" s="52"/>
      <c r="Q573" s="52">
        <v>40</v>
      </c>
      <c r="R573" s="104">
        <f t="shared" si="140"/>
        <v>80</v>
      </c>
      <c r="S573" s="86">
        <f t="shared" si="142"/>
        <v>160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14764</v>
      </c>
      <c r="AF573" s="90">
        <v>6.5000000000000002E-2</v>
      </c>
      <c r="AG573" s="4">
        <f t="shared" si="144"/>
        <v>959.66000000000008</v>
      </c>
      <c r="AH573" s="49">
        <f t="shared" si="145"/>
        <v>109.95600000000002</v>
      </c>
      <c r="AI573" s="89">
        <f t="shared" si="146"/>
        <v>13804.34</v>
      </c>
      <c r="AJ573" s="91">
        <v>0.18</v>
      </c>
      <c r="AK573" s="5">
        <f t="shared" si="147"/>
        <v>2484.7811999999999</v>
      </c>
      <c r="AL573" s="89">
        <f t="shared" si="148"/>
        <v>16289.1212</v>
      </c>
      <c r="AP573" s="7"/>
    </row>
    <row r="574" spans="1:42" x14ac:dyDescent="0.35">
      <c r="A574" s="85">
        <v>46220</v>
      </c>
      <c r="B574" s="51" t="s">
        <v>85</v>
      </c>
      <c r="C574" s="97">
        <v>61123995.678571403</v>
      </c>
      <c r="D574" s="97">
        <v>87119.5</v>
      </c>
      <c r="E574" s="48" t="s">
        <v>86</v>
      </c>
      <c r="F574" s="94" t="s">
        <v>108</v>
      </c>
      <c r="G574" s="94" t="s">
        <v>146</v>
      </c>
      <c r="H574" s="94" t="s">
        <v>129</v>
      </c>
      <c r="I574" s="94" t="s">
        <v>558</v>
      </c>
      <c r="J574" s="52">
        <v>10</v>
      </c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10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1119.0999999999999</v>
      </c>
      <c r="AF574" s="90">
        <v>6.5000000000000002E-2</v>
      </c>
      <c r="AG574" s="4">
        <f t="shared" si="144"/>
        <v>72.741500000000002</v>
      </c>
      <c r="AH574" s="49">
        <f t="shared" si="145"/>
        <v>13.744500000000002</v>
      </c>
      <c r="AI574" s="89">
        <f t="shared" si="146"/>
        <v>1046.3584999999998</v>
      </c>
      <c r="AJ574" s="91">
        <v>0.18</v>
      </c>
      <c r="AK574" s="5">
        <f t="shared" si="147"/>
        <v>188.34452999999996</v>
      </c>
      <c r="AL574" s="89">
        <f t="shared" si="148"/>
        <v>1234.7030299999997</v>
      </c>
      <c r="AP574" s="7"/>
    </row>
    <row r="575" spans="1:42" x14ac:dyDescent="0.35">
      <c r="A575" s="85">
        <v>46220</v>
      </c>
      <c r="B575" s="51" t="s">
        <v>85</v>
      </c>
      <c r="C575" s="97">
        <v>61123995.678571403</v>
      </c>
      <c r="D575" s="97">
        <v>87119.5</v>
      </c>
      <c r="E575" s="48" t="s">
        <v>86</v>
      </c>
      <c r="F575" s="94" t="s">
        <v>108</v>
      </c>
      <c r="G575" s="94" t="s">
        <v>169</v>
      </c>
      <c r="H575" s="94" t="s">
        <v>129</v>
      </c>
      <c r="I575" s="94" t="s">
        <v>558</v>
      </c>
      <c r="J575" s="52"/>
      <c r="K575" s="52"/>
      <c r="L575" s="52"/>
      <c r="M575" s="52"/>
      <c r="N575" s="104">
        <f t="shared" si="141"/>
        <v>0</v>
      </c>
      <c r="O575" s="52">
        <v>10</v>
      </c>
      <c r="P575" s="52"/>
      <c r="Q575" s="52"/>
      <c r="R575" s="104">
        <f t="shared" si="140"/>
        <v>10</v>
      </c>
      <c r="S575" s="86">
        <f t="shared" si="142"/>
        <v>10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726.4</v>
      </c>
      <c r="AF575" s="90">
        <v>6.5000000000000002E-2</v>
      </c>
      <c r="AG575" s="4">
        <f t="shared" si="144"/>
        <v>47.216000000000001</v>
      </c>
      <c r="AH575" s="49">
        <f t="shared" si="145"/>
        <v>0</v>
      </c>
      <c r="AI575" s="89">
        <f t="shared" si="146"/>
        <v>679.18399999999997</v>
      </c>
      <c r="AJ575" s="91">
        <v>0.18</v>
      </c>
      <c r="AK575" s="5">
        <f t="shared" si="147"/>
        <v>122.25312</v>
      </c>
      <c r="AL575" s="89">
        <f t="shared" si="148"/>
        <v>801.43711999999994</v>
      </c>
      <c r="AP575" s="7"/>
    </row>
    <row r="576" spans="1:42" x14ac:dyDescent="0.35">
      <c r="A576" s="85">
        <v>46220</v>
      </c>
      <c r="B576" s="51" t="s">
        <v>85</v>
      </c>
      <c r="C576" s="97">
        <v>61123995.678571403</v>
      </c>
      <c r="D576" s="97">
        <v>87119.5</v>
      </c>
      <c r="E576" s="48" t="s">
        <v>86</v>
      </c>
      <c r="F576" s="94" t="s">
        <v>108</v>
      </c>
      <c r="G576" s="94" t="s">
        <v>545</v>
      </c>
      <c r="H576" s="94" t="s">
        <v>129</v>
      </c>
      <c r="I576" s="94" t="s">
        <v>558</v>
      </c>
      <c r="J576" s="52">
        <v>24</v>
      </c>
      <c r="K576" s="52"/>
      <c r="L576" s="52"/>
      <c r="M576" s="52"/>
      <c r="N576" s="104">
        <f t="shared" si="141"/>
        <v>0</v>
      </c>
      <c r="O576" s="52">
        <v>20</v>
      </c>
      <c r="P576" s="52"/>
      <c r="Q576" s="52">
        <v>20</v>
      </c>
      <c r="R576" s="104">
        <f t="shared" si="140"/>
        <v>40</v>
      </c>
      <c r="S576" s="86">
        <f t="shared" si="142"/>
        <v>64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5591.4400000000005</v>
      </c>
      <c r="AF576" s="90">
        <v>6.5000000000000002E-2</v>
      </c>
      <c r="AG576" s="4">
        <f t="shared" si="144"/>
        <v>363.44360000000006</v>
      </c>
      <c r="AH576" s="49">
        <f t="shared" si="145"/>
        <v>32.986800000000002</v>
      </c>
      <c r="AI576" s="89">
        <f t="shared" si="146"/>
        <v>5227.9964</v>
      </c>
      <c r="AJ576" s="91">
        <v>0.18</v>
      </c>
      <c r="AK576" s="5">
        <f t="shared" si="147"/>
        <v>941.03935200000001</v>
      </c>
      <c r="AL576" s="89">
        <f t="shared" si="148"/>
        <v>6169.0357519999998</v>
      </c>
      <c r="AP576" s="7"/>
    </row>
    <row r="577" spans="1:42" x14ac:dyDescent="0.35">
      <c r="A577" s="85">
        <v>46220</v>
      </c>
      <c r="B577" s="51" t="s">
        <v>85</v>
      </c>
      <c r="C577" s="97">
        <v>61123995.678571403</v>
      </c>
      <c r="D577" s="97">
        <v>87119.5</v>
      </c>
      <c r="E577" s="48" t="s">
        <v>86</v>
      </c>
      <c r="F577" s="94" t="s">
        <v>108</v>
      </c>
      <c r="G577" s="94" t="s">
        <v>546</v>
      </c>
      <c r="H577" s="94" t="s">
        <v>129</v>
      </c>
      <c r="I577" s="94" t="s">
        <v>558</v>
      </c>
      <c r="J577" s="52"/>
      <c r="K577" s="52"/>
      <c r="L577" s="52"/>
      <c r="M577" s="52"/>
      <c r="N577" s="104">
        <f t="shared" si="141"/>
        <v>0</v>
      </c>
      <c r="O577" s="52">
        <v>6</v>
      </c>
      <c r="P577" s="52"/>
      <c r="Q577" s="52">
        <v>12</v>
      </c>
      <c r="R577" s="104">
        <f t="shared" si="140"/>
        <v>18</v>
      </c>
      <c r="S577" s="86">
        <f t="shared" si="142"/>
        <v>18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1307.52</v>
      </c>
      <c r="AF577" s="90">
        <v>6.5000000000000002E-2</v>
      </c>
      <c r="AG577" s="4">
        <f t="shared" si="144"/>
        <v>84.988799999999998</v>
      </c>
      <c r="AH577" s="49">
        <f t="shared" si="145"/>
        <v>0</v>
      </c>
      <c r="AI577" s="89">
        <f t="shared" si="146"/>
        <v>1222.5311999999999</v>
      </c>
      <c r="AJ577" s="91">
        <v>0.18</v>
      </c>
      <c r="AK577" s="5">
        <f t="shared" si="147"/>
        <v>220.05561599999999</v>
      </c>
      <c r="AL577" s="89">
        <f t="shared" si="148"/>
        <v>1442.586816</v>
      </c>
      <c r="AP577" s="7"/>
    </row>
    <row r="578" spans="1:42" x14ac:dyDescent="0.35">
      <c r="A578" s="85">
        <v>46220</v>
      </c>
      <c r="B578" s="51" t="s">
        <v>85</v>
      </c>
      <c r="C578" s="97">
        <v>61123995.678571403</v>
      </c>
      <c r="D578" s="97">
        <v>87119.5</v>
      </c>
      <c r="E578" s="48" t="s">
        <v>86</v>
      </c>
      <c r="F578" s="94" t="s">
        <v>108</v>
      </c>
      <c r="G578" s="94" t="s">
        <v>131</v>
      </c>
      <c r="H578" s="94" t="s">
        <v>129</v>
      </c>
      <c r="I578" s="94" t="s">
        <v>558</v>
      </c>
      <c r="J578" s="52">
        <v>20</v>
      </c>
      <c r="K578" s="52">
        <v>20</v>
      </c>
      <c r="L578" s="52">
        <v>20</v>
      </c>
      <c r="M578" s="52"/>
      <c r="N578" s="104">
        <f t="shared" si="141"/>
        <v>40</v>
      </c>
      <c r="O578" s="52">
        <v>20</v>
      </c>
      <c r="P578" s="52"/>
      <c r="Q578" s="52">
        <v>20</v>
      </c>
      <c r="R578" s="104">
        <f t="shared" si="140"/>
        <v>40</v>
      </c>
      <c r="S578" s="86">
        <f t="shared" si="142"/>
        <v>100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10147.9</v>
      </c>
      <c r="AF578" s="90">
        <v>6.5000000000000002E-2</v>
      </c>
      <c r="AG578" s="4">
        <f t="shared" si="144"/>
        <v>659.61350000000004</v>
      </c>
      <c r="AH578" s="49">
        <f t="shared" si="145"/>
        <v>27.489000000000004</v>
      </c>
      <c r="AI578" s="89">
        <f t="shared" si="146"/>
        <v>9488.2865000000002</v>
      </c>
      <c r="AJ578" s="91">
        <v>0.18</v>
      </c>
      <c r="AK578" s="5">
        <f t="shared" si="147"/>
        <v>1707.89157</v>
      </c>
      <c r="AL578" s="89">
        <f t="shared" si="148"/>
        <v>11196.17807</v>
      </c>
      <c r="AP578" s="7"/>
    </row>
    <row r="579" spans="1:42" x14ac:dyDescent="0.35">
      <c r="A579" s="85">
        <v>46220</v>
      </c>
      <c r="B579" s="51" t="s">
        <v>85</v>
      </c>
      <c r="C579" s="97">
        <v>61123995.678571403</v>
      </c>
      <c r="D579" s="97">
        <v>87119.5</v>
      </c>
      <c r="E579" s="48" t="s">
        <v>86</v>
      </c>
      <c r="F579" s="94" t="s">
        <v>108</v>
      </c>
      <c r="G579" s="94" t="s">
        <v>547</v>
      </c>
      <c r="H579" s="94" t="s">
        <v>129</v>
      </c>
      <c r="I579" s="94" t="s">
        <v>558</v>
      </c>
      <c r="J579" s="52">
        <v>40</v>
      </c>
      <c r="K579" s="52"/>
      <c r="L579" s="52"/>
      <c r="M579" s="52"/>
      <c r="N579" s="104">
        <f t="shared" si="141"/>
        <v>0</v>
      </c>
      <c r="O579" s="52">
        <v>20</v>
      </c>
      <c r="P579" s="52"/>
      <c r="Q579" s="52">
        <v>20</v>
      </c>
      <c r="R579" s="104">
        <f t="shared" si="140"/>
        <v>40</v>
      </c>
      <c r="S579" s="86">
        <f t="shared" si="142"/>
        <v>80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7382</v>
      </c>
      <c r="AF579" s="90">
        <v>6.5000000000000002E-2</v>
      </c>
      <c r="AG579" s="4">
        <f t="shared" si="144"/>
        <v>479.83000000000004</v>
      </c>
      <c r="AH579" s="49">
        <f t="shared" si="145"/>
        <v>54.978000000000009</v>
      </c>
      <c r="AI579" s="89">
        <f t="shared" si="146"/>
        <v>6902.17</v>
      </c>
      <c r="AJ579" s="91">
        <v>0.18</v>
      </c>
      <c r="AK579" s="5">
        <f t="shared" si="147"/>
        <v>1242.3905999999999</v>
      </c>
      <c r="AL579" s="89">
        <f t="shared" si="148"/>
        <v>8144.5605999999998</v>
      </c>
      <c r="AP579" s="7"/>
    </row>
    <row r="580" spans="1:42" x14ac:dyDescent="0.35">
      <c r="A580" s="85">
        <v>46220</v>
      </c>
      <c r="B580" s="51" t="s">
        <v>85</v>
      </c>
      <c r="C580" s="97">
        <v>61123995.678571403</v>
      </c>
      <c r="D580" s="97">
        <v>87119.5</v>
      </c>
      <c r="E580" s="48" t="s">
        <v>86</v>
      </c>
      <c r="F580" s="94" t="s">
        <v>108</v>
      </c>
      <c r="G580" s="94" t="s">
        <v>548</v>
      </c>
      <c r="H580" s="94" t="s">
        <v>129</v>
      </c>
      <c r="I580" s="94" t="s">
        <v>558</v>
      </c>
      <c r="J580" s="52">
        <v>10</v>
      </c>
      <c r="K580" s="52">
        <v>10</v>
      </c>
      <c r="L580" s="52">
        <v>10</v>
      </c>
      <c r="M580" s="52"/>
      <c r="N580" s="104">
        <f t="shared" si="141"/>
        <v>20</v>
      </c>
      <c r="O580" s="52">
        <v>10</v>
      </c>
      <c r="P580" s="52"/>
      <c r="Q580" s="52">
        <v>10</v>
      </c>
      <c r="R580" s="104">
        <f t="shared" ref="R580:R643" si="149">SUM(O580:Q580)</f>
        <v>20</v>
      </c>
      <c r="S580" s="86">
        <f t="shared" si="142"/>
        <v>50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5073.95</v>
      </c>
      <c r="AF580" s="90">
        <v>6.5000000000000002E-2</v>
      </c>
      <c r="AG580" s="4">
        <f t="shared" si="144"/>
        <v>329.80675000000002</v>
      </c>
      <c r="AH580" s="49">
        <f t="shared" si="145"/>
        <v>13.744500000000002</v>
      </c>
      <c r="AI580" s="89">
        <f t="shared" si="146"/>
        <v>4744.1432500000001</v>
      </c>
      <c r="AJ580" s="91">
        <v>0.18</v>
      </c>
      <c r="AK580" s="5">
        <f t="shared" si="147"/>
        <v>853.945785</v>
      </c>
      <c r="AL580" s="89">
        <f t="shared" si="148"/>
        <v>5598.089035</v>
      </c>
      <c r="AP580" s="7"/>
    </row>
    <row r="581" spans="1:42" x14ac:dyDescent="0.35">
      <c r="A581" s="85">
        <v>46220</v>
      </c>
      <c r="B581" s="51" t="s">
        <v>85</v>
      </c>
      <c r="C581" s="97">
        <v>61123995.678571403</v>
      </c>
      <c r="D581" s="97">
        <v>87119.5</v>
      </c>
      <c r="E581" s="48" t="s">
        <v>86</v>
      </c>
      <c r="F581" s="94" t="s">
        <v>108</v>
      </c>
      <c r="G581" s="94" t="s">
        <v>549</v>
      </c>
      <c r="H581" s="94" t="s">
        <v>129</v>
      </c>
      <c r="I581" s="94" t="s">
        <v>558</v>
      </c>
      <c r="J581" s="52">
        <v>40</v>
      </c>
      <c r="K581" s="52">
        <v>40</v>
      </c>
      <c r="L581" s="52">
        <v>40</v>
      </c>
      <c r="M581" s="52"/>
      <c r="N581" s="104">
        <f t="shared" ref="N581:N644" si="150">K581+L581+M581</f>
        <v>80</v>
      </c>
      <c r="O581" s="52">
        <v>40</v>
      </c>
      <c r="P581" s="52"/>
      <c r="Q581" s="52">
        <v>40</v>
      </c>
      <c r="R581" s="104">
        <f t="shared" si="149"/>
        <v>80</v>
      </c>
      <c r="S581" s="86">
        <f t="shared" ref="S581:S644" si="151">R581+N581+J581</f>
        <v>200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20295.8</v>
      </c>
      <c r="AF581" s="90">
        <v>6.5000000000000002E-2</v>
      </c>
      <c r="AG581" s="4">
        <f t="shared" si="144"/>
        <v>1319.2270000000001</v>
      </c>
      <c r="AH581" s="49">
        <f t="shared" si="145"/>
        <v>54.978000000000009</v>
      </c>
      <c r="AI581" s="89">
        <f t="shared" si="146"/>
        <v>18976.573</v>
      </c>
      <c r="AJ581" s="91">
        <v>0.18</v>
      </c>
      <c r="AK581" s="5">
        <f t="shared" si="147"/>
        <v>3415.78314</v>
      </c>
      <c r="AL581" s="89">
        <f t="shared" si="148"/>
        <v>22392.35614</v>
      </c>
      <c r="AP581" s="7"/>
    </row>
    <row r="582" spans="1:42" x14ac:dyDescent="0.35">
      <c r="A582" s="85">
        <v>46220</v>
      </c>
      <c r="B582" s="51" t="s">
        <v>85</v>
      </c>
      <c r="C582" s="97">
        <v>61123995.678571403</v>
      </c>
      <c r="D582" s="97">
        <v>87119.5</v>
      </c>
      <c r="E582" s="48" t="s">
        <v>86</v>
      </c>
      <c r="F582" s="94" t="s">
        <v>108</v>
      </c>
      <c r="G582" s="94" t="s">
        <v>550</v>
      </c>
      <c r="H582" s="94" t="s">
        <v>129</v>
      </c>
      <c r="I582" s="94" t="s">
        <v>558</v>
      </c>
      <c r="J582" s="52"/>
      <c r="K582" s="52"/>
      <c r="L582" s="52"/>
      <c r="M582" s="52"/>
      <c r="N582" s="104">
        <f t="shared" si="150"/>
        <v>0</v>
      </c>
      <c r="O582" s="52"/>
      <c r="P582" s="52"/>
      <c r="Q582" s="52">
        <v>6</v>
      </c>
      <c r="R582" s="104">
        <f t="shared" si="149"/>
        <v>6</v>
      </c>
      <c r="S582" s="86">
        <f t="shared" si="151"/>
        <v>6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435.84000000000003</v>
      </c>
      <c r="AF582" s="90">
        <v>6.5000000000000002E-2</v>
      </c>
      <c r="AG582" s="4">
        <f t="shared" si="144"/>
        <v>28.329600000000003</v>
      </c>
      <c r="AH582" s="49">
        <f t="shared" si="145"/>
        <v>0</v>
      </c>
      <c r="AI582" s="89">
        <f t="shared" si="146"/>
        <v>407.5104</v>
      </c>
      <c r="AJ582" s="91">
        <v>0.18</v>
      </c>
      <c r="AK582" s="5">
        <f t="shared" si="147"/>
        <v>73.351872</v>
      </c>
      <c r="AL582" s="89">
        <f t="shared" si="148"/>
        <v>480.86227200000002</v>
      </c>
      <c r="AP582" s="7"/>
    </row>
    <row r="583" spans="1:42" x14ac:dyDescent="0.35">
      <c r="A583" s="85">
        <v>46220</v>
      </c>
      <c r="B583" s="51" t="s">
        <v>85</v>
      </c>
      <c r="C583" s="97">
        <v>61123995.678571403</v>
      </c>
      <c r="D583" s="97">
        <v>87119.5</v>
      </c>
      <c r="E583" s="48" t="s">
        <v>86</v>
      </c>
      <c r="F583" s="94" t="s">
        <v>108</v>
      </c>
      <c r="G583" s="94" t="s">
        <v>131</v>
      </c>
      <c r="H583" s="94" t="s">
        <v>129</v>
      </c>
      <c r="I583" s="94" t="s">
        <v>558</v>
      </c>
      <c r="J583" s="52"/>
      <c r="K583" s="52"/>
      <c r="L583" s="52"/>
      <c r="M583" s="52"/>
      <c r="N583" s="104">
        <f t="shared" si="150"/>
        <v>0</v>
      </c>
      <c r="O583" s="52"/>
      <c r="P583" s="52"/>
      <c r="Q583" s="52">
        <v>6</v>
      </c>
      <c r="R583" s="104">
        <f t="shared" si="149"/>
        <v>6</v>
      </c>
      <c r="S583" s="86">
        <f t="shared" si="151"/>
        <v>6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435.84000000000003</v>
      </c>
      <c r="AF583" s="90">
        <v>6.5000000000000002E-2</v>
      </c>
      <c r="AG583" s="4">
        <f t="shared" si="144"/>
        <v>28.329600000000003</v>
      </c>
      <c r="AH583" s="49">
        <f t="shared" si="145"/>
        <v>0</v>
      </c>
      <c r="AI583" s="89">
        <f t="shared" si="146"/>
        <v>407.5104</v>
      </c>
      <c r="AJ583" s="91">
        <v>0.18</v>
      </c>
      <c r="AK583" s="5">
        <f t="shared" si="147"/>
        <v>73.351872</v>
      </c>
      <c r="AL583" s="89">
        <f t="shared" si="148"/>
        <v>480.86227200000002</v>
      </c>
      <c r="AP583" s="7"/>
    </row>
    <row r="584" spans="1:42" x14ac:dyDescent="0.35">
      <c r="A584" s="85">
        <v>46220</v>
      </c>
      <c r="B584" s="51" t="s">
        <v>85</v>
      </c>
      <c r="C584" s="97">
        <v>61123995.678571403</v>
      </c>
      <c r="D584" s="97">
        <v>87119.5</v>
      </c>
      <c r="E584" s="48" t="s">
        <v>86</v>
      </c>
      <c r="F584" s="94" t="s">
        <v>108</v>
      </c>
      <c r="G584" s="94" t="s">
        <v>551</v>
      </c>
      <c r="H584" s="94" t="s">
        <v>129</v>
      </c>
      <c r="I584" s="94" t="s">
        <v>558</v>
      </c>
      <c r="J584" s="52"/>
      <c r="K584" s="52"/>
      <c r="L584" s="52"/>
      <c r="M584" s="52"/>
      <c r="N584" s="104">
        <f t="shared" si="150"/>
        <v>0</v>
      </c>
      <c r="O584" s="52"/>
      <c r="P584" s="52"/>
      <c r="Q584" s="52">
        <v>6</v>
      </c>
      <c r="R584" s="104">
        <f t="shared" si="149"/>
        <v>6</v>
      </c>
      <c r="S584" s="86">
        <f t="shared" si="151"/>
        <v>6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435.84000000000003</v>
      </c>
      <c r="AF584" s="90">
        <v>6.5000000000000002E-2</v>
      </c>
      <c r="AG584" s="4">
        <f t="shared" si="144"/>
        <v>28.329600000000003</v>
      </c>
      <c r="AH584" s="49">
        <f t="shared" si="145"/>
        <v>0</v>
      </c>
      <c r="AI584" s="89">
        <f t="shared" si="146"/>
        <v>407.5104</v>
      </c>
      <c r="AJ584" s="91">
        <v>0.18</v>
      </c>
      <c r="AK584" s="5">
        <f t="shared" si="147"/>
        <v>73.351872</v>
      </c>
      <c r="AL584" s="89">
        <f t="shared" si="148"/>
        <v>480.86227200000002</v>
      </c>
      <c r="AP584" s="7"/>
    </row>
    <row r="585" spans="1:42" x14ac:dyDescent="0.35">
      <c r="A585" s="85">
        <v>46220</v>
      </c>
      <c r="B585" s="51" t="s">
        <v>85</v>
      </c>
      <c r="C585" s="97">
        <v>61123995.678571403</v>
      </c>
      <c r="D585" s="97">
        <v>87119.5</v>
      </c>
      <c r="E585" s="48" t="s">
        <v>86</v>
      </c>
      <c r="F585" s="94" t="s">
        <v>108</v>
      </c>
      <c r="G585" s="94" t="s">
        <v>552</v>
      </c>
      <c r="H585" s="94" t="s">
        <v>129</v>
      </c>
      <c r="I585" s="94" t="s">
        <v>558</v>
      </c>
      <c r="J585" s="52"/>
      <c r="K585" s="52"/>
      <c r="L585" s="52"/>
      <c r="M585" s="52"/>
      <c r="N585" s="104">
        <f t="shared" si="150"/>
        <v>0</v>
      </c>
      <c r="O585" s="52">
        <v>6</v>
      </c>
      <c r="P585" s="52"/>
      <c r="Q585" s="52"/>
      <c r="R585" s="104">
        <f t="shared" si="149"/>
        <v>6</v>
      </c>
      <c r="S585" s="86">
        <f t="shared" si="151"/>
        <v>6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435.84000000000003</v>
      </c>
      <c r="AF585" s="90">
        <v>6.5000000000000002E-2</v>
      </c>
      <c r="AG585" s="4">
        <f t="shared" si="144"/>
        <v>28.329600000000003</v>
      </c>
      <c r="AH585" s="49">
        <f t="shared" si="145"/>
        <v>0</v>
      </c>
      <c r="AI585" s="89">
        <f t="shared" si="146"/>
        <v>407.5104</v>
      </c>
      <c r="AJ585" s="91">
        <v>0.18</v>
      </c>
      <c r="AK585" s="5">
        <f t="shared" si="147"/>
        <v>73.351872</v>
      </c>
      <c r="AL585" s="89">
        <f t="shared" si="148"/>
        <v>480.86227200000002</v>
      </c>
      <c r="AP585" s="7"/>
    </row>
    <row r="586" spans="1:42" x14ac:dyDescent="0.35">
      <c r="A586" s="85">
        <v>46220</v>
      </c>
      <c r="B586" s="51" t="s">
        <v>85</v>
      </c>
      <c r="C586" s="97">
        <v>61123995.678571403</v>
      </c>
      <c r="D586" s="97">
        <v>87119.5</v>
      </c>
      <c r="E586" s="48" t="s">
        <v>86</v>
      </c>
      <c r="F586" s="94" t="s">
        <v>108</v>
      </c>
      <c r="G586" s="94" t="s">
        <v>376</v>
      </c>
      <c r="H586" s="94" t="s">
        <v>129</v>
      </c>
      <c r="I586" s="94" t="s">
        <v>558</v>
      </c>
      <c r="J586" s="52">
        <v>6</v>
      </c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6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671.46</v>
      </c>
      <c r="AF586" s="90">
        <v>6.5000000000000002E-2</v>
      </c>
      <c r="AG586" s="4">
        <f t="shared" si="144"/>
        <v>43.644900000000007</v>
      </c>
      <c r="AH586" s="49">
        <f t="shared" si="145"/>
        <v>8.2467000000000006</v>
      </c>
      <c r="AI586" s="89">
        <f t="shared" si="146"/>
        <v>627.81510000000003</v>
      </c>
      <c r="AJ586" s="91">
        <v>0.18</v>
      </c>
      <c r="AK586" s="5">
        <f t="shared" si="147"/>
        <v>113.00671800000001</v>
      </c>
      <c r="AL586" s="89">
        <f t="shared" si="148"/>
        <v>740.82181800000001</v>
      </c>
      <c r="AP586" s="7"/>
    </row>
    <row r="587" spans="1:42" x14ac:dyDescent="0.35">
      <c r="A587" s="85">
        <v>46220</v>
      </c>
      <c r="B587" s="51" t="s">
        <v>85</v>
      </c>
      <c r="C587" s="97">
        <v>61123995.678571403</v>
      </c>
      <c r="D587" s="97">
        <v>87119.5</v>
      </c>
      <c r="E587" s="48" t="s">
        <v>86</v>
      </c>
      <c r="F587" s="94" t="s">
        <v>108</v>
      </c>
      <c r="G587" s="94" t="s">
        <v>553</v>
      </c>
      <c r="H587" s="94" t="s">
        <v>129</v>
      </c>
      <c r="I587" s="94" t="s">
        <v>558</v>
      </c>
      <c r="J587" s="52">
        <v>6</v>
      </c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6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671.46</v>
      </c>
      <c r="AF587" s="90">
        <v>6.5000000000000002E-2</v>
      </c>
      <c r="AG587" s="4">
        <f t="shared" si="144"/>
        <v>43.644900000000007</v>
      </c>
      <c r="AH587" s="49">
        <f t="shared" si="145"/>
        <v>8.2467000000000006</v>
      </c>
      <c r="AI587" s="89">
        <f t="shared" si="146"/>
        <v>627.81510000000003</v>
      </c>
      <c r="AJ587" s="91">
        <v>0.18</v>
      </c>
      <c r="AK587" s="5">
        <f t="shared" si="147"/>
        <v>113.00671800000001</v>
      </c>
      <c r="AL587" s="89">
        <f t="shared" si="148"/>
        <v>740.82181800000001</v>
      </c>
      <c r="AP587" s="7"/>
    </row>
    <row r="588" spans="1:42" x14ac:dyDescent="0.35">
      <c r="A588" s="85">
        <v>46220</v>
      </c>
      <c r="B588" s="51" t="s">
        <v>85</v>
      </c>
      <c r="C588" s="97">
        <v>61123995.678571403</v>
      </c>
      <c r="D588" s="97">
        <v>87119.5</v>
      </c>
      <c r="E588" s="48" t="s">
        <v>86</v>
      </c>
      <c r="F588" s="94" t="s">
        <v>108</v>
      </c>
      <c r="G588" s="94" t="s">
        <v>554</v>
      </c>
      <c r="H588" s="94" t="s">
        <v>129</v>
      </c>
      <c r="I588" s="94" t="s">
        <v>558</v>
      </c>
      <c r="J588" s="52">
        <v>10</v>
      </c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10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>
        <v>46220</v>
      </c>
      <c r="B589" s="51" t="s">
        <v>85</v>
      </c>
      <c r="C589" s="97">
        <v>61123995.678571403</v>
      </c>
      <c r="D589" s="97">
        <v>87119.5</v>
      </c>
      <c r="E589" s="48" t="s">
        <v>86</v>
      </c>
      <c r="F589" s="94" t="s">
        <v>108</v>
      </c>
      <c r="G589" s="94" t="s">
        <v>322</v>
      </c>
      <c r="H589" s="94" t="s">
        <v>129</v>
      </c>
      <c r="I589" s="94" t="s">
        <v>558</v>
      </c>
      <c r="J589" s="52">
        <v>10</v>
      </c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10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>
        <v>46220</v>
      </c>
      <c r="B590" s="51" t="s">
        <v>85</v>
      </c>
      <c r="C590" s="97">
        <v>61123995.678571403</v>
      </c>
      <c r="D590" s="97">
        <v>87119.5</v>
      </c>
      <c r="E590" s="48" t="s">
        <v>86</v>
      </c>
      <c r="F590" s="94" t="s">
        <v>108</v>
      </c>
      <c r="G590" s="94" t="s">
        <v>555</v>
      </c>
      <c r="H590" s="94" t="s">
        <v>129</v>
      </c>
      <c r="I590" s="94" t="s">
        <v>558</v>
      </c>
      <c r="J590" s="52">
        <v>10</v>
      </c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10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>
        <v>46220</v>
      </c>
      <c r="B591" s="51" t="s">
        <v>85</v>
      </c>
      <c r="C591" s="97">
        <v>61123995.678571403</v>
      </c>
      <c r="D591" s="97">
        <v>87119.5</v>
      </c>
      <c r="E591" s="48" t="s">
        <v>86</v>
      </c>
      <c r="F591" s="94" t="s">
        <v>108</v>
      </c>
      <c r="G591" s="94" t="s">
        <v>103</v>
      </c>
      <c r="H591" s="94" t="s">
        <v>129</v>
      </c>
      <c r="I591" s="94" t="s">
        <v>558</v>
      </c>
      <c r="J591" s="52">
        <v>10</v>
      </c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10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>
        <v>46220</v>
      </c>
      <c r="B592" s="51" t="s">
        <v>85</v>
      </c>
      <c r="C592" s="97">
        <v>61123995.678571403</v>
      </c>
      <c r="D592" s="97">
        <v>87119.5</v>
      </c>
      <c r="E592" s="48" t="s">
        <v>86</v>
      </c>
      <c r="F592" s="94" t="s">
        <v>108</v>
      </c>
      <c r="G592" s="94" t="s">
        <v>556</v>
      </c>
      <c r="H592" s="94" t="s">
        <v>129</v>
      </c>
      <c r="I592" s="94" t="s">
        <v>558</v>
      </c>
      <c r="J592" s="52">
        <v>20</v>
      </c>
      <c r="K592" s="52">
        <v>20</v>
      </c>
      <c r="L592" s="52">
        <v>20</v>
      </c>
      <c r="M592" s="52"/>
      <c r="N592" s="104">
        <f t="shared" si="150"/>
        <v>40</v>
      </c>
      <c r="O592" s="52">
        <v>20</v>
      </c>
      <c r="P592" s="52"/>
      <c r="Q592" s="52">
        <v>20</v>
      </c>
      <c r="R592" s="104">
        <f t="shared" si="149"/>
        <v>40</v>
      </c>
      <c r="S592" s="86">
        <f t="shared" si="151"/>
        <v>100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>
        <v>46220</v>
      </c>
      <c r="B593" s="51" t="s">
        <v>85</v>
      </c>
      <c r="C593" s="97">
        <v>61123995.678571403</v>
      </c>
      <c r="D593" s="97">
        <v>87119.5</v>
      </c>
      <c r="E593" s="48" t="s">
        <v>86</v>
      </c>
      <c r="F593" s="94" t="s">
        <v>108</v>
      </c>
      <c r="G593" s="94" t="s">
        <v>557</v>
      </c>
      <c r="H593" s="94" t="s">
        <v>129</v>
      </c>
      <c r="I593" s="94" t="s">
        <v>558</v>
      </c>
      <c r="J593" s="52">
        <v>6</v>
      </c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6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>
        <v>46221</v>
      </c>
      <c r="B594" s="51" t="s">
        <v>85</v>
      </c>
      <c r="C594" s="97">
        <v>61123995.678571403</v>
      </c>
      <c r="D594" s="97">
        <v>87119.5</v>
      </c>
      <c r="E594" s="48" t="s">
        <v>86</v>
      </c>
      <c r="F594" s="94" t="s">
        <v>87</v>
      </c>
      <c r="G594" s="94" t="s">
        <v>559</v>
      </c>
      <c r="H594" s="94" t="s">
        <v>89</v>
      </c>
      <c r="I594" s="94" t="s">
        <v>417</v>
      </c>
      <c r="J594" s="52"/>
      <c r="K594" s="52">
        <v>40</v>
      </c>
      <c r="L594" s="52">
        <v>40</v>
      </c>
      <c r="M594" s="52"/>
      <c r="N594" s="104">
        <f t="shared" si="150"/>
        <v>80</v>
      </c>
      <c r="O594" s="52">
        <v>40</v>
      </c>
      <c r="P594" s="52"/>
      <c r="Q594" s="52">
        <v>40</v>
      </c>
      <c r="R594" s="104">
        <f t="shared" si="149"/>
        <v>80</v>
      </c>
      <c r="S594" s="86">
        <f t="shared" si="151"/>
        <v>160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>
        <v>46221</v>
      </c>
      <c r="B595" s="51" t="s">
        <v>85</v>
      </c>
      <c r="C595" s="97">
        <v>61123995.678571403</v>
      </c>
      <c r="D595" s="97">
        <v>87119.5</v>
      </c>
      <c r="E595" s="48" t="s">
        <v>86</v>
      </c>
      <c r="F595" s="94" t="s">
        <v>87</v>
      </c>
      <c r="G595" s="94" t="s">
        <v>241</v>
      </c>
      <c r="H595" s="94" t="s">
        <v>89</v>
      </c>
      <c r="I595" s="94" t="s">
        <v>248</v>
      </c>
      <c r="J595" s="52"/>
      <c r="K595" s="52">
        <v>80</v>
      </c>
      <c r="L595" s="52">
        <v>40</v>
      </c>
      <c r="M595" s="52"/>
      <c r="N595" s="104">
        <f t="shared" si="150"/>
        <v>120</v>
      </c>
      <c r="O595" s="52">
        <v>120</v>
      </c>
      <c r="P595" s="52"/>
      <c r="Q595" s="52">
        <v>120</v>
      </c>
      <c r="R595" s="104">
        <f t="shared" si="149"/>
        <v>240</v>
      </c>
      <c r="S595" s="86">
        <f t="shared" si="151"/>
        <v>360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>
        <v>46221</v>
      </c>
      <c r="B596" s="51" t="s">
        <v>85</v>
      </c>
      <c r="C596" s="97">
        <v>61123995.678571403</v>
      </c>
      <c r="D596" s="97">
        <v>87119.5</v>
      </c>
      <c r="E596" s="48" t="s">
        <v>86</v>
      </c>
      <c r="F596" s="94" t="s">
        <v>87</v>
      </c>
      <c r="G596" s="94" t="s">
        <v>560</v>
      </c>
      <c r="H596" s="94" t="s">
        <v>89</v>
      </c>
      <c r="I596" s="94" t="s">
        <v>568</v>
      </c>
      <c r="J596" s="52"/>
      <c r="K596" s="52"/>
      <c r="L596" s="52">
        <v>40</v>
      </c>
      <c r="M596" s="52"/>
      <c r="N596" s="104">
        <f t="shared" si="150"/>
        <v>40</v>
      </c>
      <c r="O596" s="52">
        <v>80</v>
      </c>
      <c r="P596" s="52"/>
      <c r="Q596" s="52">
        <v>80</v>
      </c>
      <c r="R596" s="104">
        <f t="shared" si="149"/>
        <v>160</v>
      </c>
      <c r="S596" s="86">
        <f t="shared" si="151"/>
        <v>200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>
        <v>46221</v>
      </c>
      <c r="B597" s="51" t="s">
        <v>85</v>
      </c>
      <c r="C597" s="97">
        <v>61123995.678571403</v>
      </c>
      <c r="D597" s="97">
        <v>87119.5</v>
      </c>
      <c r="E597" s="48" t="s">
        <v>86</v>
      </c>
      <c r="F597" s="94" t="s">
        <v>87</v>
      </c>
      <c r="G597" s="94" t="s">
        <v>561</v>
      </c>
      <c r="H597" s="94" t="s">
        <v>89</v>
      </c>
      <c r="I597" s="94" t="s">
        <v>565</v>
      </c>
      <c r="J597" s="52"/>
      <c r="K597" s="52">
        <v>80</v>
      </c>
      <c r="L597" s="52">
        <v>80</v>
      </c>
      <c r="M597" s="52"/>
      <c r="N597" s="104">
        <f t="shared" si="150"/>
        <v>160</v>
      </c>
      <c r="O597" s="52">
        <v>80</v>
      </c>
      <c r="P597" s="52"/>
      <c r="Q597" s="52">
        <v>80</v>
      </c>
      <c r="R597" s="104">
        <f t="shared" si="149"/>
        <v>160</v>
      </c>
      <c r="S597" s="86">
        <f t="shared" si="151"/>
        <v>320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>
        <v>46221</v>
      </c>
      <c r="B598" s="51" t="s">
        <v>85</v>
      </c>
      <c r="C598" s="97">
        <v>61123995.678571403</v>
      </c>
      <c r="D598" s="97">
        <v>87119.5</v>
      </c>
      <c r="E598" s="48" t="s">
        <v>86</v>
      </c>
      <c r="F598" s="94" t="s">
        <v>87</v>
      </c>
      <c r="G598" s="94" t="s">
        <v>562</v>
      </c>
      <c r="H598" s="94" t="s">
        <v>89</v>
      </c>
      <c r="I598" s="94" t="s">
        <v>567</v>
      </c>
      <c r="J598" s="52"/>
      <c r="K598" s="52">
        <v>80</v>
      </c>
      <c r="L598" s="52">
        <v>80</v>
      </c>
      <c r="M598" s="52"/>
      <c r="N598" s="104">
        <f t="shared" si="150"/>
        <v>160</v>
      </c>
      <c r="O598" s="52">
        <v>80</v>
      </c>
      <c r="P598" s="52"/>
      <c r="Q598" s="52">
        <v>80</v>
      </c>
      <c r="R598" s="104">
        <f t="shared" si="149"/>
        <v>160</v>
      </c>
      <c r="S598" s="86">
        <f t="shared" si="151"/>
        <v>320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>
        <v>46221</v>
      </c>
      <c r="B599" s="51" t="s">
        <v>85</v>
      </c>
      <c r="C599" s="97">
        <v>61123995.678571403</v>
      </c>
      <c r="D599" s="97">
        <v>87119.5</v>
      </c>
      <c r="E599" s="48" t="s">
        <v>86</v>
      </c>
      <c r="F599" s="94" t="s">
        <v>87</v>
      </c>
      <c r="G599" s="94" t="s">
        <v>563</v>
      </c>
      <c r="H599" s="94" t="s">
        <v>89</v>
      </c>
      <c r="I599" s="94" t="s">
        <v>565</v>
      </c>
      <c r="J599" s="52"/>
      <c r="K599" s="52">
        <v>200</v>
      </c>
      <c r="L599" s="52">
        <v>200</v>
      </c>
      <c r="M599" s="52"/>
      <c r="N599" s="104">
        <f t="shared" si="150"/>
        <v>400</v>
      </c>
      <c r="O599" s="52">
        <v>200</v>
      </c>
      <c r="P599" s="52"/>
      <c r="Q599" s="52">
        <v>200</v>
      </c>
      <c r="R599" s="104">
        <f t="shared" si="149"/>
        <v>400</v>
      </c>
      <c r="S599" s="86">
        <f t="shared" si="151"/>
        <v>800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>
        <v>46221</v>
      </c>
      <c r="B600" s="51" t="s">
        <v>85</v>
      </c>
      <c r="C600" s="97">
        <v>61123995.678571403</v>
      </c>
      <c r="D600" s="97">
        <v>87119.5</v>
      </c>
      <c r="E600" s="48" t="s">
        <v>86</v>
      </c>
      <c r="F600" s="94" t="s">
        <v>87</v>
      </c>
      <c r="G600" s="94" t="s">
        <v>564</v>
      </c>
      <c r="H600" s="94" t="s">
        <v>89</v>
      </c>
      <c r="I600" s="94" t="s">
        <v>566</v>
      </c>
      <c r="J600" s="52"/>
      <c r="K600" s="52">
        <v>40</v>
      </c>
      <c r="L600" s="52">
        <v>40</v>
      </c>
      <c r="M600" s="52"/>
      <c r="N600" s="104">
        <f t="shared" si="150"/>
        <v>80</v>
      </c>
      <c r="O600" s="52">
        <v>40</v>
      </c>
      <c r="P600" s="52"/>
      <c r="Q600" s="52">
        <v>40</v>
      </c>
      <c r="R600" s="104">
        <f t="shared" si="149"/>
        <v>80</v>
      </c>
      <c r="S600" s="86">
        <f t="shared" si="151"/>
        <v>160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>
        <v>46221</v>
      </c>
      <c r="B601" s="51" t="s">
        <v>85</v>
      </c>
      <c r="C601" s="97">
        <v>61123995.678571403</v>
      </c>
      <c r="D601" s="97">
        <v>87119.5</v>
      </c>
      <c r="E601" s="48" t="s">
        <v>86</v>
      </c>
      <c r="F601" s="94" t="s">
        <v>108</v>
      </c>
      <c r="G601" s="94" t="s">
        <v>169</v>
      </c>
      <c r="H601" s="94" t="s">
        <v>460</v>
      </c>
      <c r="I601" s="94" t="s">
        <v>572</v>
      </c>
      <c r="J601" s="52">
        <v>6</v>
      </c>
      <c r="K601" s="52">
        <v>6</v>
      </c>
      <c r="L601" s="52"/>
      <c r="M601" s="52"/>
      <c r="N601" s="104">
        <f t="shared" si="150"/>
        <v>6</v>
      </c>
      <c r="O601" s="52"/>
      <c r="P601" s="52"/>
      <c r="Q601" s="52"/>
      <c r="R601" s="104">
        <f t="shared" si="149"/>
        <v>0</v>
      </c>
      <c r="S601" s="86">
        <f t="shared" si="151"/>
        <v>12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>
        <v>46221</v>
      </c>
      <c r="B602" s="51" t="s">
        <v>85</v>
      </c>
      <c r="C602" s="97">
        <v>61123995.678571403</v>
      </c>
      <c r="D602" s="97">
        <v>87119.5</v>
      </c>
      <c r="E602" s="48" t="s">
        <v>86</v>
      </c>
      <c r="F602" s="94" t="s">
        <v>108</v>
      </c>
      <c r="G602" s="94" t="s">
        <v>569</v>
      </c>
      <c r="H602" s="94" t="s">
        <v>460</v>
      </c>
      <c r="I602" s="94" t="s">
        <v>572</v>
      </c>
      <c r="J602" s="52">
        <v>6</v>
      </c>
      <c r="K602" s="52"/>
      <c r="L602" s="52"/>
      <c r="M602" s="52"/>
      <c r="N602" s="104">
        <f t="shared" si="150"/>
        <v>0</v>
      </c>
      <c r="O602" s="52">
        <v>6</v>
      </c>
      <c r="P602" s="52"/>
      <c r="Q602" s="52">
        <v>6</v>
      </c>
      <c r="R602" s="104">
        <f t="shared" si="149"/>
        <v>12</v>
      </c>
      <c r="S602" s="86">
        <f t="shared" si="151"/>
        <v>18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>
        <v>46221</v>
      </c>
      <c r="B603" s="51" t="s">
        <v>85</v>
      </c>
      <c r="C603" s="97">
        <v>61123995.678571403</v>
      </c>
      <c r="D603" s="97">
        <v>87119.5</v>
      </c>
      <c r="E603" s="48" t="s">
        <v>86</v>
      </c>
      <c r="F603" s="94" t="s">
        <v>108</v>
      </c>
      <c r="G603" s="94" t="s">
        <v>570</v>
      </c>
      <c r="H603" s="94" t="s">
        <v>460</v>
      </c>
      <c r="I603" s="94" t="s">
        <v>572</v>
      </c>
      <c r="J603" s="52">
        <v>24</v>
      </c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24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>
        <v>46221</v>
      </c>
      <c r="B604" s="51" t="s">
        <v>85</v>
      </c>
      <c r="C604" s="97">
        <v>61123995.678571403</v>
      </c>
      <c r="D604" s="97">
        <v>87119.5</v>
      </c>
      <c r="E604" s="48" t="s">
        <v>86</v>
      </c>
      <c r="F604" s="94" t="s">
        <v>108</v>
      </c>
      <c r="G604" s="94" t="s">
        <v>571</v>
      </c>
      <c r="H604" s="94" t="s">
        <v>460</v>
      </c>
      <c r="I604" s="94" t="s">
        <v>572</v>
      </c>
      <c r="J604" s="52">
        <v>40</v>
      </c>
      <c r="K604" s="52">
        <v>20</v>
      </c>
      <c r="L604" s="52">
        <v>20</v>
      </c>
      <c r="M604" s="52"/>
      <c r="N604" s="104">
        <f t="shared" si="150"/>
        <v>40</v>
      </c>
      <c r="O604" s="52">
        <v>20</v>
      </c>
      <c r="P604" s="52"/>
      <c r="Q604" s="52">
        <v>20</v>
      </c>
      <c r="R604" s="104">
        <f t="shared" si="149"/>
        <v>40</v>
      </c>
      <c r="S604" s="86">
        <f t="shared" si="151"/>
        <v>120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>
        <v>46221</v>
      </c>
      <c r="B605" s="51" t="s">
        <v>85</v>
      </c>
      <c r="C605" s="97">
        <v>61123995.678571403</v>
      </c>
      <c r="D605" s="97">
        <v>87119.5</v>
      </c>
      <c r="E605" s="48" t="s">
        <v>86</v>
      </c>
      <c r="F605" s="94" t="s">
        <v>108</v>
      </c>
      <c r="G605" s="94" t="s">
        <v>252</v>
      </c>
      <c r="H605" s="94" t="s">
        <v>112</v>
      </c>
      <c r="I605" s="94" t="s">
        <v>576</v>
      </c>
      <c r="J605" s="52">
        <v>40</v>
      </c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40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>
        <v>46221</v>
      </c>
      <c r="B606" s="51" t="s">
        <v>85</v>
      </c>
      <c r="C606" s="97">
        <v>61123995.678571403</v>
      </c>
      <c r="D606" s="97">
        <v>87119.5</v>
      </c>
      <c r="E606" s="48" t="s">
        <v>86</v>
      </c>
      <c r="F606" s="94" t="s">
        <v>108</v>
      </c>
      <c r="G606" s="94" t="s">
        <v>573</v>
      </c>
      <c r="H606" s="94" t="s">
        <v>112</v>
      </c>
      <c r="I606" s="94" t="s">
        <v>576</v>
      </c>
      <c r="J606" s="52">
        <v>80</v>
      </c>
      <c r="K606" s="52"/>
      <c r="L606" s="52"/>
      <c r="M606" s="52"/>
      <c r="N606" s="104">
        <f t="shared" si="150"/>
        <v>0</v>
      </c>
      <c r="O606" s="52">
        <v>40</v>
      </c>
      <c r="P606" s="52"/>
      <c r="Q606" s="52">
        <v>80</v>
      </c>
      <c r="R606" s="104">
        <f t="shared" si="149"/>
        <v>120</v>
      </c>
      <c r="S606" s="86">
        <f t="shared" si="151"/>
        <v>200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>
        <v>46221</v>
      </c>
      <c r="B607" s="51" t="s">
        <v>85</v>
      </c>
      <c r="C607" s="97">
        <v>61123995.678571403</v>
      </c>
      <c r="D607" s="97">
        <v>87119.5</v>
      </c>
      <c r="E607" s="48" t="s">
        <v>86</v>
      </c>
      <c r="F607" s="94" t="s">
        <v>108</v>
      </c>
      <c r="G607" s="94" t="s">
        <v>574</v>
      </c>
      <c r="H607" s="94" t="s">
        <v>112</v>
      </c>
      <c r="I607" s="94" t="s">
        <v>576</v>
      </c>
      <c r="J607" s="52"/>
      <c r="K607" s="52">
        <v>10</v>
      </c>
      <c r="L607" s="52"/>
      <c r="M607" s="52"/>
      <c r="N607" s="104">
        <f t="shared" si="150"/>
        <v>10</v>
      </c>
      <c r="O607" s="52">
        <v>10</v>
      </c>
      <c r="P607" s="52"/>
      <c r="Q607" s="52"/>
      <c r="R607" s="104">
        <f t="shared" si="149"/>
        <v>10</v>
      </c>
      <c r="S607" s="86">
        <f t="shared" si="151"/>
        <v>20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>
        <v>46221</v>
      </c>
      <c r="B608" s="51" t="s">
        <v>85</v>
      </c>
      <c r="C608" s="97">
        <v>61123995.678571403</v>
      </c>
      <c r="D608" s="97">
        <v>87119.5</v>
      </c>
      <c r="E608" s="48" t="s">
        <v>86</v>
      </c>
      <c r="F608" s="94" t="s">
        <v>108</v>
      </c>
      <c r="G608" s="94" t="s">
        <v>575</v>
      </c>
      <c r="H608" s="94" t="s">
        <v>112</v>
      </c>
      <c r="I608" s="94" t="s">
        <v>576</v>
      </c>
      <c r="J608" s="52">
        <v>20</v>
      </c>
      <c r="K608" s="52">
        <v>20</v>
      </c>
      <c r="L608" s="52">
        <v>20</v>
      </c>
      <c r="M608" s="52"/>
      <c r="N608" s="104">
        <f t="shared" si="150"/>
        <v>40</v>
      </c>
      <c r="O608" s="52"/>
      <c r="P608" s="52"/>
      <c r="Q608" s="52"/>
      <c r="R608" s="104">
        <f t="shared" si="149"/>
        <v>0</v>
      </c>
      <c r="S608" s="86">
        <f t="shared" si="151"/>
        <v>60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>
        <v>46221</v>
      </c>
      <c r="B609" s="51" t="s">
        <v>85</v>
      </c>
      <c r="C609" s="97">
        <v>61123995.678571403</v>
      </c>
      <c r="D609" s="97">
        <v>87119.5</v>
      </c>
      <c r="E609" s="48" t="s">
        <v>86</v>
      </c>
      <c r="F609" s="94" t="s">
        <v>108</v>
      </c>
      <c r="G609" s="94" t="s">
        <v>256</v>
      </c>
      <c r="H609" s="94" t="s">
        <v>112</v>
      </c>
      <c r="I609" s="94" t="s">
        <v>576</v>
      </c>
      <c r="J609" s="52">
        <v>15</v>
      </c>
      <c r="K609" s="52"/>
      <c r="L609" s="52"/>
      <c r="M609" s="52"/>
      <c r="N609" s="104">
        <f t="shared" si="150"/>
        <v>0</v>
      </c>
      <c r="O609" s="52">
        <v>15</v>
      </c>
      <c r="P609" s="52"/>
      <c r="Q609" s="52"/>
      <c r="R609" s="104">
        <f t="shared" si="149"/>
        <v>15</v>
      </c>
      <c r="S609" s="86">
        <f t="shared" si="151"/>
        <v>30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>
        <v>46221</v>
      </c>
      <c r="B610" s="51" t="s">
        <v>85</v>
      </c>
      <c r="C610" s="97">
        <v>61123995.678571403</v>
      </c>
      <c r="D610" s="97">
        <v>87119.5</v>
      </c>
      <c r="E610" s="48" t="s">
        <v>86</v>
      </c>
      <c r="F610" s="94" t="s">
        <v>87</v>
      </c>
      <c r="G610" s="94"/>
      <c r="H610" s="94" t="s">
        <v>89</v>
      </c>
      <c r="I610" s="94"/>
      <c r="J610" s="52"/>
      <c r="K610" s="52"/>
      <c r="L610" s="52"/>
      <c r="M610" s="52"/>
      <c r="N610" s="104">
        <f t="shared" si="150"/>
        <v>0</v>
      </c>
      <c r="O610" s="52">
        <v>20</v>
      </c>
      <c r="P610" s="52"/>
      <c r="Q610" s="52">
        <v>20</v>
      </c>
      <c r="R610" s="104">
        <f t="shared" si="149"/>
        <v>40</v>
      </c>
      <c r="S610" s="86">
        <f t="shared" si="151"/>
        <v>40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>
        <v>46221</v>
      </c>
      <c r="B611" s="51" t="s">
        <v>85</v>
      </c>
      <c r="C611" s="97">
        <v>61123995.678571403</v>
      </c>
      <c r="D611" s="97">
        <v>87119.5</v>
      </c>
      <c r="E611" s="48" t="s">
        <v>86</v>
      </c>
      <c r="F611" s="94" t="s">
        <v>108</v>
      </c>
      <c r="G611" s="94" t="s">
        <v>577</v>
      </c>
      <c r="H611" s="94" t="s">
        <v>433</v>
      </c>
      <c r="I611" s="94" t="s">
        <v>581</v>
      </c>
      <c r="J611" s="52"/>
      <c r="K611" s="52">
        <v>20</v>
      </c>
      <c r="L611" s="52">
        <v>20</v>
      </c>
      <c r="M611" s="52"/>
      <c r="N611" s="104">
        <f t="shared" si="150"/>
        <v>40</v>
      </c>
      <c r="O611" s="52"/>
      <c r="P611" s="52"/>
      <c r="Q611" s="52"/>
      <c r="R611" s="104">
        <f t="shared" si="149"/>
        <v>0</v>
      </c>
      <c r="S611" s="86">
        <f t="shared" si="151"/>
        <v>40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>
        <v>46221</v>
      </c>
      <c r="B612" s="51" t="s">
        <v>85</v>
      </c>
      <c r="C612" s="97">
        <v>61123995.678571403</v>
      </c>
      <c r="D612" s="97">
        <v>87119.5</v>
      </c>
      <c r="E612" s="48" t="s">
        <v>86</v>
      </c>
      <c r="F612" s="94" t="s">
        <v>108</v>
      </c>
      <c r="G612" s="94" t="s">
        <v>578</v>
      </c>
      <c r="H612" s="94" t="s">
        <v>433</v>
      </c>
      <c r="I612" s="94" t="s">
        <v>581</v>
      </c>
      <c r="J612" s="52"/>
      <c r="K612" s="52"/>
      <c r="L612" s="52"/>
      <c r="M612" s="52"/>
      <c r="N612" s="104">
        <f t="shared" si="150"/>
        <v>0</v>
      </c>
      <c r="O612" s="52">
        <v>10</v>
      </c>
      <c r="P612" s="52"/>
      <c r="Q612" s="52">
        <v>10</v>
      </c>
      <c r="R612" s="104">
        <f t="shared" si="149"/>
        <v>20</v>
      </c>
      <c r="S612" s="86">
        <f t="shared" si="151"/>
        <v>20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>
        <v>46221</v>
      </c>
      <c r="B613" s="51" t="s">
        <v>85</v>
      </c>
      <c r="C613" s="97">
        <v>61123995.678571403</v>
      </c>
      <c r="D613" s="97">
        <v>87119.5</v>
      </c>
      <c r="E613" s="48" t="s">
        <v>86</v>
      </c>
      <c r="F613" s="94" t="s">
        <v>108</v>
      </c>
      <c r="G613" s="94" t="s">
        <v>336</v>
      </c>
      <c r="H613" s="94" t="s">
        <v>433</v>
      </c>
      <c r="I613" s="94" t="s">
        <v>581</v>
      </c>
      <c r="J613" s="52"/>
      <c r="K613" s="52"/>
      <c r="L613" s="52"/>
      <c r="M613" s="52"/>
      <c r="N613" s="104">
        <f t="shared" si="150"/>
        <v>0</v>
      </c>
      <c r="O613" s="52">
        <v>10</v>
      </c>
      <c r="P613" s="52"/>
      <c r="Q613" s="52">
        <v>10</v>
      </c>
      <c r="R613" s="104">
        <f t="shared" si="149"/>
        <v>20</v>
      </c>
      <c r="S613" s="86">
        <f t="shared" si="151"/>
        <v>20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>
        <v>46221</v>
      </c>
      <c r="B614" s="51" t="s">
        <v>85</v>
      </c>
      <c r="C614" s="97">
        <v>61123995.678571403</v>
      </c>
      <c r="D614" s="97">
        <v>87119.5</v>
      </c>
      <c r="E614" s="48" t="s">
        <v>86</v>
      </c>
      <c r="F614" s="94" t="s">
        <v>108</v>
      </c>
      <c r="G614" s="94" t="s">
        <v>579</v>
      </c>
      <c r="H614" s="94" t="s">
        <v>433</v>
      </c>
      <c r="I614" s="94" t="s">
        <v>581</v>
      </c>
      <c r="J614" s="52">
        <v>20</v>
      </c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20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>
        <v>46221</v>
      </c>
      <c r="B615" s="51" t="s">
        <v>85</v>
      </c>
      <c r="C615" s="97">
        <v>61123995.678571403</v>
      </c>
      <c r="D615" s="97">
        <v>87119.5</v>
      </c>
      <c r="E615" s="48" t="s">
        <v>86</v>
      </c>
      <c r="F615" s="94" t="s">
        <v>108</v>
      </c>
      <c r="G615" s="94" t="s">
        <v>580</v>
      </c>
      <c r="H615" s="94" t="s">
        <v>433</v>
      </c>
      <c r="I615" s="94" t="s">
        <v>581</v>
      </c>
      <c r="J615" s="52">
        <v>40</v>
      </c>
      <c r="K615" s="52"/>
      <c r="L615" s="52"/>
      <c r="M615" s="52"/>
      <c r="N615" s="104">
        <f t="shared" si="150"/>
        <v>0</v>
      </c>
      <c r="O615" s="52">
        <v>10</v>
      </c>
      <c r="P615" s="52"/>
      <c r="Q615" s="52">
        <v>10</v>
      </c>
      <c r="R615" s="104">
        <f t="shared" si="149"/>
        <v>20</v>
      </c>
      <c r="S615" s="86">
        <f t="shared" si="151"/>
        <v>60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>
        <v>46221</v>
      </c>
      <c r="B616" s="51" t="s">
        <v>85</v>
      </c>
      <c r="C616" s="97">
        <v>61123995.678571403</v>
      </c>
      <c r="D616" s="97">
        <v>87119.5</v>
      </c>
      <c r="E616" s="48" t="s">
        <v>86</v>
      </c>
      <c r="F616" s="94" t="s">
        <v>108</v>
      </c>
      <c r="G616" s="94" t="s">
        <v>582</v>
      </c>
      <c r="H616" s="94" t="s">
        <v>129</v>
      </c>
      <c r="I616" s="94" t="s">
        <v>199</v>
      </c>
      <c r="J616" s="52">
        <v>40</v>
      </c>
      <c r="K616" s="52">
        <v>20</v>
      </c>
      <c r="L616" s="52">
        <v>20</v>
      </c>
      <c r="M616" s="52"/>
      <c r="N616" s="104">
        <f t="shared" si="150"/>
        <v>40</v>
      </c>
      <c r="O616" s="52">
        <v>20</v>
      </c>
      <c r="P616" s="52"/>
      <c r="Q616" s="52">
        <v>40</v>
      </c>
      <c r="R616" s="104">
        <f t="shared" si="149"/>
        <v>60</v>
      </c>
      <c r="S616" s="86">
        <f t="shared" si="151"/>
        <v>140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>
        <v>46221</v>
      </c>
      <c r="B617" s="51" t="s">
        <v>85</v>
      </c>
      <c r="C617" s="97">
        <v>61123995.678571403</v>
      </c>
      <c r="D617" s="97">
        <v>87119.5</v>
      </c>
      <c r="E617" s="48" t="s">
        <v>86</v>
      </c>
      <c r="F617" s="94" t="s">
        <v>109</v>
      </c>
      <c r="G617" s="94" t="s">
        <v>223</v>
      </c>
      <c r="H617" s="94" t="s">
        <v>129</v>
      </c>
      <c r="I617" s="94" t="s">
        <v>199</v>
      </c>
      <c r="J617" s="52">
        <v>6</v>
      </c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6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>
        <v>46221</v>
      </c>
      <c r="B618" s="51" t="s">
        <v>85</v>
      </c>
      <c r="C618" s="97">
        <v>61123995.678571403</v>
      </c>
      <c r="D618" s="97">
        <v>87119.5</v>
      </c>
      <c r="E618" s="48" t="s">
        <v>86</v>
      </c>
      <c r="F618" s="94" t="s">
        <v>108</v>
      </c>
      <c r="G618" s="94" t="s">
        <v>583</v>
      </c>
      <c r="H618" s="94" t="s">
        <v>129</v>
      </c>
      <c r="I618" s="94" t="s">
        <v>199</v>
      </c>
      <c r="J618" s="52">
        <v>6</v>
      </c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6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>
        <v>46221</v>
      </c>
      <c r="B619" s="51" t="s">
        <v>85</v>
      </c>
      <c r="C619" s="97">
        <v>61123995.678571403</v>
      </c>
      <c r="D619" s="97">
        <v>87119.5</v>
      </c>
      <c r="E619" s="48" t="s">
        <v>86</v>
      </c>
      <c r="F619" s="94" t="s">
        <v>108</v>
      </c>
      <c r="G619" s="94" t="s">
        <v>400</v>
      </c>
      <c r="H619" s="94" t="s">
        <v>129</v>
      </c>
      <c r="I619" s="94" t="s">
        <v>199</v>
      </c>
      <c r="J619" s="52">
        <v>6</v>
      </c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6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>
        <v>46221</v>
      </c>
      <c r="B620" s="51" t="s">
        <v>85</v>
      </c>
      <c r="C620" s="97">
        <v>61123995.678571403</v>
      </c>
      <c r="D620" s="97">
        <v>87119.5</v>
      </c>
      <c r="E620" s="48" t="s">
        <v>86</v>
      </c>
      <c r="F620" s="94" t="s">
        <v>108</v>
      </c>
      <c r="G620" s="94" t="s">
        <v>584</v>
      </c>
      <c r="H620" s="94" t="s">
        <v>129</v>
      </c>
      <c r="I620" s="94" t="s">
        <v>199</v>
      </c>
      <c r="J620" s="52">
        <v>6</v>
      </c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6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>
        <v>46221</v>
      </c>
      <c r="B621" s="51" t="s">
        <v>85</v>
      </c>
      <c r="C621" s="97">
        <v>61123995.678571403</v>
      </c>
      <c r="D621" s="97">
        <v>87119.5</v>
      </c>
      <c r="E621" s="48" t="s">
        <v>86</v>
      </c>
      <c r="F621" s="94" t="s">
        <v>108</v>
      </c>
      <c r="G621" s="94" t="s">
        <v>220</v>
      </c>
      <c r="H621" s="94" t="s">
        <v>129</v>
      </c>
      <c r="I621" s="94" t="s">
        <v>199</v>
      </c>
      <c r="J621" s="52">
        <v>10</v>
      </c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10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>
        <v>46221</v>
      </c>
      <c r="B622" s="51" t="s">
        <v>85</v>
      </c>
      <c r="C622" s="97">
        <v>61123995.678571403</v>
      </c>
      <c r="D622" s="97">
        <v>87119.5</v>
      </c>
      <c r="E622" s="48" t="s">
        <v>86</v>
      </c>
      <c r="F622" s="94" t="s">
        <v>109</v>
      </c>
      <c r="G622" s="94" t="s">
        <v>221</v>
      </c>
      <c r="H622" s="94" t="s">
        <v>129</v>
      </c>
      <c r="I622" s="94" t="s">
        <v>199</v>
      </c>
      <c r="J622" s="52"/>
      <c r="K622" s="52">
        <v>10</v>
      </c>
      <c r="L622" s="52"/>
      <c r="M622" s="52"/>
      <c r="N622" s="104">
        <f t="shared" si="150"/>
        <v>10</v>
      </c>
      <c r="O622" s="52"/>
      <c r="P622" s="52"/>
      <c r="Q622" s="52"/>
      <c r="R622" s="104">
        <f t="shared" si="149"/>
        <v>0</v>
      </c>
      <c r="S622" s="86">
        <f t="shared" si="151"/>
        <v>10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>
        <v>46221</v>
      </c>
      <c r="B623" s="51" t="s">
        <v>85</v>
      </c>
      <c r="C623" s="97">
        <v>61123995.678571403</v>
      </c>
      <c r="D623" s="97">
        <v>87119.5</v>
      </c>
      <c r="E623" s="48" t="s">
        <v>86</v>
      </c>
      <c r="F623" s="94" t="s">
        <v>108</v>
      </c>
      <c r="G623" s="94" t="s">
        <v>585</v>
      </c>
      <c r="H623" s="94" t="s">
        <v>129</v>
      </c>
      <c r="I623" s="94" t="s">
        <v>199</v>
      </c>
      <c r="J623" s="52"/>
      <c r="K623" s="52">
        <v>10</v>
      </c>
      <c r="L623" s="52"/>
      <c r="M623" s="52"/>
      <c r="N623" s="104">
        <f t="shared" si="150"/>
        <v>10</v>
      </c>
      <c r="O623" s="52"/>
      <c r="P623" s="52"/>
      <c r="Q623" s="52"/>
      <c r="R623" s="104">
        <f t="shared" si="149"/>
        <v>0</v>
      </c>
      <c r="S623" s="86">
        <f t="shared" si="151"/>
        <v>10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>
        <v>46221</v>
      </c>
      <c r="B624" s="51" t="s">
        <v>85</v>
      </c>
      <c r="C624" s="97">
        <v>61123995.678571403</v>
      </c>
      <c r="D624" s="97">
        <v>87119.5</v>
      </c>
      <c r="E624" s="48" t="s">
        <v>86</v>
      </c>
      <c r="F624" s="94" t="s">
        <v>109</v>
      </c>
      <c r="G624" s="94" t="s">
        <v>586</v>
      </c>
      <c r="H624" s="94" t="s">
        <v>129</v>
      </c>
      <c r="I624" s="94" t="s">
        <v>199</v>
      </c>
      <c r="J624" s="52"/>
      <c r="K624" s="52"/>
      <c r="L624" s="52"/>
      <c r="M624" s="52"/>
      <c r="N624" s="104">
        <f t="shared" si="150"/>
        <v>0</v>
      </c>
      <c r="O624" s="52"/>
      <c r="P624" s="52"/>
      <c r="Q624" s="52">
        <v>10</v>
      </c>
      <c r="R624" s="104">
        <f t="shared" si="149"/>
        <v>10</v>
      </c>
      <c r="S624" s="86">
        <f t="shared" si="151"/>
        <v>10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>
        <v>46221</v>
      </c>
      <c r="B625" s="51" t="s">
        <v>85</v>
      </c>
      <c r="C625" s="97">
        <v>61123995.678571403</v>
      </c>
      <c r="D625" s="97">
        <v>87119.5</v>
      </c>
      <c r="E625" s="48" t="s">
        <v>86</v>
      </c>
      <c r="F625" s="94" t="s">
        <v>108</v>
      </c>
      <c r="G625" s="94" t="s">
        <v>587</v>
      </c>
      <c r="H625" s="94" t="s">
        <v>129</v>
      </c>
      <c r="I625" s="94" t="s">
        <v>199</v>
      </c>
      <c r="J625" s="52"/>
      <c r="K625" s="52"/>
      <c r="L625" s="52"/>
      <c r="M625" s="52"/>
      <c r="N625" s="104">
        <f t="shared" si="150"/>
        <v>0</v>
      </c>
      <c r="O625" s="52"/>
      <c r="P625" s="52"/>
      <c r="Q625" s="52">
        <v>10</v>
      </c>
      <c r="R625" s="104">
        <f t="shared" si="149"/>
        <v>10</v>
      </c>
      <c r="S625" s="86">
        <f t="shared" si="151"/>
        <v>10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>
        <v>46221</v>
      </c>
      <c r="B626" s="51" t="s">
        <v>85</v>
      </c>
      <c r="C626" s="97">
        <v>61123995.678571403</v>
      </c>
      <c r="D626" s="97">
        <v>87119.5</v>
      </c>
      <c r="E626" s="48" t="s">
        <v>86</v>
      </c>
      <c r="F626" s="94" t="s">
        <v>109</v>
      </c>
      <c r="G626" s="94" t="s">
        <v>588</v>
      </c>
      <c r="H626" s="94" t="s">
        <v>129</v>
      </c>
      <c r="I626" s="94" t="s">
        <v>199</v>
      </c>
      <c r="J626" s="52"/>
      <c r="K626" s="52"/>
      <c r="L626" s="52"/>
      <c r="M626" s="52"/>
      <c r="N626" s="104">
        <f t="shared" si="150"/>
        <v>0</v>
      </c>
      <c r="O626" s="52">
        <v>10</v>
      </c>
      <c r="P626" s="52"/>
      <c r="Q626" s="52"/>
      <c r="R626" s="104">
        <f t="shared" si="149"/>
        <v>10</v>
      </c>
      <c r="S626" s="86">
        <f t="shared" si="151"/>
        <v>10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>
        <v>46221</v>
      </c>
      <c r="B627" s="51" t="s">
        <v>85</v>
      </c>
      <c r="C627" s="97">
        <v>61123995.678571403</v>
      </c>
      <c r="D627" s="97">
        <v>87119.5</v>
      </c>
      <c r="E627" s="48" t="s">
        <v>86</v>
      </c>
      <c r="F627" s="94" t="s">
        <v>108</v>
      </c>
      <c r="G627" s="94" t="s">
        <v>589</v>
      </c>
      <c r="H627" s="94" t="s">
        <v>129</v>
      </c>
      <c r="I627" s="94" t="s">
        <v>199</v>
      </c>
      <c r="J627" s="52"/>
      <c r="K627" s="52"/>
      <c r="L627" s="52"/>
      <c r="M627" s="52"/>
      <c r="N627" s="104">
        <f t="shared" si="150"/>
        <v>0</v>
      </c>
      <c r="O627" s="52"/>
      <c r="P627" s="52"/>
      <c r="Q627" s="52">
        <v>10</v>
      </c>
      <c r="R627" s="104">
        <f t="shared" si="149"/>
        <v>10</v>
      </c>
      <c r="S627" s="86">
        <f t="shared" si="151"/>
        <v>10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>
        <v>46221</v>
      </c>
      <c r="B628" s="51" t="s">
        <v>85</v>
      </c>
      <c r="C628" s="97">
        <v>61123995.678571403</v>
      </c>
      <c r="D628" s="97">
        <v>87119.5</v>
      </c>
      <c r="E628" s="48" t="s">
        <v>86</v>
      </c>
      <c r="F628" s="94" t="s">
        <v>109</v>
      </c>
      <c r="G628" s="94" t="s">
        <v>590</v>
      </c>
      <c r="H628" s="94" t="s">
        <v>129</v>
      </c>
      <c r="I628" s="94" t="s">
        <v>199</v>
      </c>
      <c r="J628" s="52"/>
      <c r="K628" s="52"/>
      <c r="L628" s="52"/>
      <c r="M628" s="52"/>
      <c r="N628" s="104">
        <f t="shared" si="150"/>
        <v>0</v>
      </c>
      <c r="O628" s="52">
        <v>400</v>
      </c>
      <c r="P628" s="52"/>
      <c r="Q628" s="52"/>
      <c r="R628" s="104">
        <f t="shared" si="149"/>
        <v>400</v>
      </c>
      <c r="S628" s="86">
        <f t="shared" si="151"/>
        <v>400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>
        <v>46221</v>
      </c>
      <c r="B629" s="51" t="s">
        <v>85</v>
      </c>
      <c r="C629" s="97">
        <v>61123995.678571403</v>
      </c>
      <c r="D629" s="97">
        <v>87119.5</v>
      </c>
      <c r="E629" s="48" t="s">
        <v>86</v>
      </c>
      <c r="F629" s="94" t="s">
        <v>109</v>
      </c>
      <c r="G629" s="94" t="s">
        <v>223</v>
      </c>
      <c r="H629" s="94" t="s">
        <v>129</v>
      </c>
      <c r="I629" s="94" t="s">
        <v>199</v>
      </c>
      <c r="J629" s="52"/>
      <c r="K629" s="52"/>
      <c r="L629" s="52"/>
      <c r="M629" s="52"/>
      <c r="N629" s="104">
        <f t="shared" si="150"/>
        <v>0</v>
      </c>
      <c r="O629" s="52">
        <v>40</v>
      </c>
      <c r="P629" s="52"/>
      <c r="Q629" s="52">
        <v>40</v>
      </c>
      <c r="R629" s="104">
        <f t="shared" si="149"/>
        <v>80</v>
      </c>
      <c r="S629" s="86">
        <f t="shared" si="151"/>
        <v>80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85">
        <v>46223</v>
      </c>
      <c r="B630" s="51" t="s">
        <v>85</v>
      </c>
      <c r="C630" s="97">
        <v>61123995.678571403</v>
      </c>
      <c r="D630" s="97">
        <v>87119.5</v>
      </c>
      <c r="E630" s="48" t="s">
        <v>86</v>
      </c>
      <c r="F630" s="94" t="s">
        <v>87</v>
      </c>
      <c r="G630" s="94" t="s">
        <v>591</v>
      </c>
      <c r="H630" s="94" t="s">
        <v>89</v>
      </c>
      <c r="I630" s="94" t="s">
        <v>592</v>
      </c>
      <c r="J630" s="52"/>
      <c r="K630" s="52">
        <v>1189</v>
      </c>
      <c r="L630" s="52">
        <v>1395</v>
      </c>
      <c r="M630" s="52"/>
      <c r="N630" s="104">
        <f t="shared" si="150"/>
        <v>2584</v>
      </c>
      <c r="O630" s="52">
        <v>2398</v>
      </c>
      <c r="P630" s="52">
        <v>2397</v>
      </c>
      <c r="Q630" s="52">
        <v>4800</v>
      </c>
      <c r="R630" s="104">
        <f t="shared" si="149"/>
        <v>9595</v>
      </c>
      <c r="S630" s="86">
        <f t="shared" si="151"/>
        <v>12179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85">
        <v>46223</v>
      </c>
      <c r="B631" s="51" t="s">
        <v>85</v>
      </c>
      <c r="C631" s="97">
        <v>61123995.678571403</v>
      </c>
      <c r="D631" s="97">
        <v>87119.5</v>
      </c>
      <c r="E631" s="48" t="s">
        <v>86</v>
      </c>
      <c r="F631" s="94" t="s">
        <v>87</v>
      </c>
      <c r="G631" s="94" t="s">
        <v>593</v>
      </c>
      <c r="H631" s="94" t="s">
        <v>89</v>
      </c>
      <c r="I631" s="94" t="s">
        <v>405</v>
      </c>
      <c r="J631" s="52"/>
      <c r="K631" s="52">
        <v>40</v>
      </c>
      <c r="L631" s="52">
        <v>40</v>
      </c>
      <c r="M631" s="52"/>
      <c r="N631" s="104">
        <f t="shared" si="150"/>
        <v>80</v>
      </c>
      <c r="O631" s="52">
        <v>40</v>
      </c>
      <c r="P631" s="52">
        <v>40</v>
      </c>
      <c r="Q631" s="52">
        <v>40</v>
      </c>
      <c r="R631" s="104">
        <f t="shared" si="149"/>
        <v>120</v>
      </c>
      <c r="S631" s="86">
        <f t="shared" si="151"/>
        <v>200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85">
        <v>46223</v>
      </c>
      <c r="B632" s="51" t="s">
        <v>85</v>
      </c>
      <c r="C632" s="97">
        <v>61123995.678571403</v>
      </c>
      <c r="D632" s="97">
        <v>87119.5</v>
      </c>
      <c r="E632" s="48" t="s">
        <v>86</v>
      </c>
      <c r="F632" s="94" t="s">
        <v>109</v>
      </c>
      <c r="G632" s="94" t="s">
        <v>594</v>
      </c>
      <c r="H632" s="94" t="s">
        <v>127</v>
      </c>
      <c r="I632" s="94" t="s">
        <v>602</v>
      </c>
      <c r="J632" s="52">
        <v>40</v>
      </c>
      <c r="K632" s="52"/>
      <c r="L632" s="52"/>
      <c r="M632" s="52"/>
      <c r="N632" s="104">
        <f t="shared" si="150"/>
        <v>0</v>
      </c>
      <c r="O632" s="52">
        <v>40</v>
      </c>
      <c r="P632" s="52"/>
      <c r="Q632" s="52"/>
      <c r="R632" s="104">
        <f t="shared" si="149"/>
        <v>40</v>
      </c>
      <c r="S632" s="86">
        <f t="shared" si="151"/>
        <v>80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85">
        <v>46223</v>
      </c>
      <c r="B633" s="51" t="s">
        <v>85</v>
      </c>
      <c r="C633" s="97">
        <v>61123995.678571403</v>
      </c>
      <c r="D633" s="97">
        <v>87119.5</v>
      </c>
      <c r="E633" s="48" t="s">
        <v>86</v>
      </c>
      <c r="F633" s="94" t="s">
        <v>109</v>
      </c>
      <c r="G633" s="94" t="s">
        <v>595</v>
      </c>
      <c r="H633" s="94" t="s">
        <v>127</v>
      </c>
      <c r="I633" s="94" t="s">
        <v>602</v>
      </c>
      <c r="J633" s="52">
        <v>20</v>
      </c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20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85">
        <v>46223</v>
      </c>
      <c r="B634" s="51" t="s">
        <v>85</v>
      </c>
      <c r="C634" s="97">
        <v>61123995.678571403</v>
      </c>
      <c r="D634" s="97">
        <v>87119.5</v>
      </c>
      <c r="E634" s="48" t="s">
        <v>86</v>
      </c>
      <c r="F634" s="94" t="s">
        <v>109</v>
      </c>
      <c r="G634" s="94" t="s">
        <v>596</v>
      </c>
      <c r="H634" s="94" t="s">
        <v>127</v>
      </c>
      <c r="I634" s="94" t="s">
        <v>603</v>
      </c>
      <c r="J634" s="52"/>
      <c r="K634" s="52"/>
      <c r="L634" s="52"/>
      <c r="M634" s="52"/>
      <c r="N634" s="104">
        <f t="shared" si="150"/>
        <v>0</v>
      </c>
      <c r="O634" s="52">
        <v>40</v>
      </c>
      <c r="P634" s="52">
        <v>40</v>
      </c>
      <c r="Q634" s="52"/>
      <c r="R634" s="104">
        <f t="shared" si="149"/>
        <v>80</v>
      </c>
      <c r="S634" s="86">
        <f t="shared" si="151"/>
        <v>80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85">
        <v>46223</v>
      </c>
      <c r="B635" s="51" t="s">
        <v>85</v>
      </c>
      <c r="C635" s="97">
        <v>61123995.678571403</v>
      </c>
      <c r="D635" s="97">
        <v>87119.5</v>
      </c>
      <c r="E635" s="48" t="s">
        <v>86</v>
      </c>
      <c r="F635" s="94" t="s">
        <v>109</v>
      </c>
      <c r="G635" s="94" t="s">
        <v>597</v>
      </c>
      <c r="H635" s="94" t="s">
        <v>127</v>
      </c>
      <c r="I635" s="94" t="s">
        <v>602</v>
      </c>
      <c r="J635" s="52">
        <v>40</v>
      </c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40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85">
        <v>46223</v>
      </c>
      <c r="B636" s="51" t="s">
        <v>85</v>
      </c>
      <c r="C636" s="97">
        <v>61123995.678571403</v>
      </c>
      <c r="D636" s="97">
        <v>87119.5</v>
      </c>
      <c r="E636" s="48" t="s">
        <v>86</v>
      </c>
      <c r="F636" s="94" t="s">
        <v>109</v>
      </c>
      <c r="G636" s="94" t="s">
        <v>598</v>
      </c>
      <c r="H636" s="94" t="s">
        <v>127</v>
      </c>
      <c r="I636" s="94" t="s">
        <v>602</v>
      </c>
      <c r="J636" s="52">
        <v>40</v>
      </c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40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85">
        <v>46223</v>
      </c>
      <c r="B637" s="51" t="s">
        <v>85</v>
      </c>
      <c r="C637" s="97">
        <v>61123995.678571403</v>
      </c>
      <c r="D637" s="97">
        <v>87119.5</v>
      </c>
      <c r="E637" s="48" t="s">
        <v>86</v>
      </c>
      <c r="F637" s="94" t="s">
        <v>109</v>
      </c>
      <c r="G637" s="94" t="s">
        <v>599</v>
      </c>
      <c r="H637" s="94" t="s">
        <v>127</v>
      </c>
      <c r="I637" s="94" t="s">
        <v>602</v>
      </c>
      <c r="J637" s="52">
        <v>40</v>
      </c>
      <c r="K637" s="52"/>
      <c r="L637" s="52"/>
      <c r="M637" s="52"/>
      <c r="N637" s="104">
        <f t="shared" si="150"/>
        <v>0</v>
      </c>
      <c r="O637" s="52">
        <v>40</v>
      </c>
      <c r="P637" s="52"/>
      <c r="Q637" s="52">
        <v>40</v>
      </c>
      <c r="R637" s="104">
        <f t="shared" si="149"/>
        <v>80</v>
      </c>
      <c r="S637" s="86">
        <f t="shared" si="151"/>
        <v>120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85">
        <v>46223</v>
      </c>
      <c r="B638" s="51" t="s">
        <v>85</v>
      </c>
      <c r="C638" s="97">
        <v>61123995.678571403</v>
      </c>
      <c r="D638" s="97">
        <v>87119.5</v>
      </c>
      <c r="E638" s="48" t="s">
        <v>86</v>
      </c>
      <c r="F638" s="94" t="s">
        <v>108</v>
      </c>
      <c r="G638" s="94" t="s">
        <v>600</v>
      </c>
      <c r="H638" s="94" t="s">
        <v>127</v>
      </c>
      <c r="I638" s="94" t="s">
        <v>602</v>
      </c>
      <c r="J638" s="52">
        <v>40</v>
      </c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40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85">
        <v>46223</v>
      </c>
      <c r="B639" s="51" t="s">
        <v>85</v>
      </c>
      <c r="C639" s="97">
        <v>61123995.678571403</v>
      </c>
      <c r="D639" s="97">
        <v>87119.5</v>
      </c>
      <c r="E639" s="48" t="s">
        <v>86</v>
      </c>
      <c r="F639" s="94" t="s">
        <v>108</v>
      </c>
      <c r="G639" s="94" t="s">
        <v>601</v>
      </c>
      <c r="H639" s="94" t="s">
        <v>127</v>
      </c>
      <c r="I639" s="94" t="s">
        <v>602</v>
      </c>
      <c r="J639" s="52">
        <v>200</v>
      </c>
      <c r="K639" s="52">
        <v>80</v>
      </c>
      <c r="L639" s="52">
        <v>80</v>
      </c>
      <c r="M639" s="52"/>
      <c r="N639" s="104">
        <f t="shared" si="150"/>
        <v>160</v>
      </c>
      <c r="O639" s="52"/>
      <c r="P639" s="52"/>
      <c r="Q639" s="52"/>
      <c r="R639" s="104">
        <f t="shared" si="149"/>
        <v>0</v>
      </c>
      <c r="S639" s="86">
        <f t="shared" si="151"/>
        <v>360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>
        <v>46223</v>
      </c>
      <c r="B640" s="51" t="s">
        <v>85</v>
      </c>
      <c r="C640" s="97">
        <v>61123995.678571403</v>
      </c>
      <c r="D640" s="97">
        <v>87119.5</v>
      </c>
      <c r="E640" s="48" t="s">
        <v>86</v>
      </c>
      <c r="F640" s="94" t="s">
        <v>108</v>
      </c>
      <c r="G640" s="94" t="s">
        <v>299</v>
      </c>
      <c r="H640" s="94" t="s">
        <v>435</v>
      </c>
      <c r="I640" s="94" t="s">
        <v>273</v>
      </c>
      <c r="J640" s="52">
        <v>80</v>
      </c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80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>
        <v>46223</v>
      </c>
      <c r="B641" s="51" t="s">
        <v>85</v>
      </c>
      <c r="C641" s="97">
        <v>61123995.678571403</v>
      </c>
      <c r="D641" s="97">
        <v>87119.5</v>
      </c>
      <c r="E641" s="48" t="s">
        <v>86</v>
      </c>
      <c r="F641" s="94" t="s">
        <v>108</v>
      </c>
      <c r="G641" s="94" t="s">
        <v>604</v>
      </c>
      <c r="H641" s="94" t="s">
        <v>435</v>
      </c>
      <c r="I641" s="94" t="s">
        <v>273</v>
      </c>
      <c r="J641" s="52"/>
      <c r="K641" s="52"/>
      <c r="L641" s="52"/>
      <c r="M641" s="52"/>
      <c r="N641" s="104">
        <f t="shared" si="150"/>
        <v>0</v>
      </c>
      <c r="O641" s="52"/>
      <c r="P641" s="52"/>
      <c r="Q641" s="52">
        <v>6</v>
      </c>
      <c r="R641" s="104">
        <f t="shared" si="149"/>
        <v>6</v>
      </c>
      <c r="S641" s="86">
        <f t="shared" si="151"/>
        <v>6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>
        <v>46223</v>
      </c>
      <c r="B642" s="51" t="s">
        <v>85</v>
      </c>
      <c r="C642" s="97">
        <v>61123995.678571403</v>
      </c>
      <c r="D642" s="97">
        <v>87119.5</v>
      </c>
      <c r="E642" s="48" t="s">
        <v>86</v>
      </c>
      <c r="F642" s="94" t="s">
        <v>108</v>
      </c>
      <c r="G642" s="94" t="s">
        <v>267</v>
      </c>
      <c r="H642" s="94" t="s">
        <v>435</v>
      </c>
      <c r="I642" s="94" t="s">
        <v>273</v>
      </c>
      <c r="J642" s="52"/>
      <c r="K642" s="52">
        <v>6</v>
      </c>
      <c r="L642" s="52">
        <v>6</v>
      </c>
      <c r="M642" s="52"/>
      <c r="N642" s="104">
        <f t="shared" si="150"/>
        <v>12</v>
      </c>
      <c r="O642" s="52"/>
      <c r="P642" s="52"/>
      <c r="Q642" s="52"/>
      <c r="R642" s="104">
        <f t="shared" si="149"/>
        <v>0</v>
      </c>
      <c r="S642" s="86">
        <f t="shared" si="151"/>
        <v>12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>
        <v>46223</v>
      </c>
      <c r="B643" s="51" t="s">
        <v>85</v>
      </c>
      <c r="C643" s="97">
        <v>61123995.678571403</v>
      </c>
      <c r="D643" s="97">
        <v>87119.5</v>
      </c>
      <c r="E643" s="48" t="s">
        <v>86</v>
      </c>
      <c r="F643" s="94" t="s">
        <v>108</v>
      </c>
      <c r="G643" s="94" t="s">
        <v>605</v>
      </c>
      <c r="H643" s="94" t="s">
        <v>435</v>
      </c>
      <c r="I643" s="94" t="s">
        <v>273</v>
      </c>
      <c r="J643" s="52">
        <v>12</v>
      </c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12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>
        <v>46223</v>
      </c>
      <c r="B644" s="51" t="s">
        <v>85</v>
      </c>
      <c r="C644" s="97">
        <v>61123995.678571403</v>
      </c>
      <c r="D644" s="97">
        <v>87119.5</v>
      </c>
      <c r="E644" s="48" t="s">
        <v>86</v>
      </c>
      <c r="F644" s="94" t="s">
        <v>108</v>
      </c>
      <c r="G644" s="94" t="s">
        <v>606</v>
      </c>
      <c r="H644" s="94" t="s">
        <v>435</v>
      </c>
      <c r="I644" s="94" t="s">
        <v>273</v>
      </c>
      <c r="J644" s="52"/>
      <c r="K644" s="52"/>
      <c r="L644" s="52"/>
      <c r="M644" s="52"/>
      <c r="N644" s="104">
        <f t="shared" si="150"/>
        <v>0</v>
      </c>
      <c r="O644" s="52"/>
      <c r="P644" s="52"/>
      <c r="Q644" s="52">
        <v>6</v>
      </c>
      <c r="R644" s="104">
        <f t="shared" ref="R644:R855" si="152">SUM(O644:Q644)</f>
        <v>6</v>
      </c>
      <c r="S644" s="86">
        <f t="shared" si="151"/>
        <v>6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>
        <v>46223</v>
      </c>
      <c r="B645" s="51" t="s">
        <v>85</v>
      </c>
      <c r="C645" s="97">
        <v>61123995.678571403</v>
      </c>
      <c r="D645" s="97">
        <v>87119.5</v>
      </c>
      <c r="E645" s="48" t="s">
        <v>86</v>
      </c>
      <c r="F645" s="94" t="s">
        <v>108</v>
      </c>
      <c r="G645" s="94" t="s">
        <v>607</v>
      </c>
      <c r="H645" s="94" t="s">
        <v>435</v>
      </c>
      <c r="I645" s="94" t="s">
        <v>273</v>
      </c>
      <c r="J645" s="52"/>
      <c r="K645" s="52"/>
      <c r="L645" s="52"/>
      <c r="M645" s="52"/>
      <c r="N645" s="104">
        <f t="shared" ref="N645:N708" si="153">K645+L645+M645</f>
        <v>0</v>
      </c>
      <c r="O645" s="52">
        <v>6</v>
      </c>
      <c r="P645" s="52"/>
      <c r="Q645" s="52"/>
      <c r="R645" s="104">
        <f t="shared" si="152"/>
        <v>6</v>
      </c>
      <c r="S645" s="86">
        <f t="shared" ref="S645:S708" si="154">R645+N645+J645</f>
        <v>6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>
        <v>46223</v>
      </c>
      <c r="B646" s="51" t="s">
        <v>85</v>
      </c>
      <c r="C646" s="97">
        <v>61123995.678571403</v>
      </c>
      <c r="D646" s="97">
        <v>87119.5</v>
      </c>
      <c r="E646" s="48" t="s">
        <v>86</v>
      </c>
      <c r="F646" s="94" t="s">
        <v>108</v>
      </c>
      <c r="G646" s="94" t="s">
        <v>608</v>
      </c>
      <c r="H646" s="94" t="s">
        <v>435</v>
      </c>
      <c r="I646" s="94" t="s">
        <v>273</v>
      </c>
      <c r="J646" s="52"/>
      <c r="K646" s="52"/>
      <c r="L646" s="52"/>
      <c r="M646" s="52"/>
      <c r="N646" s="104">
        <f t="shared" si="153"/>
        <v>0</v>
      </c>
      <c r="O646" s="52"/>
      <c r="P646" s="52">
        <v>6</v>
      </c>
      <c r="Q646" s="52"/>
      <c r="R646" s="104">
        <f t="shared" si="152"/>
        <v>6</v>
      </c>
      <c r="S646" s="86">
        <f t="shared" si="154"/>
        <v>6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>
        <v>46223</v>
      </c>
      <c r="B647" s="51" t="s">
        <v>85</v>
      </c>
      <c r="C647" s="97">
        <v>61123995.678571403</v>
      </c>
      <c r="D647" s="97">
        <v>87119.5</v>
      </c>
      <c r="E647" s="48" t="s">
        <v>86</v>
      </c>
      <c r="F647" s="94" t="s">
        <v>108</v>
      </c>
      <c r="G647" s="94" t="s">
        <v>609</v>
      </c>
      <c r="H647" s="94" t="s">
        <v>435</v>
      </c>
      <c r="I647" s="94" t="s">
        <v>273</v>
      </c>
      <c r="J647" s="52">
        <v>10</v>
      </c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10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>
        <v>46223</v>
      </c>
      <c r="B648" s="51" t="s">
        <v>85</v>
      </c>
      <c r="C648" s="97">
        <v>61123995.678571403</v>
      </c>
      <c r="D648" s="97">
        <v>87119.5</v>
      </c>
      <c r="E648" s="48" t="s">
        <v>86</v>
      </c>
      <c r="F648" s="94" t="s">
        <v>108</v>
      </c>
      <c r="G648" s="94" t="s">
        <v>133</v>
      </c>
      <c r="H648" s="94" t="s">
        <v>435</v>
      </c>
      <c r="I648" s="94" t="s">
        <v>273</v>
      </c>
      <c r="J648" s="52">
        <v>10</v>
      </c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10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>
        <v>46223</v>
      </c>
      <c r="B649" s="51" t="s">
        <v>85</v>
      </c>
      <c r="C649" s="97">
        <v>61123995.678571403</v>
      </c>
      <c r="D649" s="97">
        <v>87119.5</v>
      </c>
      <c r="E649" s="48" t="s">
        <v>86</v>
      </c>
      <c r="F649" s="94" t="s">
        <v>108</v>
      </c>
      <c r="G649" s="94" t="s">
        <v>269</v>
      </c>
      <c r="H649" s="94" t="s">
        <v>435</v>
      </c>
      <c r="I649" s="94" t="s">
        <v>273</v>
      </c>
      <c r="J649" s="52">
        <v>10</v>
      </c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10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>
        <v>46223</v>
      </c>
      <c r="B650" s="51" t="s">
        <v>85</v>
      </c>
      <c r="C650" s="97">
        <v>61123995.678571403</v>
      </c>
      <c r="D650" s="97">
        <v>87119.5</v>
      </c>
      <c r="E650" s="48" t="s">
        <v>86</v>
      </c>
      <c r="F650" s="94" t="s">
        <v>108</v>
      </c>
      <c r="G650" s="94" t="s">
        <v>610</v>
      </c>
      <c r="H650" s="94" t="s">
        <v>435</v>
      </c>
      <c r="I650" s="94" t="s">
        <v>273</v>
      </c>
      <c r="J650" s="52"/>
      <c r="K650" s="52">
        <v>40</v>
      </c>
      <c r="L650" s="52">
        <v>40</v>
      </c>
      <c r="M650" s="52"/>
      <c r="N650" s="104">
        <f t="shared" si="153"/>
        <v>80</v>
      </c>
      <c r="O650" s="52">
        <v>80</v>
      </c>
      <c r="P650" s="52">
        <v>80</v>
      </c>
      <c r="Q650" s="52">
        <v>160</v>
      </c>
      <c r="R650" s="104">
        <f t="shared" si="152"/>
        <v>320</v>
      </c>
      <c r="S650" s="86">
        <f t="shared" si="154"/>
        <v>400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>
        <v>46223</v>
      </c>
      <c r="B651" s="51" t="s">
        <v>85</v>
      </c>
      <c r="C651" s="97">
        <v>61123995.678571403</v>
      </c>
      <c r="D651" s="97">
        <v>87119.5</v>
      </c>
      <c r="E651" s="48" t="s">
        <v>86</v>
      </c>
      <c r="F651" s="94" t="s">
        <v>108</v>
      </c>
      <c r="G651" s="94" t="s">
        <v>611</v>
      </c>
      <c r="H651" s="94" t="s">
        <v>435</v>
      </c>
      <c r="I651" s="94" t="s">
        <v>273</v>
      </c>
      <c r="J651" s="52">
        <v>10</v>
      </c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10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>
        <v>46223</v>
      </c>
      <c r="B652" s="51" t="s">
        <v>85</v>
      </c>
      <c r="C652" s="97">
        <v>61123995.678571403</v>
      </c>
      <c r="D652" s="97">
        <v>87119.5</v>
      </c>
      <c r="E652" s="48" t="s">
        <v>86</v>
      </c>
      <c r="F652" s="94" t="s">
        <v>108</v>
      </c>
      <c r="G652" s="94" t="s">
        <v>612</v>
      </c>
      <c r="H652" s="94" t="s">
        <v>435</v>
      </c>
      <c r="I652" s="94" t="s">
        <v>273</v>
      </c>
      <c r="J652" s="52">
        <v>10</v>
      </c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10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>
        <v>46223</v>
      </c>
      <c r="B653" s="51" t="s">
        <v>85</v>
      </c>
      <c r="C653" s="97">
        <v>61123995.678571403</v>
      </c>
      <c r="D653" s="97">
        <v>87119.5</v>
      </c>
      <c r="E653" s="48" t="s">
        <v>86</v>
      </c>
      <c r="F653" s="94" t="s">
        <v>108</v>
      </c>
      <c r="G653" s="94" t="s">
        <v>613</v>
      </c>
      <c r="H653" s="94" t="s">
        <v>435</v>
      </c>
      <c r="I653" s="94" t="s">
        <v>273</v>
      </c>
      <c r="J653" s="52">
        <v>10</v>
      </c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10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>
        <v>46223</v>
      </c>
      <c r="B654" s="51" t="s">
        <v>85</v>
      </c>
      <c r="C654" s="97">
        <v>61123995.678571403</v>
      </c>
      <c r="D654" s="97">
        <v>87119.5</v>
      </c>
      <c r="E654" s="48" t="s">
        <v>86</v>
      </c>
      <c r="F654" s="94" t="s">
        <v>109</v>
      </c>
      <c r="G654" s="94" t="s">
        <v>614</v>
      </c>
      <c r="H654" s="94" t="s">
        <v>435</v>
      </c>
      <c r="I654" s="94" t="s">
        <v>273</v>
      </c>
      <c r="J654" s="52">
        <v>10</v>
      </c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10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>
        <v>46223</v>
      </c>
      <c r="B655" s="51" t="s">
        <v>85</v>
      </c>
      <c r="C655" s="97">
        <v>61123995.678571403</v>
      </c>
      <c r="D655" s="97">
        <v>87119.5</v>
      </c>
      <c r="E655" s="48" t="s">
        <v>86</v>
      </c>
      <c r="F655" s="94" t="s">
        <v>108</v>
      </c>
      <c r="G655" s="94" t="s">
        <v>440</v>
      </c>
      <c r="H655" s="94" t="s">
        <v>435</v>
      </c>
      <c r="I655" s="94" t="s">
        <v>273</v>
      </c>
      <c r="J655" s="52">
        <v>40</v>
      </c>
      <c r="K655" s="52">
        <v>20</v>
      </c>
      <c r="L655" s="52">
        <v>20</v>
      </c>
      <c r="M655" s="52"/>
      <c r="N655" s="104">
        <f t="shared" si="153"/>
        <v>40</v>
      </c>
      <c r="O655" s="52">
        <v>40</v>
      </c>
      <c r="P655" s="52">
        <v>40</v>
      </c>
      <c r="Q655" s="52">
        <v>40</v>
      </c>
      <c r="R655" s="104">
        <f t="shared" si="152"/>
        <v>120</v>
      </c>
      <c r="S655" s="86">
        <f t="shared" si="154"/>
        <v>200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85">
        <v>46224</v>
      </c>
      <c r="B656" s="51" t="s">
        <v>85</v>
      </c>
      <c r="C656" s="97">
        <v>61123995.678571403</v>
      </c>
      <c r="D656" s="97">
        <v>87119.5</v>
      </c>
      <c r="E656" s="48" t="s">
        <v>86</v>
      </c>
      <c r="F656" s="94" t="s">
        <v>87</v>
      </c>
      <c r="G656" s="94" t="s">
        <v>425</v>
      </c>
      <c r="H656" s="94" t="s">
        <v>89</v>
      </c>
      <c r="I656" s="94" t="s">
        <v>568</v>
      </c>
      <c r="J656" s="52"/>
      <c r="K656" s="52">
        <v>40</v>
      </c>
      <c r="L656" s="52">
        <v>400</v>
      </c>
      <c r="M656" s="52"/>
      <c r="N656" s="104">
        <f t="shared" si="153"/>
        <v>440</v>
      </c>
      <c r="O656" s="52">
        <v>160</v>
      </c>
      <c r="P656" s="52">
        <v>320</v>
      </c>
      <c r="Q656" s="52">
        <v>200</v>
      </c>
      <c r="R656" s="104">
        <f t="shared" si="152"/>
        <v>680</v>
      </c>
      <c r="S656" s="86">
        <f t="shared" si="154"/>
        <v>1120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85">
        <v>46224</v>
      </c>
      <c r="B657" s="51" t="s">
        <v>85</v>
      </c>
      <c r="C657" s="97">
        <v>61123995.678571403</v>
      </c>
      <c r="D657" s="97">
        <v>87119.5</v>
      </c>
      <c r="E657" s="48" t="s">
        <v>86</v>
      </c>
      <c r="F657" s="94" t="s">
        <v>87</v>
      </c>
      <c r="G657" s="94" t="s">
        <v>425</v>
      </c>
      <c r="H657" s="94" t="s">
        <v>89</v>
      </c>
      <c r="I657" s="94" t="s">
        <v>617</v>
      </c>
      <c r="J657" s="52"/>
      <c r="K657" s="52">
        <v>200</v>
      </c>
      <c r="L657" s="52">
        <v>320</v>
      </c>
      <c r="M657" s="52"/>
      <c r="N657" s="104">
        <f t="shared" si="153"/>
        <v>520</v>
      </c>
      <c r="O657" s="52">
        <v>320</v>
      </c>
      <c r="P657" s="52">
        <v>400</v>
      </c>
      <c r="Q657" s="52">
        <v>520</v>
      </c>
      <c r="R657" s="104">
        <f t="shared" si="152"/>
        <v>1240</v>
      </c>
      <c r="S657" s="86">
        <f t="shared" si="154"/>
        <v>1760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85">
        <v>46224</v>
      </c>
      <c r="B658" s="51" t="s">
        <v>85</v>
      </c>
      <c r="C658" s="97">
        <v>61123995.678571403</v>
      </c>
      <c r="D658" s="97">
        <v>87119.5</v>
      </c>
      <c r="E658" s="48" t="s">
        <v>86</v>
      </c>
      <c r="F658" s="94" t="s">
        <v>87</v>
      </c>
      <c r="G658" s="94" t="s">
        <v>615</v>
      </c>
      <c r="H658" s="94" t="s">
        <v>89</v>
      </c>
      <c r="I658" s="94" t="s">
        <v>618</v>
      </c>
      <c r="J658" s="52"/>
      <c r="K658" s="52">
        <v>240</v>
      </c>
      <c r="L658" s="52">
        <v>240</v>
      </c>
      <c r="M658" s="52"/>
      <c r="N658" s="104">
        <f t="shared" si="153"/>
        <v>480</v>
      </c>
      <c r="O658" s="52">
        <v>240</v>
      </c>
      <c r="P658" s="52">
        <v>240</v>
      </c>
      <c r="Q658" s="52">
        <v>240</v>
      </c>
      <c r="R658" s="104">
        <f t="shared" si="152"/>
        <v>720</v>
      </c>
      <c r="S658" s="86">
        <f t="shared" si="154"/>
        <v>1200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85">
        <v>46224</v>
      </c>
      <c r="B659" s="51" t="s">
        <v>85</v>
      </c>
      <c r="C659" s="97">
        <v>61123995.678571403</v>
      </c>
      <c r="D659" s="97">
        <v>87119.5</v>
      </c>
      <c r="E659" s="48" t="s">
        <v>86</v>
      </c>
      <c r="F659" s="94" t="s">
        <v>87</v>
      </c>
      <c r="G659" s="94" t="s">
        <v>616</v>
      </c>
      <c r="H659" s="94" t="s">
        <v>89</v>
      </c>
      <c r="I659" s="94" t="s">
        <v>568</v>
      </c>
      <c r="J659" s="52"/>
      <c r="K659" s="52">
        <v>200</v>
      </c>
      <c r="L659" s="52">
        <v>200</v>
      </c>
      <c r="M659" s="52"/>
      <c r="N659" s="104">
        <f t="shared" si="153"/>
        <v>400</v>
      </c>
      <c r="O659" s="52">
        <v>200</v>
      </c>
      <c r="P659" s="52">
        <v>200</v>
      </c>
      <c r="Q659" s="52">
        <v>200</v>
      </c>
      <c r="R659" s="104">
        <f t="shared" si="152"/>
        <v>600</v>
      </c>
      <c r="S659" s="86">
        <f t="shared" si="154"/>
        <v>1000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85">
        <v>46224</v>
      </c>
      <c r="B660" s="51" t="s">
        <v>85</v>
      </c>
      <c r="C660" s="97">
        <v>61123995.678571403</v>
      </c>
      <c r="D660" s="97">
        <v>87119.5</v>
      </c>
      <c r="E660" s="48" t="s">
        <v>86</v>
      </c>
      <c r="F660" s="94" t="s">
        <v>87</v>
      </c>
      <c r="G660" s="94" t="s">
        <v>593</v>
      </c>
      <c r="H660" s="94" t="s">
        <v>89</v>
      </c>
      <c r="I660" s="94" t="s">
        <v>448</v>
      </c>
      <c r="J660" s="52"/>
      <c r="K660" s="52">
        <v>80</v>
      </c>
      <c r="L660" s="52">
        <v>80</v>
      </c>
      <c r="M660" s="52"/>
      <c r="N660" s="104">
        <f t="shared" si="153"/>
        <v>160</v>
      </c>
      <c r="O660" s="52">
        <v>80</v>
      </c>
      <c r="P660" s="52">
        <v>80</v>
      </c>
      <c r="Q660" s="52">
        <v>120</v>
      </c>
      <c r="R660" s="104">
        <f t="shared" si="152"/>
        <v>280</v>
      </c>
      <c r="S660" s="86">
        <f t="shared" si="154"/>
        <v>440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85">
        <v>46224</v>
      </c>
      <c r="B661" s="51" t="s">
        <v>85</v>
      </c>
      <c r="C661" s="97">
        <v>61123995.678571403</v>
      </c>
      <c r="D661" s="97">
        <v>87119.5</v>
      </c>
      <c r="E661" s="48" t="s">
        <v>86</v>
      </c>
      <c r="F661" s="94" t="s">
        <v>367</v>
      </c>
      <c r="G661" s="94" t="s">
        <v>420</v>
      </c>
      <c r="H661" s="94" t="s">
        <v>89</v>
      </c>
      <c r="I661" s="94" t="s">
        <v>247</v>
      </c>
      <c r="J661" s="52">
        <v>4000</v>
      </c>
      <c r="K661" s="52">
        <v>600</v>
      </c>
      <c r="L661" s="52">
        <v>800</v>
      </c>
      <c r="M661" s="52"/>
      <c r="N661" s="104">
        <f t="shared" si="153"/>
        <v>1400</v>
      </c>
      <c r="O661" s="52">
        <v>2800</v>
      </c>
      <c r="P661" s="52">
        <v>1200</v>
      </c>
      <c r="Q661" s="52">
        <v>2600</v>
      </c>
      <c r="R661" s="104">
        <f t="shared" si="152"/>
        <v>6600</v>
      </c>
      <c r="S661" s="86">
        <f t="shared" si="154"/>
        <v>12000</v>
      </c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85">
        <v>46224</v>
      </c>
      <c r="B662" s="51" t="s">
        <v>85</v>
      </c>
      <c r="C662" s="97">
        <v>61123995.678571403</v>
      </c>
      <c r="D662" s="97">
        <v>87119.5</v>
      </c>
      <c r="E662" s="48" t="s">
        <v>86</v>
      </c>
      <c r="F662" s="94" t="s">
        <v>108</v>
      </c>
      <c r="G662" s="94" t="s">
        <v>619</v>
      </c>
      <c r="H662" s="94" t="s">
        <v>460</v>
      </c>
      <c r="I662" s="94" t="s">
        <v>624</v>
      </c>
      <c r="J662" s="52"/>
      <c r="K662" s="52"/>
      <c r="L662" s="52"/>
      <c r="M662" s="52"/>
      <c r="N662" s="104">
        <f t="shared" si="153"/>
        <v>0</v>
      </c>
      <c r="O662" s="52">
        <v>25</v>
      </c>
      <c r="P662" s="52">
        <v>25</v>
      </c>
      <c r="Q662" s="52">
        <v>30</v>
      </c>
      <c r="R662" s="104">
        <f t="shared" si="152"/>
        <v>80</v>
      </c>
      <c r="S662" s="86">
        <f t="shared" si="154"/>
        <v>80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85">
        <v>46224</v>
      </c>
      <c r="B663" s="51" t="s">
        <v>85</v>
      </c>
      <c r="C663" s="97">
        <v>61123995.678571403</v>
      </c>
      <c r="D663" s="97">
        <v>87119.5</v>
      </c>
      <c r="E663" s="48" t="s">
        <v>86</v>
      </c>
      <c r="F663" s="94" t="s">
        <v>108</v>
      </c>
      <c r="G663" s="94" t="s">
        <v>620</v>
      </c>
      <c r="H663" s="94" t="s">
        <v>460</v>
      </c>
      <c r="I663" s="94" t="s">
        <v>624</v>
      </c>
      <c r="J663" s="52"/>
      <c r="K663" s="52"/>
      <c r="L663" s="52"/>
      <c r="M663" s="52"/>
      <c r="N663" s="104">
        <f t="shared" si="153"/>
        <v>0</v>
      </c>
      <c r="O663" s="52">
        <v>10</v>
      </c>
      <c r="P663" s="52">
        <v>15</v>
      </c>
      <c r="Q663" s="52">
        <v>15</v>
      </c>
      <c r="R663" s="104">
        <f t="shared" si="152"/>
        <v>40</v>
      </c>
      <c r="S663" s="86">
        <f t="shared" si="154"/>
        <v>40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85">
        <v>46224</v>
      </c>
      <c r="B664" s="51" t="s">
        <v>85</v>
      </c>
      <c r="C664" s="97">
        <v>61123995.678571403</v>
      </c>
      <c r="D664" s="97">
        <v>87119.5</v>
      </c>
      <c r="E664" s="48" t="s">
        <v>86</v>
      </c>
      <c r="F664" s="94" t="s">
        <v>108</v>
      </c>
      <c r="G664" s="94" t="s">
        <v>133</v>
      </c>
      <c r="H664" s="94" t="s">
        <v>460</v>
      </c>
      <c r="I664" s="94" t="s">
        <v>624</v>
      </c>
      <c r="J664" s="52">
        <v>12</v>
      </c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12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85">
        <v>46224</v>
      </c>
      <c r="B665" s="51" t="s">
        <v>85</v>
      </c>
      <c r="C665" s="97">
        <v>61123995.678571403</v>
      </c>
      <c r="D665" s="97">
        <v>87119.5</v>
      </c>
      <c r="E665" s="48" t="s">
        <v>86</v>
      </c>
      <c r="F665" s="94" t="s">
        <v>108</v>
      </c>
      <c r="G665" s="94" t="s">
        <v>164</v>
      </c>
      <c r="H665" s="94" t="s">
        <v>460</v>
      </c>
      <c r="I665" s="94" t="s">
        <v>624</v>
      </c>
      <c r="J665" s="52">
        <v>40</v>
      </c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40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85">
        <v>46224</v>
      </c>
      <c r="B666" s="51" t="s">
        <v>85</v>
      </c>
      <c r="C666" s="97">
        <v>61123995.678571403</v>
      </c>
      <c r="D666" s="97">
        <v>87119.5</v>
      </c>
      <c r="E666" s="48" t="s">
        <v>86</v>
      </c>
      <c r="F666" s="94" t="s">
        <v>108</v>
      </c>
      <c r="G666" s="94" t="s">
        <v>621</v>
      </c>
      <c r="H666" s="94" t="s">
        <v>460</v>
      </c>
      <c r="I666" s="94" t="s">
        <v>624</v>
      </c>
      <c r="J666" s="52">
        <v>14</v>
      </c>
      <c r="K666" s="52">
        <v>12</v>
      </c>
      <c r="L666" s="52">
        <v>12</v>
      </c>
      <c r="M666" s="52"/>
      <c r="N666" s="104">
        <f t="shared" si="153"/>
        <v>24</v>
      </c>
      <c r="O666" s="52">
        <v>8</v>
      </c>
      <c r="P666" s="52">
        <v>8</v>
      </c>
      <c r="Q666" s="52">
        <v>8</v>
      </c>
      <c r="R666" s="104">
        <f t="shared" si="152"/>
        <v>24</v>
      </c>
      <c r="S666" s="86">
        <f t="shared" si="154"/>
        <v>62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85">
        <v>46224</v>
      </c>
      <c r="B667" s="51" t="s">
        <v>85</v>
      </c>
      <c r="C667" s="97">
        <v>61123995.678571403</v>
      </c>
      <c r="D667" s="97">
        <v>87119.5</v>
      </c>
      <c r="E667" s="48" t="s">
        <v>86</v>
      </c>
      <c r="F667" s="94" t="s">
        <v>108</v>
      </c>
      <c r="G667" s="94" t="s">
        <v>622</v>
      </c>
      <c r="H667" s="94" t="s">
        <v>460</v>
      </c>
      <c r="I667" s="94" t="s">
        <v>624</v>
      </c>
      <c r="J667" s="52">
        <v>14</v>
      </c>
      <c r="K667" s="52">
        <v>12</v>
      </c>
      <c r="L667" s="52">
        <v>12</v>
      </c>
      <c r="M667" s="52"/>
      <c r="N667" s="104">
        <f t="shared" si="153"/>
        <v>24</v>
      </c>
      <c r="O667" s="52"/>
      <c r="P667" s="52"/>
      <c r="Q667" s="52"/>
      <c r="R667" s="104">
        <f t="shared" si="152"/>
        <v>0</v>
      </c>
      <c r="S667" s="86">
        <f t="shared" si="154"/>
        <v>38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85">
        <v>46224</v>
      </c>
      <c r="B668" s="51" t="s">
        <v>85</v>
      </c>
      <c r="C668" s="97">
        <v>61123995.678571403</v>
      </c>
      <c r="D668" s="97">
        <v>87119.5</v>
      </c>
      <c r="E668" s="48" t="s">
        <v>86</v>
      </c>
      <c r="F668" s="94" t="s">
        <v>108</v>
      </c>
      <c r="G668" s="94" t="s">
        <v>623</v>
      </c>
      <c r="H668" s="94" t="s">
        <v>460</v>
      </c>
      <c r="I668" s="94" t="s">
        <v>624</v>
      </c>
      <c r="J668" s="52">
        <v>15</v>
      </c>
      <c r="K668" s="52">
        <v>10</v>
      </c>
      <c r="L668" s="52">
        <v>15</v>
      </c>
      <c r="M668" s="52"/>
      <c r="N668" s="104">
        <f t="shared" si="153"/>
        <v>25</v>
      </c>
      <c r="O668" s="52"/>
      <c r="P668" s="52"/>
      <c r="Q668" s="52"/>
      <c r="R668" s="104">
        <f t="shared" si="152"/>
        <v>0</v>
      </c>
      <c r="S668" s="86">
        <f t="shared" si="154"/>
        <v>40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85">
        <v>46224</v>
      </c>
      <c r="B669" s="51" t="s">
        <v>85</v>
      </c>
      <c r="C669" s="97">
        <v>61123995.678571403</v>
      </c>
      <c r="D669" s="97">
        <v>87119.5</v>
      </c>
      <c r="E669" s="48" t="s">
        <v>86</v>
      </c>
      <c r="F669" s="94" t="s">
        <v>108</v>
      </c>
      <c r="G669" s="94" t="s">
        <v>283</v>
      </c>
      <c r="H669" s="94" t="s">
        <v>112</v>
      </c>
      <c r="I669" s="94" t="s">
        <v>625</v>
      </c>
      <c r="J669" s="52"/>
      <c r="K669" s="52"/>
      <c r="L669" s="52"/>
      <c r="M669" s="52"/>
      <c r="N669" s="104">
        <f t="shared" si="153"/>
        <v>0</v>
      </c>
      <c r="O669" s="52">
        <v>30</v>
      </c>
      <c r="P669" s="52">
        <v>10</v>
      </c>
      <c r="Q669" s="52">
        <v>40</v>
      </c>
      <c r="R669" s="104">
        <f t="shared" si="152"/>
        <v>80</v>
      </c>
      <c r="S669" s="86">
        <f t="shared" si="154"/>
        <v>80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85">
        <v>46224</v>
      </c>
      <c r="B670" s="51" t="s">
        <v>85</v>
      </c>
      <c r="C670" s="97">
        <v>61123995.678571403</v>
      </c>
      <c r="D670" s="97">
        <v>87119.5</v>
      </c>
      <c r="E670" s="48" t="s">
        <v>86</v>
      </c>
      <c r="F670" s="94" t="s">
        <v>108</v>
      </c>
      <c r="G670" s="94" t="s">
        <v>225</v>
      </c>
      <c r="H670" s="94" t="s">
        <v>112</v>
      </c>
      <c r="I670" s="94" t="s">
        <v>625</v>
      </c>
      <c r="J670" s="52"/>
      <c r="K670" s="52"/>
      <c r="L670" s="52"/>
      <c r="M670" s="52"/>
      <c r="N670" s="104">
        <f t="shared" si="153"/>
        <v>0</v>
      </c>
      <c r="O670" s="52">
        <v>40</v>
      </c>
      <c r="P670" s="52">
        <v>40</v>
      </c>
      <c r="Q670" s="52">
        <v>80</v>
      </c>
      <c r="R670" s="104">
        <f t="shared" si="152"/>
        <v>160</v>
      </c>
      <c r="S670" s="86">
        <f t="shared" si="154"/>
        <v>160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85">
        <v>46224</v>
      </c>
      <c r="B671" s="51" t="s">
        <v>85</v>
      </c>
      <c r="C671" s="97">
        <v>61123995.678571403</v>
      </c>
      <c r="D671" s="97">
        <v>87119.5</v>
      </c>
      <c r="E671" s="48" t="s">
        <v>86</v>
      </c>
      <c r="F671" s="94" t="s">
        <v>108</v>
      </c>
      <c r="G671" s="94" t="s">
        <v>626</v>
      </c>
      <c r="H671" s="94" t="s">
        <v>433</v>
      </c>
      <c r="I671" s="94" t="s">
        <v>631</v>
      </c>
      <c r="J671" s="52">
        <v>6</v>
      </c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6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85">
        <v>46224</v>
      </c>
      <c r="B672" s="51" t="s">
        <v>85</v>
      </c>
      <c r="C672" s="97">
        <v>61123995.678571403</v>
      </c>
      <c r="D672" s="97">
        <v>87119.5</v>
      </c>
      <c r="E672" s="48" t="s">
        <v>86</v>
      </c>
      <c r="F672" s="94" t="s">
        <v>108</v>
      </c>
      <c r="G672" s="94" t="s">
        <v>471</v>
      </c>
      <c r="H672" s="94" t="s">
        <v>433</v>
      </c>
      <c r="I672" s="94" t="s">
        <v>631</v>
      </c>
      <c r="J672" s="52"/>
      <c r="K672" s="52"/>
      <c r="L672" s="52"/>
      <c r="M672" s="52"/>
      <c r="N672" s="104">
        <f t="shared" si="153"/>
        <v>0</v>
      </c>
      <c r="O672" s="52">
        <v>20</v>
      </c>
      <c r="P672" s="52"/>
      <c r="Q672" s="52">
        <v>20</v>
      </c>
      <c r="R672" s="104">
        <f t="shared" si="152"/>
        <v>40</v>
      </c>
      <c r="S672" s="86">
        <f t="shared" si="154"/>
        <v>40</v>
      </c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85">
        <v>46224</v>
      </c>
      <c r="B673" s="51" t="s">
        <v>85</v>
      </c>
      <c r="C673" s="97">
        <v>61123995.678571403</v>
      </c>
      <c r="D673" s="97">
        <v>87119.5</v>
      </c>
      <c r="E673" s="48" t="s">
        <v>86</v>
      </c>
      <c r="F673" s="94" t="s">
        <v>108</v>
      </c>
      <c r="G673" s="94" t="s">
        <v>627</v>
      </c>
      <c r="H673" s="94" t="s">
        <v>433</v>
      </c>
      <c r="I673" s="94" t="s">
        <v>631</v>
      </c>
      <c r="J673" s="52">
        <v>20</v>
      </c>
      <c r="K673" s="52">
        <v>10</v>
      </c>
      <c r="L673" s="52">
        <v>10</v>
      </c>
      <c r="M673" s="52"/>
      <c r="N673" s="104">
        <f t="shared" si="153"/>
        <v>20</v>
      </c>
      <c r="O673" s="52"/>
      <c r="P673" s="52"/>
      <c r="Q673" s="52"/>
      <c r="R673" s="104">
        <f t="shared" si="152"/>
        <v>0</v>
      </c>
      <c r="S673" s="86">
        <f t="shared" si="154"/>
        <v>40</v>
      </c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85">
        <v>46224</v>
      </c>
      <c r="B674" s="51" t="s">
        <v>85</v>
      </c>
      <c r="C674" s="97">
        <v>61123995.678571403</v>
      </c>
      <c r="D674" s="97">
        <v>87119.5</v>
      </c>
      <c r="E674" s="48" t="s">
        <v>86</v>
      </c>
      <c r="F674" s="94" t="s">
        <v>108</v>
      </c>
      <c r="G674" s="94" t="s">
        <v>628</v>
      </c>
      <c r="H674" s="94" t="s">
        <v>433</v>
      </c>
      <c r="I674" s="94" t="s">
        <v>631</v>
      </c>
      <c r="J674" s="52">
        <v>40</v>
      </c>
      <c r="K674" s="52"/>
      <c r="L674" s="52"/>
      <c r="M674" s="52"/>
      <c r="N674" s="104">
        <f t="shared" si="153"/>
        <v>0</v>
      </c>
      <c r="O674" s="52"/>
      <c r="P674" s="52"/>
      <c r="Q674" s="52"/>
      <c r="R674" s="104">
        <f t="shared" si="152"/>
        <v>0</v>
      </c>
      <c r="S674" s="86">
        <f t="shared" si="154"/>
        <v>40</v>
      </c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85">
        <v>46224</v>
      </c>
      <c r="B675" s="51" t="s">
        <v>85</v>
      </c>
      <c r="C675" s="97">
        <v>61123995.678571403</v>
      </c>
      <c r="D675" s="97">
        <v>87119.5</v>
      </c>
      <c r="E675" s="48" t="s">
        <v>86</v>
      </c>
      <c r="F675" s="94" t="s">
        <v>108</v>
      </c>
      <c r="G675" s="94" t="s">
        <v>630</v>
      </c>
      <c r="H675" s="94" t="s">
        <v>433</v>
      </c>
      <c r="I675" s="94" t="s">
        <v>631</v>
      </c>
      <c r="J675" s="52">
        <v>12</v>
      </c>
      <c r="K675" s="52"/>
      <c r="L675" s="52"/>
      <c r="M675" s="52"/>
      <c r="N675" s="104">
        <f t="shared" si="153"/>
        <v>0</v>
      </c>
      <c r="O675" s="52"/>
      <c r="P675" s="52"/>
      <c r="Q675" s="52"/>
      <c r="R675" s="104">
        <f t="shared" si="152"/>
        <v>0</v>
      </c>
      <c r="S675" s="86">
        <f t="shared" si="154"/>
        <v>12</v>
      </c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85">
        <v>46224</v>
      </c>
      <c r="B676" s="51" t="s">
        <v>85</v>
      </c>
      <c r="C676" s="97">
        <v>61123995.678571403</v>
      </c>
      <c r="D676" s="97">
        <v>87119.5</v>
      </c>
      <c r="E676" s="48" t="s">
        <v>86</v>
      </c>
      <c r="F676" s="94" t="s">
        <v>108</v>
      </c>
      <c r="G676" s="94" t="s">
        <v>629</v>
      </c>
      <c r="H676" s="94" t="s">
        <v>433</v>
      </c>
      <c r="I676" s="94" t="s">
        <v>631</v>
      </c>
      <c r="J676" s="52">
        <v>80</v>
      </c>
      <c r="K676" s="52"/>
      <c r="L676" s="52"/>
      <c r="M676" s="52"/>
      <c r="N676" s="104">
        <f t="shared" si="153"/>
        <v>0</v>
      </c>
      <c r="O676" s="52"/>
      <c r="P676" s="52"/>
      <c r="Q676" s="52"/>
      <c r="R676" s="104">
        <f t="shared" si="152"/>
        <v>0</v>
      </c>
      <c r="S676" s="86">
        <f t="shared" si="154"/>
        <v>80</v>
      </c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85">
        <v>46224</v>
      </c>
      <c r="B677" s="51" t="s">
        <v>85</v>
      </c>
      <c r="C677" s="97">
        <v>61123995.678571403</v>
      </c>
      <c r="D677" s="97">
        <v>87119.5</v>
      </c>
      <c r="E677" s="48" t="s">
        <v>86</v>
      </c>
      <c r="F677" s="94" t="s">
        <v>108</v>
      </c>
      <c r="G677" s="94" t="s">
        <v>167</v>
      </c>
      <c r="H677" s="94" t="s">
        <v>435</v>
      </c>
      <c r="I677" s="94" t="s">
        <v>633</v>
      </c>
      <c r="J677" s="52">
        <v>40</v>
      </c>
      <c r="K677" s="52"/>
      <c r="L677" s="52"/>
      <c r="M677" s="52"/>
      <c r="N677" s="104">
        <f t="shared" si="153"/>
        <v>0</v>
      </c>
      <c r="O677" s="52">
        <v>15</v>
      </c>
      <c r="P677" s="52">
        <v>10</v>
      </c>
      <c r="Q677" s="52">
        <v>15</v>
      </c>
      <c r="R677" s="104">
        <f t="shared" si="152"/>
        <v>40</v>
      </c>
      <c r="S677" s="86">
        <f t="shared" si="154"/>
        <v>80</v>
      </c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85">
        <v>46224</v>
      </c>
      <c r="B678" s="51" t="s">
        <v>85</v>
      </c>
      <c r="C678" s="97">
        <v>61123995.678571403</v>
      </c>
      <c r="D678" s="97">
        <v>87119.5</v>
      </c>
      <c r="E678" s="48" t="s">
        <v>86</v>
      </c>
      <c r="F678" s="94" t="s">
        <v>108</v>
      </c>
      <c r="G678" s="94" t="s">
        <v>139</v>
      </c>
      <c r="H678" s="94" t="s">
        <v>435</v>
      </c>
      <c r="I678" s="94" t="s">
        <v>633</v>
      </c>
      <c r="J678" s="52">
        <v>10</v>
      </c>
      <c r="K678" s="52"/>
      <c r="L678" s="52"/>
      <c r="M678" s="52"/>
      <c r="N678" s="104">
        <f t="shared" si="153"/>
        <v>0</v>
      </c>
      <c r="O678" s="52"/>
      <c r="P678" s="52"/>
      <c r="Q678" s="52"/>
      <c r="R678" s="104">
        <f t="shared" si="152"/>
        <v>0</v>
      </c>
      <c r="S678" s="86">
        <f t="shared" si="154"/>
        <v>10</v>
      </c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85">
        <v>46224</v>
      </c>
      <c r="B679" s="51" t="s">
        <v>85</v>
      </c>
      <c r="C679" s="97">
        <v>61123995.678571403</v>
      </c>
      <c r="D679" s="97">
        <v>87119.5</v>
      </c>
      <c r="E679" s="48" t="s">
        <v>86</v>
      </c>
      <c r="F679" s="94" t="s">
        <v>108</v>
      </c>
      <c r="G679" s="94" t="s">
        <v>168</v>
      </c>
      <c r="H679" s="94" t="s">
        <v>435</v>
      </c>
      <c r="I679" s="94" t="s">
        <v>633</v>
      </c>
      <c r="J679" s="52">
        <v>10</v>
      </c>
      <c r="K679" s="52"/>
      <c r="L679" s="52"/>
      <c r="M679" s="52"/>
      <c r="N679" s="104">
        <f t="shared" si="153"/>
        <v>0</v>
      </c>
      <c r="O679" s="52"/>
      <c r="P679" s="52"/>
      <c r="Q679" s="52"/>
      <c r="R679" s="104">
        <f t="shared" si="152"/>
        <v>0</v>
      </c>
      <c r="S679" s="86">
        <f t="shared" si="154"/>
        <v>10</v>
      </c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85">
        <v>46224</v>
      </c>
      <c r="B680" s="51" t="s">
        <v>85</v>
      </c>
      <c r="C680" s="97">
        <v>61123995.678571403</v>
      </c>
      <c r="D680" s="97">
        <v>87119.5</v>
      </c>
      <c r="E680" s="48" t="s">
        <v>86</v>
      </c>
      <c r="F680" s="94" t="s">
        <v>108</v>
      </c>
      <c r="G680" s="94" t="s">
        <v>323</v>
      </c>
      <c r="H680" s="94" t="s">
        <v>435</v>
      </c>
      <c r="I680" s="94" t="s">
        <v>633</v>
      </c>
      <c r="J680" s="52">
        <v>10</v>
      </c>
      <c r="K680" s="52"/>
      <c r="L680" s="52"/>
      <c r="M680" s="52"/>
      <c r="N680" s="104">
        <f t="shared" si="153"/>
        <v>0</v>
      </c>
      <c r="O680" s="52"/>
      <c r="P680" s="52"/>
      <c r="Q680" s="52"/>
      <c r="R680" s="104">
        <f t="shared" si="152"/>
        <v>0</v>
      </c>
      <c r="S680" s="86">
        <f t="shared" si="154"/>
        <v>10</v>
      </c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85">
        <v>46224</v>
      </c>
      <c r="B681" s="51" t="s">
        <v>85</v>
      </c>
      <c r="C681" s="97">
        <v>61123995.678571403</v>
      </c>
      <c r="D681" s="97">
        <v>87119.5</v>
      </c>
      <c r="E681" s="48" t="s">
        <v>86</v>
      </c>
      <c r="F681" s="94" t="s">
        <v>108</v>
      </c>
      <c r="G681" s="94" t="s">
        <v>133</v>
      </c>
      <c r="H681" s="94" t="s">
        <v>435</v>
      </c>
      <c r="I681" s="94" t="s">
        <v>633</v>
      </c>
      <c r="J681" s="52">
        <v>10</v>
      </c>
      <c r="K681" s="52"/>
      <c r="L681" s="52"/>
      <c r="M681" s="52"/>
      <c r="N681" s="104">
        <f t="shared" si="153"/>
        <v>0</v>
      </c>
      <c r="O681" s="52"/>
      <c r="P681" s="52"/>
      <c r="Q681" s="52"/>
      <c r="R681" s="104">
        <f t="shared" si="152"/>
        <v>0</v>
      </c>
      <c r="S681" s="86">
        <f t="shared" si="154"/>
        <v>10</v>
      </c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85">
        <v>46224</v>
      </c>
      <c r="B682" s="51" t="s">
        <v>85</v>
      </c>
      <c r="C682" s="97">
        <v>61123995.678571403</v>
      </c>
      <c r="D682" s="97">
        <v>87119.5</v>
      </c>
      <c r="E682" s="48" t="s">
        <v>86</v>
      </c>
      <c r="F682" s="94" t="s">
        <v>108</v>
      </c>
      <c r="G682" s="94" t="s">
        <v>548</v>
      </c>
      <c r="H682" s="94" t="s">
        <v>435</v>
      </c>
      <c r="I682" s="94" t="s">
        <v>633</v>
      </c>
      <c r="J682" s="52">
        <v>10</v>
      </c>
      <c r="K682" s="52"/>
      <c r="L682" s="52"/>
      <c r="M682" s="52"/>
      <c r="N682" s="104">
        <f t="shared" si="153"/>
        <v>0</v>
      </c>
      <c r="O682" s="52"/>
      <c r="P682" s="52"/>
      <c r="Q682" s="52"/>
      <c r="R682" s="104">
        <f t="shared" si="152"/>
        <v>0</v>
      </c>
      <c r="S682" s="86">
        <f t="shared" si="154"/>
        <v>10</v>
      </c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85">
        <v>46224</v>
      </c>
      <c r="B683" s="51" t="s">
        <v>85</v>
      </c>
      <c r="C683" s="97">
        <v>61123995.678571403</v>
      </c>
      <c r="D683" s="97">
        <v>87119.5</v>
      </c>
      <c r="E683" s="48" t="s">
        <v>86</v>
      </c>
      <c r="F683" s="94" t="s">
        <v>108</v>
      </c>
      <c r="G683" s="94" t="s">
        <v>302</v>
      </c>
      <c r="H683" s="94" t="s">
        <v>435</v>
      </c>
      <c r="I683" s="94" t="s">
        <v>633</v>
      </c>
      <c r="J683" s="52">
        <v>10</v>
      </c>
      <c r="K683" s="52"/>
      <c r="L683" s="52"/>
      <c r="M683" s="52"/>
      <c r="N683" s="104">
        <f t="shared" si="153"/>
        <v>0</v>
      </c>
      <c r="O683" s="52"/>
      <c r="P683" s="52"/>
      <c r="Q683" s="52"/>
      <c r="R683" s="104">
        <f t="shared" si="152"/>
        <v>0</v>
      </c>
      <c r="S683" s="86">
        <f t="shared" si="154"/>
        <v>10</v>
      </c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85">
        <v>46224</v>
      </c>
      <c r="B684" s="51" t="s">
        <v>85</v>
      </c>
      <c r="C684" s="97">
        <v>61123995.678571403</v>
      </c>
      <c r="D684" s="97">
        <v>87119.5</v>
      </c>
      <c r="E684" s="48" t="s">
        <v>86</v>
      </c>
      <c r="F684" s="94" t="s">
        <v>108</v>
      </c>
      <c r="G684" s="94" t="s">
        <v>103</v>
      </c>
      <c r="H684" s="94" t="s">
        <v>435</v>
      </c>
      <c r="I684" s="94" t="s">
        <v>633</v>
      </c>
      <c r="J684" s="52">
        <v>10</v>
      </c>
      <c r="K684" s="52"/>
      <c r="L684" s="52"/>
      <c r="M684" s="52"/>
      <c r="N684" s="104">
        <f t="shared" si="153"/>
        <v>0</v>
      </c>
      <c r="O684" s="52"/>
      <c r="P684" s="52"/>
      <c r="Q684" s="52"/>
      <c r="R684" s="104">
        <f t="shared" si="152"/>
        <v>0</v>
      </c>
      <c r="S684" s="86">
        <f t="shared" si="154"/>
        <v>10</v>
      </c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85">
        <v>46224</v>
      </c>
      <c r="B685" s="51" t="s">
        <v>85</v>
      </c>
      <c r="C685" s="97">
        <v>61123995.678571403</v>
      </c>
      <c r="D685" s="97">
        <v>87119.5</v>
      </c>
      <c r="E685" s="48" t="s">
        <v>86</v>
      </c>
      <c r="F685" s="94" t="s">
        <v>108</v>
      </c>
      <c r="G685" s="94" t="s">
        <v>632</v>
      </c>
      <c r="H685" s="94" t="s">
        <v>435</v>
      </c>
      <c r="I685" s="94" t="s">
        <v>633</v>
      </c>
      <c r="J685" s="52">
        <v>24</v>
      </c>
      <c r="K685" s="52"/>
      <c r="L685" s="52"/>
      <c r="M685" s="52"/>
      <c r="N685" s="104">
        <f t="shared" si="153"/>
        <v>0</v>
      </c>
      <c r="O685" s="52"/>
      <c r="P685" s="52"/>
      <c r="Q685" s="52"/>
      <c r="R685" s="104">
        <f t="shared" si="152"/>
        <v>0</v>
      </c>
      <c r="S685" s="86">
        <f t="shared" si="154"/>
        <v>24</v>
      </c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85">
        <v>46224</v>
      </c>
      <c r="B686" s="51" t="s">
        <v>85</v>
      </c>
      <c r="C686" s="97">
        <v>61123995.678571403</v>
      </c>
      <c r="D686" s="97">
        <v>87119.5</v>
      </c>
      <c r="E686" s="48" t="s">
        <v>86</v>
      </c>
      <c r="F686" s="94" t="s">
        <v>108</v>
      </c>
      <c r="G686" s="94" t="s">
        <v>299</v>
      </c>
      <c r="H686" s="94" t="s">
        <v>435</v>
      </c>
      <c r="I686" s="94" t="s">
        <v>633</v>
      </c>
      <c r="J686" s="52">
        <v>10</v>
      </c>
      <c r="K686" s="52">
        <v>40</v>
      </c>
      <c r="L686" s="52"/>
      <c r="M686" s="52"/>
      <c r="N686" s="104">
        <f t="shared" si="153"/>
        <v>40</v>
      </c>
      <c r="O686" s="52">
        <v>80</v>
      </c>
      <c r="P686" s="52">
        <v>40</v>
      </c>
      <c r="Q686" s="52"/>
      <c r="R686" s="104">
        <f t="shared" si="152"/>
        <v>120</v>
      </c>
      <c r="S686" s="86">
        <f t="shared" si="154"/>
        <v>170</v>
      </c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85">
        <v>46225</v>
      </c>
      <c r="B687" s="51" t="s">
        <v>85</v>
      </c>
      <c r="C687" s="97">
        <v>61123995.678571403</v>
      </c>
      <c r="D687" s="97">
        <v>87119.5</v>
      </c>
      <c r="E687" s="48" t="s">
        <v>86</v>
      </c>
      <c r="F687" s="94" t="s">
        <v>108</v>
      </c>
      <c r="G687" s="94" t="s">
        <v>296</v>
      </c>
      <c r="H687" s="94" t="s">
        <v>433</v>
      </c>
      <c r="I687" s="94" t="s">
        <v>638</v>
      </c>
      <c r="J687" s="52">
        <v>40</v>
      </c>
      <c r="K687" s="52"/>
      <c r="L687" s="52"/>
      <c r="M687" s="52"/>
      <c r="N687" s="104">
        <f t="shared" si="153"/>
        <v>0</v>
      </c>
      <c r="O687" s="52">
        <v>20</v>
      </c>
      <c r="P687" s="52">
        <v>20</v>
      </c>
      <c r="Q687" s="52"/>
      <c r="R687" s="104">
        <f t="shared" si="152"/>
        <v>40</v>
      </c>
      <c r="S687" s="86">
        <f t="shared" si="154"/>
        <v>80</v>
      </c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85">
        <v>46225</v>
      </c>
      <c r="B688" s="51" t="s">
        <v>85</v>
      </c>
      <c r="C688" s="97">
        <v>61123995.678571403</v>
      </c>
      <c r="D688" s="97">
        <v>87119.5</v>
      </c>
      <c r="E688" s="48" t="s">
        <v>86</v>
      </c>
      <c r="F688" s="94" t="s">
        <v>108</v>
      </c>
      <c r="G688" s="94" t="s">
        <v>319</v>
      </c>
      <c r="H688" s="94" t="s">
        <v>433</v>
      </c>
      <c r="I688" s="94" t="s">
        <v>638</v>
      </c>
      <c r="J688" s="52">
        <v>40</v>
      </c>
      <c r="K688" s="52"/>
      <c r="L688" s="52"/>
      <c r="M688" s="52"/>
      <c r="N688" s="104">
        <f t="shared" si="153"/>
        <v>0</v>
      </c>
      <c r="O688" s="52"/>
      <c r="P688" s="52"/>
      <c r="Q688" s="52"/>
      <c r="R688" s="104">
        <f t="shared" si="152"/>
        <v>0</v>
      </c>
      <c r="S688" s="86">
        <f t="shared" si="154"/>
        <v>40</v>
      </c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85">
        <v>46225</v>
      </c>
      <c r="B689" s="51" t="s">
        <v>85</v>
      </c>
      <c r="C689" s="97">
        <v>61123995.678571403</v>
      </c>
      <c r="D689" s="97">
        <v>87119.5</v>
      </c>
      <c r="E689" s="48" t="s">
        <v>86</v>
      </c>
      <c r="F689" s="94" t="s">
        <v>108</v>
      </c>
      <c r="G689" s="94" t="s">
        <v>634</v>
      </c>
      <c r="H689" s="94" t="s">
        <v>433</v>
      </c>
      <c r="I689" s="94" t="s">
        <v>638</v>
      </c>
      <c r="J689" s="52">
        <v>6</v>
      </c>
      <c r="K689" s="52"/>
      <c r="L689" s="52"/>
      <c r="M689" s="52"/>
      <c r="N689" s="104">
        <f t="shared" si="153"/>
        <v>0</v>
      </c>
      <c r="O689" s="52"/>
      <c r="P689" s="52"/>
      <c r="Q689" s="52"/>
      <c r="R689" s="104">
        <f t="shared" si="152"/>
        <v>0</v>
      </c>
      <c r="S689" s="86">
        <f t="shared" si="154"/>
        <v>6</v>
      </c>
      <c r="AB689" s="111"/>
      <c r="AC689" s="111"/>
      <c r="AD689" s="111"/>
      <c r="AE689" s="112"/>
      <c r="AF689" s="113"/>
      <c r="AG689" s="49"/>
      <c r="AH689" s="49"/>
      <c r="AI689" s="112"/>
      <c r="AJ689" s="91"/>
      <c r="AK689" s="114"/>
      <c r="AL689" s="112"/>
      <c r="AP689" s="7"/>
    </row>
    <row r="690" spans="1:42" x14ac:dyDescent="0.35">
      <c r="A690" s="85">
        <v>46225</v>
      </c>
      <c r="B690" s="51" t="s">
        <v>85</v>
      </c>
      <c r="C690" s="97">
        <v>61123995.678571403</v>
      </c>
      <c r="D690" s="97">
        <v>87119.5</v>
      </c>
      <c r="E690" s="48" t="s">
        <v>86</v>
      </c>
      <c r="F690" s="94" t="s">
        <v>108</v>
      </c>
      <c r="G690" s="94" t="s">
        <v>635</v>
      </c>
      <c r="H690" s="94" t="s">
        <v>433</v>
      </c>
      <c r="I690" s="94" t="s">
        <v>638</v>
      </c>
      <c r="J690" s="52">
        <v>40</v>
      </c>
      <c r="K690" s="52"/>
      <c r="L690" s="52"/>
      <c r="M690" s="52"/>
      <c r="N690" s="104">
        <f t="shared" si="153"/>
        <v>0</v>
      </c>
      <c r="O690" s="52"/>
      <c r="P690" s="52"/>
      <c r="Q690" s="52"/>
      <c r="R690" s="104">
        <f t="shared" si="152"/>
        <v>0</v>
      </c>
      <c r="S690" s="86">
        <f t="shared" si="154"/>
        <v>40</v>
      </c>
      <c r="AB690" s="111"/>
      <c r="AC690" s="111"/>
      <c r="AD690" s="111"/>
      <c r="AE690" s="112"/>
      <c r="AF690" s="113"/>
      <c r="AG690" s="49"/>
      <c r="AH690" s="49"/>
      <c r="AI690" s="112"/>
      <c r="AJ690" s="91"/>
      <c r="AK690" s="114"/>
      <c r="AL690" s="112"/>
      <c r="AP690" s="7"/>
    </row>
    <row r="691" spans="1:42" x14ac:dyDescent="0.35">
      <c r="A691" s="85">
        <v>46225</v>
      </c>
      <c r="B691" s="51" t="s">
        <v>85</v>
      </c>
      <c r="C691" s="97">
        <v>61123995.678571403</v>
      </c>
      <c r="D691" s="97">
        <v>87119.5</v>
      </c>
      <c r="E691" s="48" t="s">
        <v>86</v>
      </c>
      <c r="F691" s="94" t="s">
        <v>108</v>
      </c>
      <c r="G691" s="94" t="s">
        <v>313</v>
      </c>
      <c r="H691" s="94" t="s">
        <v>433</v>
      </c>
      <c r="I691" s="94" t="s">
        <v>638</v>
      </c>
      <c r="J691" s="52"/>
      <c r="K691" s="52"/>
      <c r="L691" s="52"/>
      <c r="M691" s="52"/>
      <c r="N691" s="104">
        <f t="shared" si="153"/>
        <v>0</v>
      </c>
      <c r="O691" s="52"/>
      <c r="P691" s="52">
        <v>40</v>
      </c>
      <c r="Q691" s="52">
        <v>40</v>
      </c>
      <c r="R691" s="104">
        <f t="shared" si="152"/>
        <v>80</v>
      </c>
      <c r="S691" s="86">
        <f t="shared" si="154"/>
        <v>80</v>
      </c>
      <c r="AB691" s="111"/>
      <c r="AC691" s="111"/>
      <c r="AD691" s="111"/>
      <c r="AE691" s="112"/>
      <c r="AF691" s="113"/>
      <c r="AG691" s="49"/>
      <c r="AH691" s="49"/>
      <c r="AI691" s="112"/>
      <c r="AJ691" s="91"/>
      <c r="AK691" s="114"/>
      <c r="AL691" s="112"/>
      <c r="AP691" s="7"/>
    </row>
    <row r="692" spans="1:42" x14ac:dyDescent="0.35">
      <c r="A692" s="85">
        <v>46225</v>
      </c>
      <c r="B692" s="51" t="s">
        <v>85</v>
      </c>
      <c r="C692" s="97">
        <v>61123995.678571403</v>
      </c>
      <c r="D692" s="97">
        <v>87119.5</v>
      </c>
      <c r="E692" s="48" t="s">
        <v>86</v>
      </c>
      <c r="F692" s="94" t="s">
        <v>108</v>
      </c>
      <c r="G692" s="94" t="s">
        <v>636</v>
      </c>
      <c r="H692" s="94" t="s">
        <v>433</v>
      </c>
      <c r="I692" s="94" t="s">
        <v>638</v>
      </c>
      <c r="J692" s="52"/>
      <c r="K692" s="52">
        <v>10</v>
      </c>
      <c r="L692" s="52">
        <v>10</v>
      </c>
      <c r="M692" s="52"/>
      <c r="N692" s="104">
        <f t="shared" si="153"/>
        <v>20</v>
      </c>
      <c r="O692" s="52"/>
      <c r="P692" s="52"/>
      <c r="Q692" s="52"/>
      <c r="R692" s="104">
        <f t="shared" si="152"/>
        <v>0</v>
      </c>
      <c r="S692" s="86">
        <f t="shared" si="154"/>
        <v>20</v>
      </c>
      <c r="AB692" s="111"/>
      <c r="AC692" s="111"/>
      <c r="AD692" s="111"/>
      <c r="AE692" s="112"/>
      <c r="AF692" s="113"/>
      <c r="AG692" s="49"/>
      <c r="AH692" s="49"/>
      <c r="AI692" s="112"/>
      <c r="AJ692" s="91"/>
      <c r="AK692" s="114"/>
      <c r="AL692" s="112"/>
      <c r="AP692" s="7"/>
    </row>
    <row r="693" spans="1:42" x14ac:dyDescent="0.35">
      <c r="A693" s="85">
        <v>46225</v>
      </c>
      <c r="B693" s="51" t="s">
        <v>85</v>
      </c>
      <c r="C693" s="97">
        <v>61123995.678571403</v>
      </c>
      <c r="D693" s="97">
        <v>87119.5</v>
      </c>
      <c r="E693" s="48" t="s">
        <v>86</v>
      </c>
      <c r="F693" s="94" t="s">
        <v>108</v>
      </c>
      <c r="G693" s="94" t="s">
        <v>637</v>
      </c>
      <c r="H693" s="94" t="s">
        <v>433</v>
      </c>
      <c r="I693" s="94" t="s">
        <v>638</v>
      </c>
      <c r="J693" s="52"/>
      <c r="K693" s="52"/>
      <c r="L693" s="52"/>
      <c r="M693" s="52"/>
      <c r="N693" s="104">
        <f t="shared" si="153"/>
        <v>0</v>
      </c>
      <c r="O693" s="52">
        <v>12</v>
      </c>
      <c r="P693" s="52"/>
      <c r="Q693" s="52">
        <v>12</v>
      </c>
      <c r="R693" s="104">
        <f t="shared" si="152"/>
        <v>24</v>
      </c>
      <c r="S693" s="86">
        <f t="shared" si="154"/>
        <v>24</v>
      </c>
      <c r="AB693" s="111"/>
      <c r="AC693" s="111"/>
      <c r="AD693" s="111"/>
      <c r="AE693" s="112"/>
      <c r="AF693" s="113"/>
      <c r="AG693" s="49"/>
      <c r="AH693" s="49"/>
      <c r="AI693" s="112"/>
      <c r="AJ693" s="91"/>
      <c r="AK693" s="114"/>
      <c r="AL693" s="112"/>
      <c r="AP693" s="7"/>
    </row>
    <row r="694" spans="1:42" x14ac:dyDescent="0.35">
      <c r="A694" s="85">
        <v>46225</v>
      </c>
      <c r="B694" s="51" t="s">
        <v>85</v>
      </c>
      <c r="C694" s="97">
        <v>61123995.678571403</v>
      </c>
      <c r="D694" s="97">
        <v>87119.5</v>
      </c>
      <c r="E694" s="48" t="s">
        <v>86</v>
      </c>
      <c r="F694" s="94" t="s">
        <v>108</v>
      </c>
      <c r="G694" s="94" t="s">
        <v>639</v>
      </c>
      <c r="H694" s="94" t="s">
        <v>129</v>
      </c>
      <c r="I694" s="94" t="s">
        <v>135</v>
      </c>
      <c r="J694" s="52"/>
      <c r="K694" s="52"/>
      <c r="L694" s="52"/>
      <c r="M694" s="52"/>
      <c r="N694" s="104">
        <f t="shared" si="153"/>
        <v>0</v>
      </c>
      <c r="O694" s="52">
        <v>40</v>
      </c>
      <c r="P694" s="52">
        <v>40</v>
      </c>
      <c r="Q694" s="52">
        <v>80</v>
      </c>
      <c r="R694" s="104">
        <f t="shared" si="152"/>
        <v>160</v>
      </c>
      <c r="S694" s="86">
        <f t="shared" si="154"/>
        <v>160</v>
      </c>
      <c r="AB694" s="111"/>
      <c r="AC694" s="111"/>
      <c r="AD694" s="111"/>
      <c r="AE694" s="112"/>
      <c r="AF694" s="113"/>
      <c r="AG694" s="49"/>
      <c r="AH694" s="49"/>
      <c r="AI694" s="112"/>
      <c r="AJ694" s="91"/>
      <c r="AK694" s="114"/>
      <c r="AL694" s="112"/>
      <c r="AP694" s="7"/>
    </row>
    <row r="695" spans="1:42" x14ac:dyDescent="0.35">
      <c r="A695" s="85">
        <v>46225</v>
      </c>
      <c r="B695" s="51" t="s">
        <v>85</v>
      </c>
      <c r="C695" s="97">
        <v>61123995.678571403</v>
      </c>
      <c r="D695" s="97">
        <v>87119.5</v>
      </c>
      <c r="E695" s="48" t="s">
        <v>86</v>
      </c>
      <c r="F695" s="94" t="s">
        <v>108</v>
      </c>
      <c r="G695" s="94" t="s">
        <v>322</v>
      </c>
      <c r="H695" s="94" t="s">
        <v>129</v>
      </c>
      <c r="I695" s="94" t="s">
        <v>135</v>
      </c>
      <c r="J695" s="52">
        <v>10</v>
      </c>
      <c r="K695" s="52"/>
      <c r="L695" s="52"/>
      <c r="M695" s="52"/>
      <c r="N695" s="104">
        <f t="shared" si="153"/>
        <v>0</v>
      </c>
      <c r="O695" s="52"/>
      <c r="P695" s="52"/>
      <c r="Q695" s="52"/>
      <c r="R695" s="104">
        <f t="shared" si="152"/>
        <v>0</v>
      </c>
      <c r="S695" s="86">
        <f t="shared" si="154"/>
        <v>10</v>
      </c>
      <c r="AB695" s="111"/>
      <c r="AC695" s="111"/>
      <c r="AD695" s="111"/>
      <c r="AE695" s="112"/>
      <c r="AF695" s="113"/>
      <c r="AG695" s="49"/>
      <c r="AH695" s="49"/>
      <c r="AI695" s="112"/>
      <c r="AJ695" s="91"/>
      <c r="AK695" s="114"/>
      <c r="AL695" s="112"/>
      <c r="AP695" s="7"/>
    </row>
    <row r="696" spans="1:42" x14ac:dyDescent="0.35">
      <c r="A696" s="85">
        <v>46225</v>
      </c>
      <c r="B696" s="51" t="s">
        <v>85</v>
      </c>
      <c r="C696" s="97">
        <v>61123995.678571403</v>
      </c>
      <c r="D696" s="97">
        <v>87119.5</v>
      </c>
      <c r="E696" s="48" t="s">
        <v>86</v>
      </c>
      <c r="F696" s="94" t="s">
        <v>108</v>
      </c>
      <c r="G696" s="94" t="s">
        <v>640</v>
      </c>
      <c r="H696" s="94" t="s">
        <v>129</v>
      </c>
      <c r="I696" s="94" t="s">
        <v>135</v>
      </c>
      <c r="J696" s="52">
        <v>10</v>
      </c>
      <c r="K696" s="52"/>
      <c r="L696" s="52"/>
      <c r="M696" s="52"/>
      <c r="N696" s="104">
        <f t="shared" si="153"/>
        <v>0</v>
      </c>
      <c r="O696" s="52"/>
      <c r="P696" s="52"/>
      <c r="Q696" s="52"/>
      <c r="R696" s="104">
        <f t="shared" si="152"/>
        <v>0</v>
      </c>
      <c r="S696" s="86">
        <f t="shared" si="154"/>
        <v>10</v>
      </c>
      <c r="AB696" s="111"/>
      <c r="AC696" s="111"/>
      <c r="AD696" s="111"/>
      <c r="AE696" s="112"/>
      <c r="AF696" s="113"/>
      <c r="AG696" s="49"/>
      <c r="AH696" s="49"/>
      <c r="AI696" s="112"/>
      <c r="AJ696" s="91"/>
      <c r="AK696" s="114"/>
      <c r="AL696" s="112"/>
      <c r="AP696" s="7"/>
    </row>
    <row r="697" spans="1:42" x14ac:dyDescent="0.35">
      <c r="A697" s="85">
        <v>46225</v>
      </c>
      <c r="B697" s="51" t="s">
        <v>85</v>
      </c>
      <c r="C697" s="97">
        <v>61123995.678571403</v>
      </c>
      <c r="D697" s="97">
        <v>87119.5</v>
      </c>
      <c r="E697" s="48" t="s">
        <v>86</v>
      </c>
      <c r="F697" s="94" t="s">
        <v>108</v>
      </c>
      <c r="G697" s="94" t="s">
        <v>169</v>
      </c>
      <c r="H697" s="94" t="s">
        <v>129</v>
      </c>
      <c r="I697" s="94" t="s">
        <v>135</v>
      </c>
      <c r="J697" s="52">
        <v>10</v>
      </c>
      <c r="K697" s="52"/>
      <c r="L697" s="52"/>
      <c r="M697" s="52"/>
      <c r="N697" s="104">
        <f t="shared" si="153"/>
        <v>0</v>
      </c>
      <c r="O697" s="52"/>
      <c r="P697" s="52"/>
      <c r="Q697" s="52"/>
      <c r="R697" s="104">
        <f t="shared" si="152"/>
        <v>0</v>
      </c>
      <c r="S697" s="86">
        <f t="shared" si="154"/>
        <v>10</v>
      </c>
      <c r="AB697" s="111"/>
      <c r="AC697" s="111"/>
      <c r="AD697" s="111"/>
      <c r="AE697" s="112"/>
      <c r="AF697" s="113"/>
      <c r="AG697" s="49"/>
      <c r="AH697" s="49"/>
      <c r="AI697" s="112"/>
      <c r="AJ697" s="91"/>
      <c r="AK697" s="114"/>
      <c r="AL697" s="112"/>
      <c r="AP697" s="7"/>
    </row>
    <row r="698" spans="1:42" x14ac:dyDescent="0.35">
      <c r="A698" s="85">
        <v>46225</v>
      </c>
      <c r="B698" s="51" t="s">
        <v>85</v>
      </c>
      <c r="C698" s="97">
        <v>61123995.678571403</v>
      </c>
      <c r="D698" s="97">
        <v>87119.5</v>
      </c>
      <c r="E698" s="48" t="s">
        <v>86</v>
      </c>
      <c r="F698" s="94" t="s">
        <v>108</v>
      </c>
      <c r="G698" s="94" t="s">
        <v>641</v>
      </c>
      <c r="H698" s="94" t="s">
        <v>129</v>
      </c>
      <c r="I698" s="94" t="s">
        <v>135</v>
      </c>
      <c r="J698" s="52">
        <v>10</v>
      </c>
      <c r="K698" s="52"/>
      <c r="L698" s="52"/>
      <c r="M698" s="52"/>
      <c r="N698" s="104">
        <f t="shared" si="153"/>
        <v>0</v>
      </c>
      <c r="O698" s="52"/>
      <c r="P698" s="52"/>
      <c r="Q698" s="52"/>
      <c r="R698" s="104">
        <f t="shared" si="152"/>
        <v>0</v>
      </c>
      <c r="S698" s="86">
        <f t="shared" si="154"/>
        <v>10</v>
      </c>
      <c r="AB698" s="111"/>
      <c r="AC698" s="111"/>
      <c r="AD698" s="111"/>
      <c r="AE698" s="112"/>
      <c r="AF698" s="113"/>
      <c r="AG698" s="49"/>
      <c r="AH698" s="49"/>
      <c r="AI698" s="112"/>
      <c r="AJ698" s="91"/>
      <c r="AK698" s="114"/>
      <c r="AL698" s="112"/>
      <c r="AP698" s="7"/>
    </row>
    <row r="699" spans="1:42" x14ac:dyDescent="0.35">
      <c r="A699" s="85">
        <v>46225</v>
      </c>
      <c r="B699" s="51" t="s">
        <v>85</v>
      </c>
      <c r="C699" s="97">
        <v>61123995.678571403</v>
      </c>
      <c r="D699" s="97">
        <v>87119.5</v>
      </c>
      <c r="E699" s="48" t="s">
        <v>86</v>
      </c>
      <c r="F699" s="94" t="s">
        <v>108</v>
      </c>
      <c r="G699" s="94" t="s">
        <v>133</v>
      </c>
      <c r="H699" s="94" t="s">
        <v>129</v>
      </c>
      <c r="I699" s="94" t="s">
        <v>135</v>
      </c>
      <c r="J699" s="52"/>
      <c r="K699" s="52"/>
      <c r="L699" s="52"/>
      <c r="M699" s="52"/>
      <c r="N699" s="104">
        <f t="shared" si="153"/>
        <v>0</v>
      </c>
      <c r="O699" s="52">
        <v>15</v>
      </c>
      <c r="P699" s="52">
        <v>10</v>
      </c>
      <c r="Q699" s="52">
        <v>15</v>
      </c>
      <c r="R699" s="104">
        <f t="shared" si="152"/>
        <v>40</v>
      </c>
      <c r="S699" s="86">
        <f t="shared" si="154"/>
        <v>40</v>
      </c>
      <c r="AB699" s="111"/>
      <c r="AC699" s="111"/>
      <c r="AD699" s="111"/>
      <c r="AE699" s="112"/>
      <c r="AF699" s="113"/>
      <c r="AG699" s="49"/>
      <c r="AH699" s="49"/>
      <c r="AI699" s="112"/>
      <c r="AJ699" s="91"/>
      <c r="AK699" s="114"/>
      <c r="AL699" s="112"/>
      <c r="AP699" s="7"/>
    </row>
    <row r="700" spans="1:42" x14ac:dyDescent="0.35">
      <c r="A700" s="85">
        <v>46225</v>
      </c>
      <c r="B700" s="51" t="s">
        <v>85</v>
      </c>
      <c r="C700" s="97">
        <v>61123995.678571403</v>
      </c>
      <c r="D700" s="97">
        <v>87119.5</v>
      </c>
      <c r="E700" s="48" t="s">
        <v>86</v>
      </c>
      <c r="F700" s="94" t="s">
        <v>108</v>
      </c>
      <c r="G700" s="94" t="s">
        <v>642</v>
      </c>
      <c r="H700" s="94" t="s">
        <v>129</v>
      </c>
      <c r="I700" s="94" t="s">
        <v>135</v>
      </c>
      <c r="J700" s="52"/>
      <c r="K700" s="52"/>
      <c r="L700" s="52"/>
      <c r="M700" s="52"/>
      <c r="N700" s="104">
        <f t="shared" si="153"/>
        <v>0</v>
      </c>
      <c r="O700" s="52"/>
      <c r="P700" s="52"/>
      <c r="Q700" s="52">
        <v>10</v>
      </c>
      <c r="R700" s="104">
        <f t="shared" si="152"/>
        <v>10</v>
      </c>
      <c r="S700" s="86">
        <f t="shared" si="154"/>
        <v>10</v>
      </c>
      <c r="AB700" s="111"/>
      <c r="AC700" s="111"/>
      <c r="AD700" s="111"/>
      <c r="AE700" s="112"/>
      <c r="AF700" s="113"/>
      <c r="AG700" s="49"/>
      <c r="AH700" s="49"/>
      <c r="AI700" s="112"/>
      <c r="AJ700" s="91"/>
      <c r="AK700" s="114"/>
      <c r="AL700" s="112"/>
      <c r="AP700" s="7"/>
    </row>
    <row r="701" spans="1:42" x14ac:dyDescent="0.35">
      <c r="A701" s="85">
        <v>46225</v>
      </c>
      <c r="B701" s="51" t="s">
        <v>85</v>
      </c>
      <c r="C701" s="97">
        <v>61123995.678571403</v>
      </c>
      <c r="D701" s="97">
        <v>87119.5</v>
      </c>
      <c r="E701" s="48" t="s">
        <v>86</v>
      </c>
      <c r="F701" s="94" t="s">
        <v>108</v>
      </c>
      <c r="G701" s="94" t="s">
        <v>643</v>
      </c>
      <c r="H701" s="94" t="s">
        <v>129</v>
      </c>
      <c r="I701" s="94" t="s">
        <v>135</v>
      </c>
      <c r="J701" s="52"/>
      <c r="K701" s="52"/>
      <c r="L701" s="52"/>
      <c r="M701" s="52"/>
      <c r="N701" s="104">
        <f t="shared" si="153"/>
        <v>0</v>
      </c>
      <c r="O701" s="52">
        <v>10</v>
      </c>
      <c r="P701" s="52"/>
      <c r="Q701" s="52"/>
      <c r="R701" s="104">
        <f t="shared" si="152"/>
        <v>10</v>
      </c>
      <c r="S701" s="86">
        <f t="shared" si="154"/>
        <v>10</v>
      </c>
      <c r="AB701" s="111"/>
      <c r="AC701" s="111"/>
      <c r="AD701" s="111"/>
      <c r="AE701" s="112"/>
      <c r="AF701" s="113"/>
      <c r="AG701" s="49"/>
      <c r="AH701" s="49"/>
      <c r="AI701" s="112"/>
      <c r="AJ701" s="91"/>
      <c r="AK701" s="114"/>
      <c r="AL701" s="112"/>
      <c r="AP701" s="7"/>
    </row>
    <row r="702" spans="1:42" x14ac:dyDescent="0.35">
      <c r="A702" s="85">
        <v>46225</v>
      </c>
      <c r="B702" s="51" t="s">
        <v>85</v>
      </c>
      <c r="C702" s="97">
        <v>61123995.678571403</v>
      </c>
      <c r="D702" s="97">
        <v>87119.5</v>
      </c>
      <c r="E702" s="48" t="s">
        <v>86</v>
      </c>
      <c r="F702" s="94" t="s">
        <v>108</v>
      </c>
      <c r="G702" s="94" t="s">
        <v>644</v>
      </c>
      <c r="H702" s="94" t="s">
        <v>129</v>
      </c>
      <c r="I702" s="94" t="s">
        <v>135</v>
      </c>
      <c r="J702" s="52"/>
      <c r="K702" s="52"/>
      <c r="L702" s="52"/>
      <c r="M702" s="52"/>
      <c r="N702" s="104">
        <f t="shared" si="153"/>
        <v>0</v>
      </c>
      <c r="O702" s="52"/>
      <c r="P702" s="52">
        <v>10</v>
      </c>
      <c r="Q702" s="52"/>
      <c r="R702" s="104">
        <f t="shared" si="152"/>
        <v>10</v>
      </c>
      <c r="S702" s="86">
        <f t="shared" si="154"/>
        <v>10</v>
      </c>
      <c r="AB702" s="111"/>
      <c r="AC702" s="111"/>
      <c r="AD702" s="111"/>
      <c r="AE702" s="112"/>
      <c r="AF702" s="113"/>
      <c r="AG702" s="49"/>
      <c r="AH702" s="49"/>
      <c r="AI702" s="112"/>
      <c r="AJ702" s="91"/>
      <c r="AK702" s="114"/>
      <c r="AL702" s="112"/>
      <c r="AP702" s="7"/>
    </row>
    <row r="703" spans="1:42" x14ac:dyDescent="0.35">
      <c r="A703" s="85">
        <v>46225</v>
      </c>
      <c r="B703" s="51" t="s">
        <v>85</v>
      </c>
      <c r="C703" s="97">
        <v>61123995.678571403</v>
      </c>
      <c r="D703" s="97">
        <v>87119.5</v>
      </c>
      <c r="E703" s="48" t="s">
        <v>86</v>
      </c>
      <c r="F703" s="94" t="s">
        <v>108</v>
      </c>
      <c r="G703" s="94" t="s">
        <v>139</v>
      </c>
      <c r="H703" s="94" t="s">
        <v>129</v>
      </c>
      <c r="I703" s="94" t="s">
        <v>135</v>
      </c>
      <c r="J703" s="52"/>
      <c r="K703" s="52"/>
      <c r="L703" s="52"/>
      <c r="M703" s="52"/>
      <c r="N703" s="104">
        <f t="shared" si="153"/>
        <v>0</v>
      </c>
      <c r="O703" s="52">
        <v>5</v>
      </c>
      <c r="P703" s="52">
        <v>5</v>
      </c>
      <c r="Q703" s="52">
        <v>5</v>
      </c>
      <c r="R703" s="104">
        <f t="shared" si="152"/>
        <v>15</v>
      </c>
      <c r="S703" s="86">
        <f t="shared" si="154"/>
        <v>15</v>
      </c>
      <c r="AB703" s="111"/>
      <c r="AC703" s="111"/>
      <c r="AD703" s="111"/>
      <c r="AE703" s="112"/>
      <c r="AF703" s="113"/>
      <c r="AG703" s="49"/>
      <c r="AH703" s="49"/>
      <c r="AI703" s="112"/>
      <c r="AJ703" s="91"/>
      <c r="AK703" s="114"/>
      <c r="AL703" s="112"/>
      <c r="AP703" s="7"/>
    </row>
    <row r="704" spans="1:42" x14ac:dyDescent="0.35">
      <c r="A704" s="85">
        <v>46225</v>
      </c>
      <c r="B704" s="51" t="s">
        <v>85</v>
      </c>
      <c r="C704" s="97">
        <v>61123995.678571403</v>
      </c>
      <c r="D704" s="97">
        <v>87119.5</v>
      </c>
      <c r="E704" s="48" t="s">
        <v>86</v>
      </c>
      <c r="F704" s="94" t="s">
        <v>108</v>
      </c>
      <c r="G704" s="94" t="s">
        <v>645</v>
      </c>
      <c r="H704" s="94" t="s">
        <v>129</v>
      </c>
      <c r="I704" s="94" t="s">
        <v>135</v>
      </c>
      <c r="J704" s="52"/>
      <c r="K704" s="52"/>
      <c r="L704" s="52">
        <v>10</v>
      </c>
      <c r="M704" s="52"/>
      <c r="N704" s="104">
        <f t="shared" si="153"/>
        <v>10</v>
      </c>
      <c r="O704" s="52"/>
      <c r="P704" s="52"/>
      <c r="Q704" s="52"/>
      <c r="R704" s="104">
        <f t="shared" si="152"/>
        <v>0</v>
      </c>
      <c r="S704" s="86">
        <f t="shared" si="154"/>
        <v>10</v>
      </c>
      <c r="AB704" s="111"/>
      <c r="AC704" s="111"/>
      <c r="AD704" s="111"/>
      <c r="AE704" s="112"/>
      <c r="AF704" s="113"/>
      <c r="AG704" s="49"/>
      <c r="AH704" s="49"/>
      <c r="AI704" s="112"/>
      <c r="AJ704" s="91"/>
      <c r="AK704" s="114"/>
      <c r="AL704" s="112"/>
      <c r="AP704" s="7"/>
    </row>
    <row r="705" spans="1:42" x14ac:dyDescent="0.35">
      <c r="A705" s="85">
        <v>46225</v>
      </c>
      <c r="B705" s="51" t="s">
        <v>85</v>
      </c>
      <c r="C705" s="97">
        <v>61123995.678571403</v>
      </c>
      <c r="D705" s="97">
        <v>87119.5</v>
      </c>
      <c r="E705" s="48" t="s">
        <v>86</v>
      </c>
      <c r="F705" s="94" t="s">
        <v>108</v>
      </c>
      <c r="G705" s="94" t="s">
        <v>646</v>
      </c>
      <c r="H705" s="94" t="s">
        <v>129</v>
      </c>
      <c r="I705" s="94" t="s">
        <v>135</v>
      </c>
      <c r="J705" s="52">
        <v>10</v>
      </c>
      <c r="K705" s="52"/>
      <c r="L705" s="52"/>
      <c r="M705" s="52"/>
      <c r="N705" s="104">
        <f t="shared" si="153"/>
        <v>0</v>
      </c>
      <c r="O705" s="52"/>
      <c r="P705" s="52"/>
      <c r="Q705" s="52"/>
      <c r="R705" s="104">
        <f t="shared" si="152"/>
        <v>0</v>
      </c>
      <c r="S705" s="86">
        <f t="shared" si="154"/>
        <v>10</v>
      </c>
      <c r="AB705" s="111"/>
      <c r="AC705" s="111"/>
      <c r="AD705" s="111"/>
      <c r="AE705" s="112"/>
      <c r="AF705" s="113"/>
      <c r="AG705" s="49"/>
      <c r="AH705" s="49"/>
      <c r="AI705" s="112"/>
      <c r="AJ705" s="91"/>
      <c r="AK705" s="114"/>
      <c r="AL705" s="112"/>
      <c r="AP705" s="7"/>
    </row>
    <row r="706" spans="1:42" x14ac:dyDescent="0.35">
      <c r="A706" s="85">
        <v>46225</v>
      </c>
      <c r="B706" s="51" t="s">
        <v>85</v>
      </c>
      <c r="C706" s="97">
        <v>61123995.678571403</v>
      </c>
      <c r="D706" s="97">
        <v>87119.5</v>
      </c>
      <c r="E706" s="48" t="s">
        <v>86</v>
      </c>
      <c r="F706" s="94" t="s">
        <v>108</v>
      </c>
      <c r="G706" s="94" t="s">
        <v>501</v>
      </c>
      <c r="H706" s="94" t="s">
        <v>129</v>
      </c>
      <c r="I706" s="94" t="s">
        <v>135</v>
      </c>
      <c r="J706" s="52">
        <v>10</v>
      </c>
      <c r="K706" s="52"/>
      <c r="L706" s="52"/>
      <c r="M706" s="52"/>
      <c r="N706" s="104">
        <f t="shared" si="153"/>
        <v>0</v>
      </c>
      <c r="O706" s="52"/>
      <c r="P706" s="52"/>
      <c r="Q706" s="52"/>
      <c r="R706" s="104">
        <f t="shared" si="152"/>
        <v>0</v>
      </c>
      <c r="S706" s="86">
        <f t="shared" si="154"/>
        <v>10</v>
      </c>
      <c r="AB706" s="111"/>
      <c r="AC706" s="111"/>
      <c r="AD706" s="111"/>
      <c r="AE706" s="112"/>
      <c r="AF706" s="113"/>
      <c r="AG706" s="49"/>
      <c r="AH706" s="49"/>
      <c r="AI706" s="112"/>
      <c r="AJ706" s="91"/>
      <c r="AK706" s="114"/>
      <c r="AL706" s="112"/>
      <c r="AP706" s="7"/>
    </row>
    <row r="707" spans="1:42" x14ac:dyDescent="0.35">
      <c r="A707" s="85">
        <v>46225</v>
      </c>
      <c r="B707" s="51" t="s">
        <v>85</v>
      </c>
      <c r="C707" s="97">
        <v>61123995.678571403</v>
      </c>
      <c r="D707" s="97">
        <v>87119.5</v>
      </c>
      <c r="E707" s="48" t="s">
        <v>86</v>
      </c>
      <c r="F707" s="94" t="s">
        <v>108</v>
      </c>
      <c r="G707" s="94" t="s">
        <v>647</v>
      </c>
      <c r="H707" s="94" t="s">
        <v>129</v>
      </c>
      <c r="I707" s="94" t="s">
        <v>135</v>
      </c>
      <c r="J707" s="52">
        <v>10</v>
      </c>
      <c r="K707" s="52"/>
      <c r="L707" s="52"/>
      <c r="M707" s="52"/>
      <c r="N707" s="104">
        <f t="shared" si="153"/>
        <v>0</v>
      </c>
      <c r="O707" s="52"/>
      <c r="P707" s="52"/>
      <c r="Q707" s="52"/>
      <c r="R707" s="104">
        <f t="shared" si="152"/>
        <v>0</v>
      </c>
      <c r="S707" s="86">
        <f t="shared" si="154"/>
        <v>10</v>
      </c>
      <c r="AB707" s="111"/>
      <c r="AC707" s="111"/>
      <c r="AD707" s="111"/>
      <c r="AE707" s="112"/>
      <c r="AF707" s="113"/>
      <c r="AG707" s="49"/>
      <c r="AH707" s="49"/>
      <c r="AI707" s="112"/>
      <c r="AJ707" s="91"/>
      <c r="AK707" s="114"/>
      <c r="AL707" s="112"/>
      <c r="AP707" s="7"/>
    </row>
    <row r="708" spans="1:42" x14ac:dyDescent="0.35">
      <c r="A708" s="85">
        <v>46225</v>
      </c>
      <c r="B708" s="51" t="s">
        <v>85</v>
      </c>
      <c r="C708" s="97">
        <v>61123995.678571403</v>
      </c>
      <c r="D708" s="97">
        <v>87119.5</v>
      </c>
      <c r="E708" s="48" t="s">
        <v>86</v>
      </c>
      <c r="F708" s="94" t="s">
        <v>108</v>
      </c>
      <c r="G708" s="94" t="s">
        <v>323</v>
      </c>
      <c r="H708" s="94" t="s">
        <v>129</v>
      </c>
      <c r="I708" s="94" t="s">
        <v>135</v>
      </c>
      <c r="J708" s="52"/>
      <c r="K708" s="52"/>
      <c r="L708" s="52"/>
      <c r="M708" s="52"/>
      <c r="N708" s="104">
        <f t="shared" si="153"/>
        <v>0</v>
      </c>
      <c r="O708" s="52"/>
      <c r="P708" s="52"/>
      <c r="Q708" s="52">
        <v>10</v>
      </c>
      <c r="R708" s="104">
        <f t="shared" si="152"/>
        <v>10</v>
      </c>
      <c r="S708" s="86">
        <f t="shared" si="154"/>
        <v>10</v>
      </c>
      <c r="AB708" s="111"/>
      <c r="AC708" s="111"/>
      <c r="AD708" s="111"/>
      <c r="AE708" s="112"/>
      <c r="AF708" s="113"/>
      <c r="AG708" s="49"/>
      <c r="AH708" s="49"/>
      <c r="AI708" s="112"/>
      <c r="AJ708" s="91"/>
      <c r="AK708" s="114"/>
      <c r="AL708" s="112"/>
      <c r="AP708" s="7"/>
    </row>
    <row r="709" spans="1:42" x14ac:dyDescent="0.35">
      <c r="A709" s="85">
        <v>46225</v>
      </c>
      <c r="B709" s="51" t="s">
        <v>85</v>
      </c>
      <c r="C709" s="97">
        <v>61123995.678571403</v>
      </c>
      <c r="D709" s="97">
        <v>87119.5</v>
      </c>
      <c r="E709" s="48" t="s">
        <v>86</v>
      </c>
      <c r="F709" s="94" t="s">
        <v>108</v>
      </c>
      <c r="G709" s="94" t="s">
        <v>507</v>
      </c>
      <c r="H709" s="94" t="s">
        <v>129</v>
      </c>
      <c r="I709" s="94" t="s">
        <v>135</v>
      </c>
      <c r="J709" s="52"/>
      <c r="K709" s="52"/>
      <c r="L709" s="52"/>
      <c r="M709" s="52"/>
      <c r="N709" s="104">
        <f t="shared" ref="N709:N736" si="155">K709+L709+M709</f>
        <v>0</v>
      </c>
      <c r="O709" s="52">
        <v>6</v>
      </c>
      <c r="P709" s="52"/>
      <c r="Q709" s="52">
        <v>10</v>
      </c>
      <c r="R709" s="104">
        <f t="shared" si="152"/>
        <v>16</v>
      </c>
      <c r="S709" s="86">
        <f t="shared" ref="S709:S750" si="156">R709+N709+J709</f>
        <v>16</v>
      </c>
      <c r="AB709" s="111"/>
      <c r="AC709" s="111"/>
      <c r="AD709" s="111"/>
      <c r="AE709" s="112"/>
      <c r="AF709" s="113"/>
      <c r="AG709" s="49"/>
      <c r="AH709" s="49"/>
      <c r="AI709" s="112"/>
      <c r="AJ709" s="91"/>
      <c r="AK709" s="114"/>
      <c r="AL709" s="112"/>
      <c r="AP709" s="7"/>
    </row>
    <row r="710" spans="1:42" x14ac:dyDescent="0.35">
      <c r="A710" s="85">
        <v>46225</v>
      </c>
      <c r="B710" s="51" t="s">
        <v>85</v>
      </c>
      <c r="C710" s="97">
        <v>61123995.678571403</v>
      </c>
      <c r="D710" s="97">
        <v>87119.5</v>
      </c>
      <c r="E710" s="48" t="s">
        <v>86</v>
      </c>
      <c r="F710" s="94" t="s">
        <v>108</v>
      </c>
      <c r="G710" s="94" t="s">
        <v>139</v>
      </c>
      <c r="H710" s="94" t="s">
        <v>129</v>
      </c>
      <c r="I710" s="94" t="s">
        <v>135</v>
      </c>
      <c r="J710" s="52"/>
      <c r="K710" s="52"/>
      <c r="L710" s="52"/>
      <c r="M710" s="52"/>
      <c r="N710" s="104">
        <f t="shared" si="155"/>
        <v>0</v>
      </c>
      <c r="O710" s="52">
        <v>20</v>
      </c>
      <c r="P710" s="52">
        <v>20</v>
      </c>
      <c r="Q710" s="52"/>
      <c r="R710" s="104">
        <f t="shared" si="152"/>
        <v>40</v>
      </c>
      <c r="S710" s="86">
        <f t="shared" si="156"/>
        <v>40</v>
      </c>
      <c r="AB710" s="111"/>
      <c r="AC710" s="111"/>
      <c r="AD710" s="111"/>
      <c r="AE710" s="112"/>
      <c r="AF710" s="113"/>
      <c r="AG710" s="49"/>
      <c r="AH710" s="49"/>
      <c r="AI710" s="112"/>
      <c r="AJ710" s="91"/>
      <c r="AK710" s="114"/>
      <c r="AL710" s="112"/>
      <c r="AP710" s="7"/>
    </row>
    <row r="711" spans="1:42" x14ac:dyDescent="0.35">
      <c r="A711" s="85">
        <v>46226</v>
      </c>
      <c r="B711" s="51" t="s">
        <v>85</v>
      </c>
      <c r="C711" s="97">
        <v>61123995.678571403</v>
      </c>
      <c r="D711" s="97">
        <v>87119.5</v>
      </c>
      <c r="E711" s="48" t="s">
        <v>86</v>
      </c>
      <c r="F711" s="94" t="s">
        <v>87</v>
      </c>
      <c r="G711" s="94" t="s">
        <v>532</v>
      </c>
      <c r="H711" s="94" t="s">
        <v>89</v>
      </c>
      <c r="I711" s="94" t="s">
        <v>649</v>
      </c>
      <c r="J711" s="52"/>
      <c r="K711" s="52">
        <v>40</v>
      </c>
      <c r="L711" s="52">
        <v>40</v>
      </c>
      <c r="M711" s="52"/>
      <c r="N711" s="104">
        <f t="shared" si="155"/>
        <v>80</v>
      </c>
      <c r="O711" s="52">
        <v>40</v>
      </c>
      <c r="P711" s="52">
        <v>80</v>
      </c>
      <c r="Q711" s="52">
        <v>80</v>
      </c>
      <c r="R711" s="104">
        <f t="shared" si="152"/>
        <v>200</v>
      </c>
      <c r="S711" s="86">
        <f t="shared" si="156"/>
        <v>280</v>
      </c>
      <c r="AB711" s="111"/>
      <c r="AC711" s="111"/>
      <c r="AD711" s="111"/>
      <c r="AE711" s="112"/>
      <c r="AF711" s="113"/>
      <c r="AG711" s="49"/>
      <c r="AH711" s="49"/>
      <c r="AI711" s="112"/>
      <c r="AJ711" s="91"/>
      <c r="AK711" s="114"/>
      <c r="AL711" s="112"/>
      <c r="AP711" s="7"/>
    </row>
    <row r="712" spans="1:42" x14ac:dyDescent="0.35">
      <c r="A712" s="85">
        <v>46226</v>
      </c>
      <c r="B712" s="51" t="s">
        <v>85</v>
      </c>
      <c r="C712" s="97">
        <v>61123995.678571403</v>
      </c>
      <c r="D712" s="97">
        <v>87119.5</v>
      </c>
      <c r="E712" s="48" t="s">
        <v>86</v>
      </c>
      <c r="F712" s="94" t="s">
        <v>87</v>
      </c>
      <c r="G712" s="94" t="s">
        <v>656</v>
      </c>
      <c r="H712" s="94" t="s">
        <v>89</v>
      </c>
      <c r="I712" s="94" t="s">
        <v>650</v>
      </c>
      <c r="J712" s="52"/>
      <c r="K712" s="52"/>
      <c r="L712" s="52"/>
      <c r="M712" s="52"/>
      <c r="N712" s="104">
        <f t="shared" si="155"/>
        <v>0</v>
      </c>
      <c r="O712" s="52"/>
      <c r="P712" s="52"/>
      <c r="Q712" s="52">
        <v>200</v>
      </c>
      <c r="R712" s="104">
        <f t="shared" si="152"/>
        <v>200</v>
      </c>
      <c r="S712" s="86">
        <f t="shared" si="156"/>
        <v>200</v>
      </c>
      <c r="AB712" s="111"/>
      <c r="AC712" s="111"/>
      <c r="AD712" s="111"/>
      <c r="AE712" s="112"/>
      <c r="AF712" s="113"/>
      <c r="AG712" s="49"/>
      <c r="AH712" s="49"/>
      <c r="AI712" s="112"/>
      <c r="AJ712" s="91"/>
      <c r="AK712" s="114"/>
      <c r="AL712" s="112"/>
      <c r="AP712" s="7"/>
    </row>
    <row r="713" spans="1:42" x14ac:dyDescent="0.35">
      <c r="A713" s="85">
        <v>46226</v>
      </c>
      <c r="B713" s="51" t="s">
        <v>85</v>
      </c>
      <c r="C713" s="97">
        <v>61123995.678571403</v>
      </c>
      <c r="D713" s="97">
        <v>87119.5</v>
      </c>
      <c r="E713" s="48" t="s">
        <v>86</v>
      </c>
      <c r="F713" s="94" t="s">
        <v>87</v>
      </c>
      <c r="G713" s="94" t="s">
        <v>657</v>
      </c>
      <c r="H713" s="94" t="s">
        <v>89</v>
      </c>
      <c r="I713" s="94" t="s">
        <v>651</v>
      </c>
      <c r="J713" s="52"/>
      <c r="K713" s="52">
        <v>10</v>
      </c>
      <c r="L713" s="52">
        <v>10</v>
      </c>
      <c r="M713" s="52"/>
      <c r="N713" s="104">
        <f t="shared" si="155"/>
        <v>20</v>
      </c>
      <c r="O713" s="52">
        <v>10</v>
      </c>
      <c r="P713" s="52">
        <v>10</v>
      </c>
      <c r="Q713" s="52">
        <v>20</v>
      </c>
      <c r="R713" s="104">
        <f t="shared" si="152"/>
        <v>40</v>
      </c>
      <c r="S713" s="86">
        <f t="shared" si="156"/>
        <v>60</v>
      </c>
      <c r="AB713" s="111"/>
      <c r="AC713" s="111"/>
      <c r="AD713" s="111"/>
      <c r="AE713" s="112"/>
      <c r="AF713" s="113"/>
      <c r="AG713" s="49"/>
      <c r="AH713" s="49"/>
      <c r="AI713" s="112"/>
      <c r="AJ713" s="91"/>
      <c r="AK713" s="114"/>
      <c r="AL713" s="112"/>
      <c r="AP713" s="7"/>
    </row>
    <row r="714" spans="1:42" x14ac:dyDescent="0.35">
      <c r="A714" s="85">
        <v>46226</v>
      </c>
      <c r="B714" s="51" t="s">
        <v>85</v>
      </c>
      <c r="C714" s="97">
        <v>61123995.678571403</v>
      </c>
      <c r="D714" s="97">
        <v>87119.5</v>
      </c>
      <c r="E714" s="48" t="s">
        <v>86</v>
      </c>
      <c r="F714" s="94" t="s">
        <v>87</v>
      </c>
      <c r="G714" s="94" t="s">
        <v>657</v>
      </c>
      <c r="H714" s="94" t="s">
        <v>89</v>
      </c>
      <c r="I714" s="94" t="s">
        <v>652</v>
      </c>
      <c r="J714" s="52"/>
      <c r="K714" s="52">
        <v>10</v>
      </c>
      <c r="L714" s="52">
        <v>10</v>
      </c>
      <c r="M714" s="52"/>
      <c r="N714" s="104">
        <f t="shared" si="155"/>
        <v>20</v>
      </c>
      <c r="O714" s="52">
        <v>20</v>
      </c>
      <c r="P714" s="52">
        <v>20</v>
      </c>
      <c r="Q714" s="52">
        <v>20</v>
      </c>
      <c r="R714" s="104">
        <f t="shared" si="152"/>
        <v>60</v>
      </c>
      <c r="S714" s="86">
        <f t="shared" si="156"/>
        <v>80</v>
      </c>
      <c r="AB714" s="111"/>
      <c r="AC714" s="111"/>
      <c r="AD714" s="111"/>
      <c r="AE714" s="112"/>
      <c r="AF714" s="113"/>
      <c r="AG714" s="49"/>
      <c r="AH714" s="49"/>
      <c r="AI714" s="112"/>
      <c r="AJ714" s="91"/>
      <c r="AK714" s="114"/>
      <c r="AL714" s="112"/>
      <c r="AP714" s="7"/>
    </row>
    <row r="715" spans="1:42" x14ac:dyDescent="0.35">
      <c r="A715" s="85">
        <v>46226</v>
      </c>
      <c r="B715" s="51" t="s">
        <v>85</v>
      </c>
      <c r="C715" s="97">
        <v>61123995.678571403</v>
      </c>
      <c r="D715" s="97">
        <v>87119.5</v>
      </c>
      <c r="E715" s="48" t="s">
        <v>86</v>
      </c>
      <c r="F715" s="94" t="s">
        <v>87</v>
      </c>
      <c r="G715" s="94" t="s">
        <v>648</v>
      </c>
      <c r="H715" s="94" t="s">
        <v>89</v>
      </c>
      <c r="I715" s="94" t="s">
        <v>653</v>
      </c>
      <c r="J715" s="52"/>
      <c r="K715" s="52">
        <v>40</v>
      </c>
      <c r="L715" s="52"/>
      <c r="M715" s="52"/>
      <c r="N715" s="104">
        <f t="shared" si="155"/>
        <v>40</v>
      </c>
      <c r="O715" s="52">
        <v>40</v>
      </c>
      <c r="P715" s="52">
        <v>80</v>
      </c>
      <c r="Q715" s="52">
        <v>80</v>
      </c>
      <c r="R715" s="104">
        <f t="shared" si="152"/>
        <v>200</v>
      </c>
      <c r="S715" s="86">
        <f t="shared" si="156"/>
        <v>240</v>
      </c>
      <c r="AB715" s="111"/>
      <c r="AC715" s="111"/>
      <c r="AD715" s="111"/>
      <c r="AE715" s="112"/>
      <c r="AF715" s="113"/>
      <c r="AG715" s="49"/>
      <c r="AH715" s="49"/>
      <c r="AI715" s="112"/>
      <c r="AJ715" s="91"/>
      <c r="AK715" s="114"/>
      <c r="AL715" s="112"/>
      <c r="AP715" s="7"/>
    </row>
    <row r="716" spans="1:42" x14ac:dyDescent="0.35">
      <c r="A716" s="85">
        <v>46226</v>
      </c>
      <c r="B716" s="51" t="s">
        <v>85</v>
      </c>
      <c r="C716" s="97">
        <v>61123995.678571403</v>
      </c>
      <c r="D716" s="97">
        <v>87119.5</v>
      </c>
      <c r="E716" s="48" t="s">
        <v>86</v>
      </c>
      <c r="F716" s="94" t="s">
        <v>87</v>
      </c>
      <c r="G716" s="94" t="s">
        <v>654</v>
      </c>
      <c r="H716" s="94" t="s">
        <v>89</v>
      </c>
      <c r="I716" s="94" t="s">
        <v>94</v>
      </c>
      <c r="J716" s="52"/>
      <c r="K716" s="52">
        <v>40</v>
      </c>
      <c r="L716" s="52">
        <v>40</v>
      </c>
      <c r="M716" s="52"/>
      <c r="N716" s="104">
        <f t="shared" si="155"/>
        <v>80</v>
      </c>
      <c r="O716" s="52"/>
      <c r="P716" s="52">
        <v>40</v>
      </c>
      <c r="Q716" s="52">
        <v>40</v>
      </c>
      <c r="R716" s="104">
        <f t="shared" si="152"/>
        <v>80</v>
      </c>
      <c r="S716" s="86">
        <f t="shared" si="156"/>
        <v>160</v>
      </c>
      <c r="AB716" s="111"/>
      <c r="AC716" s="111"/>
      <c r="AD716" s="111"/>
      <c r="AE716" s="112"/>
      <c r="AF716" s="113"/>
      <c r="AG716" s="49"/>
      <c r="AH716" s="49"/>
      <c r="AI716" s="112"/>
      <c r="AJ716" s="91"/>
      <c r="AK716" s="114"/>
      <c r="AL716" s="112"/>
      <c r="AP716" s="7"/>
    </row>
    <row r="717" spans="1:42" x14ac:dyDescent="0.35">
      <c r="A717" s="85">
        <v>46226</v>
      </c>
      <c r="B717" s="51" t="s">
        <v>85</v>
      </c>
      <c r="C717" s="97">
        <v>61123995.678571403</v>
      </c>
      <c r="D717" s="97">
        <v>87119.5</v>
      </c>
      <c r="E717" s="48" t="s">
        <v>86</v>
      </c>
      <c r="F717" s="94" t="s">
        <v>87</v>
      </c>
      <c r="G717" s="94" t="s">
        <v>658</v>
      </c>
      <c r="H717" s="94" t="s">
        <v>89</v>
      </c>
      <c r="I717" s="94" t="s">
        <v>94</v>
      </c>
      <c r="J717" s="52"/>
      <c r="K717" s="52">
        <v>80</v>
      </c>
      <c r="L717" s="52">
        <v>80</v>
      </c>
      <c r="M717" s="52"/>
      <c r="N717" s="104">
        <f t="shared" si="155"/>
        <v>160</v>
      </c>
      <c r="O717" s="52">
        <v>80</v>
      </c>
      <c r="P717" s="52">
        <v>80</v>
      </c>
      <c r="Q717" s="52">
        <v>80</v>
      </c>
      <c r="R717" s="104">
        <f t="shared" si="152"/>
        <v>240</v>
      </c>
      <c r="S717" s="86">
        <f t="shared" si="156"/>
        <v>400</v>
      </c>
      <c r="AB717" s="111"/>
      <c r="AC717" s="111"/>
      <c r="AD717" s="111"/>
      <c r="AE717" s="112"/>
      <c r="AF717" s="113"/>
      <c r="AG717" s="49"/>
      <c r="AH717" s="49"/>
      <c r="AI717" s="112"/>
      <c r="AJ717" s="91"/>
      <c r="AK717" s="114"/>
      <c r="AL717" s="112"/>
      <c r="AP717" s="7"/>
    </row>
    <row r="718" spans="1:42" x14ac:dyDescent="0.35">
      <c r="A718" s="85">
        <v>46226</v>
      </c>
      <c r="B718" s="51" t="s">
        <v>85</v>
      </c>
      <c r="C718" s="97">
        <v>61123995.678571403</v>
      </c>
      <c r="D718" s="97">
        <v>87119.5</v>
      </c>
      <c r="E718" s="48" t="s">
        <v>86</v>
      </c>
      <c r="F718" s="94" t="s">
        <v>87</v>
      </c>
      <c r="G718" s="94" t="s">
        <v>659</v>
      </c>
      <c r="H718" s="94" t="s">
        <v>89</v>
      </c>
      <c r="I718" s="94" t="s">
        <v>451</v>
      </c>
      <c r="J718" s="52"/>
      <c r="K718" s="52">
        <v>200</v>
      </c>
      <c r="L718" s="52">
        <v>120</v>
      </c>
      <c r="M718" s="52"/>
      <c r="N718" s="104">
        <f t="shared" si="155"/>
        <v>320</v>
      </c>
      <c r="O718" s="52"/>
      <c r="P718" s="52"/>
      <c r="Q718" s="52">
        <v>400</v>
      </c>
      <c r="R718" s="104">
        <f t="shared" si="152"/>
        <v>400</v>
      </c>
      <c r="S718" s="86">
        <f t="shared" si="156"/>
        <v>720</v>
      </c>
      <c r="AB718" s="111"/>
      <c r="AC718" s="111"/>
      <c r="AD718" s="111"/>
      <c r="AE718" s="112"/>
      <c r="AF718" s="113"/>
      <c r="AG718" s="49"/>
      <c r="AH718" s="49"/>
      <c r="AI718" s="112"/>
      <c r="AJ718" s="91"/>
      <c r="AK718" s="114"/>
      <c r="AL718" s="112"/>
      <c r="AP718" s="7"/>
    </row>
    <row r="719" spans="1:42" x14ac:dyDescent="0.35">
      <c r="A719" s="85">
        <v>46226</v>
      </c>
      <c r="B719" s="51" t="s">
        <v>85</v>
      </c>
      <c r="C719" s="97">
        <v>61123995.678571403</v>
      </c>
      <c r="D719" s="97">
        <v>87119.5</v>
      </c>
      <c r="E719" s="48" t="s">
        <v>86</v>
      </c>
      <c r="F719" s="94" t="s">
        <v>87</v>
      </c>
      <c r="G719" s="94" t="s">
        <v>532</v>
      </c>
      <c r="H719" s="94" t="s">
        <v>89</v>
      </c>
      <c r="I719" s="94" t="s">
        <v>655</v>
      </c>
      <c r="J719" s="52"/>
      <c r="K719" s="52">
        <v>40</v>
      </c>
      <c r="L719" s="52">
        <v>80</v>
      </c>
      <c r="M719" s="52"/>
      <c r="N719" s="104">
        <f t="shared" si="155"/>
        <v>120</v>
      </c>
      <c r="O719" s="52">
        <v>80</v>
      </c>
      <c r="P719" s="52">
        <v>80</v>
      </c>
      <c r="Q719" s="52">
        <v>80</v>
      </c>
      <c r="R719" s="104">
        <f t="shared" si="152"/>
        <v>240</v>
      </c>
      <c r="S719" s="86">
        <f t="shared" si="156"/>
        <v>360</v>
      </c>
      <c r="AB719" s="111"/>
      <c r="AC719" s="111"/>
      <c r="AD719" s="111"/>
      <c r="AE719" s="112"/>
      <c r="AF719" s="113"/>
      <c r="AG719" s="49"/>
      <c r="AH719" s="49"/>
      <c r="AI719" s="112"/>
      <c r="AJ719" s="91"/>
      <c r="AK719" s="114"/>
      <c r="AL719" s="112"/>
      <c r="AP719" s="7"/>
    </row>
    <row r="720" spans="1:42" x14ac:dyDescent="0.35">
      <c r="A720" s="85">
        <v>46226</v>
      </c>
      <c r="B720" s="51" t="s">
        <v>85</v>
      </c>
      <c r="C720" s="97">
        <v>61123995.678571403</v>
      </c>
      <c r="D720" s="97">
        <v>87119.5</v>
      </c>
      <c r="E720" s="48" t="s">
        <v>86</v>
      </c>
      <c r="F720" s="94" t="s">
        <v>108</v>
      </c>
      <c r="G720" s="94" t="s">
        <v>660</v>
      </c>
      <c r="H720" s="94" t="s">
        <v>112</v>
      </c>
      <c r="I720" s="94" t="s">
        <v>664</v>
      </c>
      <c r="J720" s="52"/>
      <c r="K720" s="52">
        <v>15</v>
      </c>
      <c r="L720" s="52">
        <v>15</v>
      </c>
      <c r="M720" s="52"/>
      <c r="N720" s="104">
        <f t="shared" si="155"/>
        <v>30</v>
      </c>
      <c r="O720" s="52"/>
      <c r="P720" s="52"/>
      <c r="Q720" s="52"/>
      <c r="R720" s="104">
        <f t="shared" si="152"/>
        <v>0</v>
      </c>
      <c r="S720" s="86">
        <f t="shared" si="156"/>
        <v>30</v>
      </c>
      <c r="AB720" s="111"/>
      <c r="AC720" s="111"/>
      <c r="AD720" s="111"/>
      <c r="AE720" s="112"/>
      <c r="AF720" s="113"/>
      <c r="AG720" s="49"/>
      <c r="AH720" s="49"/>
      <c r="AI720" s="112"/>
      <c r="AJ720" s="91"/>
      <c r="AK720" s="114"/>
      <c r="AL720" s="112"/>
      <c r="AP720" s="7"/>
    </row>
    <row r="721" spans="1:42" x14ac:dyDescent="0.35">
      <c r="A721" s="85">
        <v>46226</v>
      </c>
      <c r="B721" s="51" t="s">
        <v>85</v>
      </c>
      <c r="C721" s="97">
        <v>61123995.678571403</v>
      </c>
      <c r="D721" s="97">
        <v>87119.5</v>
      </c>
      <c r="E721" s="48" t="s">
        <v>86</v>
      </c>
      <c r="F721" s="94" t="s">
        <v>108</v>
      </c>
      <c r="G721" s="94" t="s">
        <v>520</v>
      </c>
      <c r="H721" s="94" t="s">
        <v>112</v>
      </c>
      <c r="I721" s="94" t="s">
        <v>664</v>
      </c>
      <c r="J721" s="52"/>
      <c r="K721" s="52"/>
      <c r="L721" s="52"/>
      <c r="M721" s="52"/>
      <c r="N721" s="104">
        <f t="shared" si="155"/>
        <v>0</v>
      </c>
      <c r="O721" s="52">
        <v>10</v>
      </c>
      <c r="P721" s="52">
        <v>10</v>
      </c>
      <c r="Q721" s="52">
        <v>20</v>
      </c>
      <c r="R721" s="104">
        <f t="shared" si="152"/>
        <v>40</v>
      </c>
      <c r="S721" s="86">
        <f t="shared" si="156"/>
        <v>40</v>
      </c>
      <c r="AB721" s="111"/>
      <c r="AC721" s="111"/>
      <c r="AD721" s="111"/>
      <c r="AE721" s="112"/>
      <c r="AF721" s="113"/>
      <c r="AG721" s="49"/>
      <c r="AH721" s="49"/>
      <c r="AI721" s="112"/>
      <c r="AJ721" s="91"/>
      <c r="AK721" s="114"/>
      <c r="AL721" s="112"/>
      <c r="AP721" s="7"/>
    </row>
    <row r="722" spans="1:42" x14ac:dyDescent="0.35">
      <c r="A722" s="85">
        <v>46226</v>
      </c>
      <c r="B722" s="51" t="s">
        <v>85</v>
      </c>
      <c r="C722" s="97">
        <v>61123995.678571403</v>
      </c>
      <c r="D722" s="97">
        <v>87119.5</v>
      </c>
      <c r="E722" s="48" t="s">
        <v>86</v>
      </c>
      <c r="F722" s="94" t="s">
        <v>108</v>
      </c>
      <c r="G722" s="94" t="s">
        <v>661</v>
      </c>
      <c r="H722" s="94" t="s">
        <v>112</v>
      </c>
      <c r="I722" s="94" t="s">
        <v>664</v>
      </c>
      <c r="J722" s="52">
        <v>20</v>
      </c>
      <c r="K722" s="52">
        <v>20</v>
      </c>
      <c r="L722" s="52">
        <v>20</v>
      </c>
      <c r="M722" s="52"/>
      <c r="N722" s="104">
        <f t="shared" si="155"/>
        <v>40</v>
      </c>
      <c r="O722" s="52"/>
      <c r="P722" s="52"/>
      <c r="Q722" s="52"/>
      <c r="R722" s="104">
        <f t="shared" si="152"/>
        <v>0</v>
      </c>
      <c r="S722" s="86">
        <f t="shared" si="156"/>
        <v>60</v>
      </c>
      <c r="AB722" s="111"/>
      <c r="AC722" s="111"/>
      <c r="AD722" s="111"/>
      <c r="AE722" s="112"/>
      <c r="AF722" s="113"/>
      <c r="AG722" s="49"/>
      <c r="AH722" s="49"/>
      <c r="AI722" s="112"/>
      <c r="AJ722" s="91"/>
      <c r="AK722" s="114"/>
      <c r="AL722" s="112"/>
      <c r="AP722" s="7"/>
    </row>
    <row r="723" spans="1:42" x14ac:dyDescent="0.35">
      <c r="A723" s="85">
        <v>46226</v>
      </c>
      <c r="B723" s="51" t="s">
        <v>85</v>
      </c>
      <c r="C723" s="97">
        <v>61123995.678571403</v>
      </c>
      <c r="D723" s="97">
        <v>87119.5</v>
      </c>
      <c r="E723" s="48" t="s">
        <v>86</v>
      </c>
      <c r="F723" s="94" t="s">
        <v>108</v>
      </c>
      <c r="G723" s="94" t="s">
        <v>662</v>
      </c>
      <c r="H723" s="94" t="s">
        <v>112</v>
      </c>
      <c r="I723" s="94" t="s">
        <v>664</v>
      </c>
      <c r="J723" s="52">
        <v>10</v>
      </c>
      <c r="K723" s="52">
        <v>6</v>
      </c>
      <c r="L723" s="52">
        <v>6</v>
      </c>
      <c r="M723" s="52"/>
      <c r="N723" s="104">
        <f t="shared" si="155"/>
        <v>12</v>
      </c>
      <c r="O723" s="52"/>
      <c r="P723" s="52"/>
      <c r="Q723" s="52"/>
      <c r="R723" s="104">
        <f t="shared" si="152"/>
        <v>0</v>
      </c>
      <c r="S723" s="86">
        <f t="shared" si="156"/>
        <v>22</v>
      </c>
      <c r="AB723" s="111"/>
      <c r="AC723" s="111"/>
      <c r="AD723" s="111"/>
      <c r="AE723" s="112"/>
      <c r="AF723" s="113"/>
      <c r="AG723" s="49"/>
      <c r="AH723" s="49"/>
      <c r="AI723" s="112"/>
      <c r="AJ723" s="91"/>
      <c r="AK723" s="114"/>
      <c r="AL723" s="112"/>
      <c r="AP723" s="7"/>
    </row>
    <row r="724" spans="1:42" x14ac:dyDescent="0.35">
      <c r="A724" s="85">
        <v>46226</v>
      </c>
      <c r="B724" s="51" t="s">
        <v>85</v>
      </c>
      <c r="C724" s="97">
        <v>61123995.678571403</v>
      </c>
      <c r="D724" s="97">
        <v>87119.5</v>
      </c>
      <c r="E724" s="48" t="s">
        <v>86</v>
      </c>
      <c r="F724" s="94" t="s">
        <v>108</v>
      </c>
      <c r="G724" s="94" t="s">
        <v>183</v>
      </c>
      <c r="H724" s="94" t="s">
        <v>112</v>
      </c>
      <c r="I724" s="94" t="s">
        <v>664</v>
      </c>
      <c r="J724" s="52">
        <v>15</v>
      </c>
      <c r="K724" s="52"/>
      <c r="L724" s="52"/>
      <c r="M724" s="52"/>
      <c r="N724" s="104">
        <f t="shared" si="155"/>
        <v>0</v>
      </c>
      <c r="O724" s="52"/>
      <c r="P724" s="52"/>
      <c r="Q724" s="52"/>
      <c r="R724" s="104">
        <f t="shared" si="152"/>
        <v>0</v>
      </c>
      <c r="S724" s="86">
        <f t="shared" si="156"/>
        <v>15</v>
      </c>
      <c r="AB724" s="111"/>
      <c r="AC724" s="111"/>
      <c r="AD724" s="111"/>
      <c r="AE724" s="112"/>
      <c r="AF724" s="113"/>
      <c r="AG724" s="49"/>
      <c r="AH724" s="49"/>
      <c r="AI724" s="112"/>
      <c r="AJ724" s="91"/>
      <c r="AK724" s="114"/>
      <c r="AL724" s="112"/>
      <c r="AP724" s="7"/>
    </row>
    <row r="725" spans="1:42" x14ac:dyDescent="0.35">
      <c r="A725" s="85">
        <v>46226</v>
      </c>
      <c r="B725" s="51" t="s">
        <v>85</v>
      </c>
      <c r="C725" s="97">
        <v>61123995.678571403</v>
      </c>
      <c r="D725" s="97">
        <v>87119.5</v>
      </c>
      <c r="E725" s="48" t="s">
        <v>86</v>
      </c>
      <c r="F725" s="94" t="s">
        <v>108</v>
      </c>
      <c r="G725" s="94" t="s">
        <v>663</v>
      </c>
      <c r="H725" s="94" t="s">
        <v>112</v>
      </c>
      <c r="I725" s="94" t="s">
        <v>664</v>
      </c>
      <c r="J725" s="52">
        <v>40</v>
      </c>
      <c r="K725" s="52"/>
      <c r="L725" s="52"/>
      <c r="M725" s="52"/>
      <c r="N725" s="104">
        <f t="shared" si="155"/>
        <v>0</v>
      </c>
      <c r="O725" s="52"/>
      <c r="P725" s="52"/>
      <c r="Q725" s="52"/>
      <c r="R725" s="104">
        <f t="shared" si="152"/>
        <v>0</v>
      </c>
      <c r="S725" s="86">
        <f t="shared" si="156"/>
        <v>40</v>
      </c>
      <c r="AB725" s="111"/>
      <c r="AC725" s="111"/>
      <c r="AD725" s="111"/>
      <c r="AE725" s="112"/>
      <c r="AF725" s="113"/>
      <c r="AG725" s="49"/>
      <c r="AH725" s="49"/>
      <c r="AI725" s="112"/>
      <c r="AJ725" s="91"/>
      <c r="AK725" s="114"/>
      <c r="AL725" s="112"/>
      <c r="AP725" s="7"/>
    </row>
    <row r="726" spans="1:42" x14ac:dyDescent="0.35">
      <c r="A726" s="85">
        <v>46226</v>
      </c>
      <c r="B726" s="51" t="s">
        <v>85</v>
      </c>
      <c r="C726" s="97">
        <v>61123995.678571403</v>
      </c>
      <c r="D726" s="97">
        <v>87119.5</v>
      </c>
      <c r="E726" s="48" t="s">
        <v>86</v>
      </c>
      <c r="F726" s="94" t="s">
        <v>108</v>
      </c>
      <c r="G726" s="94" t="s">
        <v>187</v>
      </c>
      <c r="H726" s="94" t="s">
        <v>127</v>
      </c>
      <c r="I726" s="94" t="s">
        <v>434</v>
      </c>
      <c r="J726" s="52">
        <v>40</v>
      </c>
      <c r="K726" s="52"/>
      <c r="L726" s="52"/>
      <c r="M726" s="52"/>
      <c r="N726" s="104">
        <f t="shared" si="155"/>
        <v>0</v>
      </c>
      <c r="O726" s="52">
        <v>20</v>
      </c>
      <c r="P726" s="52">
        <v>10</v>
      </c>
      <c r="Q726" s="52">
        <v>10</v>
      </c>
      <c r="R726" s="104">
        <f t="shared" si="152"/>
        <v>40</v>
      </c>
      <c r="S726" s="86">
        <f t="shared" si="156"/>
        <v>80</v>
      </c>
      <c r="AB726" s="111"/>
      <c r="AC726" s="111"/>
      <c r="AD726" s="111"/>
      <c r="AE726" s="112"/>
      <c r="AF726" s="113"/>
      <c r="AG726" s="49"/>
      <c r="AH726" s="49"/>
      <c r="AI726" s="112"/>
      <c r="AJ726" s="91"/>
      <c r="AK726" s="114"/>
      <c r="AL726" s="112"/>
      <c r="AP726" s="7"/>
    </row>
    <row r="727" spans="1:42" x14ac:dyDescent="0.35">
      <c r="A727" s="85">
        <v>46226</v>
      </c>
      <c r="B727" s="51" t="s">
        <v>85</v>
      </c>
      <c r="C727" s="97">
        <v>61123995.678571403</v>
      </c>
      <c r="D727" s="97">
        <v>87119.5</v>
      </c>
      <c r="E727" s="48" t="s">
        <v>86</v>
      </c>
      <c r="F727" s="94" t="s">
        <v>108</v>
      </c>
      <c r="G727" s="94" t="s">
        <v>665</v>
      </c>
      <c r="H727" s="94" t="s">
        <v>127</v>
      </c>
      <c r="I727" s="94" t="s">
        <v>434</v>
      </c>
      <c r="J727" s="52">
        <v>80</v>
      </c>
      <c r="K727" s="52">
        <v>40</v>
      </c>
      <c r="L727" s="52">
        <v>40</v>
      </c>
      <c r="M727" s="52"/>
      <c r="N727" s="104">
        <f t="shared" si="155"/>
        <v>80</v>
      </c>
      <c r="O727" s="52"/>
      <c r="P727" s="52"/>
      <c r="Q727" s="52"/>
      <c r="R727" s="104">
        <f t="shared" si="152"/>
        <v>0</v>
      </c>
      <c r="S727" s="86">
        <f t="shared" si="156"/>
        <v>160</v>
      </c>
      <c r="AB727" s="111"/>
      <c r="AC727" s="111"/>
      <c r="AD727" s="111"/>
      <c r="AE727" s="112"/>
      <c r="AF727" s="113"/>
      <c r="AG727" s="49"/>
      <c r="AH727" s="49"/>
      <c r="AI727" s="112"/>
      <c r="AJ727" s="91"/>
      <c r="AK727" s="114"/>
      <c r="AL727" s="112"/>
      <c r="AP727" s="7"/>
    </row>
    <row r="728" spans="1:42" x14ac:dyDescent="0.35">
      <c r="A728" s="85">
        <v>46226</v>
      </c>
      <c r="B728" s="51" t="s">
        <v>85</v>
      </c>
      <c r="C728" s="97">
        <v>61123995.678571403</v>
      </c>
      <c r="D728" s="97">
        <v>87119.5</v>
      </c>
      <c r="E728" s="48" t="s">
        <v>86</v>
      </c>
      <c r="F728" s="94" t="s">
        <v>108</v>
      </c>
      <c r="G728" s="94" t="s">
        <v>666</v>
      </c>
      <c r="H728" s="94" t="s">
        <v>127</v>
      </c>
      <c r="I728" s="94" t="s">
        <v>434</v>
      </c>
      <c r="J728" s="52">
        <v>40</v>
      </c>
      <c r="K728" s="52"/>
      <c r="L728" s="52"/>
      <c r="M728" s="52"/>
      <c r="N728" s="104">
        <f t="shared" si="155"/>
        <v>0</v>
      </c>
      <c r="O728" s="52">
        <v>80</v>
      </c>
      <c r="P728" s="52">
        <v>80</v>
      </c>
      <c r="Q728" s="52">
        <v>120</v>
      </c>
      <c r="R728" s="104">
        <f t="shared" si="152"/>
        <v>280</v>
      </c>
      <c r="S728" s="86">
        <f t="shared" si="156"/>
        <v>320</v>
      </c>
      <c r="AB728" s="111"/>
      <c r="AC728" s="111"/>
      <c r="AD728" s="111"/>
      <c r="AE728" s="112"/>
      <c r="AF728" s="113"/>
      <c r="AG728" s="49"/>
      <c r="AH728" s="49"/>
      <c r="AI728" s="112"/>
      <c r="AJ728" s="91"/>
      <c r="AK728" s="114"/>
      <c r="AL728" s="112"/>
      <c r="AP728" s="7"/>
    </row>
    <row r="729" spans="1:42" x14ac:dyDescent="0.35">
      <c r="A729" s="85">
        <v>46226</v>
      </c>
      <c r="B729" s="51" t="s">
        <v>85</v>
      </c>
      <c r="C729" s="97">
        <v>61123995.678571403</v>
      </c>
      <c r="D729" s="97">
        <v>87119.5</v>
      </c>
      <c r="E729" s="48" t="s">
        <v>86</v>
      </c>
      <c r="F729" s="94" t="s">
        <v>108</v>
      </c>
      <c r="G729" s="94" t="s">
        <v>667</v>
      </c>
      <c r="H729" s="94" t="s">
        <v>127</v>
      </c>
      <c r="I729" s="94" t="s">
        <v>434</v>
      </c>
      <c r="J729" s="52">
        <v>80</v>
      </c>
      <c r="K729" s="52">
        <v>40</v>
      </c>
      <c r="L729" s="52">
        <v>40</v>
      </c>
      <c r="M729" s="52"/>
      <c r="N729" s="104">
        <f t="shared" si="155"/>
        <v>80</v>
      </c>
      <c r="O729" s="52">
        <v>40</v>
      </c>
      <c r="P729" s="52">
        <v>40</v>
      </c>
      <c r="Q729" s="52">
        <v>40</v>
      </c>
      <c r="R729" s="104">
        <f t="shared" si="152"/>
        <v>120</v>
      </c>
      <c r="S729" s="86">
        <f t="shared" si="156"/>
        <v>280</v>
      </c>
      <c r="AB729" s="111"/>
      <c r="AC729" s="111"/>
      <c r="AD729" s="111"/>
      <c r="AE729" s="112"/>
      <c r="AF729" s="113"/>
      <c r="AG729" s="49"/>
      <c r="AH729" s="49"/>
      <c r="AI729" s="112"/>
      <c r="AJ729" s="91"/>
      <c r="AK729" s="114"/>
      <c r="AL729" s="112"/>
      <c r="AP729" s="7"/>
    </row>
    <row r="730" spans="1:42" x14ac:dyDescent="0.35">
      <c r="A730" s="85">
        <v>46226</v>
      </c>
      <c r="B730" s="51" t="s">
        <v>85</v>
      </c>
      <c r="C730" s="97">
        <v>61123995.678571403</v>
      </c>
      <c r="D730" s="97">
        <v>87119.5</v>
      </c>
      <c r="E730" s="48" t="s">
        <v>86</v>
      </c>
      <c r="F730" s="94" t="s">
        <v>108</v>
      </c>
      <c r="G730" s="94" t="s">
        <v>210</v>
      </c>
      <c r="H730" s="94" t="s">
        <v>127</v>
      </c>
      <c r="I730" s="94" t="s">
        <v>434</v>
      </c>
      <c r="J730" s="52">
        <v>40</v>
      </c>
      <c r="K730" s="52"/>
      <c r="L730" s="52"/>
      <c r="M730" s="52"/>
      <c r="N730" s="104">
        <f t="shared" si="155"/>
        <v>0</v>
      </c>
      <c r="O730" s="52">
        <v>15</v>
      </c>
      <c r="P730" s="52">
        <v>15</v>
      </c>
      <c r="Q730" s="52">
        <v>10</v>
      </c>
      <c r="R730" s="104">
        <f t="shared" si="152"/>
        <v>40</v>
      </c>
      <c r="S730" s="86">
        <f t="shared" si="156"/>
        <v>80</v>
      </c>
      <c r="AB730" s="111"/>
      <c r="AC730" s="111"/>
      <c r="AD730" s="111"/>
      <c r="AE730" s="112"/>
      <c r="AF730" s="113"/>
      <c r="AG730" s="49"/>
      <c r="AH730" s="49"/>
      <c r="AI730" s="112"/>
      <c r="AJ730" s="91"/>
      <c r="AK730" s="114"/>
      <c r="AL730" s="112"/>
      <c r="AP730" s="7"/>
    </row>
    <row r="731" spans="1:42" x14ac:dyDescent="0.35">
      <c r="A731" s="85">
        <v>46227</v>
      </c>
      <c r="B731" s="51" t="s">
        <v>85</v>
      </c>
      <c r="C731" s="97">
        <v>61123995.678571403</v>
      </c>
      <c r="D731" s="97">
        <v>87119.5</v>
      </c>
      <c r="E731" s="48" t="s">
        <v>86</v>
      </c>
      <c r="F731" s="94" t="s">
        <v>108</v>
      </c>
      <c r="G731" s="94" t="s">
        <v>668</v>
      </c>
      <c r="H731" s="94" t="s">
        <v>89</v>
      </c>
      <c r="I731" s="94" t="s">
        <v>670</v>
      </c>
      <c r="J731" s="52"/>
      <c r="K731" s="52">
        <v>80</v>
      </c>
      <c r="L731" s="52">
        <v>80</v>
      </c>
      <c r="M731" s="52"/>
      <c r="N731" s="104">
        <f t="shared" si="155"/>
        <v>160</v>
      </c>
      <c r="O731" s="52">
        <v>80</v>
      </c>
      <c r="P731" s="52">
        <v>80</v>
      </c>
      <c r="Q731" s="52">
        <v>80</v>
      </c>
      <c r="R731" s="104">
        <f t="shared" si="152"/>
        <v>240</v>
      </c>
      <c r="S731" s="86">
        <f t="shared" si="156"/>
        <v>400</v>
      </c>
      <c r="AB731" s="111"/>
      <c r="AC731" s="111"/>
      <c r="AD731" s="111"/>
      <c r="AE731" s="112"/>
      <c r="AF731" s="113"/>
      <c r="AG731" s="49"/>
      <c r="AH731" s="49"/>
      <c r="AI731" s="112"/>
      <c r="AJ731" s="91"/>
      <c r="AK731" s="114"/>
      <c r="AL731" s="112"/>
      <c r="AP731" s="7"/>
    </row>
    <row r="732" spans="1:42" x14ac:dyDescent="0.35">
      <c r="A732" s="85">
        <v>46227</v>
      </c>
      <c r="B732" s="51" t="s">
        <v>85</v>
      </c>
      <c r="C732" s="97">
        <v>61123995.678571403</v>
      </c>
      <c r="D732" s="97">
        <v>87119.5</v>
      </c>
      <c r="E732" s="48" t="s">
        <v>86</v>
      </c>
      <c r="F732" s="94" t="s">
        <v>108</v>
      </c>
      <c r="G732" s="94" t="s">
        <v>659</v>
      </c>
      <c r="H732" s="94" t="s">
        <v>89</v>
      </c>
      <c r="I732" s="94" t="s">
        <v>671</v>
      </c>
      <c r="J732" s="52"/>
      <c r="K732" s="52">
        <v>200</v>
      </c>
      <c r="L732" s="52">
        <v>200</v>
      </c>
      <c r="M732" s="52"/>
      <c r="N732" s="104">
        <f t="shared" si="155"/>
        <v>400</v>
      </c>
      <c r="O732" s="52">
        <v>200</v>
      </c>
      <c r="P732" s="52">
        <v>200</v>
      </c>
      <c r="Q732" s="52">
        <v>200</v>
      </c>
      <c r="R732" s="104">
        <f t="shared" si="152"/>
        <v>600</v>
      </c>
      <c r="S732" s="86">
        <f t="shared" si="156"/>
        <v>1000</v>
      </c>
      <c r="AB732" s="111"/>
      <c r="AC732" s="111"/>
      <c r="AD732" s="111"/>
      <c r="AE732" s="112"/>
      <c r="AF732" s="113"/>
      <c r="AG732" s="49"/>
      <c r="AH732" s="49"/>
      <c r="AI732" s="112"/>
      <c r="AJ732" s="91"/>
      <c r="AK732" s="114"/>
      <c r="AL732" s="112"/>
      <c r="AP732" s="7"/>
    </row>
    <row r="733" spans="1:42" x14ac:dyDescent="0.35">
      <c r="A733" s="85">
        <v>46227</v>
      </c>
      <c r="B733" s="51" t="s">
        <v>85</v>
      </c>
      <c r="C733" s="97">
        <v>61123995.678571403</v>
      </c>
      <c r="D733" s="97">
        <v>87119.5</v>
      </c>
      <c r="E733" s="48" t="s">
        <v>86</v>
      </c>
      <c r="F733" s="94" t="s">
        <v>108</v>
      </c>
      <c r="G733" s="94" t="s">
        <v>531</v>
      </c>
      <c r="H733" s="94" t="s">
        <v>89</v>
      </c>
      <c r="I733" s="94" t="s">
        <v>672</v>
      </c>
      <c r="J733" s="52"/>
      <c r="K733" s="52">
        <v>80</v>
      </c>
      <c r="L733" s="52">
        <v>160</v>
      </c>
      <c r="M733" s="52"/>
      <c r="N733" s="104">
        <f t="shared" si="155"/>
        <v>240</v>
      </c>
      <c r="O733" s="52">
        <v>40</v>
      </c>
      <c r="P733" s="52">
        <v>40</v>
      </c>
      <c r="Q733" s="52">
        <v>40</v>
      </c>
      <c r="R733" s="104">
        <f t="shared" si="152"/>
        <v>120</v>
      </c>
      <c r="S733" s="86">
        <f t="shared" si="156"/>
        <v>360</v>
      </c>
      <c r="AB733" s="111"/>
      <c r="AC733" s="111"/>
      <c r="AD733" s="111"/>
      <c r="AE733" s="112"/>
      <c r="AF733" s="113"/>
      <c r="AG733" s="49"/>
      <c r="AH733" s="49"/>
      <c r="AI733" s="112"/>
      <c r="AJ733" s="91"/>
      <c r="AK733" s="114"/>
      <c r="AL733" s="112"/>
      <c r="AP733" s="7"/>
    </row>
    <row r="734" spans="1:42" x14ac:dyDescent="0.35">
      <c r="A734" s="85">
        <v>46227</v>
      </c>
      <c r="B734" s="51" t="s">
        <v>85</v>
      </c>
      <c r="C734" s="97">
        <v>61123995.678571403</v>
      </c>
      <c r="D734" s="97">
        <v>87119.5</v>
      </c>
      <c r="E734" s="48" t="s">
        <v>86</v>
      </c>
      <c r="F734" s="94" t="s">
        <v>108</v>
      </c>
      <c r="G734" s="94" t="s">
        <v>669</v>
      </c>
      <c r="H734" s="94" t="s">
        <v>89</v>
      </c>
      <c r="I734" s="94" t="s">
        <v>447</v>
      </c>
      <c r="J734" s="52"/>
      <c r="K734" s="52">
        <v>40</v>
      </c>
      <c r="L734" s="52">
        <v>40</v>
      </c>
      <c r="M734" s="52"/>
      <c r="N734" s="104">
        <f t="shared" si="155"/>
        <v>80</v>
      </c>
      <c r="O734" s="52">
        <v>40</v>
      </c>
      <c r="P734" s="52">
        <v>40</v>
      </c>
      <c r="Q734" s="52">
        <v>40</v>
      </c>
      <c r="R734" s="104">
        <f t="shared" si="152"/>
        <v>120</v>
      </c>
      <c r="S734" s="86">
        <f t="shared" si="156"/>
        <v>200</v>
      </c>
      <c r="AB734" s="111"/>
      <c r="AC734" s="111"/>
      <c r="AD734" s="111"/>
      <c r="AE734" s="112"/>
      <c r="AF734" s="113"/>
      <c r="AG734" s="49"/>
      <c r="AH734" s="49"/>
      <c r="AI734" s="112"/>
      <c r="AJ734" s="91"/>
      <c r="AK734" s="114"/>
      <c r="AL734" s="112"/>
      <c r="AP734" s="7"/>
    </row>
    <row r="735" spans="1:42" x14ac:dyDescent="0.35">
      <c r="A735" s="85">
        <v>46227</v>
      </c>
      <c r="B735" s="51" t="s">
        <v>85</v>
      </c>
      <c r="C735" s="97">
        <v>61123995.678571403</v>
      </c>
      <c r="D735" s="97">
        <v>87119.5</v>
      </c>
      <c r="E735" s="48" t="s">
        <v>86</v>
      </c>
      <c r="F735" s="94" t="s">
        <v>108</v>
      </c>
      <c r="G735" s="94"/>
      <c r="H735" s="94"/>
      <c r="I735" s="94"/>
      <c r="J735" s="52"/>
      <c r="K735" s="52"/>
      <c r="L735" s="52"/>
      <c r="M735" s="52"/>
      <c r="N735" s="104">
        <f t="shared" si="155"/>
        <v>0</v>
      </c>
      <c r="O735" s="52"/>
      <c r="P735" s="52"/>
      <c r="Q735" s="52"/>
      <c r="R735" s="104">
        <f t="shared" si="152"/>
        <v>0</v>
      </c>
      <c r="S735" s="86">
        <f t="shared" si="156"/>
        <v>0</v>
      </c>
      <c r="AB735" s="111"/>
      <c r="AC735" s="111"/>
      <c r="AD735" s="111"/>
      <c r="AE735" s="112"/>
      <c r="AF735" s="113"/>
      <c r="AG735" s="49"/>
      <c r="AH735" s="49"/>
      <c r="AI735" s="112"/>
      <c r="AJ735" s="91"/>
      <c r="AK735" s="114"/>
      <c r="AL735" s="112"/>
      <c r="AP735" s="7"/>
    </row>
    <row r="736" spans="1:42" x14ac:dyDescent="0.35">
      <c r="A736" s="85">
        <v>46227</v>
      </c>
      <c r="B736" s="51" t="s">
        <v>85</v>
      </c>
      <c r="C736" s="97">
        <v>61123995.678571403</v>
      </c>
      <c r="D736" s="97">
        <v>87119.5</v>
      </c>
      <c r="E736" s="48" t="s">
        <v>86</v>
      </c>
      <c r="F736" s="94" t="s">
        <v>108</v>
      </c>
      <c r="G736" s="94"/>
      <c r="H736" s="94"/>
      <c r="I736" s="94"/>
      <c r="J736" s="52"/>
      <c r="K736" s="52"/>
      <c r="L736" s="52"/>
      <c r="M736" s="52"/>
      <c r="N736" s="104">
        <f t="shared" si="155"/>
        <v>0</v>
      </c>
      <c r="O736" s="52"/>
      <c r="P736" s="52"/>
      <c r="Q736" s="52"/>
      <c r="R736" s="104">
        <f t="shared" si="152"/>
        <v>0</v>
      </c>
      <c r="S736" s="86">
        <f t="shared" si="156"/>
        <v>0</v>
      </c>
      <c r="AB736" s="111"/>
      <c r="AC736" s="111"/>
      <c r="AD736" s="111"/>
      <c r="AE736" s="112"/>
      <c r="AF736" s="113"/>
      <c r="AG736" s="49"/>
      <c r="AH736" s="49"/>
      <c r="AI736" s="112"/>
      <c r="AJ736" s="91"/>
      <c r="AK736" s="114"/>
      <c r="AL736" s="112"/>
      <c r="AP736" s="7"/>
    </row>
    <row r="737" spans="1:42" x14ac:dyDescent="0.35">
      <c r="A737" s="85">
        <v>46227</v>
      </c>
      <c r="B737" s="51" t="s">
        <v>85</v>
      </c>
      <c r="C737" s="97">
        <v>61123995.678571403</v>
      </c>
      <c r="D737" s="97">
        <v>87119.5</v>
      </c>
      <c r="E737" s="48" t="s">
        <v>86</v>
      </c>
      <c r="F737" s="94" t="s">
        <v>108</v>
      </c>
      <c r="G737" s="94"/>
      <c r="H737" s="94"/>
      <c r="I737" s="94"/>
      <c r="J737" s="52"/>
      <c r="K737" s="52"/>
      <c r="L737" s="52"/>
      <c r="M737" s="52"/>
      <c r="N737" s="103"/>
      <c r="O737" s="52"/>
      <c r="P737" s="52"/>
      <c r="Q737" s="52"/>
      <c r="R737" s="104">
        <f t="shared" si="152"/>
        <v>0</v>
      </c>
      <c r="S737" s="86">
        <f t="shared" si="156"/>
        <v>0</v>
      </c>
      <c r="AB737" s="111"/>
      <c r="AC737" s="111"/>
      <c r="AD737" s="111"/>
      <c r="AE737" s="112"/>
      <c r="AF737" s="113"/>
      <c r="AG737" s="49"/>
      <c r="AH737" s="49"/>
      <c r="AI737" s="112"/>
      <c r="AJ737" s="91"/>
      <c r="AK737" s="114"/>
      <c r="AL737" s="112"/>
      <c r="AP737" s="7"/>
    </row>
    <row r="738" spans="1:42" x14ac:dyDescent="0.35">
      <c r="A738" s="85">
        <v>46227</v>
      </c>
      <c r="B738" s="51" t="s">
        <v>85</v>
      </c>
      <c r="C738" s="97">
        <v>61123995.678571403</v>
      </c>
      <c r="D738" s="97">
        <v>87119.5</v>
      </c>
      <c r="E738" s="48" t="s">
        <v>86</v>
      </c>
      <c r="F738" s="94" t="s">
        <v>108</v>
      </c>
      <c r="G738" s="94"/>
      <c r="H738" s="94"/>
      <c r="I738" s="94"/>
      <c r="J738" s="52"/>
      <c r="K738" s="52"/>
      <c r="L738" s="52"/>
      <c r="M738" s="52"/>
      <c r="N738" s="103"/>
      <c r="O738" s="52"/>
      <c r="P738" s="52"/>
      <c r="Q738" s="52"/>
      <c r="R738" s="104">
        <f t="shared" si="152"/>
        <v>0</v>
      </c>
      <c r="S738" s="86">
        <f t="shared" si="156"/>
        <v>0</v>
      </c>
      <c r="AB738" s="111"/>
      <c r="AC738" s="111"/>
      <c r="AD738" s="111"/>
      <c r="AE738" s="112"/>
      <c r="AF738" s="113"/>
      <c r="AG738" s="49"/>
      <c r="AH738" s="49"/>
      <c r="AI738" s="112"/>
      <c r="AJ738" s="91"/>
      <c r="AK738" s="114"/>
      <c r="AL738" s="112"/>
      <c r="AP738" s="7"/>
    </row>
    <row r="739" spans="1:42" x14ac:dyDescent="0.35">
      <c r="A739" s="85">
        <v>46227</v>
      </c>
      <c r="B739" s="51" t="s">
        <v>85</v>
      </c>
      <c r="C739" s="97">
        <v>61123995.678571403</v>
      </c>
      <c r="D739" s="97">
        <v>87119.5</v>
      </c>
      <c r="E739" s="48" t="s">
        <v>86</v>
      </c>
      <c r="F739" s="94" t="s">
        <v>108</v>
      </c>
      <c r="G739" s="94"/>
      <c r="H739" s="94"/>
      <c r="I739" s="94"/>
      <c r="J739" s="52"/>
      <c r="K739" s="52"/>
      <c r="L739" s="52"/>
      <c r="M739" s="52"/>
      <c r="N739" s="103"/>
      <c r="O739" s="52"/>
      <c r="P739" s="52"/>
      <c r="Q739" s="52"/>
      <c r="R739" s="104">
        <f t="shared" si="152"/>
        <v>0</v>
      </c>
      <c r="S739" s="86">
        <f t="shared" si="156"/>
        <v>0</v>
      </c>
      <c r="AB739" s="111"/>
      <c r="AC739" s="111"/>
      <c r="AD739" s="111"/>
      <c r="AE739" s="112"/>
      <c r="AF739" s="113"/>
      <c r="AG739" s="49"/>
      <c r="AH739" s="49"/>
      <c r="AI739" s="112"/>
      <c r="AJ739" s="91"/>
      <c r="AK739" s="114"/>
      <c r="AL739" s="112"/>
      <c r="AP739" s="7"/>
    </row>
    <row r="740" spans="1:42" x14ac:dyDescent="0.35">
      <c r="A740" s="85">
        <v>46227</v>
      </c>
      <c r="B740" s="51" t="s">
        <v>85</v>
      </c>
      <c r="C740" s="97">
        <v>61123995.678571403</v>
      </c>
      <c r="D740" s="97">
        <v>87119.5</v>
      </c>
      <c r="E740" s="48" t="s">
        <v>86</v>
      </c>
      <c r="F740" s="94" t="s">
        <v>108</v>
      </c>
      <c r="G740" s="94"/>
      <c r="H740" s="94"/>
      <c r="I740" s="94"/>
      <c r="J740" s="52"/>
      <c r="K740" s="52"/>
      <c r="L740" s="52"/>
      <c r="M740" s="52"/>
      <c r="N740" s="103"/>
      <c r="O740" s="52"/>
      <c r="P740" s="52"/>
      <c r="Q740" s="52"/>
      <c r="R740" s="104">
        <f t="shared" si="152"/>
        <v>0</v>
      </c>
      <c r="S740" s="86">
        <f t="shared" si="156"/>
        <v>0</v>
      </c>
      <c r="AB740" s="111"/>
      <c r="AC740" s="111"/>
      <c r="AD740" s="111"/>
      <c r="AE740" s="112"/>
      <c r="AF740" s="113"/>
      <c r="AG740" s="49"/>
      <c r="AH740" s="49"/>
      <c r="AI740" s="112"/>
      <c r="AJ740" s="91"/>
      <c r="AK740" s="114"/>
      <c r="AL740" s="112"/>
      <c r="AP740" s="7"/>
    </row>
    <row r="741" spans="1:42" x14ac:dyDescent="0.35">
      <c r="A741" s="85">
        <v>46224</v>
      </c>
      <c r="B741" s="51" t="s">
        <v>85</v>
      </c>
      <c r="C741" s="97">
        <v>61123995.678571403</v>
      </c>
      <c r="D741" s="97">
        <v>87119.5</v>
      </c>
      <c r="E741" s="48" t="s">
        <v>86</v>
      </c>
      <c r="F741" s="94" t="s">
        <v>108</v>
      </c>
      <c r="G741" s="94"/>
      <c r="H741" s="94"/>
      <c r="I741" s="94"/>
      <c r="J741" s="52"/>
      <c r="K741" s="52"/>
      <c r="L741" s="52"/>
      <c r="M741" s="52"/>
      <c r="N741" s="103"/>
      <c r="O741" s="52"/>
      <c r="P741" s="52"/>
      <c r="Q741" s="52"/>
      <c r="R741" s="104">
        <f t="shared" si="152"/>
        <v>0</v>
      </c>
      <c r="S741" s="86">
        <f t="shared" si="156"/>
        <v>0</v>
      </c>
      <c r="AB741" s="111"/>
      <c r="AC741" s="111"/>
      <c r="AD741" s="111"/>
      <c r="AE741" s="112"/>
      <c r="AF741" s="113"/>
      <c r="AG741" s="49"/>
      <c r="AH741" s="49"/>
      <c r="AI741" s="112"/>
      <c r="AJ741" s="91"/>
      <c r="AK741" s="114"/>
      <c r="AL741" s="112"/>
      <c r="AP741" s="7"/>
    </row>
    <row r="742" spans="1:42" x14ac:dyDescent="0.35">
      <c r="A742" s="85">
        <v>46224</v>
      </c>
      <c r="B742" s="51" t="s">
        <v>85</v>
      </c>
      <c r="C742" s="97">
        <v>61123995.678571403</v>
      </c>
      <c r="D742" s="97">
        <v>87119.5</v>
      </c>
      <c r="E742" s="48" t="s">
        <v>86</v>
      </c>
      <c r="F742" s="94" t="s">
        <v>108</v>
      </c>
      <c r="G742" s="94"/>
      <c r="H742" s="94"/>
      <c r="I742" s="94"/>
      <c r="J742" s="52"/>
      <c r="K742" s="52"/>
      <c r="L742" s="52"/>
      <c r="M742" s="52"/>
      <c r="N742" s="103"/>
      <c r="O742" s="52"/>
      <c r="P742" s="52"/>
      <c r="Q742" s="52"/>
      <c r="R742" s="104">
        <f t="shared" si="152"/>
        <v>0</v>
      </c>
      <c r="S742" s="86">
        <f t="shared" si="156"/>
        <v>0</v>
      </c>
      <c r="AB742" s="111"/>
      <c r="AC742" s="111"/>
      <c r="AD742" s="111"/>
      <c r="AE742" s="112"/>
      <c r="AF742" s="113"/>
      <c r="AG742" s="49"/>
      <c r="AH742" s="49"/>
      <c r="AI742" s="112"/>
      <c r="AJ742" s="91"/>
      <c r="AK742" s="114"/>
      <c r="AL742" s="112"/>
      <c r="AP742" s="7"/>
    </row>
    <row r="743" spans="1:42" x14ac:dyDescent="0.35">
      <c r="A743" s="85">
        <v>46224</v>
      </c>
      <c r="B743" s="51" t="s">
        <v>85</v>
      </c>
      <c r="C743" s="97">
        <v>61123995.678571403</v>
      </c>
      <c r="D743" s="97">
        <v>87119.5</v>
      </c>
      <c r="E743" s="48" t="s">
        <v>86</v>
      </c>
      <c r="F743" s="94" t="s">
        <v>108</v>
      </c>
      <c r="G743" s="94"/>
      <c r="H743" s="94"/>
      <c r="I743" s="94"/>
      <c r="J743" s="52"/>
      <c r="K743" s="52"/>
      <c r="L743" s="52"/>
      <c r="M743" s="52"/>
      <c r="N743" s="103"/>
      <c r="O743" s="52"/>
      <c r="P743" s="52"/>
      <c r="Q743" s="52"/>
      <c r="R743" s="103"/>
      <c r="S743" s="86">
        <f t="shared" si="156"/>
        <v>0</v>
      </c>
      <c r="AB743" s="111"/>
      <c r="AC743" s="111"/>
      <c r="AD743" s="111"/>
      <c r="AE743" s="112"/>
      <c r="AF743" s="113"/>
      <c r="AG743" s="49"/>
      <c r="AH743" s="49"/>
      <c r="AI743" s="112"/>
      <c r="AJ743" s="91"/>
      <c r="AK743" s="114"/>
      <c r="AL743" s="112"/>
      <c r="AP743" s="7"/>
    </row>
    <row r="744" spans="1:42" x14ac:dyDescent="0.35">
      <c r="A744" s="85">
        <v>46224</v>
      </c>
      <c r="B744" s="51" t="s">
        <v>85</v>
      </c>
      <c r="C744" s="97">
        <v>61123995.678571403</v>
      </c>
      <c r="D744" s="97">
        <v>87119.5</v>
      </c>
      <c r="E744" s="48" t="s">
        <v>86</v>
      </c>
      <c r="F744" s="94" t="s">
        <v>108</v>
      </c>
      <c r="G744" s="94"/>
      <c r="H744" s="94"/>
      <c r="I744" s="94"/>
      <c r="J744" s="52"/>
      <c r="K744" s="52"/>
      <c r="L744" s="52"/>
      <c r="M744" s="52"/>
      <c r="N744" s="103"/>
      <c r="O744" s="52"/>
      <c r="P744" s="52"/>
      <c r="Q744" s="52"/>
      <c r="R744" s="103"/>
      <c r="S744" s="86">
        <f t="shared" si="156"/>
        <v>0</v>
      </c>
      <c r="AB744" s="111"/>
      <c r="AC744" s="111"/>
      <c r="AD744" s="111"/>
      <c r="AE744" s="112"/>
      <c r="AF744" s="113"/>
      <c r="AG744" s="49"/>
      <c r="AH744" s="49"/>
      <c r="AI744" s="112"/>
      <c r="AJ744" s="91"/>
      <c r="AK744" s="114"/>
      <c r="AL744" s="112"/>
      <c r="AP744" s="7"/>
    </row>
    <row r="745" spans="1:42" x14ac:dyDescent="0.35">
      <c r="A745" s="85">
        <v>46224</v>
      </c>
      <c r="B745" s="51" t="s">
        <v>85</v>
      </c>
      <c r="C745" s="97">
        <v>61123995.678571403</v>
      </c>
      <c r="D745" s="97">
        <v>87119.5</v>
      </c>
      <c r="E745" s="48" t="s">
        <v>86</v>
      </c>
      <c r="F745" s="94" t="s">
        <v>108</v>
      </c>
      <c r="G745" s="94"/>
      <c r="H745" s="94"/>
      <c r="I745" s="94"/>
      <c r="J745" s="52"/>
      <c r="K745" s="52"/>
      <c r="L745" s="52"/>
      <c r="M745" s="52"/>
      <c r="N745" s="103"/>
      <c r="O745" s="52"/>
      <c r="P745" s="52"/>
      <c r="Q745" s="52"/>
      <c r="R745" s="103"/>
      <c r="S745" s="86">
        <f t="shared" si="156"/>
        <v>0</v>
      </c>
      <c r="AB745" s="111"/>
      <c r="AC745" s="111"/>
      <c r="AD745" s="111"/>
      <c r="AE745" s="112"/>
      <c r="AF745" s="113"/>
      <c r="AG745" s="49"/>
      <c r="AH745" s="49"/>
      <c r="AI745" s="112"/>
      <c r="AJ745" s="91"/>
      <c r="AK745" s="114"/>
      <c r="AL745" s="112"/>
      <c r="AP745" s="7"/>
    </row>
    <row r="746" spans="1:42" x14ac:dyDescent="0.35">
      <c r="A746" s="85">
        <v>46224</v>
      </c>
      <c r="B746" s="51" t="s">
        <v>85</v>
      </c>
      <c r="C746" s="97">
        <v>61123995.678571403</v>
      </c>
      <c r="D746" s="97">
        <v>87119.5</v>
      </c>
      <c r="E746" s="48" t="s">
        <v>86</v>
      </c>
      <c r="F746" s="94" t="s">
        <v>108</v>
      </c>
      <c r="G746" s="94"/>
      <c r="H746" s="94"/>
      <c r="I746" s="94"/>
      <c r="J746" s="52"/>
      <c r="K746" s="52"/>
      <c r="L746" s="52"/>
      <c r="M746" s="52"/>
      <c r="N746" s="103"/>
      <c r="O746" s="52"/>
      <c r="P746" s="52"/>
      <c r="Q746" s="52"/>
      <c r="R746" s="103"/>
      <c r="S746" s="86">
        <f t="shared" si="156"/>
        <v>0</v>
      </c>
      <c r="AB746" s="111"/>
      <c r="AC746" s="111"/>
      <c r="AD746" s="111"/>
      <c r="AE746" s="112"/>
      <c r="AF746" s="113"/>
      <c r="AG746" s="49"/>
      <c r="AH746" s="49"/>
      <c r="AI746" s="112"/>
      <c r="AJ746" s="91"/>
      <c r="AK746" s="114"/>
      <c r="AL746" s="112"/>
      <c r="AP746" s="7"/>
    </row>
    <row r="747" spans="1:42" x14ac:dyDescent="0.35">
      <c r="A747" s="85">
        <v>46224</v>
      </c>
      <c r="B747" s="51" t="s">
        <v>85</v>
      </c>
      <c r="C747" s="97">
        <v>61123995.678571403</v>
      </c>
      <c r="D747" s="97">
        <v>87119.5</v>
      </c>
      <c r="E747" s="48" t="s">
        <v>86</v>
      </c>
      <c r="F747" s="94" t="s">
        <v>108</v>
      </c>
      <c r="G747" s="94"/>
      <c r="H747" s="94"/>
      <c r="I747" s="94"/>
      <c r="J747" s="52"/>
      <c r="K747" s="52"/>
      <c r="L747" s="52"/>
      <c r="M747" s="52"/>
      <c r="N747" s="103"/>
      <c r="O747" s="52"/>
      <c r="P747" s="52"/>
      <c r="Q747" s="52"/>
      <c r="R747" s="103"/>
      <c r="S747" s="86">
        <f t="shared" si="156"/>
        <v>0</v>
      </c>
      <c r="AB747" s="111"/>
      <c r="AC747" s="111"/>
      <c r="AD747" s="111"/>
      <c r="AE747" s="112"/>
      <c r="AF747" s="113"/>
      <c r="AG747" s="49"/>
      <c r="AH747" s="49"/>
      <c r="AI747" s="112"/>
      <c r="AJ747" s="91"/>
      <c r="AK747" s="114"/>
      <c r="AL747" s="112"/>
      <c r="AP747" s="7"/>
    </row>
    <row r="748" spans="1:42" x14ac:dyDescent="0.35">
      <c r="A748" s="85">
        <v>46224</v>
      </c>
      <c r="B748" s="51" t="s">
        <v>85</v>
      </c>
      <c r="C748" s="97">
        <v>61123995.678571403</v>
      </c>
      <c r="D748" s="97">
        <v>87119.5</v>
      </c>
      <c r="E748" s="48" t="s">
        <v>86</v>
      </c>
      <c r="F748" s="94" t="s">
        <v>108</v>
      </c>
      <c r="G748" s="94"/>
      <c r="H748" s="94"/>
      <c r="I748" s="94"/>
      <c r="J748" s="52"/>
      <c r="K748" s="52"/>
      <c r="L748" s="52"/>
      <c r="M748" s="52"/>
      <c r="N748" s="103"/>
      <c r="O748" s="52"/>
      <c r="P748" s="52"/>
      <c r="Q748" s="52"/>
      <c r="R748" s="103"/>
      <c r="S748" s="86">
        <f t="shared" si="156"/>
        <v>0</v>
      </c>
      <c r="AB748" s="111"/>
      <c r="AC748" s="111"/>
      <c r="AD748" s="111"/>
      <c r="AE748" s="112"/>
      <c r="AF748" s="113"/>
      <c r="AG748" s="49"/>
      <c r="AH748" s="49"/>
      <c r="AI748" s="112"/>
      <c r="AJ748" s="91"/>
      <c r="AK748" s="114"/>
      <c r="AL748" s="112"/>
      <c r="AP748" s="7"/>
    </row>
    <row r="749" spans="1:42" x14ac:dyDescent="0.35">
      <c r="A749" s="85">
        <v>46224</v>
      </c>
      <c r="B749" s="51" t="s">
        <v>85</v>
      </c>
      <c r="C749" s="97">
        <v>61123995.678571403</v>
      </c>
      <c r="D749" s="97">
        <v>87119.5</v>
      </c>
      <c r="E749" s="48" t="s">
        <v>86</v>
      </c>
      <c r="F749" s="94" t="s">
        <v>108</v>
      </c>
      <c r="G749" s="94"/>
      <c r="H749" s="94"/>
      <c r="I749" s="94"/>
      <c r="J749" s="52"/>
      <c r="K749" s="52"/>
      <c r="L749" s="52"/>
      <c r="M749" s="52"/>
      <c r="N749" s="103"/>
      <c r="O749" s="52"/>
      <c r="P749" s="52"/>
      <c r="Q749" s="52"/>
      <c r="R749" s="103"/>
      <c r="S749" s="86">
        <f t="shared" si="156"/>
        <v>0</v>
      </c>
      <c r="AB749" s="111"/>
      <c r="AC749" s="111"/>
      <c r="AD749" s="111"/>
      <c r="AE749" s="112"/>
      <c r="AF749" s="113"/>
      <c r="AG749" s="49"/>
      <c r="AH749" s="49"/>
      <c r="AI749" s="112"/>
      <c r="AJ749" s="91"/>
      <c r="AK749" s="114"/>
      <c r="AL749" s="112"/>
      <c r="AP749" s="7"/>
    </row>
    <row r="750" spans="1:42" x14ac:dyDescent="0.35">
      <c r="A750" s="85">
        <v>46224</v>
      </c>
      <c r="B750" s="51" t="s">
        <v>85</v>
      </c>
      <c r="C750" s="97">
        <v>61123995.678571403</v>
      </c>
      <c r="D750" s="97">
        <v>87119.5</v>
      </c>
      <c r="E750" s="48" t="s">
        <v>86</v>
      </c>
      <c r="F750" s="94" t="s">
        <v>108</v>
      </c>
      <c r="G750" s="94"/>
      <c r="H750" s="94"/>
      <c r="I750" s="94"/>
      <c r="J750" s="52"/>
      <c r="K750" s="52"/>
      <c r="L750" s="52"/>
      <c r="M750" s="52"/>
      <c r="N750" s="103"/>
      <c r="O750" s="52"/>
      <c r="P750" s="52"/>
      <c r="Q750" s="52"/>
      <c r="R750" s="103"/>
      <c r="S750" s="86">
        <f t="shared" si="156"/>
        <v>0</v>
      </c>
      <c r="AB750" s="111"/>
      <c r="AC750" s="111"/>
      <c r="AD750" s="111"/>
      <c r="AE750" s="112"/>
      <c r="AF750" s="113"/>
      <c r="AG750" s="49"/>
      <c r="AH750" s="49"/>
      <c r="AI750" s="112"/>
      <c r="AJ750" s="91"/>
      <c r="AK750" s="114"/>
      <c r="AL750" s="112"/>
      <c r="AP750" s="7"/>
    </row>
    <row r="751" spans="1:42" x14ac:dyDescent="0.35">
      <c r="A751" s="85">
        <v>46224</v>
      </c>
      <c r="B751" s="51" t="s">
        <v>85</v>
      </c>
      <c r="C751" s="97">
        <v>61123995.678571403</v>
      </c>
      <c r="D751" s="97">
        <v>87119.5</v>
      </c>
      <c r="E751" s="48" t="s">
        <v>86</v>
      </c>
      <c r="F751" s="94" t="s">
        <v>108</v>
      </c>
      <c r="G751" s="94"/>
      <c r="H751" s="94"/>
      <c r="I751" s="94"/>
      <c r="J751" s="52"/>
      <c r="K751" s="52"/>
      <c r="L751" s="52"/>
      <c r="M751" s="52"/>
      <c r="N751" s="103"/>
      <c r="O751" s="52"/>
      <c r="P751" s="52"/>
      <c r="Q751" s="52"/>
      <c r="R751" s="103"/>
      <c r="S751" s="95"/>
      <c r="AB751" s="111"/>
      <c r="AC751" s="111"/>
      <c r="AD751" s="111"/>
      <c r="AE751" s="112"/>
      <c r="AF751" s="113"/>
      <c r="AG751" s="49"/>
      <c r="AH751" s="49"/>
      <c r="AI751" s="112"/>
      <c r="AJ751" s="91"/>
      <c r="AK751" s="114"/>
      <c r="AL751" s="112"/>
      <c r="AP751" s="7"/>
    </row>
    <row r="752" spans="1:42" x14ac:dyDescent="0.35">
      <c r="A752" s="85">
        <v>46224</v>
      </c>
      <c r="B752" s="51" t="s">
        <v>85</v>
      </c>
      <c r="C752" s="97">
        <v>61123995.678571403</v>
      </c>
      <c r="D752" s="97">
        <v>87119.5</v>
      </c>
      <c r="E752" s="48" t="s">
        <v>86</v>
      </c>
      <c r="F752" s="94" t="s">
        <v>108</v>
      </c>
      <c r="G752" s="94"/>
      <c r="H752" s="94"/>
      <c r="I752" s="94"/>
      <c r="J752" s="52"/>
      <c r="K752" s="52"/>
      <c r="L752" s="52"/>
      <c r="M752" s="52"/>
      <c r="N752" s="103"/>
      <c r="O752" s="52"/>
      <c r="P752" s="52"/>
      <c r="Q752" s="52"/>
      <c r="R752" s="103"/>
      <c r="S752" s="95"/>
      <c r="AB752" s="111"/>
      <c r="AC752" s="111"/>
      <c r="AD752" s="111"/>
      <c r="AE752" s="112"/>
      <c r="AF752" s="113"/>
      <c r="AG752" s="49"/>
      <c r="AH752" s="49"/>
      <c r="AI752" s="112"/>
      <c r="AJ752" s="91"/>
      <c r="AK752" s="114"/>
      <c r="AL752" s="112"/>
      <c r="AP752" s="7"/>
    </row>
    <row r="753" spans="1:42" x14ac:dyDescent="0.35">
      <c r="A753" s="94"/>
      <c r="B753" s="76"/>
      <c r="C753" s="94"/>
      <c r="D753" s="102"/>
      <c r="E753" s="94"/>
      <c r="F753" s="94"/>
      <c r="G753" s="94"/>
      <c r="H753" s="94"/>
      <c r="I753" s="94"/>
      <c r="J753" s="52"/>
      <c r="K753" s="52"/>
      <c r="L753" s="52"/>
      <c r="M753" s="52"/>
      <c r="N753" s="103"/>
      <c r="O753" s="52"/>
      <c r="P753" s="52"/>
      <c r="Q753" s="52"/>
      <c r="R753" s="103"/>
      <c r="S753" s="95"/>
      <c r="AB753" s="111"/>
      <c r="AC753" s="111"/>
      <c r="AD753" s="111"/>
      <c r="AE753" s="112"/>
      <c r="AF753" s="113"/>
      <c r="AG753" s="49"/>
      <c r="AH753" s="49"/>
      <c r="AI753" s="112"/>
      <c r="AJ753" s="91"/>
      <c r="AK753" s="114"/>
      <c r="AL753" s="112"/>
      <c r="AP753" s="7"/>
    </row>
    <row r="754" spans="1:42" x14ac:dyDescent="0.35">
      <c r="A754" s="94"/>
      <c r="B754" s="76"/>
      <c r="C754" s="94"/>
      <c r="D754" s="102"/>
      <c r="E754" s="94"/>
      <c r="F754" s="94"/>
      <c r="G754" s="94"/>
      <c r="H754" s="94"/>
      <c r="I754" s="94"/>
      <c r="J754" s="52"/>
      <c r="K754" s="52"/>
      <c r="L754" s="52"/>
      <c r="M754" s="52"/>
      <c r="N754" s="103"/>
      <c r="O754" s="52"/>
      <c r="P754" s="52"/>
      <c r="Q754" s="52"/>
      <c r="R754" s="103"/>
      <c r="S754" s="95"/>
      <c r="AB754" s="111"/>
      <c r="AC754" s="111"/>
      <c r="AD754" s="111"/>
      <c r="AE754" s="112"/>
      <c r="AF754" s="113"/>
      <c r="AG754" s="49"/>
      <c r="AH754" s="49"/>
      <c r="AI754" s="112"/>
      <c r="AJ754" s="91"/>
      <c r="AK754" s="114"/>
      <c r="AL754" s="112"/>
      <c r="AP754" s="7"/>
    </row>
    <row r="755" spans="1:42" x14ac:dyDescent="0.35">
      <c r="A755" s="94"/>
      <c r="B755" s="76"/>
      <c r="C755" s="94"/>
      <c r="D755" s="102"/>
      <c r="E755" s="94"/>
      <c r="F755" s="94"/>
      <c r="G755" s="94"/>
      <c r="H755" s="94"/>
      <c r="I755" s="94"/>
      <c r="J755" s="52"/>
      <c r="K755" s="52"/>
      <c r="L755" s="52"/>
      <c r="M755" s="52"/>
      <c r="N755" s="103"/>
      <c r="O755" s="52"/>
      <c r="P755" s="52"/>
      <c r="Q755" s="52"/>
      <c r="R755" s="103"/>
      <c r="S755" s="95"/>
      <c r="AB755" s="111"/>
      <c r="AC755" s="111"/>
      <c r="AD755" s="111"/>
      <c r="AE755" s="112"/>
      <c r="AF755" s="113"/>
      <c r="AG755" s="49"/>
      <c r="AH755" s="49"/>
      <c r="AI755" s="112"/>
      <c r="AJ755" s="91"/>
      <c r="AK755" s="114"/>
      <c r="AL755" s="112"/>
      <c r="AP755" s="7"/>
    </row>
    <row r="756" spans="1:42" x14ac:dyDescent="0.35">
      <c r="A756" s="94"/>
      <c r="B756" s="76"/>
      <c r="C756" s="94"/>
      <c r="D756" s="102"/>
      <c r="E756" s="94"/>
      <c r="F756" s="94"/>
      <c r="G756" s="94"/>
      <c r="H756" s="94"/>
      <c r="I756" s="94"/>
      <c r="J756" s="52"/>
      <c r="K756" s="52"/>
      <c r="L756" s="52"/>
      <c r="M756" s="52"/>
      <c r="N756" s="103"/>
      <c r="O756" s="52"/>
      <c r="P756" s="52"/>
      <c r="Q756" s="52"/>
      <c r="R756" s="103"/>
      <c r="S756" s="95"/>
      <c r="AB756" s="111"/>
      <c r="AC756" s="111"/>
      <c r="AD756" s="111"/>
      <c r="AE756" s="112"/>
      <c r="AF756" s="113"/>
      <c r="AG756" s="49"/>
      <c r="AH756" s="49"/>
      <c r="AI756" s="112"/>
      <c r="AJ756" s="91"/>
      <c r="AK756" s="114"/>
      <c r="AL756" s="112"/>
      <c r="AP756" s="7"/>
    </row>
    <row r="757" spans="1:42" x14ac:dyDescent="0.35">
      <c r="A757" s="94"/>
      <c r="B757" s="76"/>
      <c r="C757" s="94"/>
      <c r="D757" s="102"/>
      <c r="E757" s="94"/>
      <c r="F757" s="94"/>
      <c r="G757" s="94"/>
      <c r="H757" s="94"/>
      <c r="I757" s="94"/>
      <c r="J757" s="52"/>
      <c r="K757" s="52"/>
      <c r="L757" s="52"/>
      <c r="M757" s="52"/>
      <c r="N757" s="103"/>
      <c r="O757" s="52"/>
      <c r="P757" s="52"/>
      <c r="Q757" s="52"/>
      <c r="R757" s="103"/>
      <c r="S757" s="95"/>
      <c r="AB757" s="111"/>
      <c r="AC757" s="111"/>
      <c r="AD757" s="111"/>
      <c r="AE757" s="112"/>
      <c r="AF757" s="113"/>
      <c r="AG757" s="49"/>
      <c r="AH757" s="49"/>
      <c r="AI757" s="112"/>
      <c r="AJ757" s="91"/>
      <c r="AK757" s="114"/>
      <c r="AL757" s="112"/>
      <c r="AP757" s="7"/>
    </row>
    <row r="758" spans="1:42" x14ac:dyDescent="0.35">
      <c r="A758" s="94"/>
      <c r="B758" s="76"/>
      <c r="C758" s="94"/>
      <c r="D758" s="102"/>
      <c r="E758" s="94"/>
      <c r="F758" s="94"/>
      <c r="G758" s="94"/>
      <c r="H758" s="94"/>
      <c r="I758" s="94"/>
      <c r="J758" s="52"/>
      <c r="K758" s="52"/>
      <c r="L758" s="52"/>
      <c r="M758" s="52"/>
      <c r="N758" s="103"/>
      <c r="O758" s="52"/>
      <c r="P758" s="52"/>
      <c r="Q758" s="52"/>
      <c r="R758" s="103"/>
      <c r="S758" s="95"/>
      <c r="AB758" s="111"/>
      <c r="AC758" s="111"/>
      <c r="AD758" s="111"/>
      <c r="AE758" s="112"/>
      <c r="AF758" s="113"/>
      <c r="AG758" s="49"/>
      <c r="AH758" s="49"/>
      <c r="AI758" s="112"/>
      <c r="AJ758" s="91"/>
      <c r="AK758" s="114"/>
      <c r="AL758" s="112"/>
      <c r="AP758" s="7"/>
    </row>
    <row r="759" spans="1:42" x14ac:dyDescent="0.35">
      <c r="A759" s="94"/>
      <c r="B759" s="76"/>
      <c r="C759" s="94"/>
      <c r="D759" s="102"/>
      <c r="E759" s="94"/>
      <c r="F759" s="94"/>
      <c r="G759" s="94"/>
      <c r="H759" s="94"/>
      <c r="I759" s="94"/>
      <c r="J759" s="52"/>
      <c r="K759" s="52"/>
      <c r="L759" s="52"/>
      <c r="M759" s="52"/>
      <c r="N759" s="103"/>
      <c r="O759" s="52"/>
      <c r="P759" s="52"/>
      <c r="Q759" s="52"/>
      <c r="R759" s="103"/>
      <c r="S759" s="95"/>
      <c r="AB759" s="111"/>
      <c r="AC759" s="111"/>
      <c r="AD759" s="111"/>
      <c r="AE759" s="112"/>
      <c r="AF759" s="113"/>
      <c r="AG759" s="49"/>
      <c r="AH759" s="49"/>
      <c r="AI759" s="112"/>
      <c r="AJ759" s="91"/>
      <c r="AK759" s="114"/>
      <c r="AL759" s="112"/>
      <c r="AP759" s="7"/>
    </row>
    <row r="760" spans="1:42" x14ac:dyDescent="0.35">
      <c r="A760" s="94"/>
      <c r="B760" s="76"/>
      <c r="C760" s="94"/>
      <c r="D760" s="102"/>
      <c r="E760" s="94"/>
      <c r="F760" s="94"/>
      <c r="G760" s="94"/>
      <c r="H760" s="94"/>
      <c r="I760" s="94"/>
      <c r="J760" s="52"/>
      <c r="K760" s="52"/>
      <c r="L760" s="52"/>
      <c r="M760" s="52"/>
      <c r="N760" s="103"/>
      <c r="O760" s="52"/>
      <c r="P760" s="52"/>
      <c r="Q760" s="52"/>
      <c r="R760" s="103"/>
      <c r="S760" s="95"/>
      <c r="AB760" s="111"/>
      <c r="AC760" s="111"/>
      <c r="AD760" s="111"/>
      <c r="AE760" s="112"/>
      <c r="AF760" s="113"/>
      <c r="AG760" s="49"/>
      <c r="AH760" s="49"/>
      <c r="AI760" s="112"/>
      <c r="AJ760" s="91"/>
      <c r="AK760" s="114"/>
      <c r="AL760" s="112"/>
      <c r="AP760" s="7"/>
    </row>
    <row r="761" spans="1:42" x14ac:dyDescent="0.35">
      <c r="A761" s="94"/>
      <c r="B761" s="76"/>
      <c r="C761" s="94"/>
      <c r="D761" s="102"/>
      <c r="E761" s="94"/>
      <c r="F761" s="94"/>
      <c r="G761" s="94"/>
      <c r="H761" s="94"/>
      <c r="I761" s="94"/>
      <c r="J761" s="52"/>
      <c r="K761" s="52"/>
      <c r="L761" s="52"/>
      <c r="M761" s="52"/>
      <c r="N761" s="103"/>
      <c r="O761" s="52"/>
      <c r="P761" s="52"/>
      <c r="Q761" s="52"/>
      <c r="R761" s="103"/>
      <c r="S761" s="95"/>
      <c r="AB761" s="111"/>
      <c r="AC761" s="111"/>
      <c r="AD761" s="111"/>
      <c r="AE761" s="112"/>
      <c r="AF761" s="113"/>
      <c r="AG761" s="49"/>
      <c r="AH761" s="49"/>
      <c r="AI761" s="112"/>
      <c r="AJ761" s="91"/>
      <c r="AK761" s="114"/>
      <c r="AL761" s="112"/>
      <c r="AP761" s="7"/>
    </row>
    <row r="762" spans="1:42" x14ac:dyDescent="0.35">
      <c r="A762" s="94"/>
      <c r="B762" s="76"/>
      <c r="C762" s="94"/>
      <c r="D762" s="102"/>
      <c r="E762" s="94"/>
      <c r="F762" s="94"/>
      <c r="G762" s="94"/>
      <c r="H762" s="94"/>
      <c r="I762" s="94"/>
      <c r="J762" s="52"/>
      <c r="K762" s="52"/>
      <c r="L762" s="52"/>
      <c r="M762" s="52"/>
      <c r="N762" s="103"/>
      <c r="O762" s="52"/>
      <c r="P762" s="52"/>
      <c r="Q762" s="52"/>
      <c r="R762" s="103"/>
      <c r="S762" s="95"/>
      <c r="AB762" s="111"/>
      <c r="AC762" s="111"/>
      <c r="AD762" s="111"/>
      <c r="AE762" s="112"/>
      <c r="AF762" s="113"/>
      <c r="AG762" s="49"/>
      <c r="AH762" s="49"/>
      <c r="AI762" s="112"/>
      <c r="AJ762" s="91"/>
      <c r="AK762" s="114"/>
      <c r="AL762" s="112"/>
      <c r="AP762" s="7"/>
    </row>
    <row r="763" spans="1:42" x14ac:dyDescent="0.35">
      <c r="A763" s="94"/>
      <c r="B763" s="76"/>
      <c r="C763" s="94"/>
      <c r="D763" s="102"/>
      <c r="E763" s="94"/>
      <c r="F763" s="94"/>
      <c r="G763" s="94"/>
      <c r="H763" s="94"/>
      <c r="I763" s="94"/>
      <c r="J763" s="52"/>
      <c r="K763" s="52"/>
      <c r="L763" s="52"/>
      <c r="M763" s="52"/>
      <c r="N763" s="103"/>
      <c r="O763" s="52"/>
      <c r="P763" s="52"/>
      <c r="Q763" s="52"/>
      <c r="R763" s="103"/>
      <c r="S763" s="95"/>
      <c r="AB763" s="111"/>
      <c r="AC763" s="111"/>
      <c r="AD763" s="111"/>
      <c r="AE763" s="112"/>
      <c r="AF763" s="113"/>
      <c r="AG763" s="49"/>
      <c r="AH763" s="49"/>
      <c r="AI763" s="112"/>
      <c r="AJ763" s="91"/>
      <c r="AK763" s="114"/>
      <c r="AL763" s="112"/>
      <c r="AP763" s="7"/>
    </row>
    <row r="764" spans="1:42" x14ac:dyDescent="0.35">
      <c r="A764" s="94"/>
      <c r="B764" s="76"/>
      <c r="C764" s="94"/>
      <c r="D764" s="102"/>
      <c r="E764" s="94"/>
      <c r="F764" s="94"/>
      <c r="G764" s="94"/>
      <c r="H764" s="94"/>
      <c r="I764" s="94"/>
      <c r="J764" s="52"/>
      <c r="K764" s="52"/>
      <c r="L764" s="52"/>
      <c r="M764" s="52"/>
      <c r="N764" s="103"/>
      <c r="O764" s="52"/>
      <c r="P764" s="52"/>
      <c r="Q764" s="52"/>
      <c r="R764" s="103"/>
      <c r="S764" s="95"/>
      <c r="AB764" s="111"/>
      <c r="AC764" s="111"/>
      <c r="AD764" s="111"/>
      <c r="AE764" s="112"/>
      <c r="AF764" s="113"/>
      <c r="AG764" s="49"/>
      <c r="AH764" s="49"/>
      <c r="AI764" s="112"/>
      <c r="AJ764" s="91"/>
      <c r="AK764" s="114"/>
      <c r="AL764" s="112"/>
      <c r="AP764" s="7"/>
    </row>
    <row r="765" spans="1:42" x14ac:dyDescent="0.35">
      <c r="A765" s="94"/>
      <c r="B765" s="76"/>
      <c r="C765" s="94"/>
      <c r="D765" s="102"/>
      <c r="E765" s="94"/>
      <c r="F765" s="94"/>
      <c r="G765" s="94"/>
      <c r="H765" s="94"/>
      <c r="I765" s="94"/>
      <c r="J765" s="52"/>
      <c r="K765" s="52"/>
      <c r="L765" s="52"/>
      <c r="M765" s="52"/>
      <c r="N765" s="103"/>
      <c r="O765" s="52"/>
      <c r="P765" s="52"/>
      <c r="Q765" s="52"/>
      <c r="R765" s="103"/>
      <c r="S765" s="95"/>
      <c r="AB765" s="111"/>
      <c r="AC765" s="111"/>
      <c r="AD765" s="111"/>
      <c r="AE765" s="112"/>
      <c r="AF765" s="113"/>
      <c r="AG765" s="49"/>
      <c r="AH765" s="49"/>
      <c r="AI765" s="112"/>
      <c r="AJ765" s="91"/>
      <c r="AK765" s="114"/>
      <c r="AL765" s="112"/>
      <c r="AP765" s="7"/>
    </row>
    <row r="766" spans="1:42" x14ac:dyDescent="0.35">
      <c r="A766" s="94"/>
      <c r="B766" s="76"/>
      <c r="C766" s="94"/>
      <c r="D766" s="102"/>
      <c r="E766" s="94"/>
      <c r="F766" s="94"/>
      <c r="G766" s="94"/>
      <c r="H766" s="94"/>
      <c r="I766" s="94"/>
      <c r="J766" s="52"/>
      <c r="K766" s="52"/>
      <c r="L766" s="52"/>
      <c r="M766" s="52"/>
      <c r="N766" s="103"/>
      <c r="O766" s="52"/>
      <c r="P766" s="52"/>
      <c r="Q766" s="52"/>
      <c r="R766" s="103"/>
      <c r="S766" s="95"/>
      <c r="AB766" s="111"/>
      <c r="AC766" s="111"/>
      <c r="AD766" s="111"/>
      <c r="AE766" s="112"/>
      <c r="AF766" s="113"/>
      <c r="AG766" s="49"/>
      <c r="AH766" s="49"/>
      <c r="AI766" s="112"/>
      <c r="AJ766" s="91"/>
      <c r="AK766" s="114"/>
      <c r="AL766" s="112"/>
      <c r="AP766" s="7"/>
    </row>
    <row r="767" spans="1:42" x14ac:dyDescent="0.35">
      <c r="A767" s="94"/>
      <c r="B767" s="76"/>
      <c r="C767" s="94"/>
      <c r="D767" s="102"/>
      <c r="E767" s="94"/>
      <c r="F767" s="94"/>
      <c r="G767" s="94"/>
      <c r="H767" s="94"/>
      <c r="I767" s="94"/>
      <c r="J767" s="52"/>
      <c r="K767" s="52"/>
      <c r="L767" s="52"/>
      <c r="M767" s="52"/>
      <c r="N767" s="103"/>
      <c r="O767" s="52"/>
      <c r="P767" s="52"/>
      <c r="Q767" s="52"/>
      <c r="R767" s="103"/>
      <c r="S767" s="95"/>
      <c r="AB767" s="111"/>
      <c r="AC767" s="111"/>
      <c r="AD767" s="111"/>
      <c r="AE767" s="112"/>
      <c r="AF767" s="113"/>
      <c r="AG767" s="49"/>
      <c r="AH767" s="49"/>
      <c r="AI767" s="112"/>
      <c r="AJ767" s="91"/>
      <c r="AK767" s="114"/>
      <c r="AL767" s="112"/>
      <c r="AP767" s="7"/>
    </row>
    <row r="768" spans="1:42" x14ac:dyDescent="0.35">
      <c r="A768" s="94"/>
      <c r="B768" s="76"/>
      <c r="C768" s="94"/>
      <c r="D768" s="102"/>
      <c r="E768" s="94"/>
      <c r="F768" s="94"/>
      <c r="G768" s="94"/>
      <c r="H768" s="94"/>
      <c r="I768" s="94"/>
      <c r="J768" s="52"/>
      <c r="K768" s="52"/>
      <c r="L768" s="52"/>
      <c r="M768" s="52"/>
      <c r="N768" s="103"/>
      <c r="O768" s="52"/>
      <c r="P768" s="52"/>
      <c r="Q768" s="52"/>
      <c r="R768" s="103"/>
      <c r="S768" s="95"/>
      <c r="AB768" s="111"/>
      <c r="AC768" s="111"/>
      <c r="AD768" s="111"/>
      <c r="AE768" s="112"/>
      <c r="AF768" s="113"/>
      <c r="AG768" s="49"/>
      <c r="AH768" s="49"/>
      <c r="AI768" s="112"/>
      <c r="AJ768" s="91"/>
      <c r="AK768" s="114"/>
      <c r="AL768" s="112"/>
      <c r="AP768" s="7"/>
    </row>
    <row r="769" spans="1:42" x14ac:dyDescent="0.35">
      <c r="A769" s="94"/>
      <c r="B769" s="76"/>
      <c r="C769" s="94"/>
      <c r="D769" s="102"/>
      <c r="E769" s="94"/>
      <c r="F769" s="94"/>
      <c r="G769" s="94"/>
      <c r="H769" s="94"/>
      <c r="I769" s="94"/>
      <c r="J769" s="52"/>
      <c r="K769" s="52"/>
      <c r="L769" s="52"/>
      <c r="M769" s="52"/>
      <c r="N769" s="103"/>
      <c r="O769" s="52"/>
      <c r="P769" s="52"/>
      <c r="Q769" s="52"/>
      <c r="R769" s="103"/>
      <c r="S769" s="95"/>
      <c r="AB769" s="111"/>
      <c r="AC769" s="111"/>
      <c r="AD769" s="111"/>
      <c r="AE769" s="112"/>
      <c r="AF769" s="113"/>
      <c r="AG769" s="49"/>
      <c r="AH769" s="49"/>
      <c r="AI769" s="112"/>
      <c r="AJ769" s="91"/>
      <c r="AK769" s="114"/>
      <c r="AL769" s="112"/>
      <c r="AP769" s="7"/>
    </row>
    <row r="770" spans="1:42" x14ac:dyDescent="0.35">
      <c r="A770" s="94"/>
      <c r="B770" s="76"/>
      <c r="C770" s="94"/>
      <c r="D770" s="102"/>
      <c r="E770" s="94"/>
      <c r="F770" s="94"/>
      <c r="G770" s="94"/>
      <c r="H770" s="94"/>
      <c r="I770" s="94"/>
      <c r="J770" s="52"/>
      <c r="K770" s="52"/>
      <c r="L770" s="52"/>
      <c r="M770" s="52"/>
      <c r="N770" s="103"/>
      <c r="O770" s="52"/>
      <c r="P770" s="52"/>
      <c r="Q770" s="52"/>
      <c r="R770" s="103"/>
      <c r="S770" s="95"/>
      <c r="AB770" s="111"/>
      <c r="AC770" s="111"/>
      <c r="AD770" s="111"/>
      <c r="AE770" s="112"/>
      <c r="AF770" s="113"/>
      <c r="AG770" s="49"/>
      <c r="AH770" s="49"/>
      <c r="AI770" s="112"/>
      <c r="AJ770" s="91"/>
      <c r="AK770" s="114"/>
      <c r="AL770" s="112"/>
      <c r="AP770" s="7"/>
    </row>
    <row r="771" spans="1:42" x14ac:dyDescent="0.35">
      <c r="A771" s="94"/>
      <c r="B771" s="76"/>
      <c r="C771" s="94"/>
      <c r="D771" s="102"/>
      <c r="E771" s="94"/>
      <c r="F771" s="94"/>
      <c r="G771" s="94"/>
      <c r="H771" s="94"/>
      <c r="I771" s="94"/>
      <c r="J771" s="52"/>
      <c r="K771" s="52"/>
      <c r="L771" s="52"/>
      <c r="M771" s="52"/>
      <c r="N771" s="103"/>
      <c r="O771" s="52"/>
      <c r="P771" s="52"/>
      <c r="Q771" s="52"/>
      <c r="R771" s="103"/>
      <c r="S771" s="95"/>
      <c r="AB771" s="111"/>
      <c r="AC771" s="111"/>
      <c r="AD771" s="111"/>
      <c r="AE771" s="112"/>
      <c r="AF771" s="113"/>
      <c r="AG771" s="49"/>
      <c r="AH771" s="49"/>
      <c r="AI771" s="112"/>
      <c r="AJ771" s="91"/>
      <c r="AK771" s="114"/>
      <c r="AL771" s="112"/>
      <c r="AP771" s="7"/>
    </row>
    <row r="772" spans="1:42" x14ac:dyDescent="0.35">
      <c r="A772" s="94"/>
      <c r="B772" s="76"/>
      <c r="C772" s="94"/>
      <c r="D772" s="102"/>
      <c r="E772" s="94"/>
      <c r="F772" s="94"/>
      <c r="G772" s="94"/>
      <c r="H772" s="94"/>
      <c r="I772" s="94"/>
      <c r="J772" s="52"/>
      <c r="K772" s="52"/>
      <c r="L772" s="52"/>
      <c r="M772" s="52"/>
      <c r="N772" s="103"/>
      <c r="O772" s="52"/>
      <c r="P772" s="52"/>
      <c r="Q772" s="52"/>
      <c r="R772" s="103"/>
      <c r="S772" s="95"/>
      <c r="AB772" s="111"/>
      <c r="AC772" s="111"/>
      <c r="AD772" s="111"/>
      <c r="AE772" s="112"/>
      <c r="AF772" s="113"/>
      <c r="AG772" s="49"/>
      <c r="AH772" s="49"/>
      <c r="AI772" s="112"/>
      <c r="AJ772" s="91"/>
      <c r="AK772" s="114"/>
      <c r="AL772" s="112"/>
      <c r="AP772" s="7"/>
    </row>
    <row r="773" spans="1:42" x14ac:dyDescent="0.35">
      <c r="A773" s="94"/>
      <c r="B773" s="76"/>
      <c r="C773" s="94"/>
      <c r="D773" s="102"/>
      <c r="E773" s="94"/>
      <c r="F773" s="94"/>
      <c r="G773" s="94"/>
      <c r="H773" s="94"/>
      <c r="I773" s="94"/>
      <c r="J773" s="52"/>
      <c r="K773" s="52"/>
      <c r="L773" s="52"/>
      <c r="M773" s="52"/>
      <c r="N773" s="103"/>
      <c r="O773" s="52"/>
      <c r="P773" s="52"/>
      <c r="Q773" s="52"/>
      <c r="R773" s="103"/>
      <c r="S773" s="95"/>
      <c r="AB773" s="111"/>
      <c r="AC773" s="111"/>
      <c r="AD773" s="111"/>
      <c r="AE773" s="112"/>
      <c r="AF773" s="113"/>
      <c r="AG773" s="49"/>
      <c r="AH773" s="49"/>
      <c r="AI773" s="112"/>
      <c r="AJ773" s="91"/>
      <c r="AK773" s="114"/>
      <c r="AL773" s="112"/>
      <c r="AP773" s="7"/>
    </row>
    <row r="774" spans="1:42" x14ac:dyDescent="0.35">
      <c r="A774" s="94"/>
      <c r="B774" s="76"/>
      <c r="C774" s="94"/>
      <c r="D774" s="102"/>
      <c r="E774" s="94"/>
      <c r="F774" s="94"/>
      <c r="G774" s="94"/>
      <c r="H774" s="94"/>
      <c r="I774" s="94"/>
      <c r="J774" s="52"/>
      <c r="K774" s="52"/>
      <c r="L774" s="52"/>
      <c r="M774" s="52"/>
      <c r="N774" s="103"/>
      <c r="O774" s="52"/>
      <c r="P774" s="52"/>
      <c r="Q774" s="52"/>
      <c r="R774" s="103"/>
      <c r="S774" s="95"/>
      <c r="AB774" s="111"/>
      <c r="AC774" s="111"/>
      <c r="AD774" s="111"/>
      <c r="AE774" s="112"/>
      <c r="AF774" s="113"/>
      <c r="AG774" s="49"/>
      <c r="AH774" s="49"/>
      <c r="AI774" s="112"/>
      <c r="AJ774" s="91"/>
      <c r="AK774" s="114"/>
      <c r="AL774" s="112"/>
      <c r="AP774" s="7"/>
    </row>
    <row r="775" spans="1:42" x14ac:dyDescent="0.35">
      <c r="A775" s="94"/>
      <c r="B775" s="76"/>
      <c r="C775" s="94"/>
      <c r="D775" s="102"/>
      <c r="E775" s="94"/>
      <c r="F775" s="94"/>
      <c r="G775" s="94"/>
      <c r="H775" s="94"/>
      <c r="I775" s="94"/>
      <c r="J775" s="52"/>
      <c r="K775" s="52"/>
      <c r="L775" s="52"/>
      <c r="M775" s="52"/>
      <c r="N775" s="103"/>
      <c r="O775" s="52"/>
      <c r="P775" s="52"/>
      <c r="Q775" s="52"/>
      <c r="R775" s="103"/>
      <c r="S775" s="95"/>
      <c r="AB775" s="111"/>
      <c r="AC775" s="111"/>
      <c r="AD775" s="111"/>
      <c r="AE775" s="112"/>
      <c r="AF775" s="113"/>
      <c r="AG775" s="49"/>
      <c r="AH775" s="49"/>
      <c r="AI775" s="112"/>
      <c r="AJ775" s="91"/>
      <c r="AK775" s="114"/>
      <c r="AL775" s="112"/>
      <c r="AP775" s="7"/>
    </row>
    <row r="776" spans="1:42" x14ac:dyDescent="0.35">
      <c r="A776" s="94"/>
      <c r="B776" s="76"/>
      <c r="C776" s="94"/>
      <c r="D776" s="102"/>
      <c r="E776" s="94"/>
      <c r="F776" s="94"/>
      <c r="G776" s="94"/>
      <c r="H776" s="94"/>
      <c r="I776" s="94"/>
      <c r="J776" s="52"/>
      <c r="K776" s="52"/>
      <c r="L776" s="52"/>
      <c r="M776" s="52"/>
      <c r="N776" s="103"/>
      <c r="O776" s="52"/>
      <c r="P776" s="52"/>
      <c r="Q776" s="52"/>
      <c r="R776" s="103"/>
      <c r="S776" s="95"/>
      <c r="AB776" s="111"/>
      <c r="AC776" s="111"/>
      <c r="AD776" s="111"/>
      <c r="AE776" s="112"/>
      <c r="AF776" s="113"/>
      <c r="AG776" s="49"/>
      <c r="AH776" s="49"/>
      <c r="AI776" s="112"/>
      <c r="AJ776" s="91"/>
      <c r="AK776" s="114"/>
      <c r="AL776" s="112"/>
      <c r="AP776" s="7"/>
    </row>
    <row r="777" spans="1:42" x14ac:dyDescent="0.35">
      <c r="A777" s="94"/>
      <c r="B777" s="76"/>
      <c r="C777" s="94"/>
      <c r="D777" s="102"/>
      <c r="E777" s="94"/>
      <c r="F777" s="94"/>
      <c r="G777" s="94"/>
      <c r="H777" s="94"/>
      <c r="I777" s="94"/>
      <c r="J777" s="52"/>
      <c r="K777" s="52"/>
      <c r="L777" s="52"/>
      <c r="M777" s="52"/>
      <c r="N777" s="103"/>
      <c r="O777" s="52"/>
      <c r="P777" s="52"/>
      <c r="Q777" s="52"/>
      <c r="R777" s="103"/>
      <c r="S777" s="95"/>
      <c r="AB777" s="111"/>
      <c r="AC777" s="111"/>
      <c r="AD777" s="111"/>
      <c r="AE777" s="112"/>
      <c r="AF777" s="113"/>
      <c r="AG777" s="49"/>
      <c r="AH777" s="49"/>
      <c r="AI777" s="112"/>
      <c r="AJ777" s="91"/>
      <c r="AK777" s="114"/>
      <c r="AL777" s="112"/>
      <c r="AP777" s="7"/>
    </row>
    <row r="778" spans="1:42" x14ac:dyDescent="0.35">
      <c r="A778" s="94"/>
      <c r="B778" s="76"/>
      <c r="C778" s="94"/>
      <c r="D778" s="102"/>
      <c r="E778" s="94"/>
      <c r="F778" s="94"/>
      <c r="G778" s="94"/>
      <c r="H778" s="94"/>
      <c r="I778" s="94"/>
      <c r="J778" s="52"/>
      <c r="K778" s="52"/>
      <c r="L778" s="52"/>
      <c r="M778" s="52"/>
      <c r="N778" s="103"/>
      <c r="O778" s="52"/>
      <c r="P778" s="52"/>
      <c r="Q778" s="52"/>
      <c r="R778" s="103"/>
      <c r="S778" s="95"/>
      <c r="AB778" s="111"/>
      <c r="AC778" s="111"/>
      <c r="AD778" s="111"/>
      <c r="AE778" s="112"/>
      <c r="AF778" s="113"/>
      <c r="AG778" s="49"/>
      <c r="AH778" s="49"/>
      <c r="AI778" s="112"/>
      <c r="AJ778" s="91"/>
      <c r="AK778" s="114"/>
      <c r="AL778" s="112"/>
      <c r="AP778" s="7"/>
    </row>
    <row r="779" spans="1:42" x14ac:dyDescent="0.35">
      <c r="A779" s="94"/>
      <c r="B779" s="76"/>
      <c r="C779" s="94"/>
      <c r="D779" s="102"/>
      <c r="E779" s="94"/>
      <c r="F779" s="94"/>
      <c r="G779" s="94"/>
      <c r="H779" s="94"/>
      <c r="I779" s="94"/>
      <c r="J779" s="52"/>
      <c r="K779" s="52"/>
      <c r="L779" s="52"/>
      <c r="M779" s="52"/>
      <c r="N779" s="103"/>
      <c r="O779" s="52"/>
      <c r="P779" s="52"/>
      <c r="Q779" s="52"/>
      <c r="R779" s="103"/>
      <c r="S779" s="95"/>
      <c r="AB779" s="111"/>
      <c r="AC779" s="111"/>
      <c r="AD779" s="111"/>
      <c r="AE779" s="112"/>
      <c r="AF779" s="113"/>
      <c r="AG779" s="49"/>
      <c r="AH779" s="49"/>
      <c r="AI779" s="112"/>
      <c r="AJ779" s="91"/>
      <c r="AK779" s="114"/>
      <c r="AL779" s="112"/>
      <c r="AP779" s="7"/>
    </row>
    <row r="780" spans="1:42" x14ac:dyDescent="0.35">
      <c r="A780" s="94"/>
      <c r="B780" s="76"/>
      <c r="C780" s="94"/>
      <c r="D780" s="102"/>
      <c r="E780" s="94"/>
      <c r="F780" s="94"/>
      <c r="G780" s="94"/>
      <c r="H780" s="94"/>
      <c r="I780" s="94"/>
      <c r="J780" s="52"/>
      <c r="K780" s="52"/>
      <c r="L780" s="52"/>
      <c r="M780" s="52"/>
      <c r="N780" s="103"/>
      <c r="O780" s="52"/>
      <c r="P780" s="52"/>
      <c r="Q780" s="52"/>
      <c r="R780" s="103"/>
      <c r="S780" s="95"/>
      <c r="AB780" s="111"/>
      <c r="AC780" s="111"/>
      <c r="AD780" s="111"/>
      <c r="AE780" s="112"/>
      <c r="AF780" s="113"/>
      <c r="AG780" s="49"/>
      <c r="AH780" s="49"/>
      <c r="AI780" s="112"/>
      <c r="AJ780" s="91"/>
      <c r="AK780" s="114"/>
      <c r="AL780" s="112"/>
      <c r="AP780" s="7"/>
    </row>
    <row r="781" spans="1:42" x14ac:dyDescent="0.35">
      <c r="A781" s="94"/>
      <c r="B781" s="76"/>
      <c r="C781" s="94"/>
      <c r="D781" s="102"/>
      <c r="E781" s="94"/>
      <c r="F781" s="94"/>
      <c r="G781" s="94"/>
      <c r="H781" s="94"/>
      <c r="I781" s="94"/>
      <c r="J781" s="52"/>
      <c r="K781" s="52"/>
      <c r="L781" s="52"/>
      <c r="M781" s="52"/>
      <c r="N781" s="103"/>
      <c r="O781" s="52"/>
      <c r="P781" s="52"/>
      <c r="Q781" s="52"/>
      <c r="R781" s="103"/>
      <c r="S781" s="95"/>
      <c r="AB781" s="111"/>
      <c r="AC781" s="111"/>
      <c r="AD781" s="111"/>
      <c r="AE781" s="112"/>
      <c r="AF781" s="113"/>
      <c r="AG781" s="49"/>
      <c r="AH781" s="49"/>
      <c r="AI781" s="112"/>
      <c r="AJ781" s="91"/>
      <c r="AK781" s="114"/>
      <c r="AL781" s="112"/>
      <c r="AP781" s="7"/>
    </row>
    <row r="782" spans="1:42" x14ac:dyDescent="0.35">
      <c r="A782" s="94"/>
      <c r="B782" s="76"/>
      <c r="C782" s="94"/>
      <c r="D782" s="102"/>
      <c r="E782" s="94"/>
      <c r="F782" s="94"/>
      <c r="G782" s="94"/>
      <c r="H782" s="94"/>
      <c r="I782" s="94"/>
      <c r="J782" s="52"/>
      <c r="K782" s="52"/>
      <c r="L782" s="52"/>
      <c r="M782" s="52"/>
      <c r="N782" s="103"/>
      <c r="O782" s="52"/>
      <c r="P782" s="52"/>
      <c r="Q782" s="52"/>
      <c r="R782" s="103"/>
      <c r="S782" s="95"/>
      <c r="AB782" s="111"/>
      <c r="AC782" s="111"/>
      <c r="AD782" s="111"/>
      <c r="AE782" s="112"/>
      <c r="AF782" s="113"/>
      <c r="AG782" s="49"/>
      <c r="AH782" s="49"/>
      <c r="AI782" s="112"/>
      <c r="AJ782" s="91"/>
      <c r="AK782" s="114"/>
      <c r="AL782" s="112"/>
      <c r="AP782" s="7"/>
    </row>
    <row r="783" spans="1:42" x14ac:dyDescent="0.35">
      <c r="A783" s="94"/>
      <c r="B783" s="76"/>
      <c r="C783" s="94"/>
      <c r="D783" s="102"/>
      <c r="E783" s="94"/>
      <c r="F783" s="94"/>
      <c r="G783" s="94"/>
      <c r="H783" s="94"/>
      <c r="I783" s="94"/>
      <c r="J783" s="52"/>
      <c r="K783" s="52"/>
      <c r="L783" s="52"/>
      <c r="M783" s="52"/>
      <c r="N783" s="103"/>
      <c r="O783" s="52"/>
      <c r="P783" s="52"/>
      <c r="Q783" s="52"/>
      <c r="R783" s="103"/>
      <c r="S783" s="95"/>
      <c r="AB783" s="111"/>
      <c r="AC783" s="111"/>
      <c r="AD783" s="111"/>
      <c r="AE783" s="112"/>
      <c r="AF783" s="113"/>
      <c r="AG783" s="49"/>
      <c r="AH783" s="49"/>
      <c r="AI783" s="112"/>
      <c r="AJ783" s="91"/>
      <c r="AK783" s="114"/>
      <c r="AL783" s="112"/>
      <c r="AP783" s="7"/>
    </row>
    <row r="784" spans="1:42" x14ac:dyDescent="0.35">
      <c r="A784" s="94"/>
      <c r="B784" s="76"/>
      <c r="C784" s="94"/>
      <c r="D784" s="102"/>
      <c r="E784" s="94"/>
      <c r="F784" s="94"/>
      <c r="G784" s="94"/>
      <c r="H784" s="94"/>
      <c r="I784" s="94"/>
      <c r="J784" s="52"/>
      <c r="K784" s="52"/>
      <c r="L784" s="52"/>
      <c r="M784" s="52"/>
      <c r="N784" s="103"/>
      <c r="O784" s="52"/>
      <c r="P784" s="52"/>
      <c r="Q784" s="52"/>
      <c r="R784" s="103"/>
      <c r="S784" s="95"/>
      <c r="AB784" s="111"/>
      <c r="AC784" s="111"/>
      <c r="AD784" s="111"/>
      <c r="AE784" s="112"/>
      <c r="AF784" s="113"/>
      <c r="AG784" s="49"/>
      <c r="AH784" s="49"/>
      <c r="AI784" s="112"/>
      <c r="AJ784" s="91"/>
      <c r="AK784" s="114"/>
      <c r="AL784" s="112"/>
      <c r="AP784" s="7"/>
    </row>
    <row r="785" spans="1:42" x14ac:dyDescent="0.35">
      <c r="A785" s="94"/>
      <c r="B785" s="76"/>
      <c r="C785" s="94"/>
      <c r="D785" s="102"/>
      <c r="E785" s="94"/>
      <c r="F785" s="94"/>
      <c r="G785" s="94"/>
      <c r="H785" s="94"/>
      <c r="I785" s="94"/>
      <c r="J785" s="52"/>
      <c r="K785" s="52"/>
      <c r="L785" s="52"/>
      <c r="M785" s="52"/>
      <c r="N785" s="103"/>
      <c r="O785" s="52"/>
      <c r="P785" s="52"/>
      <c r="Q785" s="52"/>
      <c r="R785" s="103"/>
      <c r="S785" s="95"/>
      <c r="AB785" s="111"/>
      <c r="AC785" s="111"/>
      <c r="AD785" s="111"/>
      <c r="AE785" s="112"/>
      <c r="AF785" s="113"/>
      <c r="AG785" s="49"/>
      <c r="AH785" s="49"/>
      <c r="AI785" s="112"/>
      <c r="AJ785" s="91"/>
      <c r="AK785" s="114"/>
      <c r="AL785" s="112"/>
      <c r="AP785" s="7"/>
    </row>
    <row r="786" spans="1:42" x14ac:dyDescent="0.35">
      <c r="A786" s="94"/>
      <c r="B786" s="76"/>
      <c r="C786" s="94"/>
      <c r="D786" s="102"/>
      <c r="E786" s="94"/>
      <c r="F786" s="94"/>
      <c r="G786" s="94"/>
      <c r="H786" s="94"/>
      <c r="I786" s="94"/>
      <c r="J786" s="52"/>
      <c r="K786" s="52"/>
      <c r="L786" s="52"/>
      <c r="M786" s="52"/>
      <c r="N786" s="103"/>
      <c r="O786" s="52"/>
      <c r="P786" s="52"/>
      <c r="Q786" s="52"/>
      <c r="R786" s="103"/>
      <c r="S786" s="95"/>
      <c r="AB786" s="111"/>
      <c r="AC786" s="111"/>
      <c r="AD786" s="111"/>
      <c r="AE786" s="112"/>
      <c r="AF786" s="113"/>
      <c r="AG786" s="49"/>
      <c r="AH786" s="49"/>
      <c r="AI786" s="112"/>
      <c r="AJ786" s="91"/>
      <c r="AK786" s="114"/>
      <c r="AL786" s="112"/>
      <c r="AP786" s="7"/>
    </row>
    <row r="787" spans="1:42" x14ac:dyDescent="0.35">
      <c r="A787" s="94"/>
      <c r="B787" s="76"/>
      <c r="C787" s="94"/>
      <c r="D787" s="102"/>
      <c r="E787" s="94"/>
      <c r="F787" s="94"/>
      <c r="G787" s="94"/>
      <c r="H787" s="94"/>
      <c r="I787" s="94"/>
      <c r="J787" s="52"/>
      <c r="K787" s="52"/>
      <c r="L787" s="52"/>
      <c r="M787" s="52"/>
      <c r="N787" s="103"/>
      <c r="O787" s="52"/>
      <c r="P787" s="52"/>
      <c r="Q787" s="52"/>
      <c r="R787" s="103"/>
      <c r="S787" s="95"/>
      <c r="AB787" s="111"/>
      <c r="AC787" s="111"/>
      <c r="AD787" s="111"/>
      <c r="AE787" s="112"/>
      <c r="AF787" s="113"/>
      <c r="AG787" s="49"/>
      <c r="AH787" s="49"/>
      <c r="AI787" s="112"/>
      <c r="AJ787" s="91"/>
      <c r="AK787" s="114"/>
      <c r="AL787" s="112"/>
      <c r="AP787" s="7"/>
    </row>
    <row r="788" spans="1:42" x14ac:dyDescent="0.35">
      <c r="A788" s="94"/>
      <c r="B788" s="76"/>
      <c r="C788" s="94"/>
      <c r="D788" s="102"/>
      <c r="E788" s="94"/>
      <c r="F788" s="94"/>
      <c r="G788" s="94"/>
      <c r="H788" s="94"/>
      <c r="I788" s="94"/>
      <c r="J788" s="52"/>
      <c r="K788" s="52"/>
      <c r="L788" s="52"/>
      <c r="M788" s="52"/>
      <c r="N788" s="103"/>
      <c r="O788" s="52"/>
      <c r="P788" s="52"/>
      <c r="Q788" s="52"/>
      <c r="R788" s="103"/>
      <c r="S788" s="95"/>
      <c r="AB788" s="111"/>
      <c r="AC788" s="111"/>
      <c r="AD788" s="111"/>
      <c r="AE788" s="112"/>
      <c r="AF788" s="113"/>
      <c r="AG788" s="49"/>
      <c r="AH788" s="49"/>
      <c r="AI788" s="112"/>
      <c r="AJ788" s="91"/>
      <c r="AK788" s="114"/>
      <c r="AL788" s="112"/>
      <c r="AP788" s="7"/>
    </row>
    <row r="789" spans="1:42" x14ac:dyDescent="0.35">
      <c r="A789" s="94"/>
      <c r="B789" s="76"/>
      <c r="C789" s="94"/>
      <c r="D789" s="102"/>
      <c r="E789" s="94"/>
      <c r="F789" s="94"/>
      <c r="G789" s="94"/>
      <c r="H789" s="94"/>
      <c r="I789" s="94"/>
      <c r="J789" s="52"/>
      <c r="K789" s="52"/>
      <c r="L789" s="52"/>
      <c r="M789" s="52"/>
      <c r="N789" s="103"/>
      <c r="O789" s="52"/>
      <c r="P789" s="52"/>
      <c r="Q789" s="52"/>
      <c r="R789" s="103"/>
      <c r="S789" s="95"/>
      <c r="AB789" s="111"/>
      <c r="AC789" s="111"/>
      <c r="AD789" s="111"/>
      <c r="AE789" s="112"/>
      <c r="AF789" s="113"/>
      <c r="AG789" s="49"/>
      <c r="AH789" s="49"/>
      <c r="AI789" s="112"/>
      <c r="AJ789" s="91"/>
      <c r="AK789" s="114"/>
      <c r="AL789" s="112"/>
      <c r="AP789" s="7"/>
    </row>
    <row r="790" spans="1:42" x14ac:dyDescent="0.35">
      <c r="A790" s="94"/>
      <c r="B790" s="76"/>
      <c r="C790" s="94"/>
      <c r="D790" s="102"/>
      <c r="E790" s="94"/>
      <c r="F790" s="94"/>
      <c r="G790" s="94"/>
      <c r="H790" s="94"/>
      <c r="I790" s="94"/>
      <c r="J790" s="52"/>
      <c r="K790" s="52"/>
      <c r="L790" s="52"/>
      <c r="M790" s="52"/>
      <c r="N790" s="103"/>
      <c r="O790" s="52"/>
      <c r="P790" s="52"/>
      <c r="Q790" s="52"/>
      <c r="R790" s="103"/>
      <c r="S790" s="95"/>
      <c r="AB790" s="111"/>
      <c r="AC790" s="111"/>
      <c r="AD790" s="111"/>
      <c r="AE790" s="112"/>
      <c r="AF790" s="113"/>
      <c r="AG790" s="49"/>
      <c r="AH790" s="49"/>
      <c r="AI790" s="112"/>
      <c r="AJ790" s="91"/>
      <c r="AK790" s="114"/>
      <c r="AL790" s="112"/>
      <c r="AP790" s="7"/>
    </row>
    <row r="791" spans="1:42" x14ac:dyDescent="0.35">
      <c r="A791" s="94"/>
      <c r="B791" s="76"/>
      <c r="C791" s="94"/>
      <c r="D791" s="102"/>
      <c r="E791" s="94"/>
      <c r="F791" s="94"/>
      <c r="G791" s="94"/>
      <c r="H791" s="94"/>
      <c r="I791" s="94"/>
      <c r="J791" s="52"/>
      <c r="K791" s="52"/>
      <c r="L791" s="52"/>
      <c r="M791" s="52"/>
      <c r="N791" s="103"/>
      <c r="O791" s="52"/>
      <c r="P791" s="52"/>
      <c r="Q791" s="52"/>
      <c r="R791" s="103"/>
      <c r="S791" s="95"/>
      <c r="AB791" s="111"/>
      <c r="AC791" s="111"/>
      <c r="AD791" s="111"/>
      <c r="AE791" s="112"/>
      <c r="AF791" s="113"/>
      <c r="AG791" s="49"/>
      <c r="AH791" s="49"/>
      <c r="AI791" s="112"/>
      <c r="AJ791" s="91"/>
      <c r="AK791" s="114"/>
      <c r="AL791" s="112"/>
      <c r="AP791" s="7"/>
    </row>
    <row r="792" spans="1:42" x14ac:dyDescent="0.35">
      <c r="A792" s="94"/>
      <c r="B792" s="76"/>
      <c r="C792" s="94"/>
      <c r="D792" s="102"/>
      <c r="E792" s="94"/>
      <c r="F792" s="94"/>
      <c r="G792" s="94"/>
      <c r="H792" s="94"/>
      <c r="I792" s="94"/>
      <c r="J792" s="52"/>
      <c r="K792" s="52"/>
      <c r="L792" s="52"/>
      <c r="M792" s="52"/>
      <c r="N792" s="103"/>
      <c r="O792" s="52"/>
      <c r="P792" s="52"/>
      <c r="Q792" s="52"/>
      <c r="R792" s="103"/>
      <c r="S792" s="95"/>
      <c r="AB792" s="111"/>
      <c r="AC792" s="111"/>
      <c r="AD792" s="111"/>
      <c r="AE792" s="112"/>
      <c r="AF792" s="113"/>
      <c r="AG792" s="49"/>
      <c r="AH792" s="49"/>
      <c r="AI792" s="112"/>
      <c r="AJ792" s="91"/>
      <c r="AK792" s="114"/>
      <c r="AL792" s="112"/>
      <c r="AP792" s="7"/>
    </row>
    <row r="793" spans="1:42" x14ac:dyDescent="0.35">
      <c r="A793" s="94"/>
      <c r="B793" s="76"/>
      <c r="C793" s="94"/>
      <c r="D793" s="102"/>
      <c r="E793" s="94"/>
      <c r="F793" s="94"/>
      <c r="G793" s="94"/>
      <c r="H793" s="94"/>
      <c r="I793" s="94"/>
      <c r="J793" s="52"/>
      <c r="K793" s="52"/>
      <c r="L793" s="52"/>
      <c r="M793" s="52"/>
      <c r="N793" s="103"/>
      <c r="O793" s="52"/>
      <c r="P793" s="52"/>
      <c r="Q793" s="52"/>
      <c r="R793" s="103"/>
      <c r="S793" s="95"/>
      <c r="AB793" s="111"/>
      <c r="AC793" s="111"/>
      <c r="AD793" s="111"/>
      <c r="AE793" s="112"/>
      <c r="AF793" s="113"/>
      <c r="AG793" s="49"/>
      <c r="AH793" s="49"/>
      <c r="AI793" s="112"/>
      <c r="AJ793" s="91"/>
      <c r="AK793" s="114"/>
      <c r="AL793" s="112"/>
      <c r="AP793" s="7"/>
    </row>
    <row r="794" spans="1:42" x14ac:dyDescent="0.35">
      <c r="A794" s="94"/>
      <c r="B794" s="76"/>
      <c r="C794" s="94"/>
      <c r="D794" s="102"/>
      <c r="E794" s="94"/>
      <c r="F794" s="94"/>
      <c r="G794" s="94"/>
      <c r="H794" s="94"/>
      <c r="I794" s="94"/>
      <c r="J794" s="52"/>
      <c r="K794" s="52"/>
      <c r="L794" s="52"/>
      <c r="M794" s="52"/>
      <c r="N794" s="103"/>
      <c r="O794" s="52"/>
      <c r="P794" s="52"/>
      <c r="Q794" s="52"/>
      <c r="R794" s="103"/>
      <c r="S794" s="95"/>
      <c r="AB794" s="111"/>
      <c r="AC794" s="111"/>
      <c r="AD794" s="111"/>
      <c r="AE794" s="112"/>
      <c r="AF794" s="113"/>
      <c r="AG794" s="49"/>
      <c r="AH794" s="49"/>
      <c r="AI794" s="112"/>
      <c r="AJ794" s="91"/>
      <c r="AK794" s="114"/>
      <c r="AL794" s="112"/>
      <c r="AP794" s="7"/>
    </row>
    <row r="795" spans="1:42" x14ac:dyDescent="0.35">
      <c r="A795" s="94"/>
      <c r="B795" s="76"/>
      <c r="C795" s="94"/>
      <c r="D795" s="102"/>
      <c r="E795" s="94"/>
      <c r="F795" s="94"/>
      <c r="G795" s="94"/>
      <c r="H795" s="94"/>
      <c r="I795" s="94"/>
      <c r="J795" s="52"/>
      <c r="K795" s="52"/>
      <c r="L795" s="52"/>
      <c r="M795" s="52"/>
      <c r="N795" s="103"/>
      <c r="O795" s="52"/>
      <c r="P795" s="52"/>
      <c r="Q795" s="52"/>
      <c r="R795" s="103"/>
      <c r="S795" s="95"/>
      <c r="AB795" s="111"/>
      <c r="AC795" s="111"/>
      <c r="AD795" s="111"/>
      <c r="AE795" s="112"/>
      <c r="AF795" s="113"/>
      <c r="AG795" s="49"/>
      <c r="AH795" s="49"/>
      <c r="AI795" s="112"/>
      <c r="AJ795" s="91"/>
      <c r="AK795" s="114"/>
      <c r="AL795" s="112"/>
      <c r="AP795" s="7"/>
    </row>
    <row r="796" spans="1:42" x14ac:dyDescent="0.35">
      <c r="A796" s="94"/>
      <c r="B796" s="76"/>
      <c r="C796" s="94"/>
      <c r="D796" s="102"/>
      <c r="E796" s="94"/>
      <c r="F796" s="94"/>
      <c r="G796" s="94"/>
      <c r="H796" s="94"/>
      <c r="I796" s="94"/>
      <c r="J796" s="52"/>
      <c r="K796" s="52"/>
      <c r="L796" s="52"/>
      <c r="M796" s="52"/>
      <c r="N796" s="103"/>
      <c r="O796" s="52"/>
      <c r="P796" s="52"/>
      <c r="Q796" s="52"/>
      <c r="R796" s="103"/>
      <c r="S796" s="95"/>
      <c r="AB796" s="111"/>
      <c r="AC796" s="111"/>
      <c r="AD796" s="111"/>
      <c r="AE796" s="112"/>
      <c r="AF796" s="113"/>
      <c r="AG796" s="49"/>
      <c r="AH796" s="49"/>
      <c r="AI796" s="112"/>
      <c r="AJ796" s="91"/>
      <c r="AK796" s="114"/>
      <c r="AL796" s="112"/>
      <c r="AP796" s="7"/>
    </row>
    <row r="797" spans="1:42" x14ac:dyDescent="0.35">
      <c r="A797" s="94"/>
      <c r="B797" s="76"/>
      <c r="C797" s="94"/>
      <c r="D797" s="102"/>
      <c r="E797" s="94"/>
      <c r="F797" s="94"/>
      <c r="G797" s="94"/>
      <c r="H797" s="94"/>
      <c r="I797" s="94"/>
      <c r="J797" s="52"/>
      <c r="K797" s="52"/>
      <c r="L797" s="52"/>
      <c r="M797" s="52"/>
      <c r="N797" s="103"/>
      <c r="O797" s="52"/>
      <c r="P797" s="52"/>
      <c r="Q797" s="52"/>
      <c r="R797" s="103"/>
      <c r="S797" s="95"/>
      <c r="AB797" s="111"/>
      <c r="AC797" s="111"/>
      <c r="AD797" s="111"/>
      <c r="AE797" s="112"/>
      <c r="AF797" s="113"/>
      <c r="AG797" s="49"/>
      <c r="AH797" s="49"/>
      <c r="AI797" s="112"/>
      <c r="AJ797" s="91"/>
      <c r="AK797" s="114"/>
      <c r="AL797" s="112"/>
      <c r="AP797" s="7"/>
    </row>
    <row r="798" spans="1:42" x14ac:dyDescent="0.35">
      <c r="A798" s="94"/>
      <c r="B798" s="76"/>
      <c r="C798" s="94"/>
      <c r="D798" s="102"/>
      <c r="E798" s="94"/>
      <c r="F798" s="94"/>
      <c r="G798" s="94"/>
      <c r="H798" s="94"/>
      <c r="I798" s="94"/>
      <c r="J798" s="52"/>
      <c r="K798" s="52"/>
      <c r="L798" s="52"/>
      <c r="M798" s="52"/>
      <c r="N798" s="103"/>
      <c r="O798" s="52"/>
      <c r="P798" s="52"/>
      <c r="Q798" s="52"/>
      <c r="R798" s="103"/>
      <c r="S798" s="95"/>
      <c r="AB798" s="111"/>
      <c r="AC798" s="111"/>
      <c r="AD798" s="111"/>
      <c r="AE798" s="112"/>
      <c r="AF798" s="113"/>
      <c r="AG798" s="49"/>
      <c r="AH798" s="49"/>
      <c r="AI798" s="112"/>
      <c r="AJ798" s="91"/>
      <c r="AK798" s="114"/>
      <c r="AL798" s="112"/>
      <c r="AP798" s="7"/>
    </row>
    <row r="799" spans="1:42" x14ac:dyDescent="0.35">
      <c r="A799" s="94"/>
      <c r="B799" s="76"/>
      <c r="C799" s="94"/>
      <c r="D799" s="102"/>
      <c r="E799" s="94"/>
      <c r="F799" s="94"/>
      <c r="G799" s="94"/>
      <c r="H799" s="94"/>
      <c r="I799" s="94"/>
      <c r="J799" s="52"/>
      <c r="K799" s="52"/>
      <c r="L799" s="52"/>
      <c r="M799" s="52"/>
      <c r="N799" s="103"/>
      <c r="O799" s="52"/>
      <c r="P799" s="52"/>
      <c r="Q799" s="52"/>
      <c r="R799" s="103"/>
      <c r="S799" s="95"/>
      <c r="AB799" s="111"/>
      <c r="AC799" s="111"/>
      <c r="AD799" s="111"/>
      <c r="AE799" s="112"/>
      <c r="AF799" s="113"/>
      <c r="AG799" s="49"/>
      <c r="AH799" s="49"/>
      <c r="AI799" s="112"/>
      <c r="AJ799" s="91"/>
      <c r="AK799" s="114"/>
      <c r="AL799" s="112"/>
      <c r="AP799" s="7"/>
    </row>
    <row r="800" spans="1:42" x14ac:dyDescent="0.35">
      <c r="A800" s="94"/>
      <c r="B800" s="76"/>
      <c r="C800" s="94"/>
      <c r="D800" s="102"/>
      <c r="E800" s="94"/>
      <c r="F800" s="94"/>
      <c r="G800" s="94"/>
      <c r="H800" s="94"/>
      <c r="I800" s="94"/>
      <c r="J800" s="52"/>
      <c r="K800" s="52"/>
      <c r="L800" s="52"/>
      <c r="M800" s="52"/>
      <c r="N800" s="103"/>
      <c r="O800" s="52"/>
      <c r="P800" s="52"/>
      <c r="Q800" s="52"/>
      <c r="R800" s="103"/>
      <c r="S800" s="95"/>
      <c r="AB800" s="111"/>
      <c r="AC800" s="111"/>
      <c r="AD800" s="111"/>
      <c r="AE800" s="112"/>
      <c r="AF800" s="113"/>
      <c r="AG800" s="49"/>
      <c r="AH800" s="49"/>
      <c r="AI800" s="112"/>
      <c r="AJ800" s="91"/>
      <c r="AK800" s="114"/>
      <c r="AL800" s="112"/>
      <c r="AP800" s="7"/>
    </row>
    <row r="801" spans="1:42" x14ac:dyDescent="0.35">
      <c r="A801" s="94"/>
      <c r="B801" s="76"/>
      <c r="C801" s="94"/>
      <c r="D801" s="102"/>
      <c r="E801" s="94"/>
      <c r="F801" s="94"/>
      <c r="G801" s="94"/>
      <c r="H801" s="94"/>
      <c r="I801" s="94"/>
      <c r="J801" s="52"/>
      <c r="K801" s="52"/>
      <c r="L801" s="52"/>
      <c r="M801" s="52"/>
      <c r="N801" s="103"/>
      <c r="O801" s="52"/>
      <c r="P801" s="52"/>
      <c r="Q801" s="52"/>
      <c r="R801" s="103"/>
      <c r="S801" s="95"/>
      <c r="AB801" s="111"/>
      <c r="AC801" s="111"/>
      <c r="AD801" s="111"/>
      <c r="AE801" s="112"/>
      <c r="AF801" s="113"/>
      <c r="AG801" s="49"/>
      <c r="AH801" s="49"/>
      <c r="AI801" s="112"/>
      <c r="AJ801" s="91"/>
      <c r="AK801" s="114"/>
      <c r="AL801" s="112"/>
      <c r="AP801" s="7"/>
    </row>
    <row r="802" spans="1:42" x14ac:dyDescent="0.35">
      <c r="A802" s="94"/>
      <c r="B802" s="76"/>
      <c r="C802" s="94"/>
      <c r="D802" s="102"/>
      <c r="E802" s="94"/>
      <c r="F802" s="94"/>
      <c r="G802" s="94"/>
      <c r="H802" s="94"/>
      <c r="I802" s="94"/>
      <c r="J802" s="52"/>
      <c r="K802" s="52"/>
      <c r="L802" s="52"/>
      <c r="M802" s="52"/>
      <c r="N802" s="103"/>
      <c r="O802" s="52"/>
      <c r="P802" s="52"/>
      <c r="Q802" s="52"/>
      <c r="R802" s="103"/>
      <c r="S802" s="95"/>
      <c r="AB802" s="111"/>
      <c r="AC802" s="111"/>
      <c r="AD802" s="111"/>
      <c r="AE802" s="112"/>
      <c r="AF802" s="113"/>
      <c r="AG802" s="49"/>
      <c r="AH802" s="49"/>
      <c r="AI802" s="112"/>
      <c r="AJ802" s="91"/>
      <c r="AK802" s="114"/>
      <c r="AL802" s="112"/>
      <c r="AP802" s="7"/>
    </row>
    <row r="803" spans="1:42" x14ac:dyDescent="0.35">
      <c r="A803" s="94"/>
      <c r="B803" s="76"/>
      <c r="C803" s="94"/>
      <c r="D803" s="102"/>
      <c r="E803" s="94"/>
      <c r="F803" s="94"/>
      <c r="G803" s="94"/>
      <c r="H803" s="94"/>
      <c r="I803" s="94"/>
      <c r="J803" s="52"/>
      <c r="K803" s="52"/>
      <c r="L803" s="52"/>
      <c r="M803" s="52"/>
      <c r="N803" s="103"/>
      <c r="O803" s="52"/>
      <c r="P803" s="52"/>
      <c r="Q803" s="52"/>
      <c r="R803" s="103"/>
      <c r="S803" s="95"/>
      <c r="AB803" s="111"/>
      <c r="AC803" s="111"/>
      <c r="AD803" s="111"/>
      <c r="AE803" s="112"/>
      <c r="AF803" s="113"/>
      <c r="AG803" s="49"/>
      <c r="AH803" s="49"/>
      <c r="AI803" s="112"/>
      <c r="AJ803" s="91"/>
      <c r="AK803" s="114"/>
      <c r="AL803" s="112"/>
      <c r="AP803" s="7"/>
    </row>
    <row r="804" spans="1:42" x14ac:dyDescent="0.35">
      <c r="A804" s="94"/>
      <c r="B804" s="76"/>
      <c r="C804" s="94"/>
      <c r="D804" s="102"/>
      <c r="E804" s="94"/>
      <c r="F804" s="94"/>
      <c r="G804" s="94"/>
      <c r="H804" s="94"/>
      <c r="I804" s="94"/>
      <c r="J804" s="52"/>
      <c r="K804" s="52"/>
      <c r="L804" s="52"/>
      <c r="M804" s="52"/>
      <c r="N804" s="103"/>
      <c r="O804" s="52"/>
      <c r="P804" s="52"/>
      <c r="Q804" s="52"/>
      <c r="R804" s="103"/>
      <c r="S804" s="95"/>
      <c r="AB804" s="111"/>
      <c r="AC804" s="111"/>
      <c r="AD804" s="111"/>
      <c r="AE804" s="112"/>
      <c r="AF804" s="113"/>
      <c r="AG804" s="49"/>
      <c r="AH804" s="49"/>
      <c r="AI804" s="112"/>
      <c r="AJ804" s="91"/>
      <c r="AK804" s="114"/>
      <c r="AL804" s="112"/>
      <c r="AP804" s="7"/>
    </row>
    <row r="805" spans="1:42" x14ac:dyDescent="0.35">
      <c r="A805" s="94"/>
      <c r="B805" s="76"/>
      <c r="C805" s="94"/>
      <c r="D805" s="102"/>
      <c r="E805" s="94"/>
      <c r="F805" s="94"/>
      <c r="G805" s="94"/>
      <c r="H805" s="94"/>
      <c r="I805" s="94"/>
      <c r="J805" s="52"/>
      <c r="K805" s="52"/>
      <c r="L805" s="52"/>
      <c r="M805" s="52"/>
      <c r="N805" s="103"/>
      <c r="O805" s="52"/>
      <c r="P805" s="52"/>
      <c r="Q805" s="52"/>
      <c r="R805" s="103"/>
      <c r="S805" s="95"/>
      <c r="AB805" s="111"/>
      <c r="AC805" s="111"/>
      <c r="AD805" s="111"/>
      <c r="AE805" s="112"/>
      <c r="AF805" s="113"/>
      <c r="AG805" s="49"/>
      <c r="AH805" s="49"/>
      <c r="AI805" s="112"/>
      <c r="AJ805" s="91"/>
      <c r="AK805" s="114"/>
      <c r="AL805" s="112"/>
      <c r="AP805" s="7"/>
    </row>
    <row r="806" spans="1:42" x14ac:dyDescent="0.35">
      <c r="A806" s="94"/>
      <c r="B806" s="76"/>
      <c r="C806" s="94"/>
      <c r="D806" s="102"/>
      <c r="E806" s="94"/>
      <c r="F806" s="94"/>
      <c r="G806" s="94"/>
      <c r="H806" s="94"/>
      <c r="I806" s="94"/>
      <c r="J806" s="52"/>
      <c r="K806" s="52"/>
      <c r="L806" s="52"/>
      <c r="M806" s="52"/>
      <c r="N806" s="103"/>
      <c r="O806" s="52"/>
      <c r="P806" s="52"/>
      <c r="Q806" s="52"/>
      <c r="R806" s="103"/>
      <c r="S806" s="95"/>
      <c r="AB806" s="111"/>
      <c r="AC806" s="111"/>
      <c r="AD806" s="111"/>
      <c r="AE806" s="112"/>
      <c r="AF806" s="113"/>
      <c r="AG806" s="49"/>
      <c r="AH806" s="49"/>
      <c r="AI806" s="112"/>
      <c r="AJ806" s="91"/>
      <c r="AK806" s="114"/>
      <c r="AL806" s="112"/>
      <c r="AP806" s="7"/>
    </row>
    <row r="807" spans="1:42" x14ac:dyDescent="0.35">
      <c r="A807" s="94"/>
      <c r="B807" s="76"/>
      <c r="C807" s="94"/>
      <c r="D807" s="102"/>
      <c r="E807" s="94"/>
      <c r="F807" s="94"/>
      <c r="G807" s="94"/>
      <c r="H807" s="94"/>
      <c r="I807" s="94"/>
      <c r="J807" s="52"/>
      <c r="K807" s="52"/>
      <c r="L807" s="52"/>
      <c r="M807" s="52"/>
      <c r="N807" s="103"/>
      <c r="O807" s="52"/>
      <c r="P807" s="52"/>
      <c r="Q807" s="52"/>
      <c r="R807" s="103"/>
      <c r="S807" s="95"/>
      <c r="AB807" s="111"/>
      <c r="AC807" s="111"/>
      <c r="AD807" s="111"/>
      <c r="AE807" s="112"/>
      <c r="AF807" s="113"/>
      <c r="AG807" s="49"/>
      <c r="AH807" s="49"/>
      <c r="AI807" s="112"/>
      <c r="AJ807" s="91"/>
      <c r="AK807" s="114"/>
      <c r="AL807" s="112"/>
      <c r="AP807" s="7"/>
    </row>
    <row r="808" spans="1:42" x14ac:dyDescent="0.35">
      <c r="A808" s="94"/>
      <c r="B808" s="76"/>
      <c r="C808" s="94"/>
      <c r="D808" s="102"/>
      <c r="E808" s="94"/>
      <c r="F808" s="94"/>
      <c r="G808" s="94"/>
      <c r="H808" s="94"/>
      <c r="I808" s="94"/>
      <c r="J808" s="52"/>
      <c r="K808" s="52"/>
      <c r="L808" s="52"/>
      <c r="M808" s="52"/>
      <c r="N808" s="103"/>
      <c r="O808" s="52"/>
      <c r="P808" s="52"/>
      <c r="Q808" s="52"/>
      <c r="R808" s="103"/>
      <c r="S808" s="95"/>
      <c r="AB808" s="111"/>
      <c r="AC808" s="111"/>
      <c r="AD808" s="111"/>
      <c r="AE808" s="112"/>
      <c r="AF808" s="113"/>
      <c r="AG808" s="49"/>
      <c r="AH808" s="49"/>
      <c r="AI808" s="112"/>
      <c r="AJ808" s="91"/>
      <c r="AK808" s="114"/>
      <c r="AL808" s="112"/>
      <c r="AP808" s="7"/>
    </row>
    <row r="809" spans="1:42" x14ac:dyDescent="0.35">
      <c r="A809" s="94"/>
      <c r="B809" s="76"/>
      <c r="C809" s="94"/>
      <c r="D809" s="102"/>
      <c r="E809" s="94"/>
      <c r="F809" s="94"/>
      <c r="G809" s="94"/>
      <c r="H809" s="94"/>
      <c r="I809" s="94"/>
      <c r="J809" s="52"/>
      <c r="K809" s="52"/>
      <c r="L809" s="52"/>
      <c r="M809" s="52"/>
      <c r="N809" s="103"/>
      <c r="O809" s="52"/>
      <c r="P809" s="52"/>
      <c r="Q809" s="52"/>
      <c r="R809" s="103"/>
      <c r="S809" s="95"/>
      <c r="AB809" s="111"/>
      <c r="AC809" s="111"/>
      <c r="AD809" s="111"/>
      <c r="AE809" s="112"/>
      <c r="AF809" s="113"/>
      <c r="AG809" s="49"/>
      <c r="AH809" s="49"/>
      <c r="AI809" s="112"/>
      <c r="AJ809" s="91"/>
      <c r="AK809" s="114"/>
      <c r="AL809" s="112"/>
      <c r="AP809" s="7"/>
    </row>
    <row r="810" spans="1:42" x14ac:dyDescent="0.35">
      <c r="A810" s="94"/>
      <c r="B810" s="76"/>
      <c r="C810" s="94"/>
      <c r="D810" s="102"/>
      <c r="E810" s="94"/>
      <c r="F810" s="94"/>
      <c r="G810" s="94"/>
      <c r="H810" s="94"/>
      <c r="I810" s="94"/>
      <c r="J810" s="52"/>
      <c r="K810" s="52"/>
      <c r="L810" s="52"/>
      <c r="M810" s="52"/>
      <c r="N810" s="103"/>
      <c r="O810" s="52"/>
      <c r="P810" s="52"/>
      <c r="Q810" s="52"/>
      <c r="R810" s="103"/>
      <c r="S810" s="95"/>
      <c r="AB810" s="111"/>
      <c r="AC810" s="111"/>
      <c r="AD810" s="111"/>
      <c r="AE810" s="112"/>
      <c r="AF810" s="113"/>
      <c r="AG810" s="49"/>
      <c r="AH810" s="49"/>
      <c r="AI810" s="112"/>
      <c r="AJ810" s="91"/>
      <c r="AK810" s="114"/>
      <c r="AL810" s="112"/>
      <c r="AP810" s="7"/>
    </row>
    <row r="811" spans="1:42" x14ac:dyDescent="0.35">
      <c r="A811" s="94"/>
      <c r="B811" s="76"/>
      <c r="C811" s="94"/>
      <c r="D811" s="102"/>
      <c r="E811" s="94"/>
      <c r="F811" s="94"/>
      <c r="G811" s="94"/>
      <c r="H811" s="94"/>
      <c r="I811" s="94"/>
      <c r="J811" s="52"/>
      <c r="K811" s="52"/>
      <c r="L811" s="52"/>
      <c r="M811" s="52"/>
      <c r="N811" s="103"/>
      <c r="O811" s="52"/>
      <c r="P811" s="52"/>
      <c r="Q811" s="52"/>
      <c r="R811" s="103"/>
      <c r="S811" s="95"/>
      <c r="AB811" s="111"/>
      <c r="AC811" s="111"/>
      <c r="AD811" s="111"/>
      <c r="AE811" s="112"/>
      <c r="AF811" s="113"/>
      <c r="AG811" s="49"/>
      <c r="AH811" s="49"/>
      <c r="AI811" s="112"/>
      <c r="AJ811" s="91"/>
      <c r="AK811" s="114"/>
      <c r="AL811" s="112"/>
      <c r="AP811" s="7"/>
    </row>
    <row r="812" spans="1:42" x14ac:dyDescent="0.35">
      <c r="A812" s="94"/>
      <c r="B812" s="76"/>
      <c r="C812" s="94"/>
      <c r="D812" s="102"/>
      <c r="E812" s="94"/>
      <c r="F812" s="94"/>
      <c r="G812" s="94"/>
      <c r="H812" s="94"/>
      <c r="I812" s="94"/>
      <c r="J812" s="52"/>
      <c r="K812" s="52"/>
      <c r="L812" s="52"/>
      <c r="M812" s="52"/>
      <c r="N812" s="103"/>
      <c r="O812" s="52"/>
      <c r="P812" s="52"/>
      <c r="Q812" s="52"/>
      <c r="R812" s="103"/>
      <c r="S812" s="95"/>
      <c r="AB812" s="111"/>
      <c r="AC812" s="111"/>
      <c r="AD812" s="111"/>
      <c r="AE812" s="112"/>
      <c r="AF812" s="113"/>
      <c r="AG812" s="49"/>
      <c r="AH812" s="49"/>
      <c r="AI812" s="112"/>
      <c r="AJ812" s="91"/>
      <c r="AK812" s="114"/>
      <c r="AL812" s="112"/>
      <c r="AP812" s="7"/>
    </row>
    <row r="813" spans="1:42" x14ac:dyDescent="0.35">
      <c r="A813" s="94"/>
      <c r="B813" s="76"/>
      <c r="C813" s="94"/>
      <c r="D813" s="102"/>
      <c r="E813" s="94"/>
      <c r="F813" s="94"/>
      <c r="G813" s="94"/>
      <c r="H813" s="94"/>
      <c r="I813" s="94"/>
      <c r="J813" s="52"/>
      <c r="K813" s="52"/>
      <c r="L813" s="52"/>
      <c r="M813" s="52"/>
      <c r="N813" s="103"/>
      <c r="O813" s="52"/>
      <c r="P813" s="52"/>
      <c r="Q813" s="52"/>
      <c r="R813" s="103"/>
      <c r="S813" s="95"/>
      <c r="AB813" s="111"/>
      <c r="AC813" s="111"/>
      <c r="AD813" s="111"/>
      <c r="AE813" s="112"/>
      <c r="AF813" s="113"/>
      <c r="AG813" s="49"/>
      <c r="AH813" s="49"/>
      <c r="AI813" s="112"/>
      <c r="AJ813" s="91"/>
      <c r="AK813" s="114"/>
      <c r="AL813" s="112"/>
      <c r="AP813" s="7"/>
    </row>
    <row r="814" spans="1:42" x14ac:dyDescent="0.35">
      <c r="A814" s="94"/>
      <c r="B814" s="76"/>
      <c r="C814" s="94"/>
      <c r="D814" s="102"/>
      <c r="E814" s="94"/>
      <c r="F814" s="94"/>
      <c r="G814" s="94"/>
      <c r="H814" s="94"/>
      <c r="I814" s="94"/>
      <c r="J814" s="52"/>
      <c r="K814" s="52"/>
      <c r="L814" s="52"/>
      <c r="M814" s="52"/>
      <c r="N814" s="103"/>
      <c r="O814" s="52"/>
      <c r="P814" s="52"/>
      <c r="Q814" s="52"/>
      <c r="R814" s="103"/>
      <c r="S814" s="95"/>
      <c r="AB814" s="111"/>
      <c r="AC814" s="111"/>
      <c r="AD814" s="111"/>
      <c r="AE814" s="112"/>
      <c r="AF814" s="113"/>
      <c r="AG814" s="49"/>
      <c r="AH814" s="49"/>
      <c r="AI814" s="112"/>
      <c r="AJ814" s="91"/>
      <c r="AK814" s="114"/>
      <c r="AL814" s="112"/>
      <c r="AP814" s="7"/>
    </row>
    <row r="815" spans="1:42" x14ac:dyDescent="0.35">
      <c r="A815" s="94"/>
      <c r="B815" s="76"/>
      <c r="C815" s="94"/>
      <c r="D815" s="102"/>
      <c r="E815" s="94"/>
      <c r="F815" s="94"/>
      <c r="G815" s="94"/>
      <c r="H815" s="94"/>
      <c r="I815" s="94"/>
      <c r="J815" s="52"/>
      <c r="K815" s="52"/>
      <c r="L815" s="52"/>
      <c r="M815" s="52"/>
      <c r="N815" s="103"/>
      <c r="O815" s="52"/>
      <c r="P815" s="52"/>
      <c r="Q815" s="52"/>
      <c r="R815" s="103"/>
      <c r="S815" s="95"/>
      <c r="AB815" s="111"/>
      <c r="AC815" s="111"/>
      <c r="AD815" s="111"/>
      <c r="AE815" s="112"/>
      <c r="AF815" s="113"/>
      <c r="AG815" s="49"/>
      <c r="AH815" s="49"/>
      <c r="AI815" s="112"/>
      <c r="AJ815" s="91"/>
      <c r="AK815" s="114"/>
      <c r="AL815" s="112"/>
      <c r="AP815" s="7"/>
    </row>
    <row r="816" spans="1:42" x14ac:dyDescent="0.35">
      <c r="A816" s="94"/>
      <c r="B816" s="76"/>
      <c r="C816" s="94"/>
      <c r="D816" s="102"/>
      <c r="E816" s="94"/>
      <c r="F816" s="94"/>
      <c r="G816" s="94"/>
      <c r="H816" s="94"/>
      <c r="I816" s="94"/>
      <c r="J816" s="52"/>
      <c r="K816" s="52"/>
      <c r="L816" s="52"/>
      <c r="M816" s="52"/>
      <c r="N816" s="103"/>
      <c r="O816" s="52"/>
      <c r="P816" s="52"/>
      <c r="Q816" s="52"/>
      <c r="R816" s="103"/>
      <c r="S816" s="95"/>
      <c r="AB816" s="111"/>
      <c r="AC816" s="111"/>
      <c r="AD816" s="111"/>
      <c r="AE816" s="112"/>
      <c r="AF816" s="113"/>
      <c r="AG816" s="49"/>
      <c r="AH816" s="49"/>
      <c r="AI816" s="112"/>
      <c r="AJ816" s="91"/>
      <c r="AK816" s="114"/>
      <c r="AL816" s="112"/>
      <c r="AP816" s="7"/>
    </row>
    <row r="817" spans="1:42" x14ac:dyDescent="0.35">
      <c r="A817" s="94"/>
      <c r="B817" s="76"/>
      <c r="C817" s="94"/>
      <c r="D817" s="102"/>
      <c r="E817" s="94"/>
      <c r="F817" s="94"/>
      <c r="G817" s="94"/>
      <c r="H817" s="94"/>
      <c r="I817" s="94"/>
      <c r="J817" s="52"/>
      <c r="K817" s="52"/>
      <c r="L817" s="52"/>
      <c r="M817" s="52"/>
      <c r="N817" s="103"/>
      <c r="O817" s="52"/>
      <c r="P817" s="52"/>
      <c r="Q817" s="52"/>
      <c r="R817" s="103"/>
      <c r="S817" s="95"/>
      <c r="AB817" s="111"/>
      <c r="AC817" s="111"/>
      <c r="AD817" s="111"/>
      <c r="AE817" s="112"/>
      <c r="AF817" s="113"/>
      <c r="AG817" s="49"/>
      <c r="AH817" s="49"/>
      <c r="AI817" s="112"/>
      <c r="AJ817" s="91"/>
      <c r="AK817" s="114"/>
      <c r="AL817" s="112"/>
      <c r="AP817" s="7"/>
    </row>
    <row r="818" spans="1:42" x14ac:dyDescent="0.35">
      <c r="A818" s="94"/>
      <c r="B818" s="76"/>
      <c r="C818" s="94"/>
      <c r="D818" s="102"/>
      <c r="E818" s="94"/>
      <c r="F818" s="94"/>
      <c r="G818" s="94"/>
      <c r="H818" s="94"/>
      <c r="I818" s="94"/>
      <c r="J818" s="52"/>
      <c r="K818" s="52"/>
      <c r="L818" s="52"/>
      <c r="M818" s="52"/>
      <c r="N818" s="103"/>
      <c r="O818" s="52"/>
      <c r="P818" s="52"/>
      <c r="Q818" s="52"/>
      <c r="R818" s="103"/>
      <c r="S818" s="95"/>
      <c r="AB818" s="111"/>
      <c r="AC818" s="111"/>
      <c r="AD818" s="111"/>
      <c r="AE818" s="112"/>
      <c r="AF818" s="113"/>
      <c r="AG818" s="49"/>
      <c r="AH818" s="49"/>
      <c r="AI818" s="112"/>
      <c r="AJ818" s="91"/>
      <c r="AK818" s="114"/>
      <c r="AL818" s="112"/>
      <c r="AP818" s="7"/>
    </row>
    <row r="819" spans="1:42" x14ac:dyDescent="0.35">
      <c r="A819" s="94"/>
      <c r="B819" s="76"/>
      <c r="C819" s="94"/>
      <c r="D819" s="102"/>
      <c r="E819" s="94"/>
      <c r="F819" s="94"/>
      <c r="G819" s="94"/>
      <c r="H819" s="94"/>
      <c r="I819" s="94"/>
      <c r="J819" s="52"/>
      <c r="K819" s="52"/>
      <c r="L819" s="52"/>
      <c r="M819" s="52"/>
      <c r="N819" s="103"/>
      <c r="O819" s="52"/>
      <c r="P819" s="52"/>
      <c r="Q819" s="52"/>
      <c r="R819" s="103"/>
      <c r="S819" s="95"/>
      <c r="AB819" s="111"/>
      <c r="AC819" s="111"/>
      <c r="AD819" s="111"/>
      <c r="AE819" s="112"/>
      <c r="AF819" s="113"/>
      <c r="AG819" s="49"/>
      <c r="AH819" s="49"/>
      <c r="AI819" s="112"/>
      <c r="AJ819" s="91"/>
      <c r="AK819" s="114"/>
      <c r="AL819" s="112"/>
      <c r="AP819" s="7"/>
    </row>
    <row r="820" spans="1:42" x14ac:dyDescent="0.35">
      <c r="A820" s="94"/>
      <c r="B820" s="76"/>
      <c r="C820" s="94"/>
      <c r="D820" s="102"/>
      <c r="E820" s="94"/>
      <c r="F820" s="94"/>
      <c r="G820" s="94"/>
      <c r="H820" s="94"/>
      <c r="I820" s="94"/>
      <c r="J820" s="52"/>
      <c r="K820" s="52"/>
      <c r="L820" s="52"/>
      <c r="M820" s="52"/>
      <c r="N820" s="103"/>
      <c r="O820" s="52"/>
      <c r="P820" s="52"/>
      <c r="Q820" s="52"/>
      <c r="R820" s="103"/>
      <c r="S820" s="95"/>
      <c r="AB820" s="111"/>
      <c r="AC820" s="111"/>
      <c r="AD820" s="111"/>
      <c r="AE820" s="112"/>
      <c r="AF820" s="113"/>
      <c r="AG820" s="49"/>
      <c r="AH820" s="49"/>
      <c r="AI820" s="112"/>
      <c r="AJ820" s="91"/>
      <c r="AK820" s="114"/>
      <c r="AL820" s="112"/>
      <c r="AP820" s="7"/>
    </row>
    <row r="821" spans="1:42" x14ac:dyDescent="0.35">
      <c r="A821" s="94"/>
      <c r="B821" s="76"/>
      <c r="C821" s="94"/>
      <c r="D821" s="102"/>
      <c r="E821" s="94"/>
      <c r="F821" s="94"/>
      <c r="G821" s="94"/>
      <c r="H821" s="94"/>
      <c r="I821" s="94"/>
      <c r="J821" s="52"/>
      <c r="K821" s="52"/>
      <c r="L821" s="52"/>
      <c r="M821" s="52"/>
      <c r="N821" s="103"/>
      <c r="O821" s="52"/>
      <c r="P821" s="52"/>
      <c r="Q821" s="52"/>
      <c r="R821" s="103"/>
      <c r="S821" s="95"/>
      <c r="AB821" s="111"/>
      <c r="AC821" s="111"/>
      <c r="AD821" s="111"/>
      <c r="AE821" s="112"/>
      <c r="AF821" s="113"/>
      <c r="AG821" s="49"/>
      <c r="AH821" s="49"/>
      <c r="AI821" s="112"/>
      <c r="AJ821" s="91"/>
      <c r="AK821" s="114"/>
      <c r="AL821" s="112"/>
      <c r="AP821" s="7"/>
    </row>
    <row r="822" spans="1:42" x14ac:dyDescent="0.35">
      <c r="A822" s="94"/>
      <c r="B822" s="76"/>
      <c r="C822" s="94"/>
      <c r="D822" s="102"/>
      <c r="E822" s="94"/>
      <c r="F822" s="94"/>
      <c r="G822" s="94"/>
      <c r="H822" s="94"/>
      <c r="I822" s="94"/>
      <c r="J822" s="52"/>
      <c r="K822" s="52"/>
      <c r="L822" s="52"/>
      <c r="M822" s="52"/>
      <c r="N822" s="103"/>
      <c r="O822" s="52"/>
      <c r="P822" s="52"/>
      <c r="Q822" s="52"/>
      <c r="R822" s="103"/>
      <c r="S822" s="95"/>
      <c r="AB822" s="111"/>
      <c r="AC822" s="111"/>
      <c r="AD822" s="111"/>
      <c r="AE822" s="112"/>
      <c r="AF822" s="113"/>
      <c r="AG822" s="49"/>
      <c r="AH822" s="49"/>
      <c r="AI822" s="112"/>
      <c r="AJ822" s="91"/>
      <c r="AK822" s="114"/>
      <c r="AL822" s="112"/>
      <c r="AP822" s="7"/>
    </row>
    <row r="823" spans="1:42" x14ac:dyDescent="0.35">
      <c r="A823" s="94"/>
      <c r="B823" s="76"/>
      <c r="C823" s="94"/>
      <c r="D823" s="102"/>
      <c r="E823" s="94"/>
      <c r="F823" s="94"/>
      <c r="G823" s="94"/>
      <c r="H823" s="94"/>
      <c r="I823" s="94"/>
      <c r="J823" s="52"/>
      <c r="K823" s="52"/>
      <c r="L823" s="52"/>
      <c r="M823" s="52"/>
      <c r="N823" s="103"/>
      <c r="O823" s="52"/>
      <c r="P823" s="52"/>
      <c r="Q823" s="52"/>
      <c r="R823" s="103"/>
      <c r="S823" s="95"/>
      <c r="AB823" s="111"/>
      <c r="AC823" s="111"/>
      <c r="AD823" s="111"/>
      <c r="AE823" s="112"/>
      <c r="AF823" s="113"/>
      <c r="AG823" s="49"/>
      <c r="AH823" s="49"/>
      <c r="AI823" s="112"/>
      <c r="AJ823" s="91"/>
      <c r="AK823" s="114"/>
      <c r="AL823" s="112"/>
      <c r="AP823" s="7"/>
    </row>
    <row r="824" spans="1:42" x14ac:dyDescent="0.35">
      <c r="A824" s="94"/>
      <c r="B824" s="76"/>
      <c r="C824" s="94"/>
      <c r="D824" s="102"/>
      <c r="E824" s="94"/>
      <c r="F824" s="94"/>
      <c r="G824" s="94"/>
      <c r="H824" s="94"/>
      <c r="I824" s="94"/>
      <c r="J824" s="52"/>
      <c r="K824" s="52"/>
      <c r="L824" s="52"/>
      <c r="M824" s="52"/>
      <c r="N824" s="103"/>
      <c r="O824" s="52"/>
      <c r="P824" s="52"/>
      <c r="Q824" s="52"/>
      <c r="R824" s="103"/>
      <c r="S824" s="95"/>
      <c r="AB824" s="111"/>
      <c r="AC824" s="111"/>
      <c r="AD824" s="111"/>
      <c r="AE824" s="112"/>
      <c r="AF824" s="113"/>
      <c r="AG824" s="49"/>
      <c r="AH824" s="49"/>
      <c r="AI824" s="112"/>
      <c r="AJ824" s="91"/>
      <c r="AK824" s="114"/>
      <c r="AL824" s="112"/>
      <c r="AP824" s="7"/>
    </row>
    <row r="825" spans="1:42" x14ac:dyDescent="0.35">
      <c r="A825" s="94"/>
      <c r="B825" s="76"/>
      <c r="C825" s="94"/>
      <c r="D825" s="102"/>
      <c r="E825" s="94"/>
      <c r="F825" s="94"/>
      <c r="G825" s="94"/>
      <c r="H825" s="94"/>
      <c r="I825" s="94"/>
      <c r="J825" s="52"/>
      <c r="K825" s="52"/>
      <c r="L825" s="52"/>
      <c r="M825" s="52"/>
      <c r="N825" s="103"/>
      <c r="O825" s="52"/>
      <c r="P825" s="52"/>
      <c r="Q825" s="52"/>
      <c r="R825" s="103"/>
      <c r="S825" s="95"/>
      <c r="AB825" s="111"/>
      <c r="AC825" s="111"/>
      <c r="AD825" s="111"/>
      <c r="AE825" s="112"/>
      <c r="AF825" s="113"/>
      <c r="AG825" s="49"/>
      <c r="AH825" s="49"/>
      <c r="AI825" s="112"/>
      <c r="AJ825" s="91"/>
      <c r="AK825" s="114"/>
      <c r="AL825" s="112"/>
      <c r="AP825" s="7"/>
    </row>
    <row r="826" spans="1:42" x14ac:dyDescent="0.35">
      <c r="A826" s="94"/>
      <c r="B826" s="76"/>
      <c r="C826" s="94"/>
      <c r="D826" s="102"/>
      <c r="E826" s="94"/>
      <c r="F826" s="94"/>
      <c r="G826" s="94"/>
      <c r="H826" s="94"/>
      <c r="I826" s="94"/>
      <c r="J826" s="52"/>
      <c r="K826" s="52"/>
      <c r="L826" s="52"/>
      <c r="M826" s="52"/>
      <c r="N826" s="103"/>
      <c r="O826" s="52"/>
      <c r="P826" s="52"/>
      <c r="Q826" s="52"/>
      <c r="R826" s="103"/>
      <c r="S826" s="95"/>
      <c r="AB826" s="111"/>
      <c r="AC826" s="111"/>
      <c r="AD826" s="111"/>
      <c r="AE826" s="112"/>
      <c r="AF826" s="113"/>
      <c r="AG826" s="49"/>
      <c r="AH826" s="49"/>
      <c r="AI826" s="112"/>
      <c r="AJ826" s="91"/>
      <c r="AK826" s="114"/>
      <c r="AL826" s="112"/>
      <c r="AP826" s="7"/>
    </row>
    <row r="827" spans="1:42" x14ac:dyDescent="0.35">
      <c r="A827" s="94"/>
      <c r="B827" s="76"/>
      <c r="C827" s="94"/>
      <c r="D827" s="102"/>
      <c r="E827" s="94"/>
      <c r="F827" s="94"/>
      <c r="G827" s="94"/>
      <c r="H827" s="94"/>
      <c r="I827" s="94"/>
      <c r="J827" s="52"/>
      <c r="K827" s="52"/>
      <c r="L827" s="52"/>
      <c r="M827" s="52"/>
      <c r="N827" s="103"/>
      <c r="O827" s="52"/>
      <c r="P827" s="52"/>
      <c r="Q827" s="52"/>
      <c r="R827" s="103"/>
      <c r="S827" s="95"/>
      <c r="AB827" s="111"/>
      <c r="AC827" s="111"/>
      <c r="AD827" s="111"/>
      <c r="AE827" s="112"/>
      <c r="AF827" s="113"/>
      <c r="AG827" s="49"/>
      <c r="AH827" s="49"/>
      <c r="AI827" s="112"/>
      <c r="AJ827" s="91"/>
      <c r="AK827" s="114"/>
      <c r="AL827" s="112"/>
      <c r="AP827" s="7"/>
    </row>
    <row r="828" spans="1:42" x14ac:dyDescent="0.35">
      <c r="A828" s="94"/>
      <c r="B828" s="76"/>
      <c r="C828" s="94"/>
      <c r="D828" s="102"/>
      <c r="E828" s="94"/>
      <c r="F828" s="94"/>
      <c r="G828" s="94"/>
      <c r="H828" s="94"/>
      <c r="I828" s="94"/>
      <c r="J828" s="52"/>
      <c r="K828" s="52"/>
      <c r="L828" s="52"/>
      <c r="M828" s="52"/>
      <c r="N828" s="103"/>
      <c r="O828" s="52"/>
      <c r="P828" s="52"/>
      <c r="Q828" s="52"/>
      <c r="R828" s="103"/>
      <c r="S828" s="95"/>
      <c r="AB828" s="111"/>
      <c r="AC828" s="111"/>
      <c r="AD828" s="111"/>
      <c r="AE828" s="112"/>
      <c r="AF828" s="113"/>
      <c r="AG828" s="49"/>
      <c r="AH828" s="49"/>
      <c r="AI828" s="112"/>
      <c r="AJ828" s="91"/>
      <c r="AK828" s="114"/>
      <c r="AL828" s="112"/>
      <c r="AP828" s="7"/>
    </row>
    <row r="829" spans="1:42" x14ac:dyDescent="0.35">
      <c r="A829" s="94"/>
      <c r="B829" s="76"/>
      <c r="C829" s="94"/>
      <c r="D829" s="102"/>
      <c r="E829" s="94"/>
      <c r="F829" s="94"/>
      <c r="G829" s="94"/>
      <c r="H829" s="94"/>
      <c r="I829" s="94"/>
      <c r="J829" s="52"/>
      <c r="K829" s="52"/>
      <c r="L829" s="52"/>
      <c r="M829" s="52"/>
      <c r="N829" s="103"/>
      <c r="O829" s="52"/>
      <c r="P829" s="52"/>
      <c r="Q829" s="52"/>
      <c r="R829" s="103"/>
      <c r="S829" s="95"/>
      <c r="AB829" s="111"/>
      <c r="AC829" s="111"/>
      <c r="AD829" s="111"/>
      <c r="AE829" s="112"/>
      <c r="AF829" s="113"/>
      <c r="AG829" s="49"/>
      <c r="AH829" s="49"/>
      <c r="AI829" s="112"/>
      <c r="AJ829" s="91"/>
      <c r="AK829" s="114"/>
      <c r="AL829" s="112"/>
      <c r="AP829" s="7"/>
    </row>
    <row r="830" spans="1:42" x14ac:dyDescent="0.35">
      <c r="A830" s="94"/>
      <c r="B830" s="76"/>
      <c r="C830" s="94"/>
      <c r="D830" s="102"/>
      <c r="E830" s="94"/>
      <c r="F830" s="94"/>
      <c r="G830" s="94"/>
      <c r="H830" s="94"/>
      <c r="I830" s="94"/>
      <c r="J830" s="52"/>
      <c r="K830" s="52"/>
      <c r="L830" s="52"/>
      <c r="M830" s="52"/>
      <c r="N830" s="103"/>
      <c r="O830" s="52"/>
      <c r="P830" s="52"/>
      <c r="Q830" s="52"/>
      <c r="R830" s="103"/>
      <c r="S830" s="95"/>
      <c r="AB830" s="111"/>
      <c r="AC830" s="111"/>
      <c r="AD830" s="111"/>
      <c r="AE830" s="112"/>
      <c r="AF830" s="113"/>
      <c r="AG830" s="49"/>
      <c r="AH830" s="49"/>
      <c r="AI830" s="112"/>
      <c r="AJ830" s="91"/>
      <c r="AK830" s="114"/>
      <c r="AL830" s="112"/>
      <c r="AP830" s="7"/>
    </row>
    <row r="831" spans="1:42" x14ac:dyDescent="0.35">
      <c r="A831" s="94"/>
      <c r="B831" s="76"/>
      <c r="C831" s="94"/>
      <c r="D831" s="102"/>
      <c r="E831" s="94"/>
      <c r="F831" s="94"/>
      <c r="G831" s="94"/>
      <c r="H831" s="94"/>
      <c r="I831" s="94"/>
      <c r="J831" s="52"/>
      <c r="K831" s="52"/>
      <c r="L831" s="52"/>
      <c r="M831" s="52"/>
      <c r="N831" s="103"/>
      <c r="O831" s="52"/>
      <c r="P831" s="52"/>
      <c r="Q831" s="52"/>
      <c r="R831" s="103"/>
      <c r="S831" s="95"/>
      <c r="AB831" s="111"/>
      <c r="AC831" s="111"/>
      <c r="AD831" s="111"/>
      <c r="AE831" s="112"/>
      <c r="AF831" s="113"/>
      <c r="AG831" s="49"/>
      <c r="AH831" s="49"/>
      <c r="AI831" s="112"/>
      <c r="AJ831" s="91"/>
      <c r="AK831" s="114"/>
      <c r="AL831" s="112"/>
      <c r="AP831" s="7"/>
    </row>
    <row r="832" spans="1:42" x14ac:dyDescent="0.35">
      <c r="A832" s="94"/>
      <c r="B832" s="76"/>
      <c r="C832" s="94"/>
      <c r="D832" s="102"/>
      <c r="E832" s="94"/>
      <c r="F832" s="94"/>
      <c r="G832" s="94"/>
      <c r="H832" s="94"/>
      <c r="I832" s="94"/>
      <c r="J832" s="52"/>
      <c r="K832" s="52"/>
      <c r="L832" s="52"/>
      <c r="M832" s="52"/>
      <c r="N832" s="103"/>
      <c r="O832" s="52"/>
      <c r="P832" s="52"/>
      <c r="Q832" s="52"/>
      <c r="R832" s="103"/>
      <c r="S832" s="95"/>
      <c r="AB832" s="111"/>
      <c r="AC832" s="111"/>
      <c r="AD832" s="111"/>
      <c r="AE832" s="112"/>
      <c r="AF832" s="113"/>
      <c r="AG832" s="49"/>
      <c r="AH832" s="49"/>
      <c r="AI832" s="112"/>
      <c r="AJ832" s="91"/>
      <c r="AK832" s="114"/>
      <c r="AL832" s="112"/>
      <c r="AP832" s="7"/>
    </row>
    <row r="833" spans="1:42" x14ac:dyDescent="0.35">
      <c r="A833" s="94"/>
      <c r="B833" s="76"/>
      <c r="C833" s="94"/>
      <c r="D833" s="102"/>
      <c r="E833" s="94"/>
      <c r="F833" s="94"/>
      <c r="G833" s="94"/>
      <c r="H833" s="94"/>
      <c r="I833" s="94"/>
      <c r="J833" s="52"/>
      <c r="K833" s="52"/>
      <c r="L833" s="52"/>
      <c r="M833" s="52"/>
      <c r="N833" s="103"/>
      <c r="O833" s="52"/>
      <c r="P833" s="52"/>
      <c r="Q833" s="52"/>
      <c r="R833" s="103"/>
      <c r="S833" s="95"/>
      <c r="AB833" s="111"/>
      <c r="AC833" s="111"/>
      <c r="AD833" s="111"/>
      <c r="AE833" s="112"/>
      <c r="AF833" s="113"/>
      <c r="AG833" s="49"/>
      <c r="AH833" s="49"/>
      <c r="AI833" s="112"/>
      <c r="AJ833" s="91"/>
      <c r="AK833" s="114"/>
      <c r="AL833" s="112"/>
      <c r="AP833" s="7"/>
    </row>
    <row r="834" spans="1:42" x14ac:dyDescent="0.35">
      <c r="A834" s="94"/>
      <c r="B834" s="76"/>
      <c r="C834" s="94"/>
      <c r="D834" s="102"/>
      <c r="E834" s="94"/>
      <c r="F834" s="94"/>
      <c r="G834" s="94"/>
      <c r="H834" s="94"/>
      <c r="I834" s="94"/>
      <c r="J834" s="52"/>
      <c r="K834" s="52"/>
      <c r="L834" s="52"/>
      <c r="M834" s="52"/>
      <c r="N834" s="103"/>
      <c r="O834" s="52"/>
      <c r="P834" s="52"/>
      <c r="Q834" s="52"/>
      <c r="R834" s="103"/>
      <c r="S834" s="95"/>
      <c r="AB834" s="111"/>
      <c r="AC834" s="111"/>
      <c r="AD834" s="111"/>
      <c r="AE834" s="112"/>
      <c r="AF834" s="113"/>
      <c r="AG834" s="49"/>
      <c r="AH834" s="49"/>
      <c r="AI834" s="112"/>
      <c r="AJ834" s="91"/>
      <c r="AK834" s="114"/>
      <c r="AL834" s="112"/>
      <c r="AP834" s="7"/>
    </row>
    <row r="835" spans="1:42" x14ac:dyDescent="0.35">
      <c r="A835" s="94"/>
      <c r="B835" s="76"/>
      <c r="C835" s="94"/>
      <c r="D835" s="102"/>
      <c r="E835" s="94"/>
      <c r="F835" s="94"/>
      <c r="G835" s="94"/>
      <c r="H835" s="94"/>
      <c r="I835" s="94"/>
      <c r="J835" s="52"/>
      <c r="K835" s="52"/>
      <c r="L835" s="52"/>
      <c r="M835" s="52"/>
      <c r="N835" s="103"/>
      <c r="O835" s="52"/>
      <c r="P835" s="52"/>
      <c r="Q835" s="52"/>
      <c r="R835" s="103"/>
      <c r="S835" s="95"/>
      <c r="AB835" s="111"/>
      <c r="AC835" s="111"/>
      <c r="AD835" s="111"/>
      <c r="AE835" s="112"/>
      <c r="AF835" s="113"/>
      <c r="AG835" s="49"/>
      <c r="AH835" s="49"/>
      <c r="AI835" s="112"/>
      <c r="AJ835" s="91"/>
      <c r="AK835" s="114"/>
      <c r="AL835" s="112"/>
      <c r="AP835" s="7"/>
    </row>
    <row r="836" spans="1:42" x14ac:dyDescent="0.35">
      <c r="A836" s="94"/>
      <c r="B836" s="76"/>
      <c r="C836" s="94"/>
      <c r="D836" s="102"/>
      <c r="E836" s="94"/>
      <c r="F836" s="94"/>
      <c r="G836" s="94"/>
      <c r="H836" s="94"/>
      <c r="I836" s="94"/>
      <c r="J836" s="52"/>
      <c r="K836" s="52"/>
      <c r="L836" s="52"/>
      <c r="M836" s="52"/>
      <c r="N836" s="103"/>
      <c r="O836" s="52"/>
      <c r="P836" s="52"/>
      <c r="Q836" s="52"/>
      <c r="R836" s="103"/>
      <c r="S836" s="95"/>
      <c r="AB836" s="111"/>
      <c r="AC836" s="111"/>
      <c r="AD836" s="111"/>
      <c r="AE836" s="112"/>
      <c r="AF836" s="113"/>
      <c r="AG836" s="49"/>
      <c r="AH836" s="49"/>
      <c r="AI836" s="112"/>
      <c r="AJ836" s="91"/>
      <c r="AK836" s="114"/>
      <c r="AL836" s="112"/>
      <c r="AP836" s="7"/>
    </row>
    <row r="837" spans="1:42" x14ac:dyDescent="0.35">
      <c r="A837" s="94"/>
      <c r="B837" s="76"/>
      <c r="C837" s="94"/>
      <c r="D837" s="102"/>
      <c r="E837" s="94"/>
      <c r="F837" s="94"/>
      <c r="G837" s="94"/>
      <c r="H837" s="94"/>
      <c r="I837" s="94"/>
      <c r="J837" s="52"/>
      <c r="K837" s="52"/>
      <c r="L837" s="52"/>
      <c r="M837" s="52"/>
      <c r="N837" s="103"/>
      <c r="O837" s="52"/>
      <c r="P837" s="52"/>
      <c r="Q837" s="52"/>
      <c r="R837" s="103"/>
      <c r="S837" s="95"/>
      <c r="AB837" s="111"/>
      <c r="AC837" s="111"/>
      <c r="AD837" s="111"/>
      <c r="AE837" s="112"/>
      <c r="AF837" s="113"/>
      <c r="AG837" s="49"/>
      <c r="AH837" s="49"/>
      <c r="AI837" s="112"/>
      <c r="AJ837" s="91"/>
      <c r="AK837" s="114"/>
      <c r="AL837" s="112"/>
      <c r="AP837" s="7"/>
    </row>
    <row r="838" spans="1:42" x14ac:dyDescent="0.35">
      <c r="A838" s="94"/>
      <c r="B838" s="76"/>
      <c r="C838" s="94"/>
      <c r="D838" s="102"/>
      <c r="E838" s="94"/>
      <c r="F838" s="94"/>
      <c r="G838" s="94"/>
      <c r="H838" s="94"/>
      <c r="I838" s="94"/>
      <c r="J838" s="52"/>
      <c r="K838" s="52"/>
      <c r="L838" s="52"/>
      <c r="M838" s="52"/>
      <c r="N838" s="103"/>
      <c r="O838" s="52"/>
      <c r="P838" s="52"/>
      <c r="Q838" s="52"/>
      <c r="R838" s="103"/>
      <c r="S838" s="95"/>
      <c r="AB838" s="111"/>
      <c r="AC838" s="111"/>
      <c r="AD838" s="111"/>
      <c r="AE838" s="112"/>
      <c r="AF838" s="113"/>
      <c r="AG838" s="49"/>
      <c r="AH838" s="49"/>
      <c r="AI838" s="112"/>
      <c r="AJ838" s="91"/>
      <c r="AK838" s="114"/>
      <c r="AL838" s="112"/>
      <c r="AP838" s="7"/>
    </row>
    <row r="839" spans="1:42" x14ac:dyDescent="0.35">
      <c r="A839" s="94"/>
      <c r="B839" s="76"/>
      <c r="C839" s="94"/>
      <c r="D839" s="102"/>
      <c r="E839" s="94"/>
      <c r="F839" s="94"/>
      <c r="G839" s="94"/>
      <c r="H839" s="94"/>
      <c r="I839" s="94"/>
      <c r="J839" s="52"/>
      <c r="K839" s="52"/>
      <c r="L839" s="52"/>
      <c r="M839" s="52"/>
      <c r="N839" s="103"/>
      <c r="O839" s="52"/>
      <c r="P839" s="52"/>
      <c r="Q839" s="52"/>
      <c r="R839" s="103"/>
      <c r="S839" s="95"/>
      <c r="AB839" s="111"/>
      <c r="AC839" s="111"/>
      <c r="AD839" s="111"/>
      <c r="AE839" s="112"/>
      <c r="AF839" s="113"/>
      <c r="AG839" s="49"/>
      <c r="AH839" s="49"/>
      <c r="AI839" s="112"/>
      <c r="AJ839" s="91"/>
      <c r="AK839" s="114"/>
      <c r="AL839" s="112"/>
      <c r="AP839" s="7"/>
    </row>
    <row r="840" spans="1:42" x14ac:dyDescent="0.35">
      <c r="A840" s="94"/>
      <c r="B840" s="76"/>
      <c r="C840" s="94"/>
      <c r="D840" s="102"/>
      <c r="E840" s="94"/>
      <c r="F840" s="94"/>
      <c r="G840" s="94"/>
      <c r="H840" s="94"/>
      <c r="I840" s="94"/>
      <c r="J840" s="52"/>
      <c r="K840" s="52"/>
      <c r="L840" s="52"/>
      <c r="M840" s="52"/>
      <c r="N840" s="103"/>
      <c r="O840" s="52"/>
      <c r="P840" s="52"/>
      <c r="Q840" s="52"/>
      <c r="R840" s="103"/>
      <c r="S840" s="95"/>
      <c r="AB840" s="111"/>
      <c r="AC840" s="111"/>
      <c r="AD840" s="111"/>
      <c r="AE840" s="112"/>
      <c r="AF840" s="113"/>
      <c r="AG840" s="49"/>
      <c r="AH840" s="49"/>
      <c r="AI840" s="112"/>
      <c r="AJ840" s="91"/>
      <c r="AK840" s="114"/>
      <c r="AL840" s="112"/>
      <c r="AP840" s="7"/>
    </row>
    <row r="841" spans="1:42" x14ac:dyDescent="0.35">
      <c r="A841" s="94"/>
      <c r="B841" s="76"/>
      <c r="C841" s="94"/>
      <c r="D841" s="102"/>
      <c r="E841" s="94"/>
      <c r="F841" s="94"/>
      <c r="G841" s="94"/>
      <c r="H841" s="94"/>
      <c r="I841" s="94"/>
      <c r="J841" s="52"/>
      <c r="K841" s="52"/>
      <c r="L841" s="52"/>
      <c r="M841" s="52"/>
      <c r="N841" s="103"/>
      <c r="O841" s="52"/>
      <c r="P841" s="52"/>
      <c r="Q841" s="52"/>
      <c r="R841" s="103"/>
      <c r="S841" s="95"/>
      <c r="AB841" s="111"/>
      <c r="AC841" s="111"/>
      <c r="AD841" s="111"/>
      <c r="AE841" s="112"/>
      <c r="AF841" s="113"/>
      <c r="AG841" s="49"/>
      <c r="AH841" s="49"/>
      <c r="AI841" s="112"/>
      <c r="AJ841" s="91"/>
      <c r="AK841" s="114"/>
      <c r="AL841" s="112"/>
      <c r="AP841" s="7"/>
    </row>
    <row r="842" spans="1:42" x14ac:dyDescent="0.35">
      <c r="A842" s="94"/>
      <c r="B842" s="76"/>
      <c r="C842" s="94"/>
      <c r="D842" s="102"/>
      <c r="E842" s="94"/>
      <c r="F842" s="94"/>
      <c r="G842" s="94"/>
      <c r="H842" s="94"/>
      <c r="I842" s="94"/>
      <c r="J842" s="52"/>
      <c r="K842" s="52"/>
      <c r="L842" s="52"/>
      <c r="M842" s="52"/>
      <c r="N842" s="103"/>
      <c r="O842" s="52"/>
      <c r="P842" s="52"/>
      <c r="Q842" s="52"/>
      <c r="R842" s="103"/>
      <c r="S842" s="95"/>
      <c r="AB842" s="111"/>
      <c r="AC842" s="111"/>
      <c r="AD842" s="111"/>
      <c r="AE842" s="112"/>
      <c r="AF842" s="113"/>
      <c r="AG842" s="49"/>
      <c r="AH842" s="49"/>
      <c r="AI842" s="112"/>
      <c r="AJ842" s="91"/>
      <c r="AK842" s="114"/>
      <c r="AL842" s="112"/>
      <c r="AP842" s="7"/>
    </row>
    <row r="843" spans="1:42" x14ac:dyDescent="0.35">
      <c r="A843" s="94"/>
      <c r="B843" s="76"/>
      <c r="C843" s="94"/>
      <c r="D843" s="102"/>
      <c r="E843" s="94"/>
      <c r="F843" s="94"/>
      <c r="G843" s="94"/>
      <c r="H843" s="94"/>
      <c r="I843" s="94"/>
      <c r="J843" s="52"/>
      <c r="K843" s="52"/>
      <c r="L843" s="52"/>
      <c r="M843" s="52"/>
      <c r="N843" s="103"/>
      <c r="O843" s="52"/>
      <c r="P843" s="52"/>
      <c r="Q843" s="52"/>
      <c r="R843" s="103"/>
      <c r="S843" s="95"/>
      <c r="AB843" s="111"/>
      <c r="AC843" s="111"/>
      <c r="AD843" s="111"/>
      <c r="AE843" s="112"/>
      <c r="AF843" s="113"/>
      <c r="AG843" s="49"/>
      <c r="AH843" s="49"/>
      <c r="AI843" s="112"/>
      <c r="AJ843" s="91"/>
      <c r="AK843" s="114"/>
      <c r="AL843" s="112"/>
      <c r="AP843" s="7"/>
    </row>
    <row r="844" spans="1:42" x14ac:dyDescent="0.35">
      <c r="A844" s="94"/>
      <c r="B844" s="76"/>
      <c r="C844" s="94"/>
      <c r="D844" s="102"/>
      <c r="E844" s="94"/>
      <c r="F844" s="94"/>
      <c r="G844" s="94"/>
      <c r="H844" s="94"/>
      <c r="I844" s="94"/>
      <c r="J844" s="52"/>
      <c r="K844" s="52"/>
      <c r="L844" s="52"/>
      <c r="M844" s="52"/>
      <c r="N844" s="103"/>
      <c r="O844" s="52"/>
      <c r="P844" s="52"/>
      <c r="Q844" s="52"/>
      <c r="R844" s="103"/>
      <c r="S844" s="95"/>
      <c r="AB844" s="111"/>
      <c r="AC844" s="111"/>
      <c r="AD844" s="111"/>
      <c r="AE844" s="112"/>
      <c r="AF844" s="113"/>
      <c r="AG844" s="49"/>
      <c r="AH844" s="49"/>
      <c r="AI844" s="112"/>
      <c r="AJ844" s="91"/>
      <c r="AK844" s="114"/>
      <c r="AL844" s="112"/>
      <c r="AP844" s="7"/>
    </row>
    <row r="845" spans="1:42" x14ac:dyDescent="0.35">
      <c r="A845" s="94"/>
      <c r="B845" s="76"/>
      <c r="C845" s="94"/>
      <c r="D845" s="102"/>
      <c r="E845" s="94"/>
      <c r="F845" s="94"/>
      <c r="G845" s="94"/>
      <c r="H845" s="94"/>
      <c r="I845" s="94"/>
      <c r="J845" s="52"/>
      <c r="K845" s="52"/>
      <c r="L845" s="52"/>
      <c r="M845" s="52"/>
      <c r="N845" s="103"/>
      <c r="O845" s="52"/>
      <c r="P845" s="52"/>
      <c r="Q845" s="52"/>
      <c r="R845" s="103"/>
      <c r="S845" s="95"/>
      <c r="AB845" s="111"/>
      <c r="AC845" s="111"/>
      <c r="AD845" s="111"/>
      <c r="AE845" s="112"/>
      <c r="AF845" s="113"/>
      <c r="AG845" s="49"/>
      <c r="AH845" s="49"/>
      <c r="AI845" s="112"/>
      <c r="AJ845" s="91"/>
      <c r="AK845" s="114"/>
      <c r="AL845" s="112"/>
      <c r="AP845" s="7"/>
    </row>
    <row r="846" spans="1:42" x14ac:dyDescent="0.35">
      <c r="A846" s="94"/>
      <c r="B846" s="76"/>
      <c r="C846" s="94"/>
      <c r="D846" s="102"/>
      <c r="E846" s="94"/>
      <c r="F846" s="94"/>
      <c r="G846" s="94"/>
      <c r="H846" s="94"/>
      <c r="I846" s="94"/>
      <c r="J846" s="52"/>
      <c r="K846" s="52"/>
      <c r="L846" s="52"/>
      <c r="M846" s="52"/>
      <c r="N846" s="103"/>
      <c r="O846" s="52"/>
      <c r="P846" s="52"/>
      <c r="Q846" s="52"/>
      <c r="R846" s="103"/>
      <c r="S846" s="95"/>
      <c r="AB846" s="111"/>
      <c r="AC846" s="111"/>
      <c r="AD846" s="111"/>
      <c r="AE846" s="112"/>
      <c r="AF846" s="113"/>
      <c r="AG846" s="49"/>
      <c r="AH846" s="49"/>
      <c r="AI846" s="112"/>
      <c r="AJ846" s="91"/>
      <c r="AK846" s="114"/>
      <c r="AL846" s="112"/>
      <c r="AP846" s="7"/>
    </row>
    <row r="847" spans="1:42" x14ac:dyDescent="0.35">
      <c r="A847" s="94"/>
      <c r="B847" s="76"/>
      <c r="C847" s="94"/>
      <c r="D847" s="102"/>
      <c r="E847" s="94"/>
      <c r="F847" s="94"/>
      <c r="G847" s="94"/>
      <c r="H847" s="94"/>
      <c r="I847" s="94"/>
      <c r="J847" s="52"/>
      <c r="K847" s="52"/>
      <c r="L847" s="52"/>
      <c r="M847" s="52"/>
      <c r="N847" s="103"/>
      <c r="O847" s="52"/>
      <c r="P847" s="52"/>
      <c r="Q847" s="52"/>
      <c r="R847" s="103"/>
      <c r="S847" s="95"/>
      <c r="AB847" s="111"/>
      <c r="AC847" s="111"/>
      <c r="AD847" s="111"/>
      <c r="AE847" s="112"/>
      <c r="AF847" s="113"/>
      <c r="AG847" s="49"/>
      <c r="AH847" s="49"/>
      <c r="AI847" s="112"/>
      <c r="AJ847" s="91"/>
      <c r="AK847" s="114"/>
      <c r="AL847" s="112"/>
      <c r="AP847" s="7"/>
    </row>
    <row r="848" spans="1:42" x14ac:dyDescent="0.35">
      <c r="A848" s="94"/>
      <c r="B848" s="76"/>
      <c r="C848" s="94"/>
      <c r="D848" s="102"/>
      <c r="E848" s="94"/>
      <c r="F848" s="94"/>
      <c r="G848" s="94"/>
      <c r="H848" s="94"/>
      <c r="I848" s="94"/>
      <c r="J848" s="52"/>
      <c r="K848" s="52"/>
      <c r="L848" s="52"/>
      <c r="M848" s="52"/>
      <c r="N848" s="103"/>
      <c r="O848" s="52"/>
      <c r="P848" s="52"/>
      <c r="Q848" s="52"/>
      <c r="R848" s="103"/>
      <c r="S848" s="95"/>
      <c r="AB848" s="111"/>
      <c r="AC848" s="111"/>
      <c r="AD848" s="111"/>
      <c r="AE848" s="112"/>
      <c r="AF848" s="113"/>
      <c r="AG848" s="49"/>
      <c r="AH848" s="49"/>
      <c r="AI848" s="112"/>
      <c r="AJ848" s="91"/>
      <c r="AK848" s="114"/>
      <c r="AL848" s="112"/>
      <c r="AP848" s="7"/>
    </row>
    <row r="849" spans="1:42" x14ac:dyDescent="0.35">
      <c r="A849" s="94"/>
      <c r="B849" s="76"/>
      <c r="C849" s="94"/>
      <c r="D849" s="102"/>
      <c r="E849" s="94"/>
      <c r="F849" s="94"/>
      <c r="G849" s="94"/>
      <c r="H849" s="94"/>
      <c r="I849" s="94"/>
      <c r="J849" s="52"/>
      <c r="K849" s="52"/>
      <c r="L849" s="52"/>
      <c r="M849" s="52"/>
      <c r="N849" s="103"/>
      <c r="O849" s="52"/>
      <c r="P849" s="52"/>
      <c r="Q849" s="52"/>
      <c r="R849" s="103"/>
      <c r="S849" s="95"/>
      <c r="AB849" s="111"/>
      <c r="AC849" s="111"/>
      <c r="AD849" s="111"/>
      <c r="AE849" s="112"/>
      <c r="AF849" s="113"/>
      <c r="AG849" s="49"/>
      <c r="AH849" s="49"/>
      <c r="AI849" s="112"/>
      <c r="AJ849" s="91"/>
      <c r="AK849" s="114"/>
      <c r="AL849" s="112"/>
      <c r="AP849" s="7"/>
    </row>
    <row r="850" spans="1:42" x14ac:dyDescent="0.35">
      <c r="A850" s="94"/>
      <c r="B850" s="76"/>
      <c r="C850" s="94"/>
      <c r="D850" s="102"/>
      <c r="E850" s="94"/>
      <c r="F850" s="94"/>
      <c r="G850" s="94"/>
      <c r="H850" s="94"/>
      <c r="I850" s="94"/>
      <c r="J850" s="52"/>
      <c r="K850" s="52"/>
      <c r="L850" s="52"/>
      <c r="M850" s="52"/>
      <c r="N850" s="103"/>
      <c r="O850" s="52"/>
      <c r="P850" s="52"/>
      <c r="Q850" s="52"/>
      <c r="R850" s="103"/>
      <c r="S850" s="95"/>
      <c r="AB850" s="111"/>
      <c r="AC850" s="111"/>
      <c r="AD850" s="111"/>
      <c r="AE850" s="112"/>
      <c r="AF850" s="113"/>
      <c r="AG850" s="49"/>
      <c r="AH850" s="49"/>
      <c r="AI850" s="112"/>
      <c r="AJ850" s="91"/>
      <c r="AK850" s="114"/>
      <c r="AL850" s="112"/>
      <c r="AP850" s="7"/>
    </row>
    <row r="851" spans="1:42" x14ac:dyDescent="0.35">
      <c r="A851" s="94"/>
      <c r="B851" s="76"/>
      <c r="C851" s="94"/>
      <c r="D851" s="102"/>
      <c r="E851" s="94"/>
      <c r="F851" s="94"/>
      <c r="G851" s="94"/>
      <c r="H851" s="94"/>
      <c r="I851" s="94"/>
      <c r="J851" s="52"/>
      <c r="K851" s="52"/>
      <c r="L851" s="52"/>
      <c r="M851" s="52"/>
      <c r="N851" s="103"/>
      <c r="O851" s="52"/>
      <c r="P851" s="52"/>
      <c r="Q851" s="52"/>
      <c r="R851" s="103"/>
      <c r="S851" s="95"/>
      <c r="AB851" s="111"/>
      <c r="AC851" s="111"/>
      <c r="AD851" s="111"/>
      <c r="AE851" s="112"/>
      <c r="AF851" s="113"/>
      <c r="AG851" s="49"/>
      <c r="AH851" s="49"/>
      <c r="AI851" s="112"/>
      <c r="AJ851" s="91"/>
      <c r="AK851" s="114"/>
      <c r="AL851" s="112"/>
      <c r="AP851" s="7"/>
    </row>
    <row r="852" spans="1:42" x14ac:dyDescent="0.35">
      <c r="A852" s="94"/>
      <c r="B852" s="76"/>
      <c r="C852" s="94"/>
      <c r="D852" s="102"/>
      <c r="E852" s="94"/>
      <c r="F852" s="94"/>
      <c r="G852" s="94"/>
      <c r="H852" s="94"/>
      <c r="I852" s="94"/>
      <c r="J852" s="52"/>
      <c r="K852" s="52"/>
      <c r="L852" s="52"/>
      <c r="M852" s="52"/>
      <c r="N852" s="103"/>
      <c r="O852" s="52"/>
      <c r="P852" s="52"/>
      <c r="Q852" s="52"/>
      <c r="R852" s="104">
        <f t="shared" si="152"/>
        <v>0</v>
      </c>
      <c r="S852" s="95"/>
      <c r="AB852" s="111"/>
      <c r="AC852" s="111"/>
      <c r="AD852" s="111"/>
      <c r="AE852" s="112"/>
      <c r="AF852" s="113"/>
      <c r="AG852" s="49"/>
      <c r="AH852" s="49"/>
      <c r="AI852" s="112"/>
      <c r="AJ852" s="91"/>
      <c r="AK852" s="114"/>
      <c r="AL852" s="112"/>
      <c r="AP852" s="7"/>
    </row>
    <row r="853" spans="1:42" x14ac:dyDescent="0.35">
      <c r="A853" s="94"/>
      <c r="B853" s="76"/>
      <c r="C853" s="94"/>
      <c r="D853" s="102"/>
      <c r="E853" s="94"/>
      <c r="F853" s="94"/>
      <c r="G853" s="94"/>
      <c r="H853" s="94"/>
      <c r="I853" s="94"/>
      <c r="J853" s="52"/>
      <c r="K853" s="52"/>
      <c r="L853" s="52"/>
      <c r="M853" s="52"/>
      <c r="N853" s="103"/>
      <c r="O853" s="52"/>
      <c r="P853" s="52"/>
      <c r="Q853" s="52"/>
      <c r="R853" s="104">
        <f t="shared" si="152"/>
        <v>0</v>
      </c>
      <c r="S853" s="95"/>
      <c r="AB853" s="111"/>
      <c r="AC853" s="111"/>
      <c r="AD853" s="111"/>
      <c r="AE853" s="112"/>
      <c r="AF853" s="113"/>
      <c r="AG853" s="49"/>
      <c r="AH853" s="49"/>
      <c r="AI853" s="112"/>
      <c r="AJ853" s="91"/>
      <c r="AK853" s="114"/>
      <c r="AL853" s="112"/>
      <c r="AP853" s="7"/>
    </row>
    <row r="854" spans="1:42" x14ac:dyDescent="0.35">
      <c r="A854" s="94"/>
      <c r="B854" s="76"/>
      <c r="C854" s="94"/>
      <c r="D854" s="102"/>
      <c r="E854" s="94"/>
      <c r="F854" s="94"/>
      <c r="G854" s="94"/>
      <c r="H854" s="94"/>
      <c r="I854" s="94"/>
      <c r="J854" s="52"/>
      <c r="K854" s="52"/>
      <c r="L854" s="52"/>
      <c r="M854" s="52"/>
      <c r="N854" s="103"/>
      <c r="O854" s="52"/>
      <c r="P854" s="52"/>
      <c r="Q854" s="52"/>
      <c r="R854" s="104">
        <f t="shared" si="152"/>
        <v>0</v>
      </c>
      <c r="S854" s="95"/>
      <c r="AB854" s="111"/>
      <c r="AC854" s="111"/>
      <c r="AD854" s="111"/>
      <c r="AE854" s="112"/>
      <c r="AF854" s="113"/>
      <c r="AG854" s="49"/>
      <c r="AH854" s="49"/>
      <c r="AI854" s="112"/>
      <c r="AJ854" s="91"/>
      <c r="AK854" s="114"/>
      <c r="AL854" s="112"/>
      <c r="AP854" s="7"/>
    </row>
    <row r="855" spans="1:42" x14ac:dyDescent="0.35">
      <c r="A855" s="94"/>
      <c r="B855" s="76"/>
      <c r="C855" s="94"/>
      <c r="D855" s="102"/>
      <c r="E855" s="94"/>
      <c r="F855" s="94"/>
      <c r="G855" s="94"/>
      <c r="H855" s="94"/>
      <c r="I855" s="94"/>
      <c r="J855" s="52"/>
      <c r="K855" s="52"/>
      <c r="L855" s="52"/>
      <c r="M855" s="52"/>
      <c r="N855" s="103"/>
      <c r="O855" s="52"/>
      <c r="P855" s="52"/>
      <c r="Q855" s="52"/>
      <c r="R855" s="104">
        <f t="shared" si="152"/>
        <v>0</v>
      </c>
      <c r="S855" s="95"/>
      <c r="AB855" s="111"/>
      <c r="AC855" s="111"/>
      <c r="AD855" s="111"/>
      <c r="AE855" s="112"/>
      <c r="AF855" s="113"/>
      <c r="AG855" s="49"/>
      <c r="AH855" s="49"/>
      <c r="AI855" s="112"/>
      <c r="AJ855" s="91"/>
      <c r="AK855" s="114"/>
      <c r="AL855" s="112"/>
      <c r="AP855" s="7"/>
    </row>
    <row r="856" spans="1:42" x14ac:dyDescent="0.35">
      <c r="A856" s="94"/>
      <c r="B856" s="76"/>
      <c r="C856" s="94"/>
      <c r="D856" s="102"/>
      <c r="E856" s="94"/>
      <c r="F856" s="94"/>
      <c r="G856" s="94"/>
      <c r="H856" s="94"/>
      <c r="I856" s="94"/>
      <c r="J856" s="52"/>
      <c r="K856" s="52"/>
      <c r="L856" s="52"/>
      <c r="M856" s="52"/>
      <c r="N856" s="103"/>
      <c r="O856" s="52"/>
      <c r="P856" s="52"/>
      <c r="Q856" s="52"/>
      <c r="R856" s="103"/>
      <c r="S856" s="95"/>
      <c r="AB856" s="111"/>
      <c r="AC856" s="111"/>
      <c r="AD856" s="111"/>
      <c r="AE856" s="112"/>
      <c r="AF856" s="113"/>
      <c r="AG856" s="49"/>
      <c r="AH856" s="49"/>
      <c r="AI856" s="112"/>
      <c r="AJ856" s="91"/>
      <c r="AK856" s="114"/>
      <c r="AL856" s="112"/>
      <c r="AP856" s="7"/>
    </row>
    <row r="857" spans="1:42" x14ac:dyDescent="0.35">
      <c r="A857" s="94"/>
      <c r="B857" s="76"/>
      <c r="C857" s="94"/>
      <c r="D857" s="102"/>
      <c r="E857" s="94"/>
      <c r="F857" s="94"/>
      <c r="G857" s="94"/>
      <c r="H857" s="94"/>
      <c r="I857" s="94"/>
      <c r="J857" s="52"/>
      <c r="K857" s="52"/>
      <c r="L857" s="52"/>
      <c r="M857" s="52"/>
      <c r="N857" s="104">
        <f t="shared" ref="N857:N860" si="157">K857+L857+M857</f>
        <v>0</v>
      </c>
      <c r="O857" s="52"/>
      <c r="P857" s="52"/>
      <c r="Q857" s="52"/>
      <c r="R857" s="104">
        <f t="shared" ref="R857:R860" si="158">SUM(O857:Q857)</f>
        <v>0</v>
      </c>
      <c r="S857" s="86">
        <f t="shared" ref="S857:S860" si="159">R857+N857+J857</f>
        <v>0</v>
      </c>
      <c r="AB857" s="88">
        <v>39.270000000000003</v>
      </c>
      <c r="AC857" s="88">
        <v>52.462499999999999</v>
      </c>
      <c r="AD857" s="88">
        <v>72.64</v>
      </c>
      <c r="AE857" s="89">
        <f t="shared" si="143"/>
        <v>0</v>
      </c>
      <c r="AF857" s="90">
        <v>6.5000000000000002E-2</v>
      </c>
      <c r="AG857" s="4">
        <f t="shared" si="144"/>
        <v>0</v>
      </c>
      <c r="AH857" s="49">
        <f t="shared" si="145"/>
        <v>0</v>
      </c>
      <c r="AI857" s="89">
        <f t="shared" si="146"/>
        <v>0</v>
      </c>
      <c r="AJ857" s="91">
        <v>0.18</v>
      </c>
      <c r="AK857" s="5">
        <f t="shared" si="147"/>
        <v>0</v>
      </c>
      <c r="AL857" s="89">
        <f t="shared" si="148"/>
        <v>0</v>
      </c>
      <c r="AP857" s="7"/>
    </row>
    <row r="858" spans="1:42" x14ac:dyDescent="0.35">
      <c r="A858" s="94"/>
      <c r="B858" s="76"/>
      <c r="C858" s="94"/>
      <c r="D858" s="102"/>
      <c r="E858" s="94"/>
      <c r="F858" s="94"/>
      <c r="G858" s="94"/>
      <c r="H858" s="94"/>
      <c r="I858" s="94"/>
      <c r="J858" s="52"/>
      <c r="K858" s="52"/>
      <c r="L858" s="52"/>
      <c r="M858" s="52"/>
      <c r="N858" s="104">
        <f t="shared" si="157"/>
        <v>0</v>
      </c>
      <c r="O858" s="52"/>
      <c r="P858" s="52"/>
      <c r="Q858" s="52"/>
      <c r="R858" s="104">
        <f t="shared" si="158"/>
        <v>0</v>
      </c>
      <c r="S858" s="86">
        <f t="shared" si="159"/>
        <v>0</v>
      </c>
      <c r="AB858" s="88">
        <v>39.270000000000003</v>
      </c>
      <c r="AC858" s="88">
        <v>52.462499999999999</v>
      </c>
      <c r="AD858" s="88">
        <v>72.64</v>
      </c>
      <c r="AE858" s="89">
        <f t="shared" si="143"/>
        <v>0</v>
      </c>
      <c r="AF858" s="90">
        <v>6.5000000000000002E-2</v>
      </c>
      <c r="AG858" s="4">
        <f t="shared" si="144"/>
        <v>0</v>
      </c>
      <c r="AH858" s="49">
        <f t="shared" si="145"/>
        <v>0</v>
      </c>
      <c r="AI858" s="89">
        <f t="shared" si="146"/>
        <v>0</v>
      </c>
      <c r="AJ858" s="91">
        <v>0.18</v>
      </c>
      <c r="AK858" s="5">
        <f t="shared" si="147"/>
        <v>0</v>
      </c>
      <c r="AL858" s="89">
        <f t="shared" si="148"/>
        <v>0</v>
      </c>
      <c r="AP858" s="7"/>
    </row>
    <row r="859" spans="1:42" x14ac:dyDescent="0.35">
      <c r="A859" s="94"/>
      <c r="B859" s="76"/>
      <c r="C859" s="94"/>
      <c r="D859" s="102"/>
      <c r="E859" s="94"/>
      <c r="F859" s="94"/>
      <c r="G859" s="94"/>
      <c r="H859" s="94"/>
      <c r="I859" s="94"/>
      <c r="J859" s="52"/>
      <c r="K859" s="52"/>
      <c r="L859" s="52"/>
      <c r="M859" s="52"/>
      <c r="N859" s="104">
        <f t="shared" si="157"/>
        <v>0</v>
      </c>
      <c r="O859" s="52"/>
      <c r="P859" s="52"/>
      <c r="Q859" s="52"/>
      <c r="R859" s="104">
        <f t="shared" si="158"/>
        <v>0</v>
      </c>
      <c r="S859" s="86">
        <f t="shared" si="159"/>
        <v>0</v>
      </c>
      <c r="AB859" s="88">
        <v>39.270000000000003</v>
      </c>
      <c r="AC859" s="88">
        <v>52.462499999999999</v>
      </c>
      <c r="AD859" s="88">
        <v>72.64</v>
      </c>
      <c r="AE859" s="89">
        <f t="shared" si="143"/>
        <v>0</v>
      </c>
      <c r="AF859" s="90">
        <v>6.5000000000000002E-2</v>
      </c>
      <c r="AG859" s="4">
        <f t="shared" si="144"/>
        <v>0</v>
      </c>
      <c r="AH859" s="49">
        <f t="shared" si="145"/>
        <v>0</v>
      </c>
      <c r="AI859" s="89">
        <f t="shared" si="146"/>
        <v>0</v>
      </c>
      <c r="AJ859" s="91">
        <v>0.18</v>
      </c>
      <c r="AK859" s="5">
        <f t="shared" si="147"/>
        <v>0</v>
      </c>
      <c r="AL859" s="89">
        <f t="shared" si="148"/>
        <v>0</v>
      </c>
      <c r="AP859" s="7"/>
    </row>
    <row r="860" spans="1:42" x14ac:dyDescent="0.35">
      <c r="A860" s="79"/>
      <c r="B860" s="80"/>
      <c r="D860" s="81"/>
      <c r="J860" s="108"/>
      <c r="K860" s="108"/>
      <c r="L860" s="108"/>
      <c r="M860" s="108"/>
      <c r="N860" s="104">
        <f t="shared" si="157"/>
        <v>0</v>
      </c>
      <c r="O860" s="108"/>
      <c r="P860" s="108"/>
      <c r="Q860" s="108"/>
      <c r="R860" s="104">
        <f t="shared" si="158"/>
        <v>0</v>
      </c>
      <c r="S860" s="86">
        <f t="shared" si="159"/>
        <v>0</v>
      </c>
      <c r="AP860" s="7"/>
    </row>
    <row r="861" spans="1:42" x14ac:dyDescent="0.35">
      <c r="A861" s="3"/>
      <c r="J861" s="107">
        <f>SUM(J3:J860)</f>
        <v>18358</v>
      </c>
      <c r="K861" s="107">
        <f t="shared" ref="K861:S861" si="160">SUM(K3:K860)</f>
        <v>12787</v>
      </c>
      <c r="L861" s="107">
        <f t="shared" si="160"/>
        <v>12832</v>
      </c>
      <c r="M861" s="107">
        <f t="shared" si="160"/>
        <v>0</v>
      </c>
      <c r="N861" s="107">
        <f t="shared" si="160"/>
        <v>25619</v>
      </c>
      <c r="O861" s="107">
        <f t="shared" si="160"/>
        <v>22552</v>
      </c>
      <c r="P861" s="107">
        <f t="shared" si="160"/>
        <v>17154</v>
      </c>
      <c r="Q861" s="107">
        <f t="shared" si="160"/>
        <v>27130</v>
      </c>
      <c r="R861" s="107">
        <f t="shared" si="160"/>
        <v>66836</v>
      </c>
      <c r="S861" s="107">
        <f t="shared" si="160"/>
        <v>110813</v>
      </c>
      <c r="AP861" s="7"/>
    </row>
    <row r="862" spans="1:42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x14ac:dyDescent="0.35">
      <c r="I864" s="43" t="s">
        <v>50</v>
      </c>
      <c r="J864" s="47">
        <f>J861/40</f>
        <v>458.95</v>
      </c>
      <c r="K864" s="109">
        <f t="shared" ref="K864:S864" si="161">K861/40</f>
        <v>319.67500000000001</v>
      </c>
      <c r="L864" s="109">
        <f t="shared" si="161"/>
        <v>320.8</v>
      </c>
      <c r="M864" s="109">
        <f t="shared" si="161"/>
        <v>0</v>
      </c>
      <c r="N864" s="47">
        <f t="shared" si="161"/>
        <v>640.47500000000002</v>
      </c>
      <c r="O864" s="109">
        <f t="shared" si="161"/>
        <v>563.79999999999995</v>
      </c>
      <c r="P864" s="109">
        <f t="shared" si="161"/>
        <v>428.85</v>
      </c>
      <c r="Q864" s="109">
        <f t="shared" si="161"/>
        <v>678.25</v>
      </c>
      <c r="R864" s="47">
        <f t="shared" si="161"/>
        <v>1670.9</v>
      </c>
      <c r="S864" s="109">
        <f t="shared" si="161"/>
        <v>2770.3249999999998</v>
      </c>
      <c r="T864" s="54">
        <f t="shared" ref="T864:AF864" si="162">+T433/40</f>
        <v>0</v>
      </c>
      <c r="U864" s="54">
        <f t="shared" si="162"/>
        <v>0</v>
      </c>
      <c r="V864" s="54">
        <f t="shared" si="162"/>
        <v>0</v>
      </c>
      <c r="W864" s="54">
        <f t="shared" si="162"/>
        <v>0</v>
      </c>
      <c r="X864" s="54">
        <f t="shared" si="162"/>
        <v>0</v>
      </c>
      <c r="Y864" s="54">
        <f t="shared" si="162"/>
        <v>0</v>
      </c>
      <c r="Z864" s="54">
        <f t="shared" si="162"/>
        <v>0</v>
      </c>
      <c r="AA864" s="54">
        <f t="shared" si="162"/>
        <v>0</v>
      </c>
      <c r="AB864" s="55"/>
      <c r="AC864" s="43">
        <f t="shared" si="162"/>
        <v>0</v>
      </c>
      <c r="AD864" s="43">
        <f t="shared" si="162"/>
        <v>0</v>
      </c>
      <c r="AE864" s="43">
        <f t="shared" si="162"/>
        <v>84640.158687499978</v>
      </c>
      <c r="AF864" s="43">
        <f t="shared" si="162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2770.3249999999998</v>
      </c>
      <c r="X866" t="s">
        <v>50</v>
      </c>
    </row>
    <row r="868" spans="19:24" x14ac:dyDescent="0.35">
      <c r="S868" s="53"/>
    </row>
  </sheetData>
  <autoFilter ref="A1:AP552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419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Report'!Q864+'STT Report'!Z864</f>
        <v>678.25</v>
      </c>
      <c r="H7" s="17">
        <f>E7+F7-G7</f>
        <v>641.75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Report'!P864+'STT Report'!Y864</f>
        <v>428.85</v>
      </c>
      <c r="H8" s="17">
        <f>E8+F8-G8</f>
        <v>-85.850000000000023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Report'!O864+'STT Report'!X864</f>
        <v>563.79999999999995</v>
      </c>
      <c r="H9" s="17">
        <f>E9+F9-G9</f>
        <v>364.20000000000005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1670.8999999999999</v>
      </c>
      <c r="H10" s="23">
        <f>SUM(H7:H9)</f>
        <v>920.1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Report'!J864</f>
        <v>458.95</v>
      </c>
      <c r="H11" s="17">
        <f t="shared" ref="H11:H13" si="0">(E11+F11)-G11</f>
        <v>1194.05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458.95</v>
      </c>
      <c r="H14" s="23">
        <f>SUM(H11:H13)</f>
        <v>1194.05</v>
      </c>
    </row>
    <row r="15" spans="4:8" ht="16.5" x14ac:dyDescent="0.45">
      <c r="D15" s="13" t="s">
        <v>46</v>
      </c>
      <c r="E15" s="14">
        <v>0</v>
      </c>
      <c r="F15" s="15"/>
      <c r="G15" s="16">
        <f>'STT Report'!M864+'STT Report'!V864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Report'!L864+'STT Report'!U864</f>
        <v>320.8</v>
      </c>
      <c r="H16" s="17">
        <f>E16+F16-G16</f>
        <v>-53.800000000000011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Report'!K864+'STT Report'!T864</f>
        <v>319.67500000000001</v>
      </c>
      <c r="H17" s="17">
        <f>E17+F17-G17</f>
        <v>-79.675000000000011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640.47500000000002</v>
      </c>
      <c r="H18" s="23">
        <f>SUM(H15:H17)</f>
        <v>-133.47500000000002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2770.3249999999998</v>
      </c>
      <c r="H19" s="27">
        <f>H10+H14+H18</f>
        <v>1980.6750000000002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2026-07-25T11:17:07Z</dcterms:modified>
</cp:coreProperties>
</file>