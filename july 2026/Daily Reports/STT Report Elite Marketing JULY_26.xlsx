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F7743F9-0951-42F8-9EEA-C8CAEFA3CEE8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S579" i="1"/>
  <c r="R591" i="1"/>
  <c r="S591" i="1" s="1"/>
  <c r="R590" i="1"/>
  <c r="R589" i="1"/>
  <c r="S589" i="1" s="1"/>
  <c r="R588" i="1"/>
  <c r="S588" i="1" s="1"/>
  <c r="R587" i="1"/>
  <c r="R586" i="1"/>
  <c r="R585" i="1"/>
  <c r="S585" i="1" s="1"/>
  <c r="R584" i="1"/>
  <c r="S584" i="1" s="1"/>
  <c r="R583" i="1"/>
  <c r="R582" i="1"/>
  <c r="R581" i="1"/>
  <c r="S581" i="1" s="1"/>
  <c r="R580" i="1"/>
  <c r="S580" i="1" s="1"/>
  <c r="R579" i="1"/>
  <c r="R578" i="1"/>
  <c r="R577" i="1"/>
  <c r="S577" i="1" s="1"/>
  <c r="R576" i="1"/>
  <c r="S576" i="1" s="1"/>
  <c r="R575" i="1"/>
  <c r="S575" i="1" s="1"/>
  <c r="R574" i="1"/>
  <c r="R573" i="1"/>
  <c r="S573" i="1" s="1"/>
  <c r="R572" i="1"/>
  <c r="S572" i="1" s="1"/>
  <c r="R571" i="1"/>
  <c r="R570" i="1"/>
  <c r="R569" i="1"/>
  <c r="S569" i="1" s="1"/>
  <c r="R568" i="1"/>
  <c r="S568" i="1" s="1"/>
  <c r="R567" i="1"/>
  <c r="R566" i="1"/>
  <c r="R565" i="1"/>
  <c r="S565" i="1" s="1"/>
  <c r="R564" i="1"/>
  <c r="S564" i="1" s="1"/>
  <c r="R563" i="1"/>
  <c r="R562" i="1"/>
  <c r="R561" i="1"/>
  <c r="S561" i="1" s="1"/>
  <c r="R560" i="1"/>
  <c r="S560" i="1" s="1"/>
  <c r="R559" i="1"/>
  <c r="S559" i="1" s="1"/>
  <c r="R558" i="1"/>
  <c r="R557" i="1"/>
  <c r="S557" i="1" s="1"/>
  <c r="R556" i="1"/>
  <c r="S556" i="1" s="1"/>
  <c r="R555" i="1"/>
  <c r="R554" i="1"/>
  <c r="R553" i="1"/>
  <c r="S553" i="1" s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S517" i="1" s="1"/>
  <c r="R516" i="1"/>
  <c r="R515" i="1"/>
  <c r="R514" i="1"/>
  <c r="R513" i="1"/>
  <c r="R512" i="1"/>
  <c r="R511" i="1"/>
  <c r="R510" i="1"/>
  <c r="R509" i="1"/>
  <c r="S509" i="1" s="1"/>
  <c r="R508" i="1"/>
  <c r="R507" i="1"/>
  <c r="R506" i="1"/>
  <c r="R505" i="1"/>
  <c r="S505" i="1" s="1"/>
  <c r="R504" i="1"/>
  <c r="R503" i="1"/>
  <c r="R502" i="1"/>
  <c r="R501" i="1"/>
  <c r="S501" i="1" s="1"/>
  <c r="R500" i="1"/>
  <c r="R499" i="1"/>
  <c r="R498" i="1"/>
  <c r="R497" i="1"/>
  <c r="R496" i="1"/>
  <c r="R495" i="1"/>
  <c r="R494" i="1"/>
  <c r="R493" i="1"/>
  <c r="R492" i="1"/>
  <c r="R491" i="1"/>
  <c r="R490" i="1"/>
  <c r="R489" i="1"/>
  <c r="S489" i="1" s="1"/>
  <c r="R488" i="1"/>
  <c r="R487" i="1"/>
  <c r="R486" i="1"/>
  <c r="R485" i="1"/>
  <c r="S485" i="1" s="1"/>
  <c r="R484" i="1"/>
  <c r="R483" i="1"/>
  <c r="R482" i="1"/>
  <c r="R481" i="1"/>
  <c r="S481" i="1" s="1"/>
  <c r="R480" i="1"/>
  <c r="R479" i="1"/>
  <c r="R478" i="1"/>
  <c r="R477" i="1"/>
  <c r="S477" i="1" s="1"/>
  <c r="R476" i="1"/>
  <c r="R475" i="1"/>
  <c r="R474" i="1"/>
  <c r="R473" i="1"/>
  <c r="S473" i="1" s="1"/>
  <c r="R472" i="1"/>
  <c r="R471" i="1"/>
  <c r="R470" i="1"/>
  <c r="R469" i="1"/>
  <c r="S469" i="1" s="1"/>
  <c r="R468" i="1"/>
  <c r="R467" i="1"/>
  <c r="R466" i="1"/>
  <c r="R465" i="1"/>
  <c r="S465" i="1" s="1"/>
  <c r="R464" i="1"/>
  <c r="R463" i="1"/>
  <c r="R462" i="1"/>
  <c r="R461" i="1"/>
  <c r="S461" i="1" s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S445" i="1" s="1"/>
  <c r="R444" i="1"/>
  <c r="R443" i="1"/>
  <c r="R442" i="1"/>
  <c r="R441" i="1"/>
  <c r="S441" i="1" s="1"/>
  <c r="R440" i="1"/>
  <c r="R439" i="1"/>
  <c r="R438" i="1"/>
  <c r="R437" i="1"/>
  <c r="S437" i="1" s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591" i="1"/>
  <c r="N590" i="1"/>
  <c r="N589" i="1"/>
  <c r="N588" i="1"/>
  <c r="N587" i="1"/>
  <c r="S587" i="1" s="1"/>
  <c r="N586" i="1"/>
  <c r="N585" i="1"/>
  <c r="N584" i="1"/>
  <c r="N583" i="1"/>
  <c r="S583" i="1" s="1"/>
  <c r="N582" i="1"/>
  <c r="N581" i="1"/>
  <c r="N580" i="1"/>
  <c r="N579" i="1"/>
  <c r="N578" i="1"/>
  <c r="N577" i="1"/>
  <c r="N576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S515" i="1" s="1"/>
  <c r="N514" i="1"/>
  <c r="N513" i="1"/>
  <c r="N512" i="1"/>
  <c r="N511" i="1"/>
  <c r="N510" i="1"/>
  <c r="N509" i="1"/>
  <c r="N508" i="1"/>
  <c r="N507" i="1"/>
  <c r="S507" i="1" s="1"/>
  <c r="N506" i="1"/>
  <c r="N505" i="1"/>
  <c r="N504" i="1"/>
  <c r="N503" i="1"/>
  <c r="S503" i="1" s="1"/>
  <c r="N502" i="1"/>
  <c r="N501" i="1"/>
  <c r="N500" i="1"/>
  <c r="N499" i="1"/>
  <c r="S499" i="1" s="1"/>
  <c r="N498" i="1"/>
  <c r="N497" i="1"/>
  <c r="N496" i="1"/>
  <c r="N495" i="1"/>
  <c r="N494" i="1"/>
  <c r="N493" i="1"/>
  <c r="N492" i="1"/>
  <c r="N491" i="1"/>
  <c r="S491" i="1" s="1"/>
  <c r="N490" i="1"/>
  <c r="N489" i="1"/>
  <c r="N488" i="1"/>
  <c r="N487" i="1"/>
  <c r="S487" i="1" s="1"/>
  <c r="N486" i="1"/>
  <c r="N485" i="1"/>
  <c r="N484" i="1"/>
  <c r="N483" i="1"/>
  <c r="S483" i="1" s="1"/>
  <c r="N482" i="1"/>
  <c r="N481" i="1"/>
  <c r="N480" i="1"/>
  <c r="N479" i="1"/>
  <c r="N478" i="1"/>
  <c r="N477" i="1"/>
  <c r="N476" i="1"/>
  <c r="N475" i="1"/>
  <c r="S475" i="1" s="1"/>
  <c r="N474" i="1"/>
  <c r="N473" i="1"/>
  <c r="N472" i="1"/>
  <c r="N471" i="1"/>
  <c r="S471" i="1" s="1"/>
  <c r="N470" i="1"/>
  <c r="N469" i="1"/>
  <c r="N468" i="1"/>
  <c r="N467" i="1"/>
  <c r="S467" i="1" s="1"/>
  <c r="N466" i="1"/>
  <c r="N465" i="1"/>
  <c r="N464" i="1"/>
  <c r="N463" i="1"/>
  <c r="N462" i="1"/>
  <c r="N461" i="1"/>
  <c r="N460" i="1"/>
  <c r="N459" i="1"/>
  <c r="S459" i="1" s="1"/>
  <c r="N458" i="1"/>
  <c r="N457" i="1"/>
  <c r="N456" i="1"/>
  <c r="N455" i="1"/>
  <c r="S455" i="1" s="1"/>
  <c r="N454" i="1"/>
  <c r="N453" i="1"/>
  <c r="N452" i="1"/>
  <c r="N451" i="1"/>
  <c r="N450" i="1"/>
  <c r="N449" i="1"/>
  <c r="N448" i="1"/>
  <c r="N447" i="1"/>
  <c r="N446" i="1"/>
  <c r="N445" i="1"/>
  <c r="N444" i="1"/>
  <c r="N443" i="1"/>
  <c r="S443" i="1" s="1"/>
  <c r="N442" i="1"/>
  <c r="N441" i="1"/>
  <c r="N440" i="1"/>
  <c r="N439" i="1"/>
  <c r="S439" i="1" s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592" i="1"/>
  <c r="Q595" i="1" s="1"/>
  <c r="P592" i="1"/>
  <c r="P595" i="1" s="1"/>
  <c r="O592" i="1"/>
  <c r="O595" i="1" s="1"/>
  <c r="M592" i="1"/>
  <c r="M595" i="1" s="1"/>
  <c r="L592" i="1"/>
  <c r="L595" i="1" s="1"/>
  <c r="K592" i="1"/>
  <c r="K595" i="1" s="1"/>
  <c r="J592" i="1"/>
  <c r="J595" i="1" s="1"/>
  <c r="S447" i="1" l="1"/>
  <c r="S463" i="1"/>
  <c r="S479" i="1"/>
  <c r="AE479" i="1" s="1"/>
  <c r="AG479" i="1" s="1"/>
  <c r="AI479" i="1" s="1"/>
  <c r="AK479" i="1" s="1"/>
  <c r="S520" i="1"/>
  <c r="AE520" i="1" s="1"/>
  <c r="S528" i="1"/>
  <c r="S536" i="1"/>
  <c r="S540" i="1"/>
  <c r="AE540" i="1" s="1"/>
  <c r="S544" i="1"/>
  <c r="AE544" i="1" s="1"/>
  <c r="S552" i="1"/>
  <c r="S527" i="1"/>
  <c r="S436" i="1"/>
  <c r="AE436" i="1" s="1"/>
  <c r="S444" i="1"/>
  <c r="AE444" i="1" s="1"/>
  <c r="S460" i="1"/>
  <c r="S464" i="1"/>
  <c r="S476" i="1"/>
  <c r="AE476" i="1" s="1"/>
  <c r="S480" i="1"/>
  <c r="AE480" i="1" s="1"/>
  <c r="S488" i="1"/>
  <c r="S500" i="1"/>
  <c r="S504" i="1"/>
  <c r="AE504" i="1" s="1"/>
  <c r="S516" i="1"/>
  <c r="AE516" i="1" s="1"/>
  <c r="S521" i="1"/>
  <c r="S525" i="1"/>
  <c r="S529" i="1"/>
  <c r="AE529" i="1" s="1"/>
  <c r="S537" i="1"/>
  <c r="AE537" i="1" s="1"/>
  <c r="S541" i="1"/>
  <c r="S545" i="1"/>
  <c r="S549" i="1"/>
  <c r="AE549" i="1" s="1"/>
  <c r="S548" i="1"/>
  <c r="AE548" i="1" s="1"/>
  <c r="S543" i="1"/>
  <c r="S533" i="1"/>
  <c r="S532" i="1"/>
  <c r="AE532" i="1" s="1"/>
  <c r="S524" i="1"/>
  <c r="AE524" i="1" s="1"/>
  <c r="S513" i="1"/>
  <c r="S512" i="1"/>
  <c r="S511" i="1"/>
  <c r="AE511" i="1" s="1"/>
  <c r="AG511" i="1" s="1"/>
  <c r="S508" i="1"/>
  <c r="AE508" i="1" s="1"/>
  <c r="S497" i="1"/>
  <c r="S496" i="1"/>
  <c r="S495" i="1"/>
  <c r="AE495" i="1" s="1"/>
  <c r="AG495" i="1" s="1"/>
  <c r="AI495" i="1" s="1"/>
  <c r="AK495" i="1" s="1"/>
  <c r="S493" i="1"/>
  <c r="AE493" i="1" s="1"/>
  <c r="AG493" i="1" s="1"/>
  <c r="S492" i="1"/>
  <c r="S484" i="1"/>
  <c r="S472" i="1"/>
  <c r="S468" i="1"/>
  <c r="AE468" i="1" s="1"/>
  <c r="S452" i="1"/>
  <c r="S456" i="1"/>
  <c r="AE456" i="1" s="1"/>
  <c r="S453" i="1"/>
  <c r="S457" i="1"/>
  <c r="AE457" i="1" s="1"/>
  <c r="AG457" i="1" s="1"/>
  <c r="S451" i="1"/>
  <c r="S449" i="1"/>
  <c r="S448" i="1"/>
  <c r="AE448" i="1" s="1"/>
  <c r="S440" i="1"/>
  <c r="AE440" i="1" s="1"/>
  <c r="S435" i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S502" i="1"/>
  <c r="AE502" i="1" s="1"/>
  <c r="AG502" i="1" s="1"/>
  <c r="S506" i="1"/>
  <c r="AE506" i="1" s="1"/>
  <c r="S510" i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S546" i="1"/>
  <c r="AE546" i="1" s="1"/>
  <c r="S550" i="1"/>
  <c r="AE550" i="1" s="1"/>
  <c r="S554" i="1"/>
  <c r="S558" i="1"/>
  <c r="S562" i="1"/>
  <c r="S566" i="1"/>
  <c r="AE566" i="1" s="1"/>
  <c r="S570" i="1"/>
  <c r="S574" i="1"/>
  <c r="S578" i="1"/>
  <c r="S582" i="1"/>
  <c r="AE582" i="1" s="1"/>
  <c r="S586" i="1"/>
  <c r="AE586" i="1" s="1"/>
  <c r="S590" i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590" i="1"/>
  <c r="AH589" i="1"/>
  <c r="AH588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E575" i="1"/>
  <c r="AH574" i="1"/>
  <c r="AH573" i="1"/>
  <c r="AH572" i="1"/>
  <c r="AH571" i="1"/>
  <c r="AE571" i="1"/>
  <c r="AH570" i="1"/>
  <c r="AE570" i="1"/>
  <c r="AH569" i="1"/>
  <c r="AH568" i="1"/>
  <c r="AH567" i="1"/>
  <c r="AE567" i="1"/>
  <c r="AH566" i="1"/>
  <c r="AH565" i="1"/>
  <c r="AH564" i="1"/>
  <c r="AH563" i="1"/>
  <c r="AE563" i="1"/>
  <c r="AH562" i="1"/>
  <c r="AE562" i="1"/>
  <c r="AH561" i="1"/>
  <c r="AH560" i="1"/>
  <c r="AH559" i="1"/>
  <c r="AE559" i="1"/>
  <c r="AH558" i="1"/>
  <c r="AE558" i="1"/>
  <c r="AH557" i="1"/>
  <c r="AH556" i="1"/>
  <c r="AH555" i="1"/>
  <c r="AE555" i="1"/>
  <c r="AH554" i="1"/>
  <c r="AE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E543" i="1"/>
  <c r="AH542" i="1"/>
  <c r="AE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E527" i="1"/>
  <c r="AG527" i="1" s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E515" i="1"/>
  <c r="AG515" i="1" s="1"/>
  <c r="AH514" i="1"/>
  <c r="AH513" i="1"/>
  <c r="AH512" i="1"/>
  <c r="AH511" i="1"/>
  <c r="AH510" i="1"/>
  <c r="AH509" i="1"/>
  <c r="AH508" i="1"/>
  <c r="AH507" i="1"/>
  <c r="AE507" i="1"/>
  <c r="AG507" i="1" s="1"/>
  <c r="AH506" i="1"/>
  <c r="AH505" i="1"/>
  <c r="AH504" i="1"/>
  <c r="AH503" i="1"/>
  <c r="AE503" i="1"/>
  <c r="AG503" i="1" s="1"/>
  <c r="AH502" i="1"/>
  <c r="AH501" i="1"/>
  <c r="AH500" i="1"/>
  <c r="AH499" i="1"/>
  <c r="AE499" i="1"/>
  <c r="AG499" i="1" s="1"/>
  <c r="AH498" i="1"/>
  <c r="AH497" i="1"/>
  <c r="AH496" i="1"/>
  <c r="AH495" i="1"/>
  <c r="AH494" i="1"/>
  <c r="AH493" i="1"/>
  <c r="AH492" i="1"/>
  <c r="AH491" i="1"/>
  <c r="AE491" i="1"/>
  <c r="AG491" i="1" s="1"/>
  <c r="AI491" i="1" s="1"/>
  <c r="AK491" i="1" s="1"/>
  <c r="AH490" i="1"/>
  <c r="AH489" i="1"/>
  <c r="AH488" i="1"/>
  <c r="AH487" i="1"/>
  <c r="AE487" i="1"/>
  <c r="AG487" i="1" s="1"/>
  <c r="AI487" i="1" s="1"/>
  <c r="AK487" i="1" s="1"/>
  <c r="AH486" i="1"/>
  <c r="AH485" i="1"/>
  <c r="AH484" i="1"/>
  <c r="AH483" i="1"/>
  <c r="AE483" i="1"/>
  <c r="AG483" i="1" s="1"/>
  <c r="AI483" i="1" s="1"/>
  <c r="AK483" i="1" s="1"/>
  <c r="AH482" i="1"/>
  <c r="AH481" i="1"/>
  <c r="AH480" i="1"/>
  <c r="AH479" i="1"/>
  <c r="AH478" i="1"/>
  <c r="AH477" i="1"/>
  <c r="AH476" i="1"/>
  <c r="AH475" i="1"/>
  <c r="AE475" i="1"/>
  <c r="AG475" i="1" s="1"/>
  <c r="AI475" i="1" s="1"/>
  <c r="AK475" i="1" s="1"/>
  <c r="AH474" i="1"/>
  <c r="AH473" i="1"/>
  <c r="AH472" i="1"/>
  <c r="AH471" i="1"/>
  <c r="AE471" i="1"/>
  <c r="AG471" i="1" s="1"/>
  <c r="AI471" i="1" s="1"/>
  <c r="AK471" i="1" s="1"/>
  <c r="AH470" i="1"/>
  <c r="AH469" i="1"/>
  <c r="AH468" i="1"/>
  <c r="AH467" i="1"/>
  <c r="AE467" i="1"/>
  <c r="AH466" i="1"/>
  <c r="AH465" i="1"/>
  <c r="AH464" i="1"/>
  <c r="AH463" i="1"/>
  <c r="AE463" i="1"/>
  <c r="AH462" i="1"/>
  <c r="AH461" i="1"/>
  <c r="AH460" i="1"/>
  <c r="AH459" i="1"/>
  <c r="AE459" i="1"/>
  <c r="AG459" i="1" s="1"/>
  <c r="AH458" i="1"/>
  <c r="AH457" i="1"/>
  <c r="AH456" i="1"/>
  <c r="AH455" i="1"/>
  <c r="AE455" i="1"/>
  <c r="AG455" i="1" s="1"/>
  <c r="AH454" i="1"/>
  <c r="AH453" i="1"/>
  <c r="AH452" i="1"/>
  <c r="AH451" i="1"/>
  <c r="AE451" i="1"/>
  <c r="AG451" i="1" s="1"/>
  <c r="AH450" i="1"/>
  <c r="AH449" i="1"/>
  <c r="AH448" i="1"/>
  <c r="AH447" i="1"/>
  <c r="AE447" i="1"/>
  <c r="AG447" i="1" s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E590" i="1"/>
  <c r="AE589" i="1"/>
  <c r="AE588" i="1"/>
  <c r="AE585" i="1"/>
  <c r="AE584" i="1"/>
  <c r="AE581" i="1"/>
  <c r="AE580" i="1"/>
  <c r="AE578" i="1"/>
  <c r="AE577" i="1"/>
  <c r="AE576" i="1"/>
  <c r="AE574" i="1"/>
  <c r="AE573" i="1"/>
  <c r="AE572" i="1"/>
  <c r="AE569" i="1"/>
  <c r="AE568" i="1"/>
  <c r="AE565" i="1"/>
  <c r="AE564" i="1"/>
  <c r="AE561" i="1"/>
  <c r="AE560" i="1"/>
  <c r="AE557" i="1"/>
  <c r="AE556" i="1"/>
  <c r="AE553" i="1"/>
  <c r="AE552" i="1"/>
  <c r="AE545" i="1"/>
  <c r="AE541" i="1"/>
  <c r="AE536" i="1"/>
  <c r="AE533" i="1"/>
  <c r="AE528" i="1"/>
  <c r="AE525" i="1"/>
  <c r="AE521" i="1"/>
  <c r="AE517" i="1"/>
  <c r="AE513" i="1"/>
  <c r="AE512" i="1"/>
  <c r="AE510" i="1"/>
  <c r="AG510" i="1" s="1"/>
  <c r="AE509" i="1"/>
  <c r="AE505" i="1"/>
  <c r="AE501" i="1"/>
  <c r="AE500" i="1"/>
  <c r="AE498" i="1"/>
  <c r="AE497" i="1"/>
  <c r="AG497" i="1" s="1"/>
  <c r="AE496" i="1"/>
  <c r="AE492" i="1"/>
  <c r="AE489" i="1"/>
  <c r="AG489" i="1" s="1"/>
  <c r="AE488" i="1"/>
  <c r="AE485" i="1"/>
  <c r="AG485" i="1" s="1"/>
  <c r="AE484" i="1"/>
  <c r="AE482" i="1"/>
  <c r="AG482" i="1" s="1"/>
  <c r="AI482" i="1" s="1"/>
  <c r="AE481" i="1"/>
  <c r="AG481" i="1" s="1"/>
  <c r="AE477" i="1"/>
  <c r="AG477" i="1" s="1"/>
  <c r="AE473" i="1"/>
  <c r="AG473" i="1" s="1"/>
  <c r="AE472" i="1"/>
  <c r="AE469" i="1"/>
  <c r="AG469" i="1" s="1"/>
  <c r="AE465" i="1"/>
  <c r="AG465" i="1" s="1"/>
  <c r="AE464" i="1"/>
  <c r="AE462" i="1"/>
  <c r="AG462" i="1" s="1"/>
  <c r="AI462" i="1" s="1"/>
  <c r="AE461" i="1"/>
  <c r="AG461" i="1" s="1"/>
  <c r="AE460" i="1"/>
  <c r="AE453" i="1"/>
  <c r="AG453" i="1" s="1"/>
  <c r="AE452" i="1"/>
  <c r="AE449" i="1"/>
  <c r="AG449" i="1" s="1"/>
  <c r="AE445" i="1"/>
  <c r="AG445" i="1" s="1"/>
  <c r="AE443" i="1"/>
  <c r="AG443" i="1" s="1"/>
  <c r="AE442" i="1"/>
  <c r="AG442" i="1" s="1"/>
  <c r="AI442" i="1" s="1"/>
  <c r="AE441" i="1"/>
  <c r="AG441" i="1" s="1"/>
  <c r="AE439" i="1"/>
  <c r="AE437" i="1"/>
  <c r="AG437" i="1" s="1"/>
  <c r="AE435" i="1"/>
  <c r="AG435" i="1" s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588" i="1"/>
  <c r="AI588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589" i="1"/>
  <c r="AI589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590" i="1"/>
  <c r="AI590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588" i="1"/>
  <c r="AL588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589" i="1"/>
  <c r="AL589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590" i="1"/>
  <c r="AL590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592" i="1" s="1"/>
  <c r="N595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595" i="1"/>
  <c r="AD595" i="1"/>
  <c r="AC595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595" i="1" l="1"/>
  <c r="T595" i="1"/>
  <c r="V595" i="1"/>
  <c r="X595" i="1" l="1"/>
  <c r="Y595" i="1"/>
  <c r="Z59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592" i="1" s="1"/>
  <c r="S595" i="1" s="1"/>
  <c r="R592" i="1"/>
  <c r="R595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595" i="1"/>
  <c r="G19" i="4"/>
  <c r="H19" i="4"/>
  <c r="AA595" i="1"/>
  <c r="AE3" i="1" l="1"/>
  <c r="AE433" i="1" s="1"/>
  <c r="AE595" i="1" s="1"/>
  <c r="S597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<sst xmlns="http://schemas.openxmlformats.org/spreadsheetml/2006/main" count="2694" uniqueCount="530">
  <si>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</si>
  <si>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</si>
  <si>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</si>
  <si>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</si>
  <si>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</si>
  <si>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</si>
  <si>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</si>
  <si>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</si>
  <si>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</si>
  <si>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</si>
  <si>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</si>
  <si>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</si>
  <si>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</si>
  <si>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</si>
  <si>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</si>
  <si>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</si>
  <si>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</si>
  <si>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</si>
  <si>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</si>
  <si>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</si>
  <si>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</si>
  <si>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</si>
  <si>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</si>
  <si>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</si>
  <si>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</si>
  <si>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</si>
  <si>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</si>
  <si>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</si>
  <si>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</si>
  <si>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</si>
  <si>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</si>
  <si>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</si>
  <si>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</si>
  <si>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</si>
  <si>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</si>
  <si>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</si>
  <si>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</si>
  <si>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</si>
  <si>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</si>
  <si>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</si>
  <si>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</si>
  <si>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</si>
  <si>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</si>
  <si>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</si>
  <si>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</si>
  <si>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</si>
  <si>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</si>
  <si>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</si>
  <si>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</si>
  <si>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</si>
  <si>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</si>
  <si>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</si>
  <si>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</si>
  <si>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</si>
  <si>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</si>
  <si>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</si>
  <si>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</si>
  <si>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</si>
  <si>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</si>
  <si>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</si>
  <si>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</si>
  <si>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</si>
  <si>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</si>
  <si>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</si>
  <si>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</si>
  <si>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</si>
  <si>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</si>
  <si>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</si>
  <si>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</si>
  <si>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</si>
  <si>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</si>
  <si>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</si>
  <si>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</si>
  <si>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</si>
  <si>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</si>
  <si>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</si>
  <si>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</si>
  <si>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</si>
  <si>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</si>
  <si>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</si>
  <si>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</si>
  <si>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</si>
  <si>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</si>
  <si>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</si>
  <si>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</si>
  <si>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</si>
  <si>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</si>
  <si>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</si>
  <si>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</si>
  <si>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</si>
  <si>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</si>
  <si>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</si>
  <si>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</si>
  <si>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</si>
  <si>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</si>
  <si>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</si>
  <si>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</si>
  <si>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</si>
  <si>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</si>
  <si>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</si>
  <si>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</si>
  <si>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</si>
  <si>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</si>
  <si>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</si>
  <si>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</si>
  <si>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</si>
  <si>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</si>
  <si>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</si>
  <si>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</si>
  <si>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</si>
  <si>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</si>
  <si>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</si>
  <si>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</si>
  <si>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</si>
  <si>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</si>
  <si>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</si>
  <si>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</si>
  <si>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</si>
  <si>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</si>
  <si>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</si>
  <si>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</si>
  <si>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</si>
  <si>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</si>
  <si>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</si>
  <si>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</si>
  <si>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</si>
  <si>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</si>
  <si>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</si>
  <si>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</si>
  <si>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</si>
  <si>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</si>
  <si>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</si>
  <si>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</si>
  <si>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</si>
  <si>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</si>
  <si>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</si>
  <si>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</si>
  <si>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</si>
  <si>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</si>
  <si>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</si>
  <si>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</si>
  <si>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</si>
  <si>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</si>
  <si>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</si>
  <si>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</si>
  <si>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</si>
  <si>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</si>
  <si>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</si>
  <si>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</si>
  <si>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</si>
  <si>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</si>
  <si>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</si>
  <si>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</si>
  <si>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</si>
  <si>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</si>
  <si>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</si>
  <si>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</si>
  <si>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</si>
  <si>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</si>
  <si>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</si>
  <si>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</si>
  <si>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</si>
  <si>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</si>
  <si>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</si>
  <si>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</si>
  <si>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</si>
  <si>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</si>
  <si>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</si>
  <si>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</si>
  <si>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</si>
  <si>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</si>
  <si>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</si>
  <si>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</si>
  <si>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</si>
  <si>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</si>
  <si>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</si>
  <si>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</si>
  <si>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</si>
  <si>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</si>
  <si>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</si>
  <si>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</si>
  <si>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</si>
  <si>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</si>
  <si>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</si>
  <si>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</si>
  <si>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</si>
  <si>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</si>
  <si>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</si>
  <si>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</si>
  <si>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</si>
  <si>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</si>
  <si>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</si>
  <si>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</si>
  <si>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</si>
  <si>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</si>
  <si>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</si>
  <si>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</si>
  <si>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</si>
  <si>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</si>
  <si>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</si>
  <si>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</si>
  <si>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</si>
  <si>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</si>
  <si>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</si>
  <si>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</si>
  <si>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</si>
  <si>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</si>
  <si>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</si>
  <si>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</si>
  <si>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</si>
  <si>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</si>
  <si>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</si>
  <si>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</si>
  <si>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</si>
  <si>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</si>
  <si>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</si>
  <si>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</si>
  <si>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</si>
  <si>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</si>
  <si>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</si>
  <si>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</si>
  <si>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</si>
  <si>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</si>
  <si>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</si>
  <si>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</si>
  <si>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</si>
  <si>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</si>
  <si>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</si>
  <si>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</si>
  <si>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</si>
  <si>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</si>
  <si>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</si>
  <si>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</si>
  <si>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</si>
  <si>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</si>
  <si>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</si>
  <si>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</si>
  <si>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</si>
  <si>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</si>
  <si>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</si>
  <si>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</si>
  <si>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</si>
  <si>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</si>
  <si>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</si>
  <si>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</si>
  <si>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</si>
  <si>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</si>
  <si>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</si>
  <si>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</si>
  <si>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</si>
  <si>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</si>
  <si>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</si>
  <si>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</si>
  <si>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</si>
  <si>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</si>
  <si>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</si>
  <si>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</si>
  <si>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</si>
  <si>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</si>
  <si>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</si>
  <si>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</si>
  <si>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</si>
  <si>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</si>
  <si>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</si>
  <si>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</si>
  <si>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</si>
  <si>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</si>
  <si>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</si>
  <si>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</si>
  <si>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</si>
  <si>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</si>
  <si>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</si>
  <si>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</si>
  <si>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</si>
  <si>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</si>
  <si>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</si>
  <si>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</si>
  <si>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</si>
  <si>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>ASIF SB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</si>
  <si>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</si>
  <si>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</si>
  <si>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</si>
  <si>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</si>
  <si>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</si>
  <si>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</si>
  <si>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</si>
  <si>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</si>
  <si>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</si>
  <si>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</si>
  <si>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</si>
  <si>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</si>
  <si>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</si>
  <si>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</si>
  <si>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</si>
  <si>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</si>
  <si>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</si>
  <si>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</si>
  <si>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</si>
  <si>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</si>
  <si>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</si>
  <si>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</si>
  <si>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</si>
  <si>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</si>
  <si>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</si>
  <si>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</si>
  <si>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</si>
  <si>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</si>
  <si>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</si>
  <si>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</si>
  <si>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</si>
  <si>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</si>
  <si>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</si>
  <si>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</si>
  <si>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</si>
  <si>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</si>
  <si>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</si>
  <si>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</si>
  <si>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</si>
  <si>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</si>
  <si>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</si>
  <si>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</si>
  <si>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</si>
  <si>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</si>
  <si>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</si>
  <si>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</si>
  <si>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</si>
  <si>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</si>
  <si>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</si>
  <si>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</si>
  <si>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</si>
  <si>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</si>
  <si>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</si>
  <si>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</si>
  <si>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</si>
  <si>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</si>
  <si>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</si>
  <si>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</si>
  <si>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</si>
  <si>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</si>
  <si>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</si>
  <si>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</si>
  <si>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</si>
  <si>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</si>
  <si>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</si>
  <si>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</si>
  <si>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</si>
  <si>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</si>
  <si>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</si>
  <si>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</si>
  <si>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</si>
  <si>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</si>
  <si>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</si>
  <si>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</si>
  <si>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</si>
  <si>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</si>
  <si>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</si>
  <si>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</si>
  <si>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</si>
  <si>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</si>
  <si>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</si>
  <si>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</si>
  <si>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</si>
  <si>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</si>
  <si>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</si>
  <si>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</si>
  <si>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</si>
  <si>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</si>
  <si>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</si>
  <si>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</si>
  <si>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</si>
  <si>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</si>
  <si>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</si>
  <si>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</si>
  <si>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</si>
  <si>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</si>
  <si>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</si>
  <si>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</si>
  <si>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</si>
  <si>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</si>
  <si>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</si>
  <si>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</si>
  <si>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</si>
  <si>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</si>
  <si>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</si>
  <si>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</si>
  <si>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</si>
  <si>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</si>
  <si>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</si>
  <si>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</si>
  <si>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</si>
  <si>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</si>
  <si>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</si>
  <si>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</si>
  <si>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</si>
  <si>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</si>
  <si>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</si>
  <si>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</si>
  <si>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</si>
  <si>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</si>
  <si>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</si>
  <si>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</si>
  <si>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</si>
  <si>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</si>
  <si>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</si>
  <si>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</si>
  <si>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</si>
  <si>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</si>
  <si>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</si>
  <si>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</si>
  <si>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</si>
  <si>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</si>
  <si>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</si>
  <si>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</si>
  <si>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</si>
  <si>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</si>
  <si>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</si>
  <si>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</si>
  <si>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</si>
  <si>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</si>
  <si>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</si>
  <si>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</si>
  <si>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</si>
  <si>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</si>
  <si>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</si>
  <si>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Asif SB</t>
  </si>
  <si>
    <t>Al Noor Town</t>
  </si>
  <si>
    <t>Mubeen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</si>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</sst>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599"/>
  <sheetViews>
    <sheetView tabSelected="1" workbookViewId="0">
      <pane xSplit="1" ySplit="2" topLeftCell="J592" activePane="bottomRight" state="frozen"/>
      <selection pane="topRight" activeCell="B1" sqref="B1"/>
      <selection pane="bottomLeft" activeCell="A3" sqref="A3"/>
      <selection pane="bottomRight" activeCell="S598" sqref="S598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22" t="s">
        <v>0</v>
      </c>
      <c r="B1" s="122" t="s">
        <v>1</v>
      </c>
      <c r="C1" s="122" t="s">
        <v>2</v>
      </c>
      <c r="D1" s="122" t="s">
        <v>3</v>
      </c>
      <c r="E1" s="122" t="s">
        <v>4</v>
      </c>
      <c r="F1" s="122" t="s">
        <v>5</v>
      </c>
      <c r="G1" s="122" t="s">
        <v>6</v>
      </c>
      <c r="H1" s="122" t="s">
        <v>7</v>
      </c>
      <c r="I1" s="1"/>
      <c r="J1" s="42"/>
      <c r="K1" s="122" t="s">
        <v>8</v>
      </c>
      <c r="L1" s="122"/>
      <c r="M1" s="122"/>
      <c r="N1" s="122"/>
      <c r="O1" s="124" t="s">
        <v>9</v>
      </c>
      <c r="P1" s="125"/>
      <c r="Q1" s="125"/>
      <c r="R1" s="125"/>
      <c r="S1" s="120" t="s">
        <v>10</v>
      </c>
      <c r="T1" s="123" t="s">
        <v>11</v>
      </c>
      <c r="U1" s="123"/>
      <c r="V1" s="123"/>
      <c r="W1" s="123"/>
      <c r="X1" s="123" t="s">
        <v>12</v>
      </c>
      <c r="Y1" s="123"/>
      <c r="Z1" s="123"/>
      <c r="AA1" s="123"/>
      <c r="AB1" s="120" t="s">
        <v>65</v>
      </c>
      <c r="AC1" s="120" t="s">
        <v>13</v>
      </c>
      <c r="AD1" s="120" t="s">
        <v>14</v>
      </c>
      <c r="AE1" s="120" t="s">
        <v>15</v>
      </c>
      <c r="AF1" s="120" t="s">
        <v>16</v>
      </c>
      <c r="AG1" s="120" t="s">
        <v>17</v>
      </c>
      <c r="AH1" s="84">
        <v>3.5000000000000003E-2</v>
      </c>
      <c r="AI1" s="120" t="s">
        <v>18</v>
      </c>
      <c r="AJ1" s="120" t="s">
        <v>19</v>
      </c>
      <c r="AK1" s="120" t="s">
        <v>20</v>
      </c>
      <c r="AL1" s="120" t="s">
        <v>21</v>
      </c>
      <c r="AM1" s="120" t="s">
        <v>22</v>
      </c>
      <c r="AN1" s="118" t="s">
        <v>23</v>
      </c>
      <c r="AO1" s="118" t="s">
        <v>24</v>
      </c>
      <c r="AP1" s="120" t="s">
        <v>25</v>
      </c>
    </row>
    <row r="2" spans="1:42" s="2" customFormat="1" hidden="1" x14ac:dyDescent="0.35">
      <c r="A2" s="122"/>
      <c r="B2" s="122"/>
      <c r="C2" s="122"/>
      <c r="D2" s="122"/>
      <c r="E2" s="122"/>
      <c r="F2" s="122"/>
      <c r="G2" s="122"/>
      <c r="H2" s="122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1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1"/>
      <c r="AC2" s="121"/>
      <c r="AD2" s="121"/>
      <c r="AE2" s="121"/>
      <c r="AF2" s="121"/>
      <c r="AG2" s="121"/>
      <c r="AH2" s="82" t="s">
        <v>66</v>
      </c>
      <c r="AI2" s="121"/>
      <c r="AJ2" s="121"/>
      <c r="AK2" s="121"/>
      <c r="AL2" s="121"/>
      <c r="AM2" s="121"/>
      <c r="AN2" s="119"/>
      <c r="AO2" s="119"/>
      <c r="AP2" s="121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423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86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86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86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86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86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86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86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86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86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368</v>
      </c>
      <c r="G117" s="95" t="s">
        <v>421</v>
      </c>
      <c r="H117" s="95" t="s">
        <v>422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86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86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86" t="s">
        <v>278</v>
      </c>
      <c r="I171" s="48" t="s">
        <v>279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86" t="s">
        <v>278</v>
      </c>
      <c r="I172" s="48" t="s">
        <v>279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280</v>
      </c>
      <c r="H173" s="86" t="s">
        <v>176</v>
      </c>
      <c r="I173" s="48" t="s">
        <v>286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281</v>
      </c>
      <c r="H174" s="86" t="s">
        <v>176</v>
      </c>
      <c r="I174" s="48" t="s">
        <v>286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86" t="s">
        <v>176</v>
      </c>
      <c r="I175" s="48" t="s">
        <v>286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282</v>
      </c>
      <c r="H176" s="86" t="s">
        <v>176</v>
      </c>
      <c r="I176" s="48" t="s">
        <v>286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283</v>
      </c>
      <c r="H177" s="86" t="s">
        <v>176</v>
      </c>
      <c r="I177" s="48" t="s">
        <v>286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284</v>
      </c>
      <c r="H178" s="86" t="s">
        <v>176</v>
      </c>
      <c r="I178" s="48" t="s">
        <v>286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285</v>
      </c>
      <c r="H179" s="86" t="s">
        <v>176</v>
      </c>
      <c r="I179" s="48" t="s">
        <v>286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287</v>
      </c>
      <c r="H180" s="86" t="s">
        <v>112</v>
      </c>
      <c r="I180" s="48" t="s">
        <v>289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289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288</v>
      </c>
      <c r="H182" s="86" t="s">
        <v>112</v>
      </c>
      <c r="I182" s="48" t="s">
        <v>289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290</v>
      </c>
      <c r="H183" s="86" t="s">
        <v>127</v>
      </c>
      <c r="I183" s="48" t="s">
        <v>298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291</v>
      </c>
      <c r="H184" s="86" t="s">
        <v>127</v>
      </c>
      <c r="I184" s="48" t="s">
        <v>298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292</v>
      </c>
      <c r="H185" s="86" t="s">
        <v>127</v>
      </c>
      <c r="I185" s="48" t="s">
        <v>298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293</v>
      </c>
      <c r="H186" s="86" t="s">
        <v>127</v>
      </c>
      <c r="I186" s="48" t="s">
        <v>298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294</v>
      </c>
      <c r="H187" s="86" t="s">
        <v>127</v>
      </c>
      <c r="I187" s="48" t="s">
        <v>298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298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295</v>
      </c>
      <c r="H189" s="86" t="s">
        <v>127</v>
      </c>
      <c r="I189" s="48" t="s">
        <v>298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296</v>
      </c>
      <c r="H190" s="86" t="s">
        <v>127</v>
      </c>
      <c r="I190" s="48" t="s">
        <v>298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298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297</v>
      </c>
      <c r="H192" s="86" t="s">
        <v>127</v>
      </c>
      <c r="I192" s="48" t="s">
        <v>298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299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300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301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302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303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304</v>
      </c>
      <c r="H202" s="86" t="s">
        <v>110</v>
      </c>
      <c r="I202" s="48" t="s">
        <v>307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305</v>
      </c>
      <c r="H203" s="86" t="s">
        <v>110</v>
      </c>
      <c r="I203" s="48" t="s">
        <v>307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306</v>
      </c>
      <c r="H204" s="86" t="s">
        <v>110</v>
      </c>
      <c r="I204" s="48" t="s">
        <v>307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307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308</v>
      </c>
      <c r="H206" s="86" t="s">
        <v>112</v>
      </c>
      <c r="I206" s="48" t="s">
        <v>309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309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310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311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312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313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314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315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316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317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318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319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320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300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321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322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323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304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324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325</v>
      </c>
      <c r="H229" s="86" t="s">
        <v>89</v>
      </c>
      <c r="I229" s="48" t="s">
        <v>418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326</v>
      </c>
      <c r="H231" s="86" t="s">
        <v>89</v>
      </c>
      <c r="I231" s="48" t="s">
        <v>419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327</v>
      </c>
      <c r="H232" s="86" t="s">
        <v>112</v>
      </c>
      <c r="I232" s="48" t="s">
        <v>331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331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328</v>
      </c>
      <c r="H234" s="86" t="s">
        <v>112</v>
      </c>
      <c r="I234" s="48" t="s">
        <v>331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329</v>
      </c>
      <c r="H235" s="86" t="s">
        <v>112</v>
      </c>
      <c r="I235" s="48" t="s">
        <v>331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330</v>
      </c>
      <c r="H236" s="86" t="s">
        <v>112</v>
      </c>
      <c r="I236" s="48" t="s">
        <v>331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332</v>
      </c>
      <c r="H237" s="86" t="s">
        <v>127</v>
      </c>
      <c r="I237" s="48" t="s">
        <v>342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333</v>
      </c>
      <c r="H238" s="86" t="s">
        <v>127</v>
      </c>
      <c r="I238" s="48" t="s">
        <v>342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334</v>
      </c>
      <c r="H239" s="86" t="s">
        <v>127</v>
      </c>
      <c r="I239" s="48" t="s">
        <v>342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335</v>
      </c>
      <c r="H240" s="86" t="s">
        <v>127</v>
      </c>
      <c r="I240" s="48" t="s">
        <v>342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336</v>
      </c>
      <c r="H241" s="86" t="s">
        <v>127</v>
      </c>
      <c r="I241" s="48" t="s">
        <v>342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342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337</v>
      </c>
      <c r="H243" s="86" t="s">
        <v>127</v>
      </c>
      <c r="I243" s="48" t="s">
        <v>342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338</v>
      </c>
      <c r="H244" s="86" t="s">
        <v>127</v>
      </c>
      <c r="I244" s="48" t="s">
        <v>342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339</v>
      </c>
      <c r="H245" s="86" t="s">
        <v>127</v>
      </c>
      <c r="I245" s="48" t="s">
        <v>342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340</v>
      </c>
      <c r="H246" s="86" t="s">
        <v>127</v>
      </c>
      <c r="I246" s="48" t="s">
        <v>342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341</v>
      </c>
      <c r="H247" s="86" t="s">
        <v>127</v>
      </c>
      <c r="I247" s="48" t="s">
        <v>342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300</v>
      </c>
      <c r="H248" s="86" t="s">
        <v>129</v>
      </c>
      <c r="I248" s="48" t="s">
        <v>347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343</v>
      </c>
      <c r="H249" s="86" t="s">
        <v>129</v>
      </c>
      <c r="I249" s="48" t="s">
        <v>347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347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324</v>
      </c>
      <c r="H251" s="86" t="s">
        <v>129</v>
      </c>
      <c r="I251" s="48" t="s">
        <v>347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344</v>
      </c>
      <c r="H252" s="86" t="s">
        <v>129</v>
      </c>
      <c r="I252" s="48" t="s">
        <v>347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345</v>
      </c>
      <c r="H253" s="86" t="s">
        <v>129</v>
      </c>
      <c r="I253" s="48" t="s">
        <v>347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346</v>
      </c>
      <c r="H254" s="86" t="s">
        <v>129</v>
      </c>
      <c r="I254" s="48" t="s">
        <v>347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347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412</v>
      </c>
      <c r="H256" s="86" t="s">
        <v>89</v>
      </c>
      <c r="I256" s="48" t="s">
        <v>411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348</v>
      </c>
      <c r="H257" s="86" t="s">
        <v>89</v>
      </c>
      <c r="I257" s="48" t="s">
        <v>413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414</v>
      </c>
      <c r="H258" s="86" t="s">
        <v>89</v>
      </c>
      <c r="I258" s="48" t="s">
        <v>415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349</v>
      </c>
      <c r="H259" s="86" t="s">
        <v>89</v>
      </c>
      <c r="I259" s="48" t="s">
        <v>416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350</v>
      </c>
      <c r="H260" s="86" t="s">
        <v>89</v>
      </c>
      <c r="I260" s="48" t="s">
        <v>411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351</v>
      </c>
      <c r="H261" s="86" t="s">
        <v>89</v>
      </c>
      <c r="I261" s="48" t="s">
        <v>417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352</v>
      </c>
      <c r="H262" s="86" t="s">
        <v>112</v>
      </c>
      <c r="I262" s="48" t="s">
        <v>358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358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353</v>
      </c>
      <c r="H264" s="86" t="s">
        <v>112</v>
      </c>
      <c r="I264" s="48" t="s">
        <v>359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354</v>
      </c>
      <c r="H265" s="86" t="s">
        <v>112</v>
      </c>
      <c r="I265" s="48" t="s">
        <v>359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355</v>
      </c>
      <c r="H266" s="86" t="s">
        <v>112</v>
      </c>
      <c r="I266" s="48" t="s">
        <v>359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356</v>
      </c>
      <c r="H267" s="86" t="s">
        <v>112</v>
      </c>
      <c r="I267" s="48" t="s">
        <v>359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357</v>
      </c>
      <c r="H268" s="86" t="s">
        <v>112</v>
      </c>
      <c r="I268" s="48" t="s">
        <v>359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361</v>
      </c>
      <c r="H269" s="86" t="s">
        <v>127</v>
      </c>
      <c r="I269" s="48" t="s">
        <v>367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362</v>
      </c>
      <c r="H270" s="86" t="s">
        <v>127</v>
      </c>
      <c r="I270" s="48" t="s">
        <v>367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367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363</v>
      </c>
      <c r="H272" s="86" t="s">
        <v>127</v>
      </c>
      <c r="I272" s="48" t="s">
        <v>367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364</v>
      </c>
      <c r="H273" s="86" t="s">
        <v>127</v>
      </c>
      <c r="I273" s="48" t="s">
        <v>367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365</v>
      </c>
      <c r="H274" s="86" t="s">
        <v>127</v>
      </c>
      <c r="I274" s="48" t="s">
        <v>367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366</v>
      </c>
      <c r="H275" s="86" t="s">
        <v>127</v>
      </c>
      <c r="I275" s="48" t="s">
        <v>367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360</v>
      </c>
      <c r="H276" s="86" t="s">
        <v>127</v>
      </c>
      <c r="I276" s="48" t="s">
        <v>367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369</v>
      </c>
      <c r="H277" s="86" t="s">
        <v>371</v>
      </c>
      <c r="I277" s="48" t="s">
        <v>370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372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373</v>
      </c>
      <c r="H279" s="86" t="s">
        <v>112</v>
      </c>
      <c r="I279" s="48" t="s">
        <v>386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374</v>
      </c>
      <c r="H280" s="86" t="s">
        <v>112</v>
      </c>
      <c r="I280" s="48" t="s">
        <v>386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375</v>
      </c>
      <c r="H281" s="86" t="s">
        <v>112</v>
      </c>
      <c r="I281" s="48" t="s">
        <v>387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376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377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345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378</v>
      </c>
      <c r="H285" s="86" t="s">
        <v>112</v>
      </c>
      <c r="I285" s="48" t="s">
        <v>372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379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380</v>
      </c>
      <c r="H287" s="86" t="s">
        <v>112</v>
      </c>
      <c r="I287" s="48" t="s">
        <v>388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381</v>
      </c>
      <c r="H288" s="86" t="s">
        <v>112</v>
      </c>
      <c r="I288" s="48" t="s">
        <v>389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382</v>
      </c>
      <c r="H289" s="86" t="s">
        <v>112</v>
      </c>
      <c r="I289" s="48" t="s">
        <v>390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383</v>
      </c>
      <c r="H290" s="86" t="s">
        <v>112</v>
      </c>
      <c r="I290" s="48" t="s">
        <v>391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384</v>
      </c>
      <c r="H291" s="86" t="s">
        <v>112</v>
      </c>
      <c r="I291" s="48" t="s">
        <v>391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385</v>
      </c>
      <c r="H292" s="86" t="s">
        <v>112</v>
      </c>
      <c r="I292" s="48" t="s">
        <v>392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393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394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395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396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397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398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403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399</v>
      </c>
      <c r="H301" s="86" t="s">
        <v>129</v>
      </c>
      <c r="I301" s="48" t="s">
        <v>403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403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403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403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400</v>
      </c>
      <c r="H305" s="86" t="s">
        <v>129</v>
      </c>
      <c r="I305" s="48" t="s">
        <v>403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403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401</v>
      </c>
      <c r="H307" s="86" t="s">
        <v>129</v>
      </c>
      <c r="I307" s="48" t="s">
        <v>403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403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402</v>
      </c>
      <c r="H309" s="86" t="s">
        <v>129</v>
      </c>
      <c r="I309" s="48" t="s">
        <v>403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407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404</v>
      </c>
      <c r="H311" s="86" t="s">
        <v>89</v>
      </c>
      <c r="I311" s="48" t="s">
        <v>406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405</v>
      </c>
      <c r="H312" s="86" t="s">
        <v>89</v>
      </c>
      <c r="I312" s="48" t="s">
        <v>408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410</v>
      </c>
      <c r="H313" s="86" t="s">
        <v>89</v>
      </c>
      <c r="I313" s="48" t="s">
        <v>409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86" t="s">
        <v>424</v>
      </c>
      <c r="I314" s="117" t="s">
        <v>425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426</v>
      </c>
      <c r="I315" s="95" t="s">
        <v>427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100" t="s">
        <v>87</v>
      </c>
      <c r="G434" s="94" t="s">
        <v>428</v>
      </c>
      <c r="H434" s="94" t="s">
        <v>87</v>
      </c>
      <c r="I434" s="94" t="s">
        <v>429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436</v>
      </c>
      <c r="I435" s="94" t="s">
        <v>437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430</v>
      </c>
      <c r="H436" s="94" t="s">
        <v>436</v>
      </c>
      <c r="I436" s="94" t="s">
        <v>437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431</v>
      </c>
      <c r="H437" s="94" t="s">
        <v>436</v>
      </c>
      <c r="I437" s="94" t="s">
        <v>437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432</v>
      </c>
      <c r="H438" s="94" t="s">
        <v>436</v>
      </c>
      <c r="I438" s="94" t="s">
        <v>437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436</v>
      </c>
      <c r="I439" s="94" t="s">
        <v>437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433</v>
      </c>
      <c r="H440" s="94" t="s">
        <v>436</v>
      </c>
      <c r="I440" s="94" t="s">
        <v>437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436</v>
      </c>
      <c r="I441" s="94" t="s">
        <v>437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435</v>
      </c>
      <c r="H442" s="94" t="s">
        <v>436</v>
      </c>
      <c r="I442" s="94" t="s">
        <v>437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434</v>
      </c>
      <c r="H443" s="94" t="s">
        <v>436</v>
      </c>
      <c r="I443" s="94" t="s">
        <v>437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439</v>
      </c>
      <c r="H444" s="94" t="s">
        <v>438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438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440</v>
      </c>
      <c r="H446" s="94" t="s">
        <v>438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441</v>
      </c>
      <c r="H447" s="94" t="s">
        <v>438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438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442</v>
      </c>
      <c r="H449" s="94" t="s">
        <v>438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438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443</v>
      </c>
      <c r="H451" s="94" t="s">
        <v>438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444</v>
      </c>
      <c r="H452" s="94" t="s">
        <v>89</v>
      </c>
      <c r="I452" s="94" t="s">
        <v>448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445</v>
      </c>
      <c r="H453" s="94" t="s">
        <v>89</v>
      </c>
      <c r="I453" s="94" t="s">
        <v>449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446</v>
      </c>
      <c r="H454" s="94" t="s">
        <v>89</v>
      </c>
      <c r="I454" s="94" t="s">
        <v>450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447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412</v>
      </c>
      <c r="H456" s="94" t="s">
        <v>89</v>
      </c>
      <c r="I456" s="94" t="s">
        <v>451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453</v>
      </c>
      <c r="H457" s="94" t="s">
        <v>89</v>
      </c>
      <c r="I457" s="94" t="s">
        <v>452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455</v>
      </c>
      <c r="H458" s="94" t="s">
        <v>89</v>
      </c>
      <c r="I458" s="94" t="s">
        <v>454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456</v>
      </c>
      <c r="H459" s="94" t="s">
        <v>463</v>
      </c>
      <c r="I459" s="94" t="s">
        <v>464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463</v>
      </c>
      <c r="I460" s="94" t="s">
        <v>464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457</v>
      </c>
      <c r="H461" s="94" t="s">
        <v>463</v>
      </c>
      <c r="I461" s="94" t="s">
        <v>464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458</v>
      </c>
      <c r="H462" s="94" t="s">
        <v>463</v>
      </c>
      <c r="I462" s="94" t="s">
        <v>464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459</v>
      </c>
      <c r="H463" s="94" t="s">
        <v>463</v>
      </c>
      <c r="I463" s="94" t="s">
        <v>464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460</v>
      </c>
      <c r="H464" s="94" t="s">
        <v>463</v>
      </c>
      <c r="I464" s="94" t="s">
        <v>464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463</v>
      </c>
      <c r="I465" s="94" t="s">
        <v>464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461</v>
      </c>
      <c r="H466" s="94" t="s">
        <v>463</v>
      </c>
      <c r="I466" s="94" t="s">
        <v>464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462</v>
      </c>
      <c r="H467" s="94" t="s">
        <v>463</v>
      </c>
      <c r="I467" s="94" t="s">
        <v>464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469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465</v>
      </c>
      <c r="H469" s="94" t="s">
        <v>112</v>
      </c>
      <c r="I469" s="94" t="s">
        <v>469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466</v>
      </c>
      <c r="H470" s="94" t="s">
        <v>112</v>
      </c>
      <c r="I470" s="94" t="s">
        <v>469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469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467</v>
      </c>
      <c r="H472" s="94" t="s">
        <v>112</v>
      </c>
      <c r="I472" s="94" t="s">
        <v>469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468</v>
      </c>
      <c r="H473" s="94" t="s">
        <v>112</v>
      </c>
      <c r="I473" s="94" t="s">
        <v>469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423</v>
      </c>
      <c r="H474" s="94" t="s">
        <v>470</v>
      </c>
      <c r="I474" s="94" t="s">
        <v>423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297</v>
      </c>
      <c r="H475" s="94" t="s">
        <v>436</v>
      </c>
      <c r="I475" s="94" t="s">
        <v>298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471</v>
      </c>
      <c r="H476" s="94" t="s">
        <v>436</v>
      </c>
      <c r="I476" s="94" t="s">
        <v>298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294</v>
      </c>
      <c r="H477" s="94" t="s">
        <v>436</v>
      </c>
      <c r="I477" s="94" t="s">
        <v>298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436</v>
      </c>
      <c r="I478" s="94" t="s">
        <v>298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472</v>
      </c>
      <c r="H479" s="94" t="s">
        <v>436</v>
      </c>
      <c r="I479" s="94" t="s">
        <v>298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473</v>
      </c>
      <c r="H480" s="94" t="s">
        <v>436</v>
      </c>
      <c r="I480" s="94" t="s">
        <v>298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474</v>
      </c>
      <c r="H481" s="94" t="s">
        <v>436</v>
      </c>
      <c r="I481" s="94" t="s">
        <v>298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475</v>
      </c>
      <c r="H482" s="94" t="s">
        <v>436</v>
      </c>
      <c r="I482" s="94" t="s">
        <v>298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476</v>
      </c>
      <c r="H483" s="94" t="s">
        <v>436</v>
      </c>
      <c r="I483" s="94" t="s">
        <v>298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477</v>
      </c>
      <c r="H484" s="94" t="s">
        <v>436</v>
      </c>
      <c r="I484" s="94" t="s">
        <v>298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478</v>
      </c>
      <c r="H485" s="94" t="s">
        <v>436</v>
      </c>
      <c r="I485" s="94" t="s">
        <v>298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479</v>
      </c>
      <c r="H486" s="94" t="s">
        <v>436</v>
      </c>
      <c r="I486" s="94" t="s">
        <v>298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480</v>
      </c>
      <c r="H487" s="94" t="s">
        <v>436</v>
      </c>
      <c r="I487" s="94" t="s">
        <v>298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481</v>
      </c>
      <c r="H488" s="94" t="s">
        <v>436</v>
      </c>
      <c r="I488" s="94" t="s">
        <v>298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300</v>
      </c>
      <c r="H489" s="94" t="s">
        <v>438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438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438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303</v>
      </c>
      <c r="H492" s="94" t="s">
        <v>438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438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482</v>
      </c>
      <c r="H494" s="94" t="s">
        <v>438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438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483</v>
      </c>
      <c r="H496" s="94" t="s">
        <v>438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438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484</v>
      </c>
      <c r="H498" s="94" t="s">
        <v>438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438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485</v>
      </c>
      <c r="H500" s="94" t="s">
        <v>438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302</v>
      </c>
      <c r="H501" s="94" t="s">
        <v>438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486</v>
      </c>
      <c r="H502" s="94" t="s">
        <v>463</v>
      </c>
      <c r="I502" s="94" t="s">
        <v>427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487</v>
      </c>
      <c r="H503" s="94" t="s">
        <v>463</v>
      </c>
      <c r="I503" s="94" t="s">
        <v>427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463</v>
      </c>
      <c r="I504" s="94" t="s">
        <v>427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463</v>
      </c>
      <c r="I505" s="94" t="s">
        <v>427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488</v>
      </c>
      <c r="H506" s="94" t="s">
        <v>463</v>
      </c>
      <c r="I506" s="94" t="s">
        <v>427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489</v>
      </c>
      <c r="H507" s="94" t="s">
        <v>463</v>
      </c>
      <c r="I507" s="94" t="s">
        <v>427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328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490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491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492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328</v>
      </c>
      <c r="H512" s="94" t="s">
        <v>112</v>
      </c>
      <c r="I512" s="94" t="s">
        <v>494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493</v>
      </c>
      <c r="H513" s="94" t="s">
        <v>112</v>
      </c>
      <c r="I513" s="94" t="s">
        <v>495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496</v>
      </c>
      <c r="H514" s="94" t="s">
        <v>436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497</v>
      </c>
      <c r="H515" s="94" t="s">
        <v>436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498</v>
      </c>
      <c r="H516" s="94" t="s">
        <v>436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499</v>
      </c>
      <c r="H517" s="94" t="s">
        <v>436</v>
      </c>
      <c r="I517" s="94" t="s">
        <v>503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500</v>
      </c>
      <c r="H518" s="94" t="s">
        <v>436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501</v>
      </c>
      <c r="H519" s="94" t="s">
        <v>436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502</v>
      </c>
      <c r="H520" s="94" t="s">
        <v>436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316</v>
      </c>
      <c r="H521" s="94" t="s">
        <v>436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504</v>
      </c>
      <c r="H522" s="94" t="s">
        <v>438</v>
      </c>
      <c r="I522" s="94" t="s">
        <v>511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505</v>
      </c>
      <c r="H523" s="94" t="s">
        <v>438</v>
      </c>
      <c r="I523" s="94" t="s">
        <v>511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506</v>
      </c>
      <c r="H524" s="94" t="s">
        <v>438</v>
      </c>
      <c r="I524" s="94" t="s">
        <v>511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507</v>
      </c>
      <c r="H525" s="94" t="s">
        <v>438</v>
      </c>
      <c r="I525" s="94" t="s">
        <v>511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508</v>
      </c>
      <c r="H526" s="94" t="s">
        <v>438</v>
      </c>
      <c r="I526" s="94" t="s">
        <v>511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509</v>
      </c>
      <c r="H527" s="94" t="s">
        <v>438</v>
      </c>
      <c r="I527" s="94" t="s">
        <v>511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438</v>
      </c>
      <c r="I528" s="94" t="s">
        <v>511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510</v>
      </c>
      <c r="H529" s="94" t="s">
        <v>438</v>
      </c>
      <c r="I529" s="94" t="s">
        <v>511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484</v>
      </c>
      <c r="H530" s="94" t="s">
        <v>438</v>
      </c>
      <c r="I530" s="94" t="s">
        <v>511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467</v>
      </c>
      <c r="H531" s="94" t="s">
        <v>438</v>
      </c>
      <c r="I531" s="94" t="s">
        <v>511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512</v>
      </c>
      <c r="H532" s="94" t="s">
        <v>89</v>
      </c>
      <c r="I532" s="94" t="s">
        <v>513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515</v>
      </c>
      <c r="H533" s="94" t="s">
        <v>463</v>
      </c>
      <c r="I533" s="94" t="s">
        <v>514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516</v>
      </c>
      <c r="H534" s="94" t="s">
        <v>463</v>
      </c>
      <c r="I534" s="94" t="s">
        <v>514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517</v>
      </c>
      <c r="H535" s="94" t="s">
        <v>463</v>
      </c>
      <c r="I535" s="94" t="s">
        <v>514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463</v>
      </c>
      <c r="I536" s="94" t="s">
        <v>514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519</v>
      </c>
      <c r="H537" s="94" t="s">
        <v>112</v>
      </c>
      <c r="I537" s="94" t="s">
        <v>518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520</v>
      </c>
      <c r="H538" s="94" t="s">
        <v>112</v>
      </c>
      <c r="I538" s="94" t="s">
        <v>518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521</v>
      </c>
      <c r="H539" s="94" t="s">
        <v>112</v>
      </c>
      <c r="I539" s="94" t="s">
        <v>518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461</v>
      </c>
      <c r="H540" s="94" t="s">
        <v>112</v>
      </c>
      <c r="I540" s="94" t="s">
        <v>518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522</v>
      </c>
      <c r="H541" s="94" t="s">
        <v>112</v>
      </c>
      <c r="I541" s="94" t="s">
        <v>518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523</v>
      </c>
      <c r="H542" s="94" t="s">
        <v>112</v>
      </c>
      <c r="I542" s="94" t="s">
        <v>518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524</v>
      </c>
      <c r="H543" s="94" t="s">
        <v>112</v>
      </c>
      <c r="I543" s="94" t="s">
        <v>518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525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526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527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343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516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528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529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94"/>
      <c r="B553" s="76"/>
      <c r="C553" s="94"/>
      <c r="D553" s="102"/>
      <c r="E553" s="94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94"/>
      <c r="B554" s="76"/>
      <c r="C554" s="94"/>
      <c r="D554" s="102"/>
      <c r="E554" s="94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94"/>
      <c r="B555" s="76"/>
      <c r="C555" s="94"/>
      <c r="D555" s="102"/>
      <c r="E555" s="94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94"/>
      <c r="B556" s="76"/>
      <c r="C556" s="94"/>
      <c r="D556" s="102"/>
      <c r="E556" s="94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94"/>
      <c r="B557" s="76"/>
      <c r="C557" s="94"/>
      <c r="D557" s="102"/>
      <c r="E557" s="94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94"/>
      <c r="B558" s="76"/>
      <c r="C558" s="94"/>
      <c r="D558" s="102"/>
      <c r="E558" s="94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94"/>
      <c r="B559" s="76"/>
      <c r="C559" s="94"/>
      <c r="D559" s="102"/>
      <c r="E559" s="94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94"/>
      <c r="B560" s="76"/>
      <c r="C560" s="94"/>
      <c r="D560" s="102"/>
      <c r="E560" s="94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94"/>
      <c r="B561" s="76"/>
      <c r="C561" s="94"/>
      <c r="D561" s="102"/>
      <c r="E561" s="94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94"/>
      <c r="B562" s="76"/>
      <c r="C562" s="94"/>
      <c r="D562" s="102"/>
      <c r="E562" s="94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590" si="143">(J562*AB562)+(N562*AC562)+(AD562*S562)</f>
        <v>0</v>
      </c>
      <c r="AF562" s="90">
        <v>6.5000000000000002E-2</v>
      </c>
      <c r="AG562" s="4">
        <f t="shared" ref="AG562:AG590" si="144">AE562*AF562</f>
        <v>0</v>
      </c>
      <c r="AH562" s="49">
        <f t="shared" ref="AH562:AH590" si="145">(AB562*J562)*$AH$1</f>
        <v>0</v>
      </c>
      <c r="AI562" s="89">
        <f t="shared" ref="AI562:AI590" si="146">AE562-AG562</f>
        <v>0</v>
      </c>
      <c r="AJ562" s="91">
        <v>0.18</v>
      </c>
      <c r="AK562" s="5">
        <f t="shared" ref="AK562:AK590" si="147">AI562*AJ562</f>
        <v>0</v>
      </c>
      <c r="AL562" s="89">
        <f t="shared" ref="AL562:AL590" si="148">AI562+AK562</f>
        <v>0</v>
      </c>
      <c r="AP562" s="7"/>
    </row>
    <row r="563" spans="1:42" x14ac:dyDescent="0.35">
      <c r="A563" s="94"/>
      <c r="B563" s="76"/>
      <c r="C563" s="94"/>
      <c r="D563" s="102"/>
      <c r="E563" s="94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94"/>
      <c r="B564" s="76"/>
      <c r="C564" s="94"/>
      <c r="D564" s="102"/>
      <c r="E564" s="94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94"/>
      <c r="B565" s="76"/>
      <c r="C565" s="94"/>
      <c r="D565" s="102"/>
      <c r="E565" s="94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94"/>
      <c r="B566" s="76"/>
      <c r="C566" s="94"/>
      <c r="D566" s="102"/>
      <c r="E566" s="94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94"/>
      <c r="B567" s="76"/>
      <c r="C567" s="94"/>
      <c r="D567" s="102"/>
      <c r="E567" s="94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94"/>
      <c r="B568" s="76"/>
      <c r="C568" s="94"/>
      <c r="D568" s="102"/>
      <c r="E568" s="94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94"/>
      <c r="B569" s="76"/>
      <c r="C569" s="94"/>
      <c r="D569" s="102"/>
      <c r="E569" s="94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94"/>
      <c r="B570" s="76"/>
      <c r="C570" s="94"/>
      <c r="D570" s="102"/>
      <c r="E570" s="94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94"/>
      <c r="B571" s="76"/>
      <c r="C571" s="94"/>
      <c r="D571" s="102"/>
      <c r="E571" s="94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94"/>
      <c r="B572" s="76"/>
      <c r="C572" s="94"/>
      <c r="D572" s="102"/>
      <c r="E572" s="94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94"/>
      <c r="B573" s="76"/>
      <c r="C573" s="94"/>
      <c r="D573" s="102"/>
      <c r="E573" s="94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94"/>
      <c r="B574" s="76"/>
      <c r="C574" s="94"/>
      <c r="D574" s="102"/>
      <c r="E574" s="94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94"/>
      <c r="B575" s="76"/>
      <c r="C575" s="94"/>
      <c r="D575" s="102"/>
      <c r="E575" s="94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94"/>
      <c r="B576" s="76"/>
      <c r="C576" s="94"/>
      <c r="D576" s="102"/>
      <c r="E576" s="94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94"/>
      <c r="B577" s="76"/>
      <c r="C577" s="94"/>
      <c r="D577" s="102"/>
      <c r="E577" s="94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94"/>
      <c r="B578" s="76"/>
      <c r="C578" s="94"/>
      <c r="D578" s="102"/>
      <c r="E578" s="94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94"/>
      <c r="B579" s="76"/>
      <c r="C579" s="94"/>
      <c r="D579" s="102"/>
      <c r="E579" s="94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94"/>
      <c r="B580" s="76"/>
      <c r="C580" s="94"/>
      <c r="D580" s="102"/>
      <c r="E580" s="94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591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94"/>
      <c r="B581" s="76"/>
      <c r="C581" s="94"/>
      <c r="D581" s="102"/>
      <c r="E581" s="94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591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591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94"/>
      <c r="B582" s="76"/>
      <c r="C582" s="94"/>
      <c r="D582" s="102"/>
      <c r="E582" s="94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94"/>
      <c r="B583" s="76"/>
      <c r="C583" s="94"/>
      <c r="D583" s="102"/>
      <c r="E583" s="94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94"/>
      <c r="B584" s="76"/>
      <c r="C584" s="94"/>
      <c r="D584" s="102"/>
      <c r="E584" s="94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94"/>
      <c r="B585" s="76"/>
      <c r="C585" s="94"/>
      <c r="D585" s="102"/>
      <c r="E585" s="94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94"/>
      <c r="B586" s="76"/>
      <c r="C586" s="94"/>
      <c r="D586" s="102"/>
      <c r="E586" s="94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94"/>
      <c r="B587" s="76"/>
      <c r="C587" s="94"/>
      <c r="D587" s="102"/>
      <c r="E587" s="94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94"/>
      <c r="B588" s="76"/>
      <c r="C588" s="94"/>
      <c r="D588" s="102"/>
      <c r="E588" s="94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88">
        <v>39.270000000000003</v>
      </c>
      <c r="AC588" s="88">
        <v>52.462499999999999</v>
      </c>
      <c r="AD588" s="88">
        <v>72.64</v>
      </c>
      <c r="AE588" s="89">
        <f t="shared" si="143"/>
        <v>0</v>
      </c>
      <c r="AF588" s="90">
        <v>6.5000000000000002E-2</v>
      </c>
      <c r="AG588" s="4">
        <f t="shared" si="144"/>
        <v>0</v>
      </c>
      <c r="AH588" s="49">
        <f t="shared" si="145"/>
        <v>0</v>
      </c>
      <c r="AI588" s="89">
        <f t="shared" si="146"/>
        <v>0</v>
      </c>
      <c r="AJ588" s="91">
        <v>0.18</v>
      </c>
      <c r="AK588" s="5">
        <f t="shared" si="147"/>
        <v>0</v>
      </c>
      <c r="AL588" s="89">
        <f t="shared" si="148"/>
        <v>0</v>
      </c>
      <c r="AP588" s="7"/>
    </row>
    <row r="589" spans="1:42" x14ac:dyDescent="0.35">
      <c r="A589" s="94"/>
      <c r="B589" s="76"/>
      <c r="C589" s="94"/>
      <c r="D589" s="102"/>
      <c r="E589" s="94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88">
        <v>39.270000000000003</v>
      </c>
      <c r="AC589" s="88">
        <v>52.462499999999999</v>
      </c>
      <c r="AD589" s="88">
        <v>72.64</v>
      </c>
      <c r="AE589" s="89">
        <f t="shared" si="143"/>
        <v>0</v>
      </c>
      <c r="AF589" s="90">
        <v>6.5000000000000002E-2</v>
      </c>
      <c r="AG589" s="4">
        <f t="shared" si="144"/>
        <v>0</v>
      </c>
      <c r="AH589" s="49">
        <f t="shared" si="145"/>
        <v>0</v>
      </c>
      <c r="AI589" s="89">
        <f t="shared" si="146"/>
        <v>0</v>
      </c>
      <c r="AJ589" s="91">
        <v>0.18</v>
      </c>
      <c r="AK589" s="5">
        <f t="shared" si="147"/>
        <v>0</v>
      </c>
      <c r="AL589" s="89">
        <f t="shared" si="148"/>
        <v>0</v>
      </c>
      <c r="AP589" s="7"/>
    </row>
    <row r="590" spans="1:42" x14ac:dyDescent="0.35">
      <c r="A590" s="94"/>
      <c r="B590" s="76"/>
      <c r="C590" s="94"/>
      <c r="D590" s="102"/>
      <c r="E590" s="94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88">
        <v>39.270000000000003</v>
      </c>
      <c r="AC590" s="88">
        <v>52.462499999999999</v>
      </c>
      <c r="AD590" s="88">
        <v>72.64</v>
      </c>
      <c r="AE590" s="89">
        <f t="shared" si="143"/>
        <v>0</v>
      </c>
      <c r="AF590" s="90">
        <v>6.5000000000000002E-2</v>
      </c>
      <c r="AG590" s="4">
        <f t="shared" si="144"/>
        <v>0</v>
      </c>
      <c r="AH590" s="49">
        <f t="shared" si="145"/>
        <v>0</v>
      </c>
      <c r="AI590" s="89">
        <f t="shared" si="146"/>
        <v>0</v>
      </c>
      <c r="AJ590" s="91">
        <v>0.18</v>
      </c>
      <c r="AK590" s="5">
        <f t="shared" si="147"/>
        <v>0</v>
      </c>
      <c r="AL590" s="89">
        <f t="shared" si="148"/>
        <v>0</v>
      </c>
      <c r="AP590" s="7"/>
    </row>
    <row r="591" spans="1:42" x14ac:dyDescent="0.35">
      <c r="A591" s="79"/>
      <c r="B591" s="80"/>
      <c r="D591" s="81"/>
      <c r="J591" s="108"/>
      <c r="K591" s="108"/>
      <c r="L591" s="108"/>
      <c r="M591" s="108"/>
      <c r="N591" s="104">
        <f t="shared" si="150"/>
        <v>0</v>
      </c>
      <c r="O591" s="108"/>
      <c r="P591" s="108"/>
      <c r="Q591" s="108"/>
      <c r="R591" s="104">
        <f t="shared" si="149"/>
        <v>0</v>
      </c>
      <c r="S591" s="86">
        <f t="shared" si="151"/>
        <v>0</v>
      </c>
      <c r="AP591" s="7"/>
    </row>
    <row r="592" spans="1:42" x14ac:dyDescent="0.35">
      <c r="A592" s="3"/>
      <c r="J592" s="107">
        <f>SUM(J3:J591)</f>
        <v>11639</v>
      </c>
      <c r="K592" s="107">
        <f t="shared" ref="K592:S592" si="152">SUM(K3:K591)</f>
        <v>7611</v>
      </c>
      <c r="L592" s="107">
        <f t="shared" si="152"/>
        <v>6831</v>
      </c>
      <c r="M592" s="107">
        <f t="shared" si="152"/>
        <v>0</v>
      </c>
      <c r="N592" s="107">
        <f t="shared" si="152"/>
        <v>14442</v>
      </c>
      <c r="O592" s="107">
        <f t="shared" si="152"/>
        <v>12656</v>
      </c>
      <c r="P592" s="107">
        <f t="shared" si="152"/>
        <v>10913</v>
      </c>
      <c r="Q592" s="107">
        <f t="shared" si="152"/>
        <v>13910</v>
      </c>
      <c r="R592" s="107">
        <f t="shared" si="152"/>
        <v>37479</v>
      </c>
      <c r="S592" s="107">
        <f t="shared" si="152"/>
        <v>63560</v>
      </c>
      <c r="AP592" s="7"/>
    </row>
    <row r="593" spans="1:42" x14ac:dyDescent="0.35">
      <c r="A593" s="3"/>
      <c r="J593" s="52"/>
      <c r="K593" s="52"/>
      <c r="L593" s="52"/>
      <c r="M593" s="52"/>
      <c r="N593" s="52"/>
      <c r="O593" s="52"/>
      <c r="P593" s="52"/>
      <c r="Q593" s="52"/>
      <c r="R593" s="52"/>
      <c r="S593" s="43"/>
      <c r="AC593" t="s">
        <v>50</v>
      </c>
      <c r="AP593" s="7"/>
    </row>
    <row r="594" spans="1:42" x14ac:dyDescent="0.35">
      <c r="J594" s="41" t="s">
        <v>63</v>
      </c>
      <c r="K594" s="41" t="s">
        <v>74</v>
      </c>
      <c r="L594" s="41" t="s">
        <v>27</v>
      </c>
      <c r="M594" s="41" t="s">
        <v>67</v>
      </c>
      <c r="N594" s="41" t="s">
        <v>29</v>
      </c>
      <c r="O594" s="41" t="s">
        <v>69</v>
      </c>
      <c r="P594" s="41" t="s">
        <v>30</v>
      </c>
      <c r="Q594" s="41" t="s">
        <v>70</v>
      </c>
      <c r="R594" s="41" t="s">
        <v>31</v>
      </c>
      <c r="S594" s="55"/>
      <c r="T594" s="7"/>
      <c r="U594" s="7"/>
      <c r="V594" s="7"/>
      <c r="W594" s="7"/>
      <c r="X594" s="7"/>
      <c r="Y594" s="7"/>
      <c r="Z594" s="7"/>
      <c r="AA594" s="7"/>
      <c r="AB594" s="7"/>
      <c r="AF594"/>
    </row>
    <row r="595" spans="1:42" x14ac:dyDescent="0.35">
      <c r="I595" s="43" t="s">
        <v>50</v>
      </c>
      <c r="J595" s="47">
        <f>J592/40</f>
        <v>290.97500000000002</v>
      </c>
      <c r="K595" s="109">
        <f t="shared" ref="K595:S595" si="153">K592/40</f>
        <v>190.27500000000001</v>
      </c>
      <c r="L595" s="109">
        <f t="shared" si="153"/>
        <v>170.77500000000001</v>
      </c>
      <c r="M595" s="109">
        <f t="shared" si="153"/>
        <v>0</v>
      </c>
      <c r="N595" s="47">
        <f t="shared" si="153"/>
        <v>361.05</v>
      </c>
      <c r="O595" s="109">
        <f t="shared" si="153"/>
        <v>316.39999999999998</v>
      </c>
      <c r="P595" s="109">
        <f t="shared" si="153"/>
        <v>272.82499999999999</v>
      </c>
      <c r="Q595" s="109">
        <f t="shared" si="153"/>
        <v>347.75</v>
      </c>
      <c r="R595" s="47">
        <f t="shared" si="153"/>
        <v>936.97500000000002</v>
      </c>
      <c r="S595" s="109">
        <f t="shared" si="153"/>
        <v>1589</v>
      </c>
      <c r="T595" s="54">
        <f t="shared" ref="T595:AF595" si="154">+T433/40</f>
        <v>0</v>
      </c>
      <c r="U595" s="54">
        <f t="shared" si="154"/>
        <v>0</v>
      </c>
      <c r="V595" s="54">
        <f t="shared" si="154"/>
        <v>0</v>
      </c>
      <c r="W595" s="54">
        <f t="shared" si="154"/>
        <v>0</v>
      </c>
      <c r="X595" s="54">
        <f t="shared" si="154"/>
        <v>0</v>
      </c>
      <c r="Y595" s="54">
        <f t="shared" si="154"/>
        <v>0</v>
      </c>
      <c r="Z595" s="54">
        <f t="shared" si="154"/>
        <v>0</v>
      </c>
      <c r="AA595" s="54">
        <f t="shared" si="154"/>
        <v>0</v>
      </c>
      <c r="AB595" s="55"/>
      <c r="AC595" s="43">
        <f t="shared" si="154"/>
        <v>0</v>
      </c>
      <c r="AD595" s="43">
        <f t="shared" si="154"/>
        <v>0</v>
      </c>
      <c r="AE595" s="43">
        <f t="shared" si="154"/>
        <v>84640.158687499978</v>
      </c>
      <c r="AF595" s="43">
        <f t="shared" si="154"/>
        <v>0</v>
      </c>
      <c r="AG595" s="43"/>
      <c r="AH595" s="43"/>
      <c r="AI595" s="43"/>
      <c r="AJ595" s="43"/>
      <c r="AK595" s="43"/>
      <c r="AL595" s="43"/>
      <c r="AM595" s="43"/>
      <c r="AN595" s="55"/>
      <c r="AO595" s="55"/>
      <c r="AP595" s="43"/>
    </row>
    <row r="597" spans="1:42" x14ac:dyDescent="0.35">
      <c r="S597" s="53">
        <f>S595+W595+AA595</f>
        <v>1589</v>
      </c>
      <c r="X597" t="s">
        <v>50</v>
      </c>
    </row>
    <row r="599" spans="1:42" x14ac:dyDescent="0.35">
      <c r="S599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6" t="s">
        <v>36</v>
      </c>
      <c r="E4" s="127"/>
      <c r="F4" s="127"/>
      <c r="G4" s="127"/>
      <c r="H4" s="128"/>
    </row>
    <row r="5" spans="4:8" ht="15" thickBot="1" x14ac:dyDescent="0.4">
      <c r="D5" s="9" t="s">
        <v>420</v>
      </c>
      <c r="E5" s="129"/>
      <c r="F5" s="129"/>
      <c r="G5" s="129"/>
      <c r="H5" s="129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Report'!Q595+'STT Report'!Z595</f>
        <v>347.75</v>
      </c>
      <c r="H7" s="17">
        <f>E7+F7-G7</f>
        <v>972.25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Report'!P595+'STT Report'!Y595</f>
        <v>272.82499999999999</v>
      </c>
      <c r="H8" s="17">
        <f>E8+F8-G8</f>
        <v>70.175000000000011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Report'!O595+'STT Report'!X595</f>
        <v>316.39999999999998</v>
      </c>
      <c r="H9" s="17">
        <f>E9+F9-G9</f>
        <v>611.6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936.97500000000002</v>
      </c>
      <c r="H10" s="23">
        <f>SUM(H7:H9)</f>
        <v>1654.0250000000001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Report'!J595</f>
        <v>290.97500000000002</v>
      </c>
      <c r="H11" s="17">
        <f t="shared" ref="H11:H13" si="0">(E11+F11)-G11</f>
        <v>1362.0250000000001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290.97500000000002</v>
      </c>
      <c r="H14" s="23">
        <f>SUM(H11:H13)</f>
        <v>1362.0250000000001</v>
      </c>
    </row>
    <row r="15" spans="4:8" ht="16.5" x14ac:dyDescent="0.45">
      <c r="D15" s="13" t="s">
        <v>46</v>
      </c>
      <c r="E15" s="14">
        <v>0</v>
      </c>
      <c r="F15" s="15"/>
      <c r="G15" s="16">
        <f>'STT Report'!M595+'STT Report'!V595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Report'!L595+'STT Report'!U595</f>
        <v>170.77500000000001</v>
      </c>
      <c r="H16" s="17">
        <f>E16+F16-G16</f>
        <v>96.224999999999994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Report'!K595+'STT Report'!T595</f>
        <v>190.27500000000001</v>
      </c>
      <c r="H17" s="17">
        <f>E17+F17-G17</f>
        <v>49.724999999999994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361.05</v>
      </c>
      <c r="H18" s="23">
        <f>SUM(H15:H17)</f>
        <v>145.94999999999999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1589</v>
      </c>
      <c r="H19" s="27">
        <f>H10+H14+H18</f>
        <v>3162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0" t="s">
        <v>60</v>
      </c>
      <c r="D31" s="131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2026-07-17T07:25:16Z</dcterms:modified>
</cp:coreProperties>
</file>