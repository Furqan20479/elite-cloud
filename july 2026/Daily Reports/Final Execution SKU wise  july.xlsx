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0B0FDCCF-D741-48D7-B99B-31B88DEBD772}" xr6:coauthVersionLast="47" xr6:coauthVersionMax="47" xr10:uidLastSave="{00000000-0000-0000-0000-000000000000}"/>
  <bookViews>
    <workbookView xWindow="-110" yWindow="-110" windowWidth="19420" windowHeight="10420" tabRatio="887" firstSheet="2" activeTab="31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32" l="1"/>
  <c r="J10" i="32"/>
  <c r="J11" i="32"/>
  <c r="J12" i="32"/>
  <c r="J8" i="32"/>
  <c r="Z17" i="26" l="1"/>
  <c r="J14" i="27" l="1"/>
  <c r="J9" i="27"/>
  <c r="J10" i="27"/>
  <c r="J11" i="27"/>
  <c r="J12" i="27"/>
  <c r="U14" i="26" l="1"/>
  <c r="O14" i="26"/>
  <c r="P14" i="26"/>
  <c r="Q14" i="26"/>
  <c r="R14" i="26"/>
  <c r="S14" i="26"/>
  <c r="T14" i="26"/>
  <c r="N14" i="26"/>
  <c r="Y10" i="26"/>
  <c r="U9" i="26" l="1"/>
  <c r="U10" i="26"/>
  <c r="U11" i="26"/>
  <c r="U12" i="26"/>
  <c r="U8" i="26"/>
  <c r="U9" i="25"/>
  <c r="U10" i="25"/>
  <c r="U11" i="25"/>
  <c r="U12" i="25"/>
  <c r="U8" i="25"/>
  <c r="T11" i="24" l="1"/>
  <c r="N11" i="24"/>
  <c r="J10" i="24" l="1"/>
  <c r="J11" i="24"/>
  <c r="J12" i="24"/>
  <c r="J9" i="24"/>
  <c r="V9" i="21" l="1"/>
  <c r="V10" i="21"/>
  <c r="V11" i="21"/>
  <c r="V12" i="21"/>
  <c r="V8" i="21"/>
  <c r="J9" i="22" l="1"/>
  <c r="J10" i="22"/>
  <c r="J11" i="22"/>
  <c r="J12" i="22"/>
  <c r="J8" i="22"/>
  <c r="V9" i="22"/>
  <c r="V10" i="22"/>
  <c r="V11" i="22"/>
  <c r="V12" i="22"/>
  <c r="V8" i="22"/>
  <c r="W10" i="20"/>
  <c r="W11" i="20"/>
  <c r="W9" i="20" l="1"/>
  <c r="T12" i="17" l="1"/>
  <c r="R12" i="17"/>
  <c r="P12" i="17"/>
  <c r="O12" i="17"/>
  <c r="U9" i="17" l="1"/>
  <c r="U8" i="17"/>
  <c r="U12" i="17"/>
  <c r="U11" i="17" l="1"/>
  <c r="U13" i="17"/>
  <c r="U10" i="17"/>
  <c r="V9" i="18"/>
  <c r="V10" i="18"/>
  <c r="V11" i="18"/>
  <c r="V12" i="18"/>
  <c r="V13" i="18"/>
  <c r="V8" i="18"/>
  <c r="V9" i="19"/>
  <c r="V10" i="19"/>
  <c r="V11" i="19"/>
  <c r="V12" i="19"/>
  <c r="V13" i="19"/>
  <c r="V8" i="19"/>
  <c r="V9" i="15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9" i="18"/>
  <c r="M10" i="18"/>
  <c r="M11" i="18"/>
  <c r="M12" i="18"/>
  <c r="M9" i="19"/>
  <c r="M10" i="19"/>
  <c r="M11" i="19"/>
  <c r="M12" i="19"/>
  <c r="N9" i="20"/>
  <c r="N10" i="20"/>
  <c r="N11" i="20"/>
  <c r="N12" i="20"/>
  <c r="N9" i="21"/>
  <c r="N10" i="21"/>
  <c r="N11" i="21"/>
  <c r="N12" i="21"/>
  <c r="M9" i="22"/>
  <c r="M10" i="22"/>
  <c r="M11" i="22"/>
  <c r="M12" i="22"/>
  <c r="M9" i="23"/>
  <c r="M10" i="23"/>
  <c r="M11" i="23"/>
  <c r="M12" i="23"/>
  <c r="M9" i="24"/>
  <c r="M10" i="24"/>
  <c r="M11" i="24"/>
  <c r="M12" i="24"/>
  <c r="M9" i="25"/>
  <c r="M10" i="25"/>
  <c r="M11" i="25"/>
  <c r="M9" i="26"/>
  <c r="M10" i="26"/>
  <c r="M11" i="26"/>
  <c r="M12" i="26"/>
  <c r="M9" i="27"/>
  <c r="M10" i="27"/>
  <c r="M11" i="27"/>
  <c r="M12" i="27"/>
  <c r="M9" i="32"/>
  <c r="M10" i="32"/>
  <c r="M11" i="32"/>
  <c r="M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M8" i="18"/>
  <c r="M8" i="19"/>
  <c r="N8" i="20"/>
  <c r="N8" i="21"/>
  <c r="M8" i="22"/>
  <c r="M8" i="23"/>
  <c r="M8" i="24"/>
  <c r="M8" i="25"/>
  <c r="M8" i="26"/>
  <c r="M8" i="27"/>
  <c r="M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U9" i="23"/>
  <c r="U10" i="23"/>
  <c r="U11" i="23"/>
  <c r="U12" i="23"/>
  <c r="U13" i="23"/>
  <c r="U9" i="27"/>
  <c r="U10" i="27"/>
  <c r="U11" i="27"/>
  <c r="U12" i="27"/>
  <c r="U13" i="27"/>
  <c r="U9" i="32"/>
  <c r="U10" i="32"/>
  <c r="U11" i="32"/>
  <c r="U12" i="32"/>
  <c r="U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Q9" i="23"/>
  <c r="Q10" i="23"/>
  <c r="Q11" i="23"/>
  <c r="Q12" i="23"/>
  <c r="Q13" i="23"/>
  <c r="Q9" i="27"/>
  <c r="Q10" i="27"/>
  <c r="Q11" i="27"/>
  <c r="Q12" i="27"/>
  <c r="Q13" i="27"/>
  <c r="Q9" i="32"/>
  <c r="Q10" i="32"/>
  <c r="Q11" i="32"/>
  <c r="Q12" i="32"/>
  <c r="Q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20"/>
  <c r="J10" i="20"/>
  <c r="J11" i="20"/>
  <c r="J12" i="20"/>
  <c r="J13" i="20"/>
  <c r="J9" i="21"/>
  <c r="J10" i="21"/>
  <c r="J11" i="21"/>
  <c r="J12" i="21"/>
  <c r="J13" i="21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S14" i="17"/>
  <c r="S17" i="17" s="1"/>
  <c r="R14" i="17"/>
  <c r="R15" i="17" s="1"/>
  <c r="R16" i="17" s="1"/>
  <c r="P14" i="17"/>
  <c r="O14" i="17"/>
  <c r="O17" i="17" s="1"/>
  <c r="N14" i="17"/>
  <c r="Q14" i="17"/>
  <c r="T14" i="18"/>
  <c r="T17" i="18" s="1"/>
  <c r="S14" i="18"/>
  <c r="S15" i="18" s="1"/>
  <c r="S16" i="18" s="1"/>
  <c r="R14" i="18"/>
  <c r="R15" i="18" s="1"/>
  <c r="R16" i="18" s="1"/>
  <c r="P14" i="18"/>
  <c r="P17" i="18" s="1"/>
  <c r="O14" i="18"/>
  <c r="O15" i="18" s="1"/>
  <c r="O16" i="18" s="1"/>
  <c r="N14" i="18"/>
  <c r="N17" i="18" s="1"/>
  <c r="U14" i="18"/>
  <c r="Q14" i="18"/>
  <c r="T14" i="19"/>
  <c r="T15" i="19" s="1"/>
  <c r="T16" i="19" s="1"/>
  <c r="S14" i="19"/>
  <c r="S17" i="19" s="1"/>
  <c r="R14" i="19"/>
  <c r="R17" i="19" s="1"/>
  <c r="P14" i="19"/>
  <c r="P15" i="19" s="1"/>
  <c r="P16" i="19" s="1"/>
  <c r="O14" i="19"/>
  <c r="N14" i="19"/>
  <c r="N16" i="19" s="1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T14" i="22"/>
  <c r="T17" i="22" s="1"/>
  <c r="S14" i="22"/>
  <c r="S15" i="22" s="1"/>
  <c r="S16" i="22" s="1"/>
  <c r="R14" i="22"/>
  <c r="R15" i="22" s="1"/>
  <c r="R16" i="22" s="1"/>
  <c r="P14" i="22"/>
  <c r="P17" i="22" s="1"/>
  <c r="O14" i="22"/>
  <c r="O15" i="22" s="1"/>
  <c r="O16" i="22" s="1"/>
  <c r="N14" i="22"/>
  <c r="N17" i="22" s="1"/>
  <c r="U14" i="22"/>
  <c r="Q14" i="22"/>
  <c r="T14" i="23"/>
  <c r="T15" i="23" s="1"/>
  <c r="T16" i="23" s="1"/>
  <c r="S14" i="23"/>
  <c r="S17" i="23" s="1"/>
  <c r="R14" i="23"/>
  <c r="R17" i="23" s="1"/>
  <c r="P14" i="23"/>
  <c r="P15" i="23" s="1"/>
  <c r="P16" i="23" s="1"/>
  <c r="O14" i="23"/>
  <c r="N14" i="23"/>
  <c r="N16" i="23" s="1"/>
  <c r="V12" i="23"/>
  <c r="V11" i="23"/>
  <c r="V10" i="23"/>
  <c r="V9" i="23"/>
  <c r="V8" i="23"/>
  <c r="U8" i="23"/>
  <c r="U14" i="23" s="1"/>
  <c r="Q8" i="23"/>
  <c r="Q14" i="23" s="1"/>
  <c r="T14" i="24"/>
  <c r="T17" i="24" s="1"/>
  <c r="S14" i="24"/>
  <c r="S15" i="24" s="1"/>
  <c r="S16" i="24" s="1"/>
  <c r="R14" i="24"/>
  <c r="R15" i="24" s="1"/>
  <c r="R16" i="24" s="1"/>
  <c r="P14" i="24"/>
  <c r="P17" i="24" s="1"/>
  <c r="O14" i="24"/>
  <c r="O15" i="24" s="1"/>
  <c r="O16" i="24" s="1"/>
  <c r="N14" i="24"/>
  <c r="N17" i="24" s="1"/>
  <c r="U12" i="24"/>
  <c r="U11" i="24"/>
  <c r="U10" i="24"/>
  <c r="U9" i="24"/>
  <c r="U8" i="24"/>
  <c r="T14" i="25"/>
  <c r="T15" i="25" s="1"/>
  <c r="T16" i="25" s="1"/>
  <c r="S14" i="25"/>
  <c r="S17" i="25" s="1"/>
  <c r="R14" i="25"/>
  <c r="R17" i="25" s="1"/>
  <c r="P14" i="25"/>
  <c r="P15" i="25" s="1"/>
  <c r="P16" i="25" s="1"/>
  <c r="O14" i="25"/>
  <c r="N14" i="25"/>
  <c r="N16" i="25" s="1"/>
  <c r="T17" i="26"/>
  <c r="S15" i="26"/>
  <c r="S16" i="26" s="1"/>
  <c r="R15" i="26"/>
  <c r="R16" i="26" s="1"/>
  <c r="P17" i="26"/>
  <c r="O15" i="26"/>
  <c r="O16" i="26" s="1"/>
  <c r="N17" i="26"/>
  <c r="T14" i="27"/>
  <c r="T15" i="27" s="1"/>
  <c r="T16" i="27" s="1"/>
  <c r="S14" i="27"/>
  <c r="S17" i="27" s="1"/>
  <c r="R14" i="27"/>
  <c r="R17" i="27" s="1"/>
  <c r="P14" i="27"/>
  <c r="P15" i="27" s="1"/>
  <c r="P16" i="27" s="1"/>
  <c r="O14" i="27"/>
  <c r="N14" i="27"/>
  <c r="N16" i="27" s="1"/>
  <c r="V12" i="27"/>
  <c r="V11" i="27"/>
  <c r="V10" i="27"/>
  <c r="V9" i="27"/>
  <c r="V8" i="27"/>
  <c r="U8" i="27"/>
  <c r="U14" i="27" s="1"/>
  <c r="Q8" i="27"/>
  <c r="Q14" i="27" s="1"/>
  <c r="T14" i="32"/>
  <c r="T17" i="32" s="1"/>
  <c r="S14" i="32"/>
  <c r="R14" i="32"/>
  <c r="R17" i="32" s="1"/>
  <c r="P14" i="32"/>
  <c r="P17" i="32" s="1"/>
  <c r="O14" i="32"/>
  <c r="O17" i="32" s="1"/>
  <c r="N14" i="32"/>
  <c r="N16" i="32" s="1"/>
  <c r="V12" i="32"/>
  <c r="V11" i="32"/>
  <c r="V10" i="32"/>
  <c r="V9" i="32"/>
  <c r="V8" i="32"/>
  <c r="U8" i="32"/>
  <c r="U14" i="32" s="1"/>
  <c r="Q8" i="32"/>
  <c r="Q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R17" i="18" l="1"/>
  <c r="O15" i="15"/>
  <c r="O16" i="15" s="1"/>
  <c r="S17" i="20"/>
  <c r="P17" i="16"/>
  <c r="P17" i="23"/>
  <c r="P15" i="22"/>
  <c r="P16" i="22" s="1"/>
  <c r="O15" i="14"/>
  <c r="O16" i="14" s="1"/>
  <c r="Q17" i="5"/>
  <c r="V15" i="31"/>
  <c r="V16" i="31" s="1"/>
  <c r="S17" i="31"/>
  <c r="T17" i="25"/>
  <c r="U17" i="21"/>
  <c r="R17" i="26"/>
  <c r="T17" i="16"/>
  <c r="S15" i="15"/>
  <c r="S16" i="15" s="1"/>
  <c r="S17" i="14"/>
  <c r="T17" i="23"/>
  <c r="T14" i="17"/>
  <c r="U17" i="28"/>
  <c r="O17" i="11"/>
  <c r="O15" i="7"/>
  <c r="O16" i="7" s="1"/>
  <c r="S17" i="4"/>
  <c r="R17" i="29"/>
  <c r="Q14" i="25"/>
  <c r="T14" i="29"/>
  <c r="R15" i="28"/>
  <c r="R16" i="28" s="1"/>
  <c r="T14" i="31"/>
  <c r="P17" i="25"/>
  <c r="P15" i="24"/>
  <c r="P16" i="24" s="1"/>
  <c r="R14" i="16"/>
  <c r="Q14" i="13"/>
  <c r="Q14" i="12"/>
  <c r="O17" i="12"/>
  <c r="O15" i="8"/>
  <c r="O16" i="8" s="1"/>
  <c r="R15" i="30"/>
  <c r="R16" i="30" s="1"/>
  <c r="R17" i="22"/>
  <c r="S17" i="12"/>
  <c r="V14" i="20"/>
  <c r="U14" i="15"/>
  <c r="W14" i="6"/>
  <c r="X14" i="29"/>
  <c r="W17" i="29"/>
  <c r="W15" i="30"/>
  <c r="W16" i="30" s="1"/>
  <c r="R17" i="24"/>
  <c r="Y14" i="29"/>
  <c r="V17" i="29"/>
  <c r="T17" i="27"/>
  <c r="U14" i="13"/>
  <c r="X14" i="31"/>
  <c r="T15" i="32"/>
  <c r="T16" i="32" s="1"/>
  <c r="U15" i="20"/>
  <c r="U16" i="20" s="1"/>
  <c r="T17" i="19"/>
  <c r="S17" i="8"/>
  <c r="X14" i="28"/>
  <c r="U17" i="30"/>
  <c r="P17" i="27"/>
  <c r="P15" i="26"/>
  <c r="P16" i="26" s="1"/>
  <c r="Q17" i="21"/>
  <c r="Q15" i="20"/>
  <c r="Q16" i="20" s="1"/>
  <c r="Q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V14" i="23"/>
  <c r="R14" i="21"/>
  <c r="O17" i="20"/>
  <c r="P17" i="19"/>
  <c r="P15" i="18"/>
  <c r="P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V14" i="32"/>
  <c r="R15" i="32"/>
  <c r="R16" i="32" s="1"/>
  <c r="U14" i="25"/>
  <c r="R15" i="23"/>
  <c r="R16" i="23" s="1"/>
  <c r="V14" i="22"/>
  <c r="T15" i="22"/>
  <c r="T16" i="22" s="1"/>
  <c r="P17" i="21"/>
  <c r="P15" i="21"/>
  <c r="P16" i="21" s="1"/>
  <c r="R14" i="20"/>
  <c r="U14" i="19"/>
  <c r="U14" i="17"/>
  <c r="S15" i="17"/>
  <c r="S16" i="17" s="1"/>
  <c r="O17" i="16"/>
  <c r="W14" i="16"/>
  <c r="O17" i="27"/>
  <c r="O15" i="27"/>
  <c r="O16" i="27" s="1"/>
  <c r="O17" i="19"/>
  <c r="O15" i="19"/>
  <c r="O16" i="19" s="1"/>
  <c r="P16" i="31"/>
  <c r="S15" i="32"/>
  <c r="S16" i="32" s="1"/>
  <c r="S17" i="32"/>
  <c r="O15" i="32"/>
  <c r="O16" i="32" s="1"/>
  <c r="N17" i="32"/>
  <c r="V14" i="27"/>
  <c r="R15" i="25"/>
  <c r="R16" i="25" s="1"/>
  <c r="U14" i="24"/>
  <c r="T15" i="24"/>
  <c r="T16" i="24" s="1"/>
  <c r="O17" i="23"/>
  <c r="O15" i="23"/>
  <c r="O16" i="23" s="1"/>
  <c r="V14" i="19"/>
  <c r="W17" i="28"/>
  <c r="W15" i="28"/>
  <c r="W16" i="28" s="1"/>
  <c r="P15" i="32"/>
  <c r="P16" i="32" s="1"/>
  <c r="R15" i="27"/>
  <c r="R16" i="27" s="1"/>
  <c r="T15" i="26"/>
  <c r="T16" i="26" s="1"/>
  <c r="O17" i="25"/>
  <c r="O15" i="25"/>
  <c r="O16" i="25" s="1"/>
  <c r="Q14" i="24"/>
  <c r="V14" i="21"/>
  <c r="R15" i="19"/>
  <c r="R16" i="19" s="1"/>
  <c r="V14" i="18"/>
  <c r="T15" i="18"/>
  <c r="T16" i="18" s="1"/>
  <c r="P17" i="17"/>
  <c r="P15" i="17"/>
  <c r="P16" i="17" s="1"/>
  <c r="O16" i="16"/>
  <c r="Q14" i="15"/>
  <c r="S15" i="13"/>
  <c r="S16" i="13" s="1"/>
  <c r="S15" i="27"/>
  <c r="S16" i="27" s="1"/>
  <c r="N16" i="26"/>
  <c r="O17" i="26"/>
  <c r="S17" i="26"/>
  <c r="S15" i="25"/>
  <c r="S16" i="25" s="1"/>
  <c r="N16" i="24"/>
  <c r="O17" i="24"/>
  <c r="S17" i="24"/>
  <c r="S15" i="23"/>
  <c r="S16" i="23" s="1"/>
  <c r="N16" i="22"/>
  <c r="O17" i="22"/>
  <c r="S17" i="22"/>
  <c r="T15" i="21"/>
  <c r="T16" i="21" s="1"/>
  <c r="O16" i="20"/>
  <c r="P17" i="20"/>
  <c r="T17" i="20"/>
  <c r="S15" i="19"/>
  <c r="S16" i="19" s="1"/>
  <c r="N16" i="18"/>
  <c r="O17" i="18"/>
  <c r="S17" i="18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N17" i="27"/>
  <c r="N17" i="25"/>
  <c r="N17" i="23"/>
  <c r="O17" i="21"/>
  <c r="N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V17" i="21" l="1"/>
  <c r="U17" i="24"/>
  <c r="Y17" i="4"/>
  <c r="W17" i="20"/>
  <c r="V17" i="22"/>
  <c r="V17" i="32"/>
  <c r="Y17" i="30"/>
  <c r="V17" i="18"/>
  <c r="V17" i="14"/>
  <c r="V17" i="23"/>
  <c r="U17" i="26"/>
  <c r="Y17" i="28"/>
  <c r="U17" i="7"/>
  <c r="V17" i="8"/>
  <c r="V17" i="12"/>
  <c r="W17" i="16"/>
  <c r="U17" i="11"/>
  <c r="W17" i="6"/>
  <c r="U17" i="10"/>
  <c r="U17" i="25"/>
  <c r="V17" i="15"/>
  <c r="Y17" i="29"/>
  <c r="V17" i="5"/>
  <c r="W17" i="9"/>
  <c r="V17" i="13"/>
  <c r="V17" i="19"/>
  <c r="V17" i="27"/>
  <c r="U17" i="17"/>
  <c r="Y17" i="31"/>
  <c r="V14" i="24"/>
  <c r="V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K9" i="20"/>
  <c r="K10" i="20"/>
  <c r="K11" i="20"/>
  <c r="K12" i="20"/>
  <c r="K9" i="21"/>
  <c r="K10" i="21"/>
  <c r="K11" i="21"/>
  <c r="K12" i="21"/>
  <c r="J9" i="23"/>
  <c r="J10" i="23"/>
  <c r="J11" i="23"/>
  <c r="J12" i="23"/>
  <c r="J9" i="25"/>
  <c r="J10" i="25"/>
  <c r="J11" i="25"/>
  <c r="J12" i="25"/>
  <c r="J9" i="26"/>
  <c r="J10" i="26"/>
  <c r="J11" i="26"/>
  <c r="J12" i="26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J8" i="18"/>
  <c r="J8" i="19"/>
  <c r="K8" i="20"/>
  <c r="K8" i="21"/>
  <c r="J8" i="23"/>
  <c r="J8" i="24"/>
  <c r="J8" i="25"/>
  <c r="J8" i="26"/>
  <c r="J8" i="27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20"/>
  <c r="J8" i="21"/>
  <c r="J8" i="6"/>
  <c r="K8" i="28" l="1"/>
  <c r="G8" i="28"/>
  <c r="K8" i="29"/>
  <c r="G8" i="29"/>
  <c r="K8" i="30"/>
  <c r="G8" i="30"/>
  <c r="K8" i="31"/>
  <c r="G8" i="31"/>
  <c r="I14" i="32" l="1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I14" i="27"/>
  <c r="H14" i="27"/>
  <c r="G14" i="27"/>
  <c r="F14" i="27"/>
  <c r="E14" i="27"/>
  <c r="D14" i="27"/>
  <c r="C14" i="27"/>
  <c r="I14" i="26"/>
  <c r="H14" i="26"/>
  <c r="G14" i="26"/>
  <c r="F14" i="26"/>
  <c r="E14" i="26"/>
  <c r="D14" i="26"/>
  <c r="C14" i="26"/>
  <c r="I14" i="25"/>
  <c r="H14" i="25"/>
  <c r="G14" i="25"/>
  <c r="F14" i="25"/>
  <c r="E14" i="25"/>
  <c r="D14" i="25"/>
  <c r="C14" i="25"/>
  <c r="I14" i="24"/>
  <c r="H14" i="24"/>
  <c r="G14" i="24"/>
  <c r="F14" i="24"/>
  <c r="E14" i="24"/>
  <c r="D14" i="24"/>
  <c r="C14" i="24"/>
  <c r="I14" i="23"/>
  <c r="H14" i="23"/>
  <c r="G14" i="23"/>
  <c r="G15" i="23" s="1"/>
  <c r="G16" i="23" s="1"/>
  <c r="F14" i="23"/>
  <c r="E14" i="23"/>
  <c r="D14" i="23"/>
  <c r="C14" i="23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I14" i="19"/>
  <c r="H14" i="19"/>
  <c r="G14" i="19"/>
  <c r="F14" i="19"/>
  <c r="E14" i="19"/>
  <c r="D14" i="19"/>
  <c r="C14" i="19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J14" i="32"/>
  <c r="C16" i="32"/>
  <c r="E17" i="22"/>
  <c r="E15" i="22"/>
  <c r="E16" i="22" s="1"/>
  <c r="C17" i="27"/>
  <c r="C16" i="27"/>
  <c r="F17" i="28"/>
  <c r="F15" i="28"/>
  <c r="F16" i="28" s="1"/>
  <c r="E17" i="29"/>
  <c r="E15" i="29"/>
  <c r="E16" i="29" s="1"/>
  <c r="C17" i="31"/>
  <c r="C16" i="31"/>
  <c r="L14" i="31"/>
  <c r="C17" i="22"/>
  <c r="J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J14" i="18"/>
  <c r="D17" i="18"/>
  <c r="D15" i="18"/>
  <c r="D16" i="18" s="1"/>
  <c r="D17" i="22"/>
  <c r="D15" i="22"/>
  <c r="D16" i="22" s="1"/>
  <c r="C17" i="23"/>
  <c r="J14" i="23"/>
  <c r="C16" i="23"/>
  <c r="C17" i="26"/>
  <c r="J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J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J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J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J17" i="26" l="1"/>
  <c r="D15" i="5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J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J17" i="23"/>
  <c r="J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J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J17" i="22"/>
  <c r="L17" i="28"/>
  <c r="J17" i="25"/>
  <c r="J17" i="24"/>
  <c r="K17" i="21"/>
  <c r="K17" i="20"/>
  <c r="J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<sst xmlns="http://schemas.openxmlformats.org/spreadsheetml/2006/main" count="1380" uniqueCount="49">
  <si>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</si>
  <si>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</si>
  <si>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</si>
  <si>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</si>
  <si>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</si>
  <si>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</si>
  <si>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</si>
  <si>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</si>
  <si>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</si>
  <si>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</si>
  <si>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</si>
  <si>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</si>
  <si>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</si>
  <si>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</si>
  <si>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</si>
  <si>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</si>
  <si>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</si>
  <si>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</si>
  <si>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</si>
  <si>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</si>
  <si>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</si>
  <si>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</si>
  <si>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</si>
  <si>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</si>
  <si>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</si>
  <si>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</si>
  <si>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</si>
  <si>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</si>
  <si>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</si>
  <si>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</si>
  <si>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</si>
  <si>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</si>
  <si>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</si>
  <si>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</si>
  <si>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</si>
  <si>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</si>
  <si>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</si>
  <si>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</si>
  <si>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</si>
  <si>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</si>
  <si>
    <t>70meat</t>
  </si>
  <si>
    <t>70lem</t>
  </si>
  <si>
    <t>120lem</t>
  </si>
  <si>
    <t>No EXC</t>
  </si>
  <si>
    <t>M</t>
  </si>
  <si>
    <t>L</t>
  </si>
  <si>
    <t>c</t>
  </si>
  <si>
    <t>C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</si>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</sst>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2" t="s">
        <v>0</v>
      </c>
      <c r="C2" s="63"/>
      <c r="D2" s="63"/>
      <c r="E2" s="63"/>
      <c r="F2" s="63"/>
      <c r="G2" s="63"/>
      <c r="H2" s="63"/>
      <c r="I2" s="63"/>
      <c r="J2" s="63"/>
      <c r="K2" s="64"/>
    </row>
    <row r="3" spans="1:11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</row>
    <row r="4" spans="1:11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</row>
    <row r="5" spans="1:11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</row>
    <row r="6" spans="1:11" ht="15" thickBot="1" x14ac:dyDescent="0.4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  <c r="AB2" t="s">
        <v>36</v>
      </c>
    </row>
    <row r="3" spans="1:30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  <c r="AB3">
        <v>14</v>
      </c>
      <c r="AC3">
        <v>13</v>
      </c>
      <c r="AD3">
        <v>13</v>
      </c>
    </row>
    <row r="4" spans="1:30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30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30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M16" sqref="M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zoomScaleNormal="100" workbookViewId="0">
      <selection activeCell="B2" sqref="B2:K5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ht="14.5" customHeight="1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4.5" customHeight="1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ht="14.5" customHeight="1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Y11" sqref="Y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3"/>
      <c r="K2" s="64"/>
      <c r="N2" s="1"/>
      <c r="O2" s="62" t="s">
        <v>35</v>
      </c>
      <c r="P2" s="63"/>
      <c r="Q2" s="63"/>
      <c r="R2" s="63"/>
      <c r="S2" s="63"/>
      <c r="T2" s="63"/>
      <c r="U2" s="63"/>
      <c r="V2" s="63"/>
      <c r="W2" s="63"/>
      <c r="X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J3" s="66"/>
      <c r="K3" s="67"/>
      <c r="N3" s="1"/>
      <c r="O3" s="65"/>
      <c r="P3" s="66"/>
      <c r="Q3" s="66"/>
      <c r="R3" s="66"/>
      <c r="S3" s="66"/>
      <c r="T3" s="66"/>
      <c r="U3" s="66"/>
      <c r="V3" s="66"/>
      <c r="W3" s="66"/>
      <c r="X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J4" s="66"/>
      <c r="K4" s="67"/>
      <c r="N4" s="1"/>
      <c r="O4" s="65"/>
      <c r="P4" s="66"/>
      <c r="Q4" s="66"/>
      <c r="R4" s="66"/>
      <c r="S4" s="66"/>
      <c r="T4" s="66"/>
      <c r="U4" s="66"/>
      <c r="V4" s="66"/>
      <c r="W4" s="66"/>
      <c r="X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69"/>
      <c r="K5" s="70"/>
      <c r="N5" s="1"/>
      <c r="O5" s="68"/>
      <c r="P5" s="69"/>
      <c r="Q5" s="69"/>
      <c r="R5" s="69"/>
      <c r="S5" s="69"/>
      <c r="T5" s="69"/>
      <c r="U5" s="69"/>
      <c r="V5" s="69"/>
      <c r="W5" s="69"/>
      <c r="X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3"/>
      <c r="H6" s="72" t="s">
        <v>3</v>
      </c>
      <c r="I6" s="72"/>
      <c r="J6" s="72"/>
      <c r="K6" s="73"/>
      <c r="N6" s="1"/>
      <c r="O6" s="2"/>
      <c r="P6" s="3" t="s">
        <v>1</v>
      </c>
      <c r="Q6" s="71" t="s">
        <v>2</v>
      </c>
      <c r="R6" s="72"/>
      <c r="S6" s="72"/>
      <c r="T6" s="73"/>
      <c r="U6" s="72" t="s">
        <v>3</v>
      </c>
      <c r="V6" s="72"/>
      <c r="W6" s="72"/>
      <c r="X6" s="73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4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7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7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70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/>
      <c r="H6" s="72"/>
      <c r="I6" s="73"/>
      <c r="L6" s="1"/>
      <c r="M6" s="2"/>
      <c r="N6" s="3" t="s">
        <v>1</v>
      </c>
      <c r="O6" s="71" t="s">
        <v>2</v>
      </c>
      <c r="P6" s="72"/>
      <c r="Q6" s="72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4"/>
      <c r="M2" s="1"/>
      <c r="N2" s="62" t="s">
        <v>35</v>
      </c>
      <c r="O2" s="63"/>
      <c r="P2" s="63"/>
      <c r="Q2" s="63"/>
      <c r="R2" s="63"/>
      <c r="S2" s="63"/>
      <c r="T2" s="63"/>
      <c r="U2" s="63"/>
      <c r="V2" s="64"/>
    </row>
    <row r="3" spans="1:24" x14ac:dyDescent="0.35">
      <c r="A3" s="1"/>
      <c r="B3" s="65"/>
      <c r="C3" s="66"/>
      <c r="D3" s="66"/>
      <c r="E3" s="66"/>
      <c r="F3" s="66"/>
      <c r="G3" s="66"/>
      <c r="H3" s="66"/>
      <c r="I3" s="66"/>
      <c r="J3" s="67"/>
      <c r="M3" s="1"/>
      <c r="N3" s="65"/>
      <c r="O3" s="66"/>
      <c r="P3" s="66"/>
      <c r="Q3" s="66"/>
      <c r="R3" s="66"/>
      <c r="S3" s="66"/>
      <c r="T3" s="66"/>
      <c r="U3" s="66"/>
      <c r="V3" s="67"/>
    </row>
    <row r="4" spans="1:24" x14ac:dyDescent="0.35">
      <c r="A4" s="1"/>
      <c r="B4" s="65"/>
      <c r="C4" s="66"/>
      <c r="D4" s="66"/>
      <c r="E4" s="66"/>
      <c r="F4" s="66"/>
      <c r="G4" s="66"/>
      <c r="H4" s="66"/>
      <c r="I4" s="66"/>
      <c r="J4" s="67"/>
      <c r="M4" s="1"/>
      <c r="N4" s="65"/>
      <c r="O4" s="66"/>
      <c r="P4" s="66"/>
      <c r="Q4" s="66"/>
      <c r="R4" s="66"/>
      <c r="S4" s="66"/>
      <c r="T4" s="66"/>
      <c r="U4" s="66"/>
      <c r="V4" s="67"/>
    </row>
    <row r="5" spans="1:24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70"/>
      <c r="M5" s="1"/>
      <c r="N5" s="68"/>
      <c r="O5" s="69"/>
      <c r="P5" s="69"/>
      <c r="Q5" s="69"/>
      <c r="R5" s="69"/>
      <c r="S5" s="69"/>
      <c r="T5" s="69"/>
      <c r="U5" s="69"/>
      <c r="V5" s="70"/>
    </row>
    <row r="6" spans="1:24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J6" s="73"/>
      <c r="M6" s="1"/>
      <c r="N6" s="2"/>
      <c r="O6" s="3" t="s">
        <v>1</v>
      </c>
      <c r="P6" s="71" t="s">
        <v>2</v>
      </c>
      <c r="Q6" s="72"/>
      <c r="R6" s="73"/>
      <c r="S6" s="72" t="s">
        <v>3</v>
      </c>
      <c r="T6" s="72"/>
      <c r="U6" s="72"/>
      <c r="V6" s="73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4" t="s">
        <v>3</v>
      </c>
      <c r="S6" s="75"/>
      <c r="T6" s="75"/>
      <c r="U6" s="75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4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4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4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4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4"/>
      <c r="M2" s="1"/>
      <c r="N2" s="62" t="s">
        <v>35</v>
      </c>
      <c r="O2" s="63"/>
      <c r="P2" s="63"/>
      <c r="Q2" s="63"/>
      <c r="R2" s="63"/>
      <c r="S2" s="63"/>
      <c r="T2" s="63"/>
      <c r="U2" s="63"/>
      <c r="V2" s="64"/>
    </row>
    <row r="3" spans="1:24" x14ac:dyDescent="0.35">
      <c r="A3" s="1"/>
      <c r="B3" s="65"/>
      <c r="C3" s="66"/>
      <c r="D3" s="66"/>
      <c r="E3" s="66"/>
      <c r="F3" s="66"/>
      <c r="G3" s="66"/>
      <c r="H3" s="66"/>
      <c r="I3" s="66"/>
      <c r="J3" s="67"/>
      <c r="M3" s="1"/>
      <c r="N3" s="65"/>
      <c r="O3" s="66"/>
      <c r="P3" s="66"/>
      <c r="Q3" s="66"/>
      <c r="R3" s="66"/>
      <c r="S3" s="66"/>
      <c r="T3" s="66"/>
      <c r="U3" s="66"/>
      <c r="V3" s="67"/>
    </row>
    <row r="4" spans="1:24" x14ac:dyDescent="0.35">
      <c r="A4" s="1"/>
      <c r="B4" s="65"/>
      <c r="C4" s="66"/>
      <c r="D4" s="66"/>
      <c r="E4" s="66"/>
      <c r="F4" s="66"/>
      <c r="G4" s="66"/>
      <c r="H4" s="66"/>
      <c r="I4" s="66"/>
      <c r="J4" s="67"/>
      <c r="M4" s="1"/>
      <c r="N4" s="65"/>
      <c r="O4" s="66"/>
      <c r="P4" s="66"/>
      <c r="Q4" s="66"/>
      <c r="R4" s="66"/>
      <c r="S4" s="66"/>
      <c r="T4" s="66"/>
      <c r="U4" s="66"/>
      <c r="V4" s="67"/>
    </row>
    <row r="5" spans="1:24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70"/>
      <c r="M5" s="1"/>
      <c r="N5" s="68"/>
      <c r="O5" s="69"/>
      <c r="P5" s="69"/>
      <c r="Q5" s="69"/>
      <c r="R5" s="69"/>
      <c r="S5" s="69"/>
      <c r="T5" s="69"/>
      <c r="U5" s="69"/>
      <c r="V5" s="70"/>
    </row>
    <row r="6" spans="1:24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J6" s="73"/>
      <c r="M6" s="1"/>
      <c r="N6" s="2"/>
      <c r="O6" s="3" t="s">
        <v>1</v>
      </c>
      <c r="P6" s="71" t="s">
        <v>2</v>
      </c>
      <c r="Q6" s="72"/>
      <c r="R6" s="73"/>
      <c r="S6" s="72" t="s">
        <v>3</v>
      </c>
      <c r="T6" s="72"/>
      <c r="U6" s="72"/>
      <c r="V6" s="73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4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7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7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70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2" t="s">
        <v>3</v>
      </c>
      <c r="R6" s="72"/>
      <c r="S6" s="72"/>
      <c r="T6" s="73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4"/>
    </row>
    <row r="3" spans="1:22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7"/>
    </row>
    <row r="4" spans="1:22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7"/>
    </row>
    <row r="5" spans="1:22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70"/>
    </row>
    <row r="6" spans="1:22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3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44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44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44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44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4"/>
      <c r="M2" s="1"/>
      <c r="N2" s="62" t="s">
        <v>35</v>
      </c>
      <c r="O2" s="63"/>
      <c r="P2" s="63"/>
      <c r="Q2" s="63"/>
      <c r="R2" s="63"/>
      <c r="S2" s="63"/>
      <c r="T2" s="63"/>
      <c r="U2" s="63"/>
      <c r="V2" s="64"/>
    </row>
    <row r="3" spans="1:24" x14ac:dyDescent="0.35">
      <c r="A3" s="1"/>
      <c r="B3" s="65"/>
      <c r="C3" s="66"/>
      <c r="D3" s="66"/>
      <c r="E3" s="66"/>
      <c r="F3" s="66"/>
      <c r="G3" s="66"/>
      <c r="H3" s="66"/>
      <c r="I3" s="66"/>
      <c r="J3" s="67"/>
      <c r="M3" s="1"/>
      <c r="N3" s="65"/>
      <c r="O3" s="66"/>
      <c r="P3" s="66"/>
      <c r="Q3" s="66"/>
      <c r="R3" s="66"/>
      <c r="S3" s="66"/>
      <c r="T3" s="66"/>
      <c r="U3" s="66"/>
      <c r="V3" s="67"/>
    </row>
    <row r="4" spans="1:24" x14ac:dyDescent="0.35">
      <c r="A4" s="1"/>
      <c r="B4" s="65"/>
      <c r="C4" s="66"/>
      <c r="D4" s="66"/>
      <c r="E4" s="66"/>
      <c r="F4" s="66"/>
      <c r="G4" s="66"/>
      <c r="H4" s="66"/>
      <c r="I4" s="66"/>
      <c r="J4" s="67"/>
      <c r="M4" s="1"/>
      <c r="N4" s="65"/>
      <c r="O4" s="66"/>
      <c r="P4" s="66"/>
      <c r="Q4" s="66"/>
      <c r="R4" s="66"/>
      <c r="S4" s="66"/>
      <c r="T4" s="66"/>
      <c r="U4" s="66"/>
      <c r="V4" s="67"/>
    </row>
    <row r="5" spans="1:24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70"/>
      <c r="M5" s="1"/>
      <c r="N5" s="68"/>
      <c r="O5" s="69"/>
      <c r="P5" s="69"/>
      <c r="Q5" s="69"/>
      <c r="R5" s="69"/>
      <c r="S5" s="69"/>
      <c r="T5" s="69"/>
      <c r="U5" s="69"/>
      <c r="V5" s="70"/>
    </row>
    <row r="6" spans="1:24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J6" s="73"/>
      <c r="M6" s="1"/>
      <c r="N6" s="2"/>
      <c r="O6" s="3" t="s">
        <v>1</v>
      </c>
      <c r="P6" s="71" t="s">
        <v>2</v>
      </c>
      <c r="Q6" s="72"/>
      <c r="R6" s="73"/>
      <c r="S6" s="72" t="s">
        <v>3</v>
      </c>
      <c r="T6" s="72"/>
      <c r="U6" s="72"/>
      <c r="V6" s="73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V19"/>
  <sheetViews>
    <sheetView zoomScaleNormal="100" workbookViewId="0">
      <selection activeCell="D10" sqref="D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4"/>
    </row>
    <row r="3" spans="1:22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7"/>
    </row>
    <row r="4" spans="1:22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7"/>
    </row>
    <row r="5" spans="1:22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70"/>
    </row>
    <row r="6" spans="1:22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3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8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 t="shared" ref="J8:J13" si="0">SUM(C8:F8,G8,H8,I8)/40</f>
        <v>0</v>
      </c>
      <c r="K8" s="44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>
        <f t="shared" ref="U8:U9" si="1">SUM(N8:T8)/40</f>
        <v>0</v>
      </c>
    </row>
    <row r="9" spans="1:22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 t="shared" si="0"/>
        <v>8.5</v>
      </c>
      <c r="K9" s="44">
        <v>7</v>
      </c>
      <c r="L9" s="27"/>
      <c r="M9" s="10" t="str">
        <f>B9</f>
        <v>Salman</v>
      </c>
      <c r="N9" s="29"/>
      <c r="O9" s="29"/>
      <c r="P9" s="29"/>
      <c r="Q9" s="29"/>
      <c r="R9" s="29"/>
      <c r="S9" s="29"/>
      <c r="T9" s="29"/>
      <c r="U9">
        <f t="shared" si="1"/>
        <v>0</v>
      </c>
      <c r="V9" s="42" t="s">
        <v>43</v>
      </c>
    </row>
    <row r="10" spans="1:22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 t="shared" si="0"/>
        <v>19.95</v>
      </c>
      <c r="K10" s="44">
        <v>16</v>
      </c>
      <c r="L10" s="27"/>
      <c r="M10" s="10" t="str">
        <f>B10</f>
        <v>Zesahn</v>
      </c>
      <c r="N10" s="28">
        <v>202</v>
      </c>
      <c r="O10" s="12">
        <v>66</v>
      </c>
      <c r="P10" s="12">
        <v>66</v>
      </c>
      <c r="Q10" s="12">
        <v>0</v>
      </c>
      <c r="R10" s="12">
        <v>126</v>
      </c>
      <c r="S10" s="12">
        <v>126</v>
      </c>
      <c r="T10" s="12">
        <v>212</v>
      </c>
      <c r="U10">
        <f>SUM(N10:T10)/40</f>
        <v>19.95</v>
      </c>
      <c r="V10" s="44">
        <v>16</v>
      </c>
    </row>
    <row r="11" spans="1:22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 t="shared" si="0"/>
        <v>22.8</v>
      </c>
      <c r="K11" s="41">
        <v>10</v>
      </c>
      <c r="L11" s="11"/>
      <c r="M11" s="10" t="str">
        <f>B11</f>
        <v>Umair</v>
      </c>
      <c r="N11" s="28">
        <v>420</v>
      </c>
      <c r="O11" s="12">
        <v>80</v>
      </c>
      <c r="P11" s="12">
        <v>80</v>
      </c>
      <c r="Q11" s="12">
        <v>0</v>
      </c>
      <c r="R11" s="12">
        <v>120</v>
      </c>
      <c r="S11" s="12">
        <v>40</v>
      </c>
      <c r="T11" s="12">
        <v>40</v>
      </c>
      <c r="U11">
        <f>SUM(N11:T11)/40</f>
        <v>19.5</v>
      </c>
      <c r="V11" s="44">
        <v>10</v>
      </c>
    </row>
    <row r="12" spans="1:22" x14ac:dyDescent="0.35">
      <c r="A12" s="11"/>
      <c r="B12" s="11" t="s">
        <v>32</v>
      </c>
      <c r="C12" s="12"/>
      <c r="D12" s="12">
        <v>1189</v>
      </c>
      <c r="E12" s="12">
        <v>1395</v>
      </c>
      <c r="F12" s="12"/>
      <c r="G12" s="12">
        <v>2398</v>
      </c>
      <c r="H12" s="12">
        <v>2397</v>
      </c>
      <c r="I12" s="12">
        <v>4800</v>
      </c>
      <c r="J12">
        <f t="shared" si="0"/>
        <v>304.47500000000002</v>
      </c>
      <c r="K12" s="41">
        <v>1</v>
      </c>
      <c r="L12" s="11"/>
      <c r="M12" s="10" t="s">
        <v>38</v>
      </c>
      <c r="N12" s="28"/>
      <c r="O12" s="12">
        <f>1189+40</f>
        <v>1229</v>
      </c>
      <c r="P12" s="12">
        <f>1395+40</f>
        <v>1435</v>
      </c>
      <c r="Q12" s="12">
        <v>0</v>
      </c>
      <c r="R12" s="12">
        <f>2398+40</f>
        <v>2438</v>
      </c>
      <c r="S12" s="12">
        <v>2397</v>
      </c>
      <c r="T12" s="12">
        <f>4800+40</f>
        <v>4840</v>
      </c>
      <c r="U12">
        <f>SUM(N12:T12)/40</f>
        <v>308.47500000000002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 t="shared" si="0"/>
        <v>0</v>
      </c>
      <c r="K13" s="41"/>
      <c r="L13" s="11"/>
      <c r="M13" s="11"/>
      <c r="N13" s="12"/>
      <c r="O13" s="12"/>
      <c r="P13" s="12"/>
      <c r="Q13" s="12"/>
      <c r="R13" s="12"/>
      <c r="S13" s="12"/>
      <c r="T13" s="12"/>
      <c r="U13">
        <f>SUM(N13:T13)/40</f>
        <v>0</v>
      </c>
    </row>
    <row r="14" spans="1:22" x14ac:dyDescent="0.35">
      <c r="A14" s="13"/>
      <c r="B14" s="10"/>
      <c r="C14" s="14">
        <f t="shared" ref="C14:I14" si="2">SUM(C8:C13)</f>
        <v>754</v>
      </c>
      <c r="D14" s="14">
        <f t="shared" si="2"/>
        <v>1353</v>
      </c>
      <c r="E14" s="14">
        <f t="shared" si="2"/>
        <v>1559</v>
      </c>
      <c r="F14" s="14">
        <f t="shared" si="2"/>
        <v>0</v>
      </c>
      <c r="G14" s="14">
        <f t="shared" si="2"/>
        <v>2761</v>
      </c>
      <c r="H14" s="14">
        <f t="shared" si="2"/>
        <v>2633</v>
      </c>
      <c r="I14" s="14">
        <f t="shared" si="2"/>
        <v>5169</v>
      </c>
      <c r="J14" s="35">
        <f>C14+D14+E14+F14+G14+H14+I14</f>
        <v>14229</v>
      </c>
      <c r="L14" s="13"/>
      <c r="M14" s="10"/>
      <c r="N14" s="14">
        <f t="shared" ref="N14:T14" si="3">SUM(N8:N13)</f>
        <v>622</v>
      </c>
      <c r="O14" s="14">
        <f t="shared" si="3"/>
        <v>1375</v>
      </c>
      <c r="P14" s="14">
        <f t="shared" si="3"/>
        <v>1581</v>
      </c>
      <c r="Q14" s="14">
        <f t="shared" si="3"/>
        <v>0</v>
      </c>
      <c r="R14" s="14">
        <f t="shared" si="3"/>
        <v>2684</v>
      </c>
      <c r="S14" s="14">
        <f t="shared" si="3"/>
        <v>2563</v>
      </c>
      <c r="T14" s="14">
        <f t="shared" si="3"/>
        <v>5092</v>
      </c>
      <c r="U14" s="35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67.650000000000006</v>
      </c>
      <c r="E15" s="13">
        <f t="shared" ref="E15:I15" si="4">E14/20</f>
        <v>77.95</v>
      </c>
      <c r="F15" s="13">
        <f t="shared" si="4"/>
        <v>0</v>
      </c>
      <c r="G15" s="13">
        <f t="shared" si="4"/>
        <v>138.05000000000001</v>
      </c>
      <c r="H15" s="13">
        <f t="shared" si="4"/>
        <v>131.65</v>
      </c>
      <c r="I15" s="13">
        <f t="shared" si="4"/>
        <v>258.45</v>
      </c>
      <c r="L15" s="13"/>
      <c r="M15" s="10" t="s">
        <v>22</v>
      </c>
      <c r="N15" s="13"/>
      <c r="O15" s="13">
        <f>O14/20</f>
        <v>68.75</v>
      </c>
      <c r="P15" s="13">
        <f t="shared" ref="P15" si="5">P14/20</f>
        <v>79.05</v>
      </c>
      <c r="Q15" s="13"/>
      <c r="R15" s="13">
        <f t="shared" ref="R15:S15" si="6">R14/20</f>
        <v>134.19999999999999</v>
      </c>
      <c r="S15" s="13">
        <f t="shared" si="6"/>
        <v>128.15</v>
      </c>
      <c r="T15" s="13"/>
    </row>
    <row r="16" spans="1:22" x14ac:dyDescent="0.35">
      <c r="A16" s="13"/>
      <c r="B16" s="10" t="s">
        <v>21</v>
      </c>
      <c r="C16" s="36">
        <f>C15+C14</f>
        <v>754</v>
      </c>
      <c r="D16" s="36">
        <f t="shared" ref="D16:I16" si="7">D15+D14</f>
        <v>1420.65</v>
      </c>
      <c r="E16" s="36">
        <f t="shared" si="7"/>
        <v>1636.95</v>
      </c>
      <c r="F16" s="36">
        <f t="shared" si="7"/>
        <v>0</v>
      </c>
      <c r="G16" s="36">
        <f t="shared" si="7"/>
        <v>2899.05</v>
      </c>
      <c r="H16" s="36">
        <f t="shared" si="7"/>
        <v>2764.65</v>
      </c>
      <c r="I16" s="36">
        <f t="shared" si="7"/>
        <v>5427.45</v>
      </c>
      <c r="L16" s="13"/>
      <c r="M16" s="10" t="s">
        <v>21</v>
      </c>
      <c r="N16" s="36">
        <f>N15+N14</f>
        <v>622</v>
      </c>
      <c r="O16" s="36">
        <f t="shared" ref="O16:P16" si="8">O15+O14</f>
        <v>1443.75</v>
      </c>
      <c r="P16" s="36">
        <f t="shared" si="8"/>
        <v>1660.05</v>
      </c>
      <c r="Q16" s="36"/>
      <c r="R16" s="36">
        <f t="shared" ref="R16:S16" si="9">R15+R14</f>
        <v>2818.2</v>
      </c>
      <c r="S16" s="36">
        <f t="shared" si="9"/>
        <v>2691.15</v>
      </c>
      <c r="T16" s="36"/>
    </row>
    <row r="17" spans="1:21" x14ac:dyDescent="0.35">
      <c r="A17" s="13"/>
      <c r="B17" s="39" t="s">
        <v>23</v>
      </c>
      <c r="C17" s="36">
        <f>C14/40</f>
        <v>18.850000000000001</v>
      </c>
      <c r="D17" s="36">
        <f t="shared" ref="D17:I17" si="10">D14/40</f>
        <v>33.825000000000003</v>
      </c>
      <c r="E17" s="36">
        <f t="shared" si="10"/>
        <v>38.975000000000001</v>
      </c>
      <c r="F17" s="36">
        <f t="shared" si="10"/>
        <v>0</v>
      </c>
      <c r="G17" s="36">
        <f t="shared" si="10"/>
        <v>69.025000000000006</v>
      </c>
      <c r="H17" s="36">
        <f t="shared" si="10"/>
        <v>65.825000000000003</v>
      </c>
      <c r="I17" s="36">
        <f t="shared" si="10"/>
        <v>129.22499999999999</v>
      </c>
      <c r="J17" s="35">
        <f>SUM(C17:I17)</f>
        <v>355.72500000000002</v>
      </c>
      <c r="L17" s="13"/>
      <c r="M17" s="39" t="s">
        <v>23</v>
      </c>
      <c r="N17" s="36">
        <f>N14/40</f>
        <v>15.55</v>
      </c>
      <c r="O17" s="36">
        <f t="shared" ref="O17:P17" si="11">O14/40</f>
        <v>34.375</v>
      </c>
      <c r="P17" s="36">
        <f t="shared" si="11"/>
        <v>39.524999999999999</v>
      </c>
      <c r="Q17" s="36"/>
      <c r="R17" s="36">
        <f t="shared" ref="R17:S17" si="12">R14/40</f>
        <v>67.099999999999994</v>
      </c>
      <c r="S17" s="36">
        <f t="shared" si="12"/>
        <v>64.075000000000003</v>
      </c>
      <c r="T17" s="36"/>
      <c r="U17" s="35">
        <f>SUM(N17:S17)</f>
        <v>220.625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AA19"/>
  <sheetViews>
    <sheetView zoomScaleNormal="100" workbookViewId="0">
      <selection activeCell="W10" sqref="W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7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7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7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7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7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7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7" x14ac:dyDescent="0.35">
      <c r="A8" s="27"/>
      <c r="B8" s="10" t="s">
        <v>17</v>
      </c>
      <c r="C8" s="28">
        <v>95</v>
      </c>
      <c r="D8" s="12">
        <v>34</v>
      </c>
      <c r="E8" s="12">
        <v>39</v>
      </c>
      <c r="F8" s="12">
        <v>0</v>
      </c>
      <c r="G8" s="12">
        <v>43</v>
      </c>
      <c r="H8" s="12">
        <v>48</v>
      </c>
      <c r="I8" s="12">
        <v>53</v>
      </c>
      <c r="J8">
        <f>SUM(C8:F8,G8,H8,I8)/40</f>
        <v>7.8</v>
      </c>
      <c r="K8" s="44">
        <v>7</v>
      </c>
      <c r="L8" s="27"/>
      <c r="M8" s="10" t="str">
        <f>B8</f>
        <v>Furqan</v>
      </c>
      <c r="N8" s="28">
        <v>95</v>
      </c>
      <c r="O8" s="12">
        <v>34</v>
      </c>
      <c r="P8" s="12">
        <v>39</v>
      </c>
      <c r="Q8" s="12">
        <v>0</v>
      </c>
      <c r="R8" s="12">
        <v>43</v>
      </c>
      <c r="S8" s="12">
        <v>48</v>
      </c>
      <c r="T8" s="12"/>
      <c r="U8" s="12">
        <v>53</v>
      </c>
      <c r="V8">
        <f>SUM(N8:U8)/40</f>
        <v>7.8</v>
      </c>
      <c r="W8" s="44">
        <v>7</v>
      </c>
      <c r="Y8" t="s">
        <v>40</v>
      </c>
      <c r="Z8" t="s">
        <v>41</v>
      </c>
      <c r="AA8" t="s">
        <v>42</v>
      </c>
    </row>
    <row r="9" spans="1:27" x14ac:dyDescent="0.35">
      <c r="A9" s="27"/>
      <c r="B9" s="10" t="s">
        <v>14</v>
      </c>
      <c r="C9" s="28">
        <v>40</v>
      </c>
      <c r="D9" s="12">
        <v>40</v>
      </c>
      <c r="E9" s="12">
        <v>40</v>
      </c>
      <c r="F9" s="12">
        <v>0</v>
      </c>
      <c r="G9" s="12">
        <v>85</v>
      </c>
      <c r="H9" s="12">
        <v>60</v>
      </c>
      <c r="I9" s="12">
        <v>135</v>
      </c>
      <c r="J9">
        <f>SUM(C9:F9,G9,H9,I9)/40</f>
        <v>10</v>
      </c>
      <c r="K9" s="44">
        <v>3</v>
      </c>
      <c r="L9" s="27"/>
      <c r="M9" s="10" t="str">
        <f>B9</f>
        <v>Salman</v>
      </c>
      <c r="N9" s="28"/>
      <c r="O9" s="12">
        <v>0</v>
      </c>
      <c r="P9" s="12">
        <v>0</v>
      </c>
      <c r="Q9" s="12">
        <v>0</v>
      </c>
      <c r="R9" s="12">
        <v>70</v>
      </c>
      <c r="S9" s="12">
        <v>50</v>
      </c>
      <c r="T9" s="12"/>
      <c r="U9" s="12">
        <v>120</v>
      </c>
      <c r="V9">
        <f t="shared" ref="V9:V13" si="0">SUM(N9:U9)/40</f>
        <v>6</v>
      </c>
      <c r="W9" s="44">
        <v>2</v>
      </c>
      <c r="Y9">
        <v>300</v>
      </c>
      <c r="Z9">
        <v>200</v>
      </c>
      <c r="AA9">
        <v>400</v>
      </c>
    </row>
    <row r="10" spans="1:27" x14ac:dyDescent="0.35">
      <c r="A10" s="27"/>
      <c r="B10" s="10" t="s">
        <v>37</v>
      </c>
      <c r="C10" s="28">
        <v>244</v>
      </c>
      <c r="D10" s="12">
        <v>40</v>
      </c>
      <c r="E10" s="12">
        <v>0</v>
      </c>
      <c r="F10" s="12">
        <v>0</v>
      </c>
      <c r="G10" s="12">
        <v>105</v>
      </c>
      <c r="H10" s="12">
        <v>60</v>
      </c>
      <c r="I10" s="12">
        <v>35</v>
      </c>
      <c r="J10">
        <f>SUM(C10:F10,G10,H10,I10)/40</f>
        <v>12.1</v>
      </c>
      <c r="K10" s="44">
        <v>11</v>
      </c>
      <c r="L10" s="27"/>
      <c r="M10" s="10" t="str">
        <f>B10</f>
        <v>Zesahn</v>
      </c>
      <c r="N10" s="28">
        <v>144</v>
      </c>
      <c r="O10" s="12">
        <v>40</v>
      </c>
      <c r="P10" s="12">
        <v>0</v>
      </c>
      <c r="Q10" s="12">
        <v>0</v>
      </c>
      <c r="R10" s="12">
        <v>95</v>
      </c>
      <c r="S10" s="12">
        <v>50</v>
      </c>
      <c r="T10" s="12"/>
      <c r="U10" s="12">
        <v>15</v>
      </c>
      <c r="V10">
        <f t="shared" si="0"/>
        <v>8.6</v>
      </c>
      <c r="W10" s="44">
        <v>11</v>
      </c>
    </row>
    <row r="11" spans="1:27" x14ac:dyDescent="0.35">
      <c r="A11" s="11"/>
      <c r="B11" s="11" t="s">
        <v>31</v>
      </c>
      <c r="C11" s="28">
        <v>262</v>
      </c>
      <c r="D11" s="12">
        <v>10</v>
      </c>
      <c r="E11" s="12">
        <v>10</v>
      </c>
      <c r="F11" s="12">
        <v>0</v>
      </c>
      <c r="G11" s="12">
        <v>20</v>
      </c>
      <c r="H11" s="12">
        <v>0</v>
      </c>
      <c r="I11" s="12">
        <v>20</v>
      </c>
      <c r="J11">
        <f>SUM(C11:F11,G11,H11,I11)/40</f>
        <v>8.0500000000000007</v>
      </c>
      <c r="K11" s="44">
        <v>8</v>
      </c>
      <c r="L11" s="11"/>
      <c r="M11" s="10" t="str">
        <f>B11</f>
        <v>Umair</v>
      </c>
      <c r="N11" s="28">
        <v>158</v>
      </c>
      <c r="O11" s="12">
        <v>10</v>
      </c>
      <c r="P11" s="12">
        <v>10</v>
      </c>
      <c r="Q11" s="12">
        <v>0</v>
      </c>
      <c r="R11" s="12">
        <v>20</v>
      </c>
      <c r="S11" s="12">
        <v>0</v>
      </c>
      <c r="T11" s="12"/>
      <c r="U11" s="12">
        <v>20</v>
      </c>
      <c r="V11">
        <f t="shared" si="0"/>
        <v>5.45</v>
      </c>
      <c r="W11" s="41">
        <v>6</v>
      </c>
    </row>
    <row r="12" spans="1:27" x14ac:dyDescent="0.35">
      <c r="A12" s="11"/>
      <c r="B12" s="11" t="s">
        <v>32</v>
      </c>
      <c r="C12" s="28"/>
      <c r="D12" s="12">
        <v>800</v>
      </c>
      <c r="E12" s="12">
        <v>1280</v>
      </c>
      <c r="F12" s="12"/>
      <c r="G12" s="12">
        <v>1040</v>
      </c>
      <c r="H12" s="12">
        <v>1280</v>
      </c>
      <c r="I12" s="12">
        <v>1520</v>
      </c>
      <c r="J12">
        <f>SUM(C12:F12,G12,H12,I12)/40</f>
        <v>148</v>
      </c>
      <c r="K12" s="44">
        <v>7</v>
      </c>
      <c r="L12" s="11"/>
      <c r="M12" s="10" t="str">
        <f>B12</f>
        <v xml:space="preserve">Shakoor 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7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7" x14ac:dyDescent="0.35">
      <c r="A14" s="13"/>
      <c r="B14" s="10"/>
      <c r="C14" s="14">
        <f t="shared" ref="C14:I14" si="1">SUM(C8:C13)</f>
        <v>641</v>
      </c>
      <c r="D14" s="14">
        <f t="shared" si="1"/>
        <v>924</v>
      </c>
      <c r="E14" s="14">
        <f t="shared" si="1"/>
        <v>1369</v>
      </c>
      <c r="F14" s="14">
        <f t="shared" si="1"/>
        <v>0</v>
      </c>
      <c r="G14" s="14">
        <f t="shared" si="1"/>
        <v>1293</v>
      </c>
      <c r="H14" s="14">
        <f t="shared" si="1"/>
        <v>1448</v>
      </c>
      <c r="I14" s="14">
        <f t="shared" si="1"/>
        <v>1763</v>
      </c>
      <c r="J14" s="35">
        <f>C14+D14+E14+F14+G14+H14+I14</f>
        <v>7438</v>
      </c>
      <c r="L14" s="13"/>
      <c r="M14" s="10"/>
      <c r="N14" s="14">
        <f t="shared" ref="N14:U14" si="2">SUM(N8:N13)</f>
        <v>397</v>
      </c>
      <c r="O14" s="14">
        <f t="shared" si="2"/>
        <v>84</v>
      </c>
      <c r="P14" s="14">
        <f t="shared" si="2"/>
        <v>49</v>
      </c>
      <c r="Q14" s="14">
        <f t="shared" si="2"/>
        <v>0</v>
      </c>
      <c r="R14" s="14">
        <f t="shared" si="2"/>
        <v>228</v>
      </c>
      <c r="S14" s="14">
        <f t="shared" si="2"/>
        <v>148</v>
      </c>
      <c r="T14" s="14">
        <f t="shared" si="2"/>
        <v>0</v>
      </c>
      <c r="U14" s="14">
        <f t="shared" si="2"/>
        <v>208</v>
      </c>
      <c r="V14" s="35" t="e">
        <f>N14+O14+P14+#REF!+R14+S14+T14</f>
        <v>#REF!</v>
      </c>
    </row>
    <row r="15" spans="1:27" x14ac:dyDescent="0.35">
      <c r="A15" s="13"/>
      <c r="B15" s="10" t="s">
        <v>22</v>
      </c>
      <c r="C15" s="13"/>
      <c r="D15" s="13">
        <f>D14/20</f>
        <v>46.2</v>
      </c>
      <c r="E15" s="13">
        <f t="shared" ref="E15:I15" si="3">E14/20</f>
        <v>68.45</v>
      </c>
      <c r="F15" s="13">
        <f t="shared" si="3"/>
        <v>0</v>
      </c>
      <c r="G15" s="13">
        <f t="shared" si="3"/>
        <v>64.650000000000006</v>
      </c>
      <c r="H15" s="13">
        <f t="shared" si="3"/>
        <v>72.400000000000006</v>
      </c>
      <c r="I15" s="13">
        <f t="shared" si="3"/>
        <v>88.15</v>
      </c>
      <c r="L15" s="13"/>
      <c r="M15" s="10" t="s">
        <v>22</v>
      </c>
      <c r="N15" s="13"/>
      <c r="O15" s="13">
        <f>O14/20</f>
        <v>4.2</v>
      </c>
      <c r="P15" s="13">
        <f t="shared" ref="P15" si="4">P14/20</f>
        <v>2.4500000000000002</v>
      </c>
      <c r="Q15" s="13"/>
      <c r="R15" s="13">
        <f t="shared" ref="R15:T15" si="5">R14/20</f>
        <v>11.4</v>
      </c>
      <c r="S15" s="13">
        <f t="shared" si="5"/>
        <v>7.4</v>
      </c>
      <c r="T15" s="13">
        <f t="shared" si="5"/>
        <v>0</v>
      </c>
      <c r="U15" s="13"/>
    </row>
    <row r="16" spans="1:27" x14ac:dyDescent="0.35">
      <c r="A16" s="13"/>
      <c r="B16" s="10" t="s">
        <v>21</v>
      </c>
      <c r="C16" s="36">
        <f>C15+C14</f>
        <v>641</v>
      </c>
      <c r="D16" s="36">
        <f t="shared" ref="D16:I16" si="6">D15+D14</f>
        <v>970.2</v>
      </c>
      <c r="E16" s="36">
        <f t="shared" si="6"/>
        <v>1437.45</v>
      </c>
      <c r="F16" s="36">
        <f t="shared" si="6"/>
        <v>0</v>
      </c>
      <c r="G16" s="36">
        <f t="shared" si="6"/>
        <v>1357.65</v>
      </c>
      <c r="H16" s="36">
        <f t="shared" si="6"/>
        <v>1520.4</v>
      </c>
      <c r="I16" s="36">
        <f t="shared" si="6"/>
        <v>1851.15</v>
      </c>
      <c r="L16" s="13"/>
      <c r="M16" s="10" t="s">
        <v>21</v>
      </c>
      <c r="N16" s="36">
        <f>N15+N14</f>
        <v>397</v>
      </c>
      <c r="O16" s="36">
        <f t="shared" ref="O16:P16" si="7">O15+O14</f>
        <v>88.2</v>
      </c>
      <c r="P16" s="36">
        <f t="shared" si="7"/>
        <v>51.45</v>
      </c>
      <c r="Q16" s="36"/>
      <c r="R16" s="36">
        <f t="shared" ref="R16:T16" si="8">R15+R14</f>
        <v>239.4</v>
      </c>
      <c r="S16" s="36">
        <f t="shared" si="8"/>
        <v>155.4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16.024999999999999</v>
      </c>
      <c r="D17" s="36">
        <f t="shared" ref="D17:I17" si="9">D14/40</f>
        <v>23.1</v>
      </c>
      <c r="E17" s="36">
        <f t="shared" si="9"/>
        <v>34.225000000000001</v>
      </c>
      <c r="F17" s="36">
        <f t="shared" si="9"/>
        <v>0</v>
      </c>
      <c r="G17" s="36">
        <f t="shared" si="9"/>
        <v>32.325000000000003</v>
      </c>
      <c r="H17" s="36">
        <f t="shared" si="9"/>
        <v>36.200000000000003</v>
      </c>
      <c r="I17" s="36">
        <f t="shared" si="9"/>
        <v>44.075000000000003</v>
      </c>
      <c r="J17" s="35">
        <f>SUM(C17:I17)</f>
        <v>185.95</v>
      </c>
      <c r="L17" s="13"/>
      <c r="M17" s="39" t="s">
        <v>23</v>
      </c>
      <c r="N17" s="36">
        <f>N14/40</f>
        <v>9.9250000000000007</v>
      </c>
      <c r="O17" s="36">
        <f t="shared" ref="O17:P17" si="10">O14/40</f>
        <v>2.1</v>
      </c>
      <c r="P17" s="36">
        <f t="shared" si="10"/>
        <v>1.2250000000000001</v>
      </c>
      <c r="Q17" s="36"/>
      <c r="R17" s="36">
        <f t="shared" ref="R17:T17" si="11">R14/40</f>
        <v>5.7</v>
      </c>
      <c r="S17" s="36">
        <f t="shared" si="11"/>
        <v>3.7</v>
      </c>
      <c r="T17" s="36">
        <f t="shared" si="11"/>
        <v>0</v>
      </c>
      <c r="U17" s="36"/>
      <c r="V17" s="35">
        <f>SUM(N17:T17)</f>
        <v>22.65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W19"/>
  <sheetViews>
    <sheetView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28"/>
      <c r="D8" s="12"/>
      <c r="E8" s="12"/>
      <c r="F8" s="12"/>
      <c r="G8" s="12"/>
      <c r="H8" s="12"/>
      <c r="I8" s="12"/>
      <c r="J8">
        <f>SUM(C8:F8,G8,H8,I8)/40</f>
        <v>0</v>
      </c>
      <c r="K8" s="46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28"/>
      <c r="D9" s="12"/>
      <c r="E9" s="12"/>
      <c r="F9" s="12"/>
      <c r="G9" s="12"/>
      <c r="H9" s="12"/>
      <c r="I9" s="12"/>
      <c r="J9">
        <f>SUM(C9:F9,G9,H9,I9)/40</f>
        <v>0</v>
      </c>
      <c r="K9" s="46"/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</row>
    <row r="10" spans="1:23" x14ac:dyDescent="0.35">
      <c r="A10" s="27"/>
      <c r="B10" s="10" t="s">
        <v>37</v>
      </c>
      <c r="C10" s="28">
        <v>70</v>
      </c>
      <c r="D10" s="12">
        <v>0</v>
      </c>
      <c r="E10" s="12">
        <v>10</v>
      </c>
      <c r="F10" s="12">
        <v>0</v>
      </c>
      <c r="G10" s="12">
        <v>82</v>
      </c>
      <c r="H10" s="12">
        <v>65</v>
      </c>
      <c r="I10" s="12">
        <v>130</v>
      </c>
      <c r="J10">
        <f>SUM(C10:F10,G10,H10,I10)/40</f>
        <v>8.9250000000000007</v>
      </c>
      <c r="K10" s="46">
        <v>17</v>
      </c>
      <c r="L10" s="27"/>
      <c r="M10" s="10" t="str">
        <f>B10</f>
        <v>Zesahn</v>
      </c>
      <c r="N10" s="28">
        <v>70</v>
      </c>
      <c r="O10" s="12">
        <v>0</v>
      </c>
      <c r="P10" s="12">
        <v>10</v>
      </c>
      <c r="Q10" s="12">
        <v>0</v>
      </c>
      <c r="R10" s="12">
        <v>96</v>
      </c>
      <c r="S10" s="12">
        <v>85</v>
      </c>
      <c r="T10" s="12"/>
      <c r="U10" s="12">
        <v>130</v>
      </c>
      <c r="V10">
        <f t="shared" si="0"/>
        <v>9.7750000000000004</v>
      </c>
      <c r="W10" s="44">
        <v>16</v>
      </c>
    </row>
    <row r="11" spans="1:23" x14ac:dyDescent="0.35">
      <c r="A11" s="11"/>
      <c r="B11" s="10" t="s">
        <v>31</v>
      </c>
      <c r="C11" s="28">
        <v>212</v>
      </c>
      <c r="D11" s="12">
        <v>10</v>
      </c>
      <c r="E11" s="12">
        <v>10</v>
      </c>
      <c r="F11" s="12">
        <v>0</v>
      </c>
      <c r="G11" s="12">
        <v>38</v>
      </c>
      <c r="H11" s="12">
        <v>66</v>
      </c>
      <c r="I11" s="12">
        <v>58</v>
      </c>
      <c r="J11">
        <f>SUM(C11:F11,G11,H11,I11)/40</f>
        <v>9.85</v>
      </c>
      <c r="K11" s="46">
        <v>10</v>
      </c>
      <c r="L11" s="11"/>
      <c r="M11" s="10" t="str">
        <f>B11</f>
        <v>Umair</v>
      </c>
      <c r="N11" s="28">
        <v>126</v>
      </c>
      <c r="O11" s="12">
        <v>10</v>
      </c>
      <c r="P11" s="12">
        <v>10</v>
      </c>
      <c r="Q11" s="12">
        <v>0</v>
      </c>
      <c r="R11" s="12">
        <v>32</v>
      </c>
      <c r="S11" s="12">
        <v>60</v>
      </c>
      <c r="T11" s="12"/>
      <c r="U11" s="12">
        <v>52</v>
      </c>
      <c r="V11">
        <f t="shared" si="0"/>
        <v>7.25</v>
      </c>
      <c r="W11" s="44">
        <v>7</v>
      </c>
    </row>
    <row r="12" spans="1:23" x14ac:dyDescent="0.35">
      <c r="A12" s="11"/>
      <c r="B12" s="10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K12" s="46"/>
      <c r="L12" s="11"/>
      <c r="M12" s="10" t="str">
        <f>B12</f>
        <v>Mubeen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3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10</v>
      </c>
      <c r="E14" s="14">
        <f t="shared" si="1"/>
        <v>20</v>
      </c>
      <c r="F14" s="14">
        <f t="shared" si="1"/>
        <v>0</v>
      </c>
      <c r="G14" s="14">
        <f t="shared" si="1"/>
        <v>120</v>
      </c>
      <c r="H14" s="14">
        <f t="shared" si="1"/>
        <v>131</v>
      </c>
      <c r="I14" s="14">
        <f t="shared" si="1"/>
        <v>188</v>
      </c>
      <c r="J14" s="35">
        <f>C14+D14+E14+F14+G14+H14+I14</f>
        <v>751</v>
      </c>
      <c r="L14" s="13"/>
      <c r="M14" s="10"/>
      <c r="N14" s="14">
        <f t="shared" ref="N14:U14" si="2">SUM(N8:N13)</f>
        <v>196</v>
      </c>
      <c r="O14" s="14">
        <f t="shared" si="2"/>
        <v>10</v>
      </c>
      <c r="P14" s="14">
        <f t="shared" si="2"/>
        <v>20</v>
      </c>
      <c r="Q14" s="14">
        <f t="shared" si="2"/>
        <v>0</v>
      </c>
      <c r="R14" s="14">
        <f t="shared" si="2"/>
        <v>128</v>
      </c>
      <c r="S14" s="14">
        <f t="shared" si="2"/>
        <v>145</v>
      </c>
      <c r="T14" s="14">
        <f t="shared" si="2"/>
        <v>0</v>
      </c>
      <c r="U14" s="14">
        <f t="shared" si="2"/>
        <v>182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0.5</v>
      </c>
      <c r="E15" s="13">
        <f t="shared" ref="E15:I15" si="3">E14/20</f>
        <v>1</v>
      </c>
      <c r="F15" s="13">
        <f t="shared" si="3"/>
        <v>0</v>
      </c>
      <c r="G15" s="13">
        <f t="shared" si="3"/>
        <v>6</v>
      </c>
      <c r="H15" s="13">
        <f t="shared" si="3"/>
        <v>6.55</v>
      </c>
      <c r="I15" s="13">
        <f t="shared" si="3"/>
        <v>9.4</v>
      </c>
      <c r="L15" s="13"/>
      <c r="M15" s="10" t="s">
        <v>22</v>
      </c>
      <c r="N15" s="13"/>
      <c r="O15" s="13">
        <f>O14/20</f>
        <v>0.5</v>
      </c>
      <c r="P15" s="13">
        <f t="shared" ref="P15" si="4">P14/20</f>
        <v>1</v>
      </c>
      <c r="Q15" s="13"/>
      <c r="R15" s="13">
        <f t="shared" ref="R15:T15" si="5">R14/20</f>
        <v>6.4</v>
      </c>
      <c r="S15" s="13">
        <f t="shared" si="5"/>
        <v>7.25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10.5</v>
      </c>
      <c r="E16" s="36">
        <f t="shared" si="6"/>
        <v>21</v>
      </c>
      <c r="F16" s="36">
        <f t="shared" si="6"/>
        <v>0</v>
      </c>
      <c r="G16" s="36">
        <f t="shared" si="6"/>
        <v>126</v>
      </c>
      <c r="H16" s="36">
        <f t="shared" si="6"/>
        <v>137.55000000000001</v>
      </c>
      <c r="I16" s="36">
        <f t="shared" si="6"/>
        <v>197.4</v>
      </c>
      <c r="L16" s="13"/>
      <c r="M16" s="10" t="s">
        <v>21</v>
      </c>
      <c r="N16" s="36">
        <f>N15+N14</f>
        <v>196</v>
      </c>
      <c r="O16" s="36">
        <f t="shared" ref="O16:P16" si="7">O15+O14</f>
        <v>10.5</v>
      </c>
      <c r="P16" s="36">
        <f t="shared" si="7"/>
        <v>21</v>
      </c>
      <c r="Q16" s="36"/>
      <c r="R16" s="36">
        <f t="shared" ref="R16:T16" si="8">R15+R14</f>
        <v>134.4</v>
      </c>
      <c r="S16" s="36">
        <f t="shared" si="8"/>
        <v>152.25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0.25</v>
      </c>
      <c r="E17" s="36">
        <f t="shared" si="9"/>
        <v>0.5</v>
      </c>
      <c r="F17" s="36">
        <f t="shared" si="9"/>
        <v>0</v>
      </c>
      <c r="G17" s="36">
        <f t="shared" si="9"/>
        <v>3</v>
      </c>
      <c r="H17" s="36">
        <f t="shared" si="9"/>
        <v>3.2749999999999999</v>
      </c>
      <c r="I17" s="36">
        <f t="shared" si="9"/>
        <v>4.7</v>
      </c>
      <c r="J17" s="35">
        <f>SUM(C17:I17)</f>
        <v>18.775000000000002</v>
      </c>
      <c r="L17" s="13"/>
      <c r="M17" s="39" t="s">
        <v>23</v>
      </c>
      <c r="N17" s="36">
        <f>N14/40</f>
        <v>4.9000000000000004</v>
      </c>
      <c r="O17" s="36">
        <f t="shared" ref="O17:P17" si="10">O14/40</f>
        <v>0.25</v>
      </c>
      <c r="P17" s="36">
        <f t="shared" si="10"/>
        <v>0.5</v>
      </c>
      <c r="Q17" s="36"/>
      <c r="R17" s="36">
        <f t="shared" ref="R17:T17" si="11">R14/40</f>
        <v>3.2</v>
      </c>
      <c r="S17" s="36">
        <f t="shared" si="11"/>
        <v>3.625</v>
      </c>
      <c r="T17" s="36">
        <f t="shared" si="11"/>
        <v>0</v>
      </c>
      <c r="U17" s="36"/>
      <c r="V17" s="35">
        <f>SUM(N17:T17)</f>
        <v>12.475000000000001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M8:M12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AE25"/>
  <sheetViews>
    <sheetView zoomScaleNormal="100" workbookViewId="0">
      <selection activeCell="T19" sqref="T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3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31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4"/>
      <c r="M2" s="1"/>
      <c r="N2" s="62" t="s">
        <v>35</v>
      </c>
      <c r="O2" s="63"/>
      <c r="P2" s="63"/>
      <c r="Q2" s="63"/>
      <c r="R2" s="63"/>
      <c r="S2" s="63"/>
      <c r="T2" s="63"/>
      <c r="U2" s="63"/>
      <c r="V2" s="64"/>
    </row>
    <row r="3" spans="1:31" x14ac:dyDescent="0.35">
      <c r="A3" s="1"/>
      <c r="B3" s="65"/>
      <c r="C3" s="66"/>
      <c r="D3" s="66"/>
      <c r="E3" s="66"/>
      <c r="F3" s="66"/>
      <c r="G3" s="66"/>
      <c r="H3" s="66"/>
      <c r="I3" s="66"/>
      <c r="J3" s="67"/>
      <c r="M3" s="1"/>
      <c r="N3" s="65"/>
      <c r="O3" s="66"/>
      <c r="P3" s="66"/>
      <c r="Q3" s="66"/>
      <c r="R3" s="66"/>
      <c r="S3" s="66"/>
      <c r="T3" s="66"/>
      <c r="U3" s="66"/>
      <c r="V3" s="67"/>
    </row>
    <row r="4" spans="1:31" x14ac:dyDescent="0.35">
      <c r="A4" s="1"/>
      <c r="B4" s="65"/>
      <c r="C4" s="66"/>
      <c r="D4" s="66"/>
      <c r="E4" s="66"/>
      <c r="F4" s="66"/>
      <c r="G4" s="66"/>
      <c r="H4" s="66"/>
      <c r="I4" s="66"/>
      <c r="J4" s="67"/>
      <c r="M4" s="1"/>
      <c r="N4" s="65"/>
      <c r="O4" s="66"/>
      <c r="P4" s="66"/>
      <c r="Q4" s="66"/>
      <c r="R4" s="66"/>
      <c r="S4" s="66"/>
      <c r="T4" s="66"/>
      <c r="U4" s="66"/>
      <c r="V4" s="67"/>
    </row>
    <row r="5" spans="1:31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70"/>
      <c r="M5" s="1"/>
      <c r="N5" s="68"/>
      <c r="O5" s="69"/>
      <c r="P5" s="69"/>
      <c r="Q5" s="69"/>
      <c r="R5" s="69"/>
      <c r="S5" s="69"/>
      <c r="T5" s="69"/>
      <c r="U5" s="69"/>
      <c r="V5" s="70"/>
    </row>
    <row r="6" spans="1:31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J6" s="73"/>
      <c r="M6" s="1"/>
      <c r="N6" s="2"/>
      <c r="O6" s="3" t="s">
        <v>1</v>
      </c>
      <c r="P6" s="71" t="s">
        <v>2</v>
      </c>
      <c r="Q6" s="72"/>
      <c r="R6" s="73"/>
      <c r="S6" s="72" t="s">
        <v>3</v>
      </c>
      <c r="T6" s="72"/>
      <c r="U6" s="72"/>
      <c r="V6" s="73"/>
    </row>
    <row r="7" spans="1:31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31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28"/>
      <c r="W8" s="47">
        <f>SUM(O8:Q8,S8,T8,U8)/40</f>
        <v>0</v>
      </c>
    </row>
    <row r="9" spans="1:31" x14ac:dyDescent="0.35">
      <c r="A9" s="27"/>
      <c r="B9" s="10" t="s">
        <v>14</v>
      </c>
      <c r="C9" s="12">
        <v>125</v>
      </c>
      <c r="D9" s="12">
        <v>61</v>
      </c>
      <c r="E9" s="12">
        <v>41</v>
      </c>
      <c r="F9" s="12">
        <v>0</v>
      </c>
      <c r="G9" s="12">
        <v>55</v>
      </c>
      <c r="H9" s="12">
        <v>30</v>
      </c>
      <c r="I9" s="12">
        <v>45</v>
      </c>
      <c r="J9" s="28">
        <f t="shared" ref="J9:J13" si="0">SUM(G9:I9)/20</f>
        <v>6.5</v>
      </c>
      <c r="K9" s="47">
        <f>SUM(C9:F9,G9,H9,I9)/40</f>
        <v>8.9250000000000007</v>
      </c>
      <c r="L9" s="44">
        <v>9</v>
      </c>
      <c r="M9" s="27"/>
      <c r="N9" s="10" t="str">
        <f>B9</f>
        <v>Salman</v>
      </c>
      <c r="O9" s="12">
        <v>85</v>
      </c>
      <c r="P9" s="12">
        <v>41</v>
      </c>
      <c r="Q9" s="12">
        <v>41</v>
      </c>
      <c r="R9" s="28">
        <v>0</v>
      </c>
      <c r="S9" s="12">
        <v>10</v>
      </c>
      <c r="T9" s="12">
        <v>10</v>
      </c>
      <c r="U9" s="12"/>
      <c r="V9" s="28">
        <v>20</v>
      </c>
      <c r="W9" s="47">
        <f>SUM(O9:V9)/40</f>
        <v>5.1749999999999998</v>
      </c>
      <c r="X9" s="44">
        <v>6</v>
      </c>
    </row>
    <row r="10" spans="1:31" x14ac:dyDescent="0.35">
      <c r="A10" s="27"/>
      <c r="B10" s="10" t="s">
        <v>37</v>
      </c>
      <c r="C10" s="12">
        <v>116</v>
      </c>
      <c r="D10" s="12"/>
      <c r="E10" s="12"/>
      <c r="F10" s="12"/>
      <c r="G10" s="12">
        <v>77</v>
      </c>
      <c r="H10" s="12">
        <v>105</v>
      </c>
      <c r="I10" s="12">
        <v>46</v>
      </c>
      <c r="J10" s="28">
        <f t="shared" si="0"/>
        <v>11.4</v>
      </c>
      <c r="K10" s="47">
        <f>SUM(C10:F10,G10,H10,I10)/40</f>
        <v>8.6</v>
      </c>
      <c r="L10" s="44">
        <v>14</v>
      </c>
      <c r="M10" s="27"/>
      <c r="N10" s="10" t="str">
        <f>B10</f>
        <v>Zesahn</v>
      </c>
      <c r="O10" s="12"/>
      <c r="P10" s="12"/>
      <c r="Q10" s="12"/>
      <c r="R10" s="28"/>
      <c r="S10" s="12"/>
      <c r="T10" s="12"/>
      <c r="U10" s="12"/>
      <c r="V10" s="28"/>
      <c r="W10" s="47">
        <f t="shared" ref="W10:W11" si="1">SUM(O10:V10)/40</f>
        <v>0</v>
      </c>
      <c r="Z10" t="s">
        <v>44</v>
      </c>
      <c r="AA10" t="s">
        <v>45</v>
      </c>
      <c r="AB10" t="s">
        <v>44</v>
      </c>
      <c r="AC10" t="s">
        <v>45</v>
      </c>
      <c r="AD10" t="s">
        <v>46</v>
      </c>
      <c r="AE10" t="s">
        <v>47</v>
      </c>
    </row>
    <row r="11" spans="1:31" x14ac:dyDescent="0.35">
      <c r="A11" s="11"/>
      <c r="B11" s="11" t="s">
        <v>31</v>
      </c>
      <c r="C11" s="12">
        <v>360</v>
      </c>
      <c r="D11" s="12">
        <v>80</v>
      </c>
      <c r="E11" s="12">
        <v>80</v>
      </c>
      <c r="F11" s="12">
        <v>0</v>
      </c>
      <c r="G11" s="12">
        <v>155</v>
      </c>
      <c r="H11" s="12">
        <v>155</v>
      </c>
      <c r="I11" s="12">
        <v>190</v>
      </c>
      <c r="J11" s="28">
        <f t="shared" si="0"/>
        <v>25</v>
      </c>
      <c r="K11" s="47">
        <f>SUM(C11:F11,G11,H11,I11)/40</f>
        <v>25.5</v>
      </c>
      <c r="L11" s="41">
        <v>7</v>
      </c>
      <c r="M11" s="11"/>
      <c r="N11" s="10" t="str">
        <f>B11</f>
        <v>Umair</v>
      </c>
      <c r="O11" s="12">
        <v>280</v>
      </c>
      <c r="P11" s="12">
        <v>80</v>
      </c>
      <c r="Q11" s="12">
        <v>80</v>
      </c>
      <c r="R11" s="28">
        <v>0</v>
      </c>
      <c r="S11" s="12">
        <v>155</v>
      </c>
      <c r="T11" s="12">
        <v>145</v>
      </c>
      <c r="U11" s="12"/>
      <c r="V11" s="28">
        <v>180</v>
      </c>
      <c r="W11" s="47">
        <f t="shared" si="1"/>
        <v>23</v>
      </c>
      <c r="X11" s="44">
        <v>5</v>
      </c>
      <c r="AB11">
        <v>12</v>
      </c>
      <c r="AC11">
        <v>12</v>
      </c>
    </row>
    <row r="12" spans="1:31" x14ac:dyDescent="0.35">
      <c r="A12" s="11"/>
      <c r="B12" s="11" t="s">
        <v>32</v>
      </c>
      <c r="C12" s="12"/>
      <c r="D12" s="12">
        <v>580</v>
      </c>
      <c r="E12" s="12">
        <v>480</v>
      </c>
      <c r="F12" s="12"/>
      <c r="G12" s="12">
        <v>350</v>
      </c>
      <c r="H12" s="12">
        <v>560</v>
      </c>
      <c r="I12" s="12">
        <v>940</v>
      </c>
      <c r="J12" s="28">
        <f t="shared" si="0"/>
        <v>92.5</v>
      </c>
      <c r="K12" s="47">
        <f>SUM(C12:F12,G12,H12,I12)/40</f>
        <v>72.75</v>
      </c>
      <c r="L12" s="41">
        <v>7</v>
      </c>
      <c r="M12" s="11"/>
      <c r="N12" s="10" t="str">
        <f>B12</f>
        <v xml:space="preserve">Shakoor </v>
      </c>
      <c r="O12" s="12"/>
      <c r="P12" s="12"/>
      <c r="Q12" s="12"/>
      <c r="R12" s="28"/>
      <c r="S12" s="12"/>
      <c r="T12" s="12"/>
      <c r="U12" s="12"/>
      <c r="V12" s="28"/>
      <c r="W12" s="47">
        <v>5</v>
      </c>
      <c r="X12">
        <v>50</v>
      </c>
      <c r="AC12">
        <v>6</v>
      </c>
      <c r="AD12">
        <v>6</v>
      </c>
    </row>
    <row r="13" spans="1:3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  <c r="V13" s="28"/>
      <c r="AB13">
        <v>15</v>
      </c>
      <c r="AC13">
        <v>15</v>
      </c>
      <c r="AD13">
        <v>10</v>
      </c>
    </row>
    <row r="14" spans="1:31" x14ac:dyDescent="0.35">
      <c r="A14" s="13"/>
      <c r="B14" s="10"/>
      <c r="C14" s="14">
        <f t="shared" ref="C14:J14" si="2">SUM(C8:C13)</f>
        <v>601</v>
      </c>
      <c r="D14" s="14">
        <f t="shared" si="2"/>
        <v>721</v>
      </c>
      <c r="E14" s="14">
        <f t="shared" si="2"/>
        <v>601</v>
      </c>
      <c r="F14" s="14">
        <f t="shared" si="2"/>
        <v>0</v>
      </c>
      <c r="G14" s="14">
        <f t="shared" si="2"/>
        <v>637</v>
      </c>
      <c r="H14" s="14">
        <f t="shared" si="2"/>
        <v>850</v>
      </c>
      <c r="I14" s="14">
        <f t="shared" si="2"/>
        <v>1221</v>
      </c>
      <c r="J14" s="14">
        <f t="shared" si="2"/>
        <v>135.4</v>
      </c>
      <c r="K14" s="35">
        <f>C14+D14+E14+F14+G14+H14+I14</f>
        <v>4631</v>
      </c>
      <c r="M14" s="13"/>
      <c r="N14" s="10"/>
      <c r="O14" s="14">
        <f t="shared" ref="O14:V14" si="3">SUM(O8:O13)</f>
        <v>365</v>
      </c>
      <c r="P14" s="14">
        <f t="shared" si="3"/>
        <v>121</v>
      </c>
      <c r="Q14" s="14">
        <f t="shared" si="3"/>
        <v>121</v>
      </c>
      <c r="R14" s="14">
        <f t="shared" si="3"/>
        <v>0</v>
      </c>
      <c r="S14" s="14">
        <f t="shared" si="3"/>
        <v>165</v>
      </c>
      <c r="T14" s="14">
        <f t="shared" si="3"/>
        <v>155</v>
      </c>
      <c r="U14" s="14">
        <f t="shared" si="3"/>
        <v>0</v>
      </c>
      <c r="V14" s="14">
        <f t="shared" si="3"/>
        <v>200</v>
      </c>
      <c r="W14" s="35" t="e">
        <f>O14+P14+Q14+#REF!+S14+T14+U14</f>
        <v>#REF!</v>
      </c>
      <c r="AB14">
        <v>15</v>
      </c>
      <c r="AC14">
        <v>15</v>
      </c>
      <c r="AD14">
        <v>10</v>
      </c>
    </row>
    <row r="15" spans="1:31" x14ac:dyDescent="0.35">
      <c r="A15" s="13"/>
      <c r="B15" s="10" t="s">
        <v>22</v>
      </c>
      <c r="C15" s="13"/>
      <c r="D15" s="13">
        <f>D14/20</f>
        <v>36.049999999999997</v>
      </c>
      <c r="E15" s="13">
        <f t="shared" ref="E15:I15" si="4">E14/20</f>
        <v>30.05</v>
      </c>
      <c r="F15" s="13">
        <f t="shared" si="4"/>
        <v>0</v>
      </c>
      <c r="G15" s="13">
        <f t="shared" si="4"/>
        <v>31.85</v>
      </c>
      <c r="H15" s="13">
        <f t="shared" si="4"/>
        <v>42.5</v>
      </c>
      <c r="I15" s="13">
        <f t="shared" si="4"/>
        <v>61.05</v>
      </c>
      <c r="J15" s="13"/>
      <c r="M15" s="13"/>
      <c r="N15" s="10" t="s">
        <v>22</v>
      </c>
      <c r="O15" s="13"/>
      <c r="P15" s="13">
        <f>P14/20</f>
        <v>6.05</v>
      </c>
      <c r="Q15" s="13">
        <f t="shared" ref="Q15" si="5">Q14/20</f>
        <v>6.05</v>
      </c>
      <c r="R15" s="13"/>
      <c r="S15" s="13">
        <f t="shared" ref="S15:U15" si="6">S14/20</f>
        <v>8.25</v>
      </c>
      <c r="T15" s="13">
        <f t="shared" si="6"/>
        <v>7.75</v>
      </c>
      <c r="U15" s="13">
        <f t="shared" si="6"/>
        <v>0</v>
      </c>
      <c r="V15" s="13"/>
      <c r="AC15">
        <v>20</v>
      </c>
    </row>
    <row r="16" spans="1:31" x14ac:dyDescent="0.35">
      <c r="A16" s="13"/>
      <c r="B16" s="10" t="s">
        <v>21</v>
      </c>
      <c r="C16" s="36">
        <f>C15+C14</f>
        <v>601</v>
      </c>
      <c r="D16" s="36">
        <f t="shared" ref="D16:I16" si="7">D15+D14</f>
        <v>757.05</v>
      </c>
      <c r="E16" s="36">
        <f t="shared" si="7"/>
        <v>631.04999999999995</v>
      </c>
      <c r="F16" s="36">
        <f t="shared" si="7"/>
        <v>0</v>
      </c>
      <c r="G16" s="36">
        <f t="shared" si="7"/>
        <v>668.85</v>
      </c>
      <c r="H16" s="36">
        <f t="shared" si="7"/>
        <v>892.5</v>
      </c>
      <c r="I16" s="36">
        <f t="shared" si="7"/>
        <v>1282.05</v>
      </c>
      <c r="J16" s="36"/>
      <c r="M16" s="13"/>
      <c r="N16" s="10" t="s">
        <v>21</v>
      </c>
      <c r="O16" s="36">
        <f>O15+O14</f>
        <v>365</v>
      </c>
      <c r="P16" s="36">
        <f t="shared" ref="P16:Q16" si="8">P15+P14</f>
        <v>127.05</v>
      </c>
      <c r="Q16" s="36">
        <f t="shared" si="8"/>
        <v>127.05</v>
      </c>
      <c r="R16" s="36"/>
      <c r="S16" s="36">
        <f t="shared" ref="S16:U16" si="9">S15+S14</f>
        <v>173.25</v>
      </c>
      <c r="T16" s="36">
        <f t="shared" si="9"/>
        <v>162.75</v>
      </c>
      <c r="U16" s="36">
        <f t="shared" si="9"/>
        <v>0</v>
      </c>
      <c r="V16" s="36"/>
      <c r="AE16">
        <v>12</v>
      </c>
    </row>
    <row r="17" spans="1:31" x14ac:dyDescent="0.35">
      <c r="A17" s="13"/>
      <c r="B17" s="39" t="s">
        <v>23</v>
      </c>
      <c r="C17" s="36">
        <f>C14/40</f>
        <v>15.025</v>
      </c>
      <c r="D17" s="36">
        <f t="shared" ref="D17:I17" si="10">D14/40</f>
        <v>18.024999999999999</v>
      </c>
      <c r="E17" s="36">
        <f t="shared" si="10"/>
        <v>15.025</v>
      </c>
      <c r="F17" s="36">
        <f t="shared" si="10"/>
        <v>0</v>
      </c>
      <c r="G17" s="36">
        <f t="shared" si="10"/>
        <v>15.925000000000001</v>
      </c>
      <c r="H17" s="36">
        <f t="shared" si="10"/>
        <v>21.25</v>
      </c>
      <c r="I17" s="36">
        <f t="shared" si="10"/>
        <v>30.524999999999999</v>
      </c>
      <c r="J17" s="36"/>
      <c r="K17" s="35">
        <f>SUM(C17:I17)</f>
        <v>115.77500000000001</v>
      </c>
      <c r="M17" s="13"/>
      <c r="N17" s="39" t="s">
        <v>23</v>
      </c>
      <c r="O17" s="36">
        <f>O14/40</f>
        <v>9.125</v>
      </c>
      <c r="P17" s="36">
        <f t="shared" ref="P17:Q17" si="11">P14/40</f>
        <v>3.0249999999999999</v>
      </c>
      <c r="Q17" s="36">
        <f t="shared" si="11"/>
        <v>3.0249999999999999</v>
      </c>
      <c r="R17" s="36"/>
      <c r="S17" s="36">
        <f t="shared" ref="S17:U17" si="12">S14/40</f>
        <v>4.125</v>
      </c>
      <c r="T17" s="36">
        <f t="shared" si="12"/>
        <v>3.875</v>
      </c>
      <c r="U17" s="36">
        <f t="shared" si="12"/>
        <v>0</v>
      </c>
      <c r="V17" s="36"/>
      <c r="W17" s="35">
        <f>SUM(O17:U17)</f>
        <v>23.175000000000001</v>
      </c>
      <c r="AE17">
        <v>40</v>
      </c>
    </row>
    <row r="18" spans="1:31" x14ac:dyDescent="0.35">
      <c r="C18" s="32"/>
      <c r="AC18">
        <v>10</v>
      </c>
      <c r="AD18">
        <v>10</v>
      </c>
      <c r="AE18">
        <v>24</v>
      </c>
    </row>
    <row r="19" spans="1:3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AC19">
        <v>12</v>
      </c>
    </row>
    <row r="20" spans="1:31" x14ac:dyDescent="0.35">
      <c r="AB20">
        <v>15</v>
      </c>
      <c r="AC20">
        <v>15</v>
      </c>
      <c r="AD20">
        <v>10</v>
      </c>
    </row>
    <row r="21" spans="1:31" x14ac:dyDescent="0.35">
      <c r="AE21">
        <v>10</v>
      </c>
    </row>
    <row r="22" spans="1:31" x14ac:dyDescent="0.35">
      <c r="AE22">
        <v>10</v>
      </c>
    </row>
    <row r="23" spans="1:31" x14ac:dyDescent="0.35">
      <c r="AE23">
        <v>10</v>
      </c>
    </row>
    <row r="24" spans="1:31" x14ac:dyDescent="0.35">
      <c r="AE24">
        <v>10</v>
      </c>
    </row>
    <row r="25" spans="1:31" x14ac:dyDescent="0.35">
      <c r="AB25">
        <v>20</v>
      </c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X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9" width="5.81640625" bestFit="1" customWidth="1"/>
    <col min="20" max="20" width="3.90625" bestFit="1" customWidth="1"/>
    <col min="21" max="21" width="5.90625" customWidth="1"/>
    <col min="22" max="23" width="5.81640625" bestFit="1" customWidth="1"/>
  </cols>
  <sheetData>
    <row r="1" spans="1:24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</row>
    <row r="2" spans="1:24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J2" s="64"/>
      <c r="M2" s="1"/>
      <c r="N2" s="62" t="s">
        <v>35</v>
      </c>
      <c r="O2" s="63"/>
      <c r="P2" s="63"/>
      <c r="Q2" s="63"/>
      <c r="R2" s="63"/>
      <c r="S2" s="63"/>
      <c r="T2" s="63"/>
      <c r="U2" s="63"/>
    </row>
    <row r="3" spans="1:24" x14ac:dyDescent="0.35">
      <c r="A3" s="1"/>
      <c r="B3" s="65"/>
      <c r="C3" s="66"/>
      <c r="D3" s="66"/>
      <c r="E3" s="66"/>
      <c r="F3" s="66"/>
      <c r="G3" s="66"/>
      <c r="H3" s="66"/>
      <c r="I3" s="66"/>
      <c r="J3" s="67"/>
      <c r="M3" s="1"/>
      <c r="N3" s="65"/>
      <c r="O3" s="66"/>
      <c r="P3" s="66"/>
      <c r="Q3" s="66"/>
      <c r="R3" s="66"/>
      <c r="S3" s="66"/>
      <c r="T3" s="66"/>
      <c r="U3" s="66"/>
    </row>
    <row r="4" spans="1:24" x14ac:dyDescent="0.35">
      <c r="A4" s="1"/>
      <c r="B4" s="65"/>
      <c r="C4" s="66"/>
      <c r="D4" s="66"/>
      <c r="E4" s="66"/>
      <c r="F4" s="66"/>
      <c r="G4" s="66"/>
      <c r="H4" s="66"/>
      <c r="I4" s="66"/>
      <c r="J4" s="67"/>
      <c r="M4" s="1"/>
      <c r="N4" s="65"/>
      <c r="O4" s="66"/>
      <c r="P4" s="66"/>
      <c r="Q4" s="66"/>
      <c r="R4" s="66"/>
      <c r="S4" s="66"/>
      <c r="T4" s="66"/>
      <c r="U4" s="66"/>
    </row>
    <row r="5" spans="1:24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J5" s="70"/>
      <c r="M5" s="1"/>
      <c r="N5" s="68"/>
      <c r="O5" s="69"/>
      <c r="P5" s="69"/>
      <c r="Q5" s="69"/>
      <c r="R5" s="69"/>
      <c r="S5" s="69"/>
      <c r="T5" s="69"/>
      <c r="U5" s="69"/>
    </row>
    <row r="6" spans="1:24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J6" s="73"/>
      <c r="M6" s="1"/>
      <c r="N6" s="2"/>
      <c r="O6" s="3" t="s">
        <v>1</v>
      </c>
      <c r="P6" s="71" t="s">
        <v>2</v>
      </c>
      <c r="Q6" s="72"/>
      <c r="R6" s="73"/>
      <c r="S6" s="72" t="s">
        <v>3</v>
      </c>
      <c r="T6" s="72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37" t="s">
        <v>6</v>
      </c>
      <c r="P7" s="56" t="s">
        <v>13</v>
      </c>
      <c r="Q7" s="56" t="s">
        <v>11</v>
      </c>
      <c r="R7" s="56" t="s">
        <v>8</v>
      </c>
      <c r="S7" s="45" t="s">
        <v>13</v>
      </c>
      <c r="T7" s="45" t="s">
        <v>7</v>
      </c>
      <c r="U7" s="45" t="s">
        <v>12</v>
      </c>
      <c r="V7" s="12" t="s">
        <v>27</v>
      </c>
      <c r="W7" s="12" t="s">
        <v>26</v>
      </c>
      <c r="X7" s="44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48">
        <f>SUM(O8:U8)/40</f>
        <v>0</v>
      </c>
      <c r="X8" s="44"/>
    </row>
    <row r="9" spans="1:24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>
        <v>0</v>
      </c>
      <c r="G9" s="12">
        <v>154</v>
      </c>
      <c r="H9" s="12">
        <v>109</v>
      </c>
      <c r="I9" s="12">
        <v>101</v>
      </c>
      <c r="J9" s="28">
        <f t="shared" ref="J9:J13" si="0">SUM(G9:I9)/20</f>
        <v>18.2</v>
      </c>
      <c r="K9" s="48">
        <f>SUM(C9:F9,G9,H9,I9)/40</f>
        <v>16.5</v>
      </c>
      <c r="L9" s="45">
        <v>11</v>
      </c>
      <c r="M9" s="27"/>
      <c r="N9" s="10" t="str">
        <f>B9</f>
        <v>Salman</v>
      </c>
      <c r="O9" s="12"/>
      <c r="P9" s="12"/>
      <c r="Q9" s="12"/>
      <c r="R9" s="28"/>
      <c r="S9" s="12"/>
      <c r="T9" s="12"/>
      <c r="U9" s="12"/>
      <c r="V9" s="48">
        <f t="shared" ref="V9:V12" si="1">SUM(O9:U9)/40</f>
        <v>0</v>
      </c>
      <c r="X9" s="44" t="s">
        <v>48</v>
      </c>
    </row>
    <row r="10" spans="1:24" x14ac:dyDescent="0.35">
      <c r="A10" s="27"/>
      <c r="B10" s="10" t="s">
        <v>37</v>
      </c>
      <c r="C10" s="12">
        <v>240</v>
      </c>
      <c r="D10" s="12">
        <v>0</v>
      </c>
      <c r="E10" s="12">
        <v>0</v>
      </c>
      <c r="F10" s="12">
        <v>0</v>
      </c>
      <c r="G10" s="12">
        <v>40</v>
      </c>
      <c r="H10" s="12">
        <v>0</v>
      </c>
      <c r="I10" s="12">
        <v>120</v>
      </c>
      <c r="J10" s="28">
        <f t="shared" si="0"/>
        <v>8</v>
      </c>
      <c r="K10" s="48">
        <f>SUM(C10:F10,G10,H10,I10)/40</f>
        <v>10</v>
      </c>
      <c r="L10" s="45">
        <v>8</v>
      </c>
      <c r="M10" s="27"/>
      <c r="N10" s="10" t="str">
        <f>B10</f>
        <v>Zesahn</v>
      </c>
      <c r="O10" s="12"/>
      <c r="P10" s="12"/>
      <c r="Q10" s="12"/>
      <c r="R10" s="28"/>
      <c r="S10" s="12">
        <v>40</v>
      </c>
      <c r="T10" s="12">
        <v>0</v>
      </c>
      <c r="U10" s="12">
        <v>120</v>
      </c>
      <c r="V10" s="48">
        <f t="shared" si="1"/>
        <v>4</v>
      </c>
      <c r="W10" s="59">
        <v>7</v>
      </c>
      <c r="X10" s="44"/>
    </row>
    <row r="11" spans="1:24" x14ac:dyDescent="0.35">
      <c r="A11" s="11"/>
      <c r="B11" s="11" t="s">
        <v>31</v>
      </c>
      <c r="C11" s="12">
        <v>112</v>
      </c>
      <c r="D11" s="12">
        <v>20</v>
      </c>
      <c r="E11" s="12">
        <v>20</v>
      </c>
      <c r="F11" s="12">
        <v>0</v>
      </c>
      <c r="G11" s="12">
        <v>133</v>
      </c>
      <c r="H11" s="12">
        <v>139</v>
      </c>
      <c r="I11" s="12">
        <v>218</v>
      </c>
      <c r="J11" s="28">
        <f t="shared" si="0"/>
        <v>24.5</v>
      </c>
      <c r="K11" s="48">
        <f>SUM(C11:F11,G11,H11,I11)/40</f>
        <v>16.05</v>
      </c>
      <c r="L11" s="45">
        <v>12</v>
      </c>
      <c r="M11" s="11"/>
      <c r="N11" s="10" t="str">
        <f>B11</f>
        <v>Umair</v>
      </c>
      <c r="O11" s="12">
        <v>112</v>
      </c>
      <c r="P11" s="12">
        <v>20</v>
      </c>
      <c r="Q11" s="12">
        <v>20</v>
      </c>
      <c r="R11" s="28">
        <v>0</v>
      </c>
      <c r="S11" s="12">
        <v>93</v>
      </c>
      <c r="T11" s="12">
        <v>139</v>
      </c>
      <c r="U11" s="12">
        <v>178</v>
      </c>
      <c r="V11" s="48">
        <f t="shared" si="1"/>
        <v>14.05</v>
      </c>
      <c r="W11" s="59">
        <v>10</v>
      </c>
      <c r="X11" s="41"/>
    </row>
    <row r="12" spans="1:24" x14ac:dyDescent="0.35">
      <c r="A12" s="11"/>
      <c r="B12" s="11" t="s">
        <v>32</v>
      </c>
      <c r="C12" s="12"/>
      <c r="D12" s="12">
        <v>510</v>
      </c>
      <c r="E12" s="12">
        <v>590</v>
      </c>
      <c r="F12" s="12"/>
      <c r="G12" s="12">
        <v>510</v>
      </c>
      <c r="H12" s="12">
        <v>510</v>
      </c>
      <c r="I12" s="12">
        <v>540</v>
      </c>
      <c r="J12" s="28">
        <f t="shared" si="0"/>
        <v>78</v>
      </c>
      <c r="K12" s="48">
        <f>SUM(C12:F12,G12,H12,I12)/40</f>
        <v>66.5</v>
      </c>
      <c r="L12" s="45">
        <v>6</v>
      </c>
      <c r="M12" s="11"/>
      <c r="N12" s="10" t="str">
        <f>B12</f>
        <v xml:space="preserve">Shakoor </v>
      </c>
      <c r="O12" s="12"/>
      <c r="P12" s="12">
        <v>400</v>
      </c>
      <c r="Q12" s="12">
        <v>480</v>
      </c>
      <c r="R12" s="28"/>
      <c r="S12" s="12">
        <v>360</v>
      </c>
      <c r="T12" s="12">
        <v>360</v>
      </c>
      <c r="U12" s="12">
        <v>360</v>
      </c>
      <c r="V12" s="48">
        <f t="shared" si="1"/>
        <v>49</v>
      </c>
      <c r="W12" s="59">
        <v>4</v>
      </c>
      <c r="X12" s="41"/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</row>
    <row r="14" spans="1:24" x14ac:dyDescent="0.35">
      <c r="A14" s="13"/>
      <c r="B14" s="10"/>
      <c r="C14" s="14">
        <f t="shared" ref="C14:J14" si="2">SUM(C8:C13)</f>
        <v>560</v>
      </c>
      <c r="D14" s="14">
        <f t="shared" si="2"/>
        <v>594</v>
      </c>
      <c r="E14" s="14">
        <f t="shared" si="2"/>
        <v>634</v>
      </c>
      <c r="F14" s="14">
        <f t="shared" si="2"/>
        <v>0</v>
      </c>
      <c r="G14" s="14">
        <f t="shared" si="2"/>
        <v>837</v>
      </c>
      <c r="H14" s="14">
        <f t="shared" si="2"/>
        <v>758</v>
      </c>
      <c r="I14" s="14">
        <f t="shared" si="2"/>
        <v>979</v>
      </c>
      <c r="J14" s="14">
        <f t="shared" si="2"/>
        <v>128.69999999999999</v>
      </c>
      <c r="K14" s="35">
        <f>C14+D14+E14+F14+G14+H14+I14</f>
        <v>4362</v>
      </c>
      <c r="M14" s="13"/>
      <c r="N14" s="10"/>
      <c r="O14" s="14">
        <f t="shared" ref="O14:U14" si="3">SUM(O8:O13)</f>
        <v>112</v>
      </c>
      <c r="P14" s="14">
        <f t="shared" si="3"/>
        <v>420</v>
      </c>
      <c r="Q14" s="14">
        <f t="shared" si="3"/>
        <v>500</v>
      </c>
      <c r="R14" s="14">
        <f t="shared" si="3"/>
        <v>0</v>
      </c>
      <c r="S14" s="14">
        <f t="shared" si="3"/>
        <v>493</v>
      </c>
      <c r="T14" s="14">
        <f t="shared" si="3"/>
        <v>499</v>
      </c>
      <c r="U14" s="14">
        <f t="shared" si="3"/>
        <v>658</v>
      </c>
      <c r="V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29.7</v>
      </c>
      <c r="E15" s="13">
        <f t="shared" ref="E15:I15" si="4">E14/20</f>
        <v>31.7</v>
      </c>
      <c r="F15" s="13">
        <f t="shared" si="4"/>
        <v>0</v>
      </c>
      <c r="G15" s="13">
        <f t="shared" si="4"/>
        <v>41.85</v>
      </c>
      <c r="H15" s="13">
        <f t="shared" si="4"/>
        <v>37.9</v>
      </c>
      <c r="I15" s="13">
        <f t="shared" si="4"/>
        <v>48.95</v>
      </c>
      <c r="J15" s="13"/>
      <c r="M15" s="13"/>
      <c r="N15" s="10" t="s">
        <v>22</v>
      </c>
      <c r="O15" s="13"/>
      <c r="P15" s="13">
        <f>P14/20</f>
        <v>21</v>
      </c>
      <c r="Q15" s="13">
        <f t="shared" ref="Q15" si="5">Q14/20</f>
        <v>25</v>
      </c>
      <c r="R15" s="13"/>
      <c r="S15" s="13">
        <f t="shared" ref="S15:U15" si="6">S14/20</f>
        <v>24.65</v>
      </c>
      <c r="T15" s="13">
        <f t="shared" si="6"/>
        <v>24.95</v>
      </c>
      <c r="U15" s="13">
        <f t="shared" si="6"/>
        <v>32.9</v>
      </c>
    </row>
    <row r="16" spans="1:24" x14ac:dyDescent="0.35">
      <c r="A16" s="13"/>
      <c r="B16" s="10" t="s">
        <v>21</v>
      </c>
      <c r="C16" s="36">
        <f>C15+C14</f>
        <v>560</v>
      </c>
      <c r="D16" s="36">
        <f t="shared" ref="D16:I16" si="7">D15+D14</f>
        <v>623.70000000000005</v>
      </c>
      <c r="E16" s="36">
        <f t="shared" si="7"/>
        <v>665.7</v>
      </c>
      <c r="F16" s="36">
        <f t="shared" si="7"/>
        <v>0</v>
      </c>
      <c r="G16" s="36">
        <f t="shared" si="7"/>
        <v>878.85</v>
      </c>
      <c r="H16" s="36">
        <f t="shared" si="7"/>
        <v>795.9</v>
      </c>
      <c r="I16" s="36">
        <f t="shared" si="7"/>
        <v>1027.95</v>
      </c>
      <c r="J16" s="36"/>
      <c r="M16" s="13"/>
      <c r="N16" s="10" t="s">
        <v>21</v>
      </c>
      <c r="O16" s="36">
        <f>O15+O14</f>
        <v>112</v>
      </c>
      <c r="P16" s="36">
        <f t="shared" ref="P16:Q16" si="8">P15+P14</f>
        <v>441</v>
      </c>
      <c r="Q16" s="36">
        <f t="shared" si="8"/>
        <v>525</v>
      </c>
      <c r="R16" s="36"/>
      <c r="S16" s="36">
        <f t="shared" ref="S16:U16" si="9">S15+S14</f>
        <v>517.65</v>
      </c>
      <c r="T16" s="36">
        <f t="shared" si="9"/>
        <v>523.95000000000005</v>
      </c>
      <c r="U16" s="36">
        <f t="shared" si="9"/>
        <v>690.9</v>
      </c>
    </row>
    <row r="17" spans="1:22" x14ac:dyDescent="0.35">
      <c r="A17" s="13"/>
      <c r="B17" s="39" t="s">
        <v>23</v>
      </c>
      <c r="C17" s="36">
        <f>C14/40</f>
        <v>14</v>
      </c>
      <c r="D17" s="36">
        <f t="shared" ref="D17:I17" si="10">D14/40</f>
        <v>14.85</v>
      </c>
      <c r="E17" s="36">
        <f t="shared" si="10"/>
        <v>15.85</v>
      </c>
      <c r="F17" s="36">
        <f t="shared" si="10"/>
        <v>0</v>
      </c>
      <c r="G17" s="36">
        <f t="shared" si="10"/>
        <v>20.925000000000001</v>
      </c>
      <c r="H17" s="36">
        <f t="shared" si="10"/>
        <v>18.95</v>
      </c>
      <c r="I17" s="36">
        <f t="shared" si="10"/>
        <v>24.475000000000001</v>
      </c>
      <c r="J17" s="36"/>
      <c r="K17" s="35">
        <f>SUM(C17:I17)</f>
        <v>109.05000000000001</v>
      </c>
      <c r="M17" s="13"/>
      <c r="N17" s="39" t="s">
        <v>23</v>
      </c>
      <c r="O17" s="36">
        <f>O14/40</f>
        <v>2.8</v>
      </c>
      <c r="P17" s="36">
        <f t="shared" ref="P17:Q17" si="11">P14/40</f>
        <v>10.5</v>
      </c>
      <c r="Q17" s="36">
        <f t="shared" si="11"/>
        <v>12.5</v>
      </c>
      <c r="R17" s="36"/>
      <c r="S17" s="36">
        <f t="shared" ref="S17:U17" si="12">S14/40</f>
        <v>12.324999999999999</v>
      </c>
      <c r="T17" s="36">
        <f t="shared" si="12"/>
        <v>12.475</v>
      </c>
      <c r="U17" s="36">
        <f t="shared" si="12"/>
        <v>16.45</v>
      </c>
      <c r="V17" s="35">
        <f>SUM(O17:U17)</f>
        <v>67.05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U5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W19"/>
  <sheetViews>
    <sheetView zoomScaleNormal="100" workbookViewId="0">
      <selection activeCell="X16" sqref="X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SUM(C8:I8)/40</f>
        <v>0</v>
      </c>
      <c r="L8" s="27"/>
      <c r="M8" s="10" t="str">
        <f>B8</f>
        <v>Furqan</v>
      </c>
      <c r="N8" s="12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12"/>
      <c r="D9" s="12">
        <v>40</v>
      </c>
      <c r="E9" s="12">
        <v>40</v>
      </c>
      <c r="F9" s="12">
        <v>0</v>
      </c>
      <c r="G9" s="12">
        <v>120</v>
      </c>
      <c r="H9" s="12">
        <v>120</v>
      </c>
      <c r="I9" s="12">
        <v>120</v>
      </c>
      <c r="J9">
        <f t="shared" ref="J9:J12" si="0">SUM(C9:I9)/40</f>
        <v>11</v>
      </c>
      <c r="K9" s="44">
        <v>2</v>
      </c>
      <c r="L9" s="27"/>
      <c r="M9" s="10" t="str">
        <f>B9</f>
        <v>Salman</v>
      </c>
      <c r="N9" s="12"/>
      <c r="O9" s="12">
        <v>40</v>
      </c>
      <c r="P9" s="12">
        <v>40</v>
      </c>
      <c r="Q9" s="12">
        <v>0</v>
      </c>
      <c r="R9" s="12">
        <v>40</v>
      </c>
      <c r="S9" s="12">
        <v>40</v>
      </c>
      <c r="T9" s="12"/>
      <c r="U9" s="12">
        <v>40</v>
      </c>
      <c r="V9">
        <f t="shared" ref="V9:V12" si="1">SUM(N9:U9)/40</f>
        <v>5</v>
      </c>
      <c r="W9" s="44">
        <v>1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 t="shared" si="0"/>
        <v>0</v>
      </c>
      <c r="L10" s="27"/>
      <c r="M10" s="10" t="str">
        <f>B10</f>
        <v>Zesahn</v>
      </c>
      <c r="N10" s="12"/>
      <c r="O10" s="12"/>
      <c r="P10" s="12"/>
      <c r="Q10" s="12"/>
      <c r="R10" s="12"/>
      <c r="S10" s="12"/>
      <c r="T10" s="12"/>
      <c r="U10" s="12"/>
      <c r="V10">
        <f t="shared" si="1"/>
        <v>0</v>
      </c>
    </row>
    <row r="11" spans="1:23" x14ac:dyDescent="0.35">
      <c r="A11" s="11"/>
      <c r="B11" s="11" t="s">
        <v>31</v>
      </c>
      <c r="C11" s="12">
        <v>80</v>
      </c>
      <c r="D11" s="12"/>
      <c r="E11" s="12"/>
      <c r="F11" s="12"/>
      <c r="G11" s="12">
        <v>40</v>
      </c>
      <c r="H11" s="12">
        <v>0</v>
      </c>
      <c r="I11" s="12">
        <v>40</v>
      </c>
      <c r="J11">
        <f t="shared" si="0"/>
        <v>4</v>
      </c>
      <c r="K11" s="44">
        <v>4</v>
      </c>
      <c r="L11" s="11"/>
      <c r="M11" s="10" t="str">
        <f>B11</f>
        <v>Umair</v>
      </c>
      <c r="N11" s="12"/>
      <c r="O11" s="12"/>
      <c r="P11" s="12"/>
      <c r="Q11" s="12"/>
      <c r="R11" s="12"/>
      <c r="S11" s="12"/>
      <c r="T11" s="12"/>
      <c r="U11" s="12"/>
      <c r="V11">
        <f t="shared" si="1"/>
        <v>0</v>
      </c>
    </row>
    <row r="12" spans="1:23" x14ac:dyDescent="0.35">
      <c r="A12" s="11"/>
      <c r="B12" s="11" t="s">
        <v>38</v>
      </c>
      <c r="C12" s="12">
        <v>200</v>
      </c>
      <c r="D12" s="12">
        <v>440</v>
      </c>
      <c r="E12" s="12">
        <v>400</v>
      </c>
      <c r="F12" s="12"/>
      <c r="G12" s="12">
        <v>800</v>
      </c>
      <c r="H12" s="12">
        <v>800</v>
      </c>
      <c r="I12" s="12">
        <v>760</v>
      </c>
      <c r="J12">
        <f t="shared" si="0"/>
        <v>85</v>
      </c>
      <c r="K12" s="44">
        <v>5</v>
      </c>
      <c r="L12" s="11"/>
      <c r="M12" s="10" t="str">
        <f>B12</f>
        <v>Shakoor</v>
      </c>
      <c r="N12" s="12">
        <v>200</v>
      </c>
      <c r="O12" s="12">
        <v>200</v>
      </c>
      <c r="P12" s="12">
        <v>200</v>
      </c>
      <c r="Q12" s="12"/>
      <c r="R12" s="12">
        <v>320</v>
      </c>
      <c r="S12" s="12">
        <v>400</v>
      </c>
      <c r="T12" s="12"/>
      <c r="U12" s="12">
        <v>280</v>
      </c>
      <c r="V12">
        <f t="shared" si="1"/>
        <v>40</v>
      </c>
      <c r="W12" s="44">
        <v>3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  <c r="U13" s="12"/>
    </row>
    <row r="14" spans="1:23" x14ac:dyDescent="0.35">
      <c r="A14" s="13"/>
      <c r="B14" s="10"/>
      <c r="C14" s="14">
        <f t="shared" ref="C14:I14" si="2">SUM(C8:C13)</f>
        <v>280</v>
      </c>
      <c r="D14" s="14">
        <f t="shared" si="2"/>
        <v>480</v>
      </c>
      <c r="E14" s="14">
        <f t="shared" si="2"/>
        <v>440</v>
      </c>
      <c r="F14" s="14">
        <f t="shared" si="2"/>
        <v>0</v>
      </c>
      <c r="G14" s="14">
        <f t="shared" si="2"/>
        <v>960</v>
      </c>
      <c r="H14" s="14">
        <f t="shared" si="2"/>
        <v>920</v>
      </c>
      <c r="I14" s="14">
        <f t="shared" si="2"/>
        <v>920</v>
      </c>
      <c r="J14" s="35">
        <f>C14+D14+E14+F14+G14+H14+I14</f>
        <v>4000</v>
      </c>
      <c r="L14" s="13"/>
      <c r="M14" s="10"/>
      <c r="N14" s="14">
        <f t="shared" ref="N14:U14" si="3">SUM(N8:N13)</f>
        <v>200</v>
      </c>
      <c r="O14" s="14">
        <f t="shared" si="3"/>
        <v>240</v>
      </c>
      <c r="P14" s="14">
        <f t="shared" si="3"/>
        <v>240</v>
      </c>
      <c r="Q14" s="14">
        <f t="shared" si="3"/>
        <v>0</v>
      </c>
      <c r="R14" s="14">
        <f t="shared" si="3"/>
        <v>360</v>
      </c>
      <c r="S14" s="14">
        <f t="shared" si="3"/>
        <v>440</v>
      </c>
      <c r="T14" s="14">
        <f t="shared" si="3"/>
        <v>0</v>
      </c>
      <c r="U14" s="14">
        <f t="shared" si="3"/>
        <v>320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24</v>
      </c>
      <c r="E15" s="13">
        <f t="shared" ref="E15:I15" si="4">E14/20</f>
        <v>22</v>
      </c>
      <c r="F15" s="13">
        <f t="shared" si="4"/>
        <v>0</v>
      </c>
      <c r="G15" s="13">
        <f t="shared" si="4"/>
        <v>48</v>
      </c>
      <c r="H15" s="13">
        <f t="shared" si="4"/>
        <v>46</v>
      </c>
      <c r="I15" s="13">
        <f t="shared" si="4"/>
        <v>46</v>
      </c>
      <c r="L15" s="13"/>
      <c r="M15" s="10" t="s">
        <v>22</v>
      </c>
      <c r="N15" s="13"/>
      <c r="O15" s="13">
        <f>O14/20</f>
        <v>12</v>
      </c>
      <c r="P15" s="13">
        <f t="shared" ref="P15" si="5">P14/20</f>
        <v>12</v>
      </c>
      <c r="Q15" s="13"/>
      <c r="R15" s="13">
        <f t="shared" ref="R15:T15" si="6">R14/20</f>
        <v>18</v>
      </c>
      <c r="S15" s="13">
        <f t="shared" si="6"/>
        <v>22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280</v>
      </c>
      <c r="D16" s="36">
        <f t="shared" ref="D16:I16" si="7">D15+D14</f>
        <v>504</v>
      </c>
      <c r="E16" s="36">
        <f t="shared" si="7"/>
        <v>462</v>
      </c>
      <c r="F16" s="36">
        <f t="shared" si="7"/>
        <v>0</v>
      </c>
      <c r="G16" s="36">
        <f t="shared" si="7"/>
        <v>1008</v>
      </c>
      <c r="H16" s="36">
        <f t="shared" si="7"/>
        <v>966</v>
      </c>
      <c r="I16" s="36">
        <f t="shared" si="7"/>
        <v>966</v>
      </c>
      <c r="L16" s="13"/>
      <c r="M16" s="10" t="s">
        <v>21</v>
      </c>
      <c r="N16" s="36">
        <f>N15+N14</f>
        <v>200</v>
      </c>
      <c r="O16" s="36">
        <f t="shared" ref="O16:P16" si="8">O15+O14</f>
        <v>252</v>
      </c>
      <c r="P16" s="36">
        <f t="shared" si="8"/>
        <v>252</v>
      </c>
      <c r="Q16" s="36"/>
      <c r="R16" s="36">
        <f t="shared" ref="R16:T16" si="9">R15+R14</f>
        <v>378</v>
      </c>
      <c r="S16" s="36">
        <f t="shared" si="9"/>
        <v>462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7</v>
      </c>
      <c r="D17" s="36">
        <f t="shared" ref="D17:I17" si="10">D14/40</f>
        <v>12</v>
      </c>
      <c r="E17" s="36">
        <f t="shared" si="10"/>
        <v>11</v>
      </c>
      <c r="F17" s="36">
        <f t="shared" si="10"/>
        <v>0</v>
      </c>
      <c r="G17" s="36">
        <f t="shared" si="10"/>
        <v>24</v>
      </c>
      <c r="H17" s="36">
        <f t="shared" si="10"/>
        <v>23</v>
      </c>
      <c r="I17" s="36">
        <f t="shared" si="10"/>
        <v>23</v>
      </c>
      <c r="J17" s="35">
        <f>SUM(C17:I17)</f>
        <v>100</v>
      </c>
      <c r="L17" s="13"/>
      <c r="M17" s="39" t="s">
        <v>23</v>
      </c>
      <c r="N17" s="36">
        <f>N14/40</f>
        <v>5</v>
      </c>
      <c r="O17" s="36">
        <f t="shared" ref="O17:P17" si="11">O14/40</f>
        <v>6</v>
      </c>
      <c r="P17" s="36">
        <f t="shared" si="11"/>
        <v>6</v>
      </c>
      <c r="Q17" s="36"/>
      <c r="R17" s="36">
        <f t="shared" ref="R17:T17" si="12">R14/40</f>
        <v>9</v>
      </c>
      <c r="S17" s="36">
        <f t="shared" si="12"/>
        <v>11</v>
      </c>
      <c r="T17" s="36">
        <f t="shared" si="12"/>
        <v>0</v>
      </c>
      <c r="U17" s="36"/>
      <c r="V17" s="35">
        <f>SUM(N17:T17)</f>
        <v>37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W19"/>
  <sheetViews>
    <sheetView zoomScaleNormal="100" workbookViewId="0">
      <selection activeCell="K12" sqref="K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1">SUM(R9:T9)/20</f>
        <v>0</v>
      </c>
      <c r="V9">
        <f>SUM(N9:P9,R9,S9,T9)/40</f>
        <v>0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>SUM(C10:F10,G10,H10,I10)/40</f>
        <v>0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1"/>
        <v>0</v>
      </c>
      <c r="V10">
        <f>SUM(N10:P10,R10,S10,T10)/40</f>
        <v>0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>SUM(C11:F11,G11,H11,I11)/40</f>
        <v>0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1"/>
        <v>0</v>
      </c>
      <c r="V11">
        <f>SUM(N11:P11,R11,S11,T11)/40</f>
        <v>0</v>
      </c>
    </row>
    <row r="12" spans="1:23" x14ac:dyDescent="0.35">
      <c r="A12" s="11"/>
      <c r="B12" s="11" t="s">
        <v>32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K12" s="44"/>
      <c r="L12" s="11"/>
      <c r="M12" s="10" t="str">
        <f>B12</f>
        <v xml:space="preserve">Shakoor 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1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1"/>
        <v>0</v>
      </c>
    </row>
    <row r="14" spans="1:23" x14ac:dyDescent="0.35">
      <c r="A14" s="13"/>
      <c r="B14" s="10"/>
      <c r="C14" s="14">
        <f t="shared" ref="C14:I14" si="2">SUM(C8:C13)</f>
        <v>0</v>
      </c>
      <c r="D14" s="14">
        <f t="shared" si="2"/>
        <v>0</v>
      </c>
      <c r="E14" s="14">
        <f t="shared" si="2"/>
        <v>0</v>
      </c>
      <c r="F14" s="14">
        <f t="shared" si="2"/>
        <v>0</v>
      </c>
      <c r="G14" s="14">
        <f t="shared" si="2"/>
        <v>0</v>
      </c>
      <c r="H14" s="14">
        <f t="shared" si="2"/>
        <v>0</v>
      </c>
      <c r="I14" s="14">
        <f t="shared" si="2"/>
        <v>0</v>
      </c>
      <c r="J14" s="35">
        <f>C14+D14+E14+F14+G14+H14+I14</f>
        <v>0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</v>
      </c>
      <c r="E15" s="13">
        <f t="shared" ref="E15:I15" si="4">E14/20</f>
        <v>0</v>
      </c>
      <c r="F15" s="13">
        <f t="shared" si="4"/>
        <v>0</v>
      </c>
      <c r="G15" s="13">
        <f t="shared" si="4"/>
        <v>0</v>
      </c>
      <c r="H15" s="13">
        <f t="shared" si="4"/>
        <v>0</v>
      </c>
      <c r="I15" s="13">
        <f t="shared" si="4"/>
        <v>0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0</v>
      </c>
      <c r="D16" s="36">
        <f t="shared" ref="D16:I16" si="7">D15+D14</f>
        <v>0</v>
      </c>
      <c r="E16" s="36">
        <f t="shared" si="7"/>
        <v>0</v>
      </c>
      <c r="F16" s="36">
        <f t="shared" si="7"/>
        <v>0</v>
      </c>
      <c r="G16" s="36">
        <f t="shared" si="7"/>
        <v>0</v>
      </c>
      <c r="H16" s="36">
        <f t="shared" si="7"/>
        <v>0</v>
      </c>
      <c r="I16" s="36">
        <f t="shared" si="7"/>
        <v>0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0</v>
      </c>
      <c r="D17" s="36">
        <f t="shared" ref="D17:I17" si="10">D14/40</f>
        <v>0</v>
      </c>
      <c r="E17" s="36">
        <f t="shared" si="10"/>
        <v>0</v>
      </c>
      <c r="F17" s="36">
        <f t="shared" si="10"/>
        <v>0</v>
      </c>
      <c r="G17" s="36">
        <f t="shared" si="10"/>
        <v>0</v>
      </c>
      <c r="H17" s="36">
        <f t="shared" si="10"/>
        <v>0</v>
      </c>
      <c r="I17" s="36">
        <f t="shared" si="10"/>
        <v>0</v>
      </c>
      <c r="J17" s="35">
        <f>SUM(C17:I17)</f>
        <v>0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V19"/>
  <sheetViews>
    <sheetView zoomScaleNormal="100" workbookViewId="0">
      <selection activeCell="W1" sqref="W1:W104857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7.1796875" customWidth="1"/>
    <col min="17" max="17" width="5.81640625" bestFit="1" customWidth="1"/>
    <col min="18" max="18" width="4.81640625" customWidth="1"/>
    <col min="19" max="19" width="3.08984375" bestFit="1" customWidth="1"/>
    <col min="20" max="20" width="4.1796875" customWidth="1"/>
  </cols>
  <sheetData>
    <row r="1" spans="1:22" ht="15" thickBot="1" x14ac:dyDescent="0.4">
      <c r="A1" s="1"/>
      <c r="B1" s="1"/>
      <c r="C1" s="1"/>
      <c r="D1" s="1"/>
      <c r="E1" s="1"/>
      <c r="F1" s="46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ht="14.5" customHeight="1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</row>
    <row r="3" spans="1:22" ht="14.5" customHeight="1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</row>
    <row r="4" spans="1:22" ht="14.5" customHeight="1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</row>
    <row r="5" spans="1:22" ht="15" customHeight="1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</row>
    <row r="6" spans="1:22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K8" s="44"/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>
        <f>SUM(N8:P8,R8,S8,T8)/40</f>
        <v>0</v>
      </c>
    </row>
    <row r="9" spans="1:22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/>
      <c r="G9" s="12">
        <v>154</v>
      </c>
      <c r="H9" s="12">
        <v>104</v>
      </c>
      <c r="I9" s="12">
        <v>106</v>
      </c>
      <c r="J9">
        <f>SUM(C9:I9)/40</f>
        <v>16.5</v>
      </c>
      <c r="K9" s="44">
        <v>11</v>
      </c>
      <c r="L9" s="27"/>
      <c r="M9" s="10" t="str">
        <f>B9</f>
        <v>Salman</v>
      </c>
      <c r="N9" s="12">
        <v>124</v>
      </c>
      <c r="O9" s="12">
        <v>64</v>
      </c>
      <c r="P9" s="12">
        <v>24</v>
      </c>
      <c r="Q9" s="28">
        <v>0</v>
      </c>
      <c r="R9" s="12">
        <v>82</v>
      </c>
      <c r="S9" s="12">
        <v>72</v>
      </c>
      <c r="T9" s="12">
        <v>42</v>
      </c>
      <c r="U9">
        <f>SUM(N9:P9,R9,S9,T9)/40</f>
        <v>10.199999999999999</v>
      </c>
      <c r="V9" s="44">
        <v>7</v>
      </c>
    </row>
    <row r="10" spans="1:22" x14ac:dyDescent="0.35">
      <c r="A10" s="27"/>
      <c r="B10" s="10" t="s">
        <v>37</v>
      </c>
      <c r="C10" s="12">
        <v>240</v>
      </c>
      <c r="D10" s="12">
        <v>60</v>
      </c>
      <c r="E10" s="12">
        <v>60</v>
      </c>
      <c r="F10" s="12">
        <v>0</v>
      </c>
      <c r="G10" s="12">
        <v>50</v>
      </c>
      <c r="H10" s="12">
        <v>60</v>
      </c>
      <c r="I10" s="12">
        <v>90</v>
      </c>
      <c r="J10">
        <f t="shared" ref="J10:J12" si="0">SUM(C10:I10)/40</f>
        <v>14</v>
      </c>
      <c r="K10" s="44">
        <v>9</v>
      </c>
      <c r="L10" s="27"/>
      <c r="M10" s="10" t="str">
        <f>B10</f>
        <v>Zesahn</v>
      </c>
      <c r="N10" s="12">
        <v>160</v>
      </c>
      <c r="O10" s="12">
        <v>60</v>
      </c>
      <c r="P10" s="12">
        <v>60</v>
      </c>
      <c r="Q10" s="28">
        <v>0</v>
      </c>
      <c r="R10" s="12">
        <v>50</v>
      </c>
      <c r="S10" s="12">
        <v>60</v>
      </c>
      <c r="T10" s="12">
        <v>90</v>
      </c>
      <c r="U10">
        <f>SUM(N10:P10,R10,S10,T10)/40</f>
        <v>12</v>
      </c>
      <c r="V10" s="44">
        <v>8</v>
      </c>
    </row>
    <row r="11" spans="1:22" x14ac:dyDescent="0.35">
      <c r="A11" s="11"/>
      <c r="B11" s="11" t="s">
        <v>31</v>
      </c>
      <c r="C11" s="12">
        <v>160</v>
      </c>
      <c r="D11" s="12">
        <v>12</v>
      </c>
      <c r="E11" s="12">
        <v>12</v>
      </c>
      <c r="F11" s="12">
        <v>0</v>
      </c>
      <c r="G11" s="12">
        <v>106</v>
      </c>
      <c r="H11" s="12">
        <v>96</v>
      </c>
      <c r="I11" s="12">
        <v>96</v>
      </c>
      <c r="J11">
        <f t="shared" si="0"/>
        <v>12.05</v>
      </c>
      <c r="K11" s="41">
        <v>6</v>
      </c>
      <c r="L11" s="11"/>
      <c r="M11" s="10" t="str">
        <f>B11</f>
        <v>Umair</v>
      </c>
      <c r="N11" s="12">
        <f>80+40</f>
        <v>120</v>
      </c>
      <c r="O11" s="12">
        <v>12</v>
      </c>
      <c r="P11" s="12">
        <v>12</v>
      </c>
      <c r="Q11" s="28">
        <v>0</v>
      </c>
      <c r="R11" s="12">
        <v>91</v>
      </c>
      <c r="S11" s="12">
        <v>86</v>
      </c>
      <c r="T11" s="12">
        <f>81+40</f>
        <v>121</v>
      </c>
      <c r="U11">
        <f>SUM(N11:P11,R11,S11,T11)/40</f>
        <v>11.05</v>
      </c>
      <c r="V11" s="44">
        <v>5</v>
      </c>
    </row>
    <row r="12" spans="1:22" x14ac:dyDescent="0.35">
      <c r="A12" s="11"/>
      <c r="B12" s="11" t="s">
        <v>32</v>
      </c>
      <c r="C12" s="12">
        <v>360</v>
      </c>
      <c r="D12" s="12">
        <v>360</v>
      </c>
      <c r="E12" s="12">
        <v>0</v>
      </c>
      <c r="F12" s="12">
        <v>320</v>
      </c>
      <c r="G12" s="12">
        <v>400</v>
      </c>
      <c r="H12" s="12">
        <v>320</v>
      </c>
      <c r="I12" s="12"/>
      <c r="J12">
        <f t="shared" si="0"/>
        <v>44</v>
      </c>
      <c r="K12" s="41">
        <v>7</v>
      </c>
      <c r="L12" s="11"/>
      <c r="M12" s="10" t="str">
        <f>B12</f>
        <v xml:space="preserve">Shakoor </v>
      </c>
      <c r="N12" s="12"/>
      <c r="O12" s="12">
        <v>120</v>
      </c>
      <c r="P12" s="12">
        <v>40</v>
      </c>
      <c r="Q12" s="28"/>
      <c r="R12" s="12">
        <v>77</v>
      </c>
      <c r="S12" s="12">
        <v>80</v>
      </c>
      <c r="T12" s="12">
        <v>159</v>
      </c>
      <c r="U12">
        <f>SUM(N12:P12,R12,S12,T12)/40</f>
        <v>11.9</v>
      </c>
      <c r="V12" s="41">
        <v>3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</row>
    <row r="14" spans="1:22" x14ac:dyDescent="0.35">
      <c r="A14" s="13"/>
      <c r="B14" s="10"/>
      <c r="C14" s="14">
        <f t="shared" ref="C14:I14" si="1">SUM(C8:C13)</f>
        <v>968</v>
      </c>
      <c r="D14" s="14">
        <f t="shared" si="1"/>
        <v>496</v>
      </c>
      <c r="E14" s="14">
        <f t="shared" si="1"/>
        <v>96</v>
      </c>
      <c r="F14" s="14">
        <f t="shared" si="1"/>
        <v>320</v>
      </c>
      <c r="G14" s="14">
        <f t="shared" si="1"/>
        <v>710</v>
      </c>
      <c r="H14" s="14">
        <f t="shared" si="1"/>
        <v>580</v>
      </c>
      <c r="I14" s="14">
        <f t="shared" si="1"/>
        <v>292</v>
      </c>
      <c r="J14" s="35">
        <f>C14+D14+E14+F14+G14+H14+I14</f>
        <v>3462</v>
      </c>
      <c r="L14" s="13"/>
      <c r="M14" s="10"/>
      <c r="N14" s="14">
        <f t="shared" ref="N14:T14" si="2">SUM(N8:N13)</f>
        <v>404</v>
      </c>
      <c r="O14" s="14">
        <f t="shared" si="2"/>
        <v>256</v>
      </c>
      <c r="P14" s="14">
        <f t="shared" si="2"/>
        <v>136</v>
      </c>
      <c r="Q14" s="14">
        <f t="shared" si="2"/>
        <v>0</v>
      </c>
      <c r="R14" s="14">
        <f t="shared" si="2"/>
        <v>300</v>
      </c>
      <c r="S14" s="14">
        <f t="shared" si="2"/>
        <v>298</v>
      </c>
      <c r="T14" s="14">
        <f t="shared" si="2"/>
        <v>412</v>
      </c>
      <c r="U14" s="35" t="e">
        <f>N14+O14+P14+#REF!+R14+S14+T14</f>
        <v>#REF!</v>
      </c>
      <c r="V14" s="35" t="e">
        <f>O14+P14+#REF!+Q14+S14+T14+#REF!</f>
        <v>#REF!</v>
      </c>
    </row>
    <row r="15" spans="1:22" x14ac:dyDescent="0.35">
      <c r="A15" s="13"/>
      <c r="B15" s="10" t="s">
        <v>22</v>
      </c>
      <c r="C15" s="13"/>
      <c r="D15" s="13">
        <f>D14/20</f>
        <v>24.8</v>
      </c>
      <c r="E15" s="13">
        <f t="shared" ref="E15:I15" si="3">E14/20</f>
        <v>4.8</v>
      </c>
      <c r="F15" s="13">
        <f t="shared" si="3"/>
        <v>16</v>
      </c>
      <c r="G15" s="13">
        <f t="shared" si="3"/>
        <v>35.5</v>
      </c>
      <c r="H15" s="13">
        <f t="shared" si="3"/>
        <v>29</v>
      </c>
      <c r="I15" s="13">
        <f t="shared" si="3"/>
        <v>14.6</v>
      </c>
      <c r="L15" s="13"/>
      <c r="M15" s="10" t="s">
        <v>22</v>
      </c>
      <c r="N15" s="13"/>
      <c r="O15" s="13">
        <f>O14/20</f>
        <v>12.8</v>
      </c>
      <c r="P15" s="13">
        <f t="shared" ref="P15" si="4">P14/20</f>
        <v>6.8</v>
      </c>
      <c r="Q15" s="13"/>
      <c r="R15" s="13">
        <f t="shared" ref="R15:T15" si="5">R14/20</f>
        <v>15</v>
      </c>
      <c r="S15" s="13">
        <f t="shared" si="5"/>
        <v>14.9</v>
      </c>
      <c r="T15" s="13">
        <f t="shared" si="5"/>
        <v>20.6</v>
      </c>
    </row>
    <row r="16" spans="1:22" x14ac:dyDescent="0.35">
      <c r="A16" s="13"/>
      <c r="B16" s="10" t="s">
        <v>21</v>
      </c>
      <c r="C16" s="36">
        <f>C15+C14</f>
        <v>968</v>
      </c>
      <c r="D16" s="36">
        <f t="shared" ref="D16:I16" si="6">D15+D14</f>
        <v>520.79999999999995</v>
      </c>
      <c r="E16" s="36">
        <f t="shared" si="6"/>
        <v>100.8</v>
      </c>
      <c r="F16" s="36">
        <f t="shared" si="6"/>
        <v>336</v>
      </c>
      <c r="G16" s="36">
        <f t="shared" si="6"/>
        <v>745.5</v>
      </c>
      <c r="H16" s="36">
        <f t="shared" si="6"/>
        <v>609</v>
      </c>
      <c r="I16" s="36">
        <f t="shared" si="6"/>
        <v>306.60000000000002</v>
      </c>
      <c r="L16" s="13"/>
      <c r="M16" s="10" t="s">
        <v>21</v>
      </c>
      <c r="N16" s="36">
        <f>N15+N14</f>
        <v>404</v>
      </c>
      <c r="O16" s="36">
        <f t="shared" ref="O16:P16" si="7">O15+O14</f>
        <v>268.8</v>
      </c>
      <c r="P16" s="36">
        <f t="shared" si="7"/>
        <v>142.80000000000001</v>
      </c>
      <c r="Q16" s="36"/>
      <c r="R16" s="36">
        <f t="shared" ref="R16:T16" si="8">R15+R14</f>
        <v>315</v>
      </c>
      <c r="S16" s="36">
        <f t="shared" si="8"/>
        <v>312.89999999999998</v>
      </c>
      <c r="T16" s="36">
        <f t="shared" si="8"/>
        <v>432.6</v>
      </c>
    </row>
    <row r="17" spans="1:22" x14ac:dyDescent="0.35">
      <c r="A17" s="13"/>
      <c r="B17" s="39" t="s">
        <v>23</v>
      </c>
      <c r="C17" s="36">
        <f>C14/40</f>
        <v>24.2</v>
      </c>
      <c r="D17" s="36">
        <f t="shared" ref="D17:I17" si="9">D14/40</f>
        <v>12.4</v>
      </c>
      <c r="E17" s="36">
        <f t="shared" si="9"/>
        <v>2.4</v>
      </c>
      <c r="F17" s="36">
        <f t="shared" si="9"/>
        <v>8</v>
      </c>
      <c r="G17" s="36">
        <f t="shared" si="9"/>
        <v>17.75</v>
      </c>
      <c r="H17" s="36">
        <f t="shared" si="9"/>
        <v>14.5</v>
      </c>
      <c r="I17" s="36">
        <f t="shared" si="9"/>
        <v>7.3</v>
      </c>
      <c r="J17" s="35">
        <f>SUM(C17:I17)</f>
        <v>86.55</v>
      </c>
      <c r="L17" s="13"/>
      <c r="M17" s="39" t="s">
        <v>23</v>
      </c>
      <c r="N17" s="36">
        <f>N14/40</f>
        <v>10.1</v>
      </c>
      <c r="O17" s="36">
        <f t="shared" ref="O17:P17" si="10">O14/40</f>
        <v>6.4</v>
      </c>
      <c r="P17" s="36">
        <f t="shared" si="10"/>
        <v>3.4</v>
      </c>
      <c r="Q17" s="36"/>
      <c r="R17" s="36">
        <f t="shared" ref="R17:T17" si="11">R14/40</f>
        <v>7.5</v>
      </c>
      <c r="S17" s="36">
        <f t="shared" si="11"/>
        <v>7.45</v>
      </c>
      <c r="T17" s="36">
        <f t="shared" si="11"/>
        <v>10.3</v>
      </c>
      <c r="U17" s="35">
        <f>SUM(N17:T17)</f>
        <v>45.150000000000006</v>
      </c>
      <c r="V17" s="35">
        <f>SUM(O17:T17)</f>
        <v>35.049999999999997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V19"/>
  <sheetViews>
    <sheetView zoomScaleNormal="100" workbookViewId="0">
      <selection activeCell="N12" sqref="N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.26953125" bestFit="1" customWidth="1"/>
    <col min="15" max="16" width="5" bestFit="1" customWidth="1"/>
    <col min="20" max="20" width="7.7265625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</row>
    <row r="3" spans="1:22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</row>
    <row r="4" spans="1:22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</row>
    <row r="5" spans="1:22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</row>
    <row r="6" spans="1:22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47">
        <f>SUM(C8:F8,G8,H8,I8)/40</f>
        <v>0</v>
      </c>
      <c r="K8" s="47"/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 s="47">
        <f>SUM(N8:T8)/40</f>
        <v>0</v>
      </c>
    </row>
    <row r="9" spans="1:22" x14ac:dyDescent="0.35">
      <c r="A9" s="27"/>
      <c r="B9" s="10" t="s">
        <v>14</v>
      </c>
      <c r="C9" s="12">
        <v>92</v>
      </c>
      <c r="D9" s="12">
        <v>52</v>
      </c>
      <c r="E9" s="12">
        <v>12</v>
      </c>
      <c r="F9" s="12">
        <v>0</v>
      </c>
      <c r="G9" s="12">
        <v>62</v>
      </c>
      <c r="H9" s="12">
        <v>16</v>
      </c>
      <c r="I9" s="12">
        <v>60</v>
      </c>
      <c r="J9" s="47">
        <f>SUM(C9:F9,G9,H9,I9)/40</f>
        <v>7.35</v>
      </c>
      <c r="K9" s="47">
        <v>3</v>
      </c>
      <c r="L9" s="27"/>
      <c r="M9" s="10" t="str">
        <f>B9</f>
        <v>Salman</v>
      </c>
      <c r="N9" s="12">
        <v>112</v>
      </c>
      <c r="O9" s="12">
        <v>72</v>
      </c>
      <c r="P9" s="12">
        <v>12</v>
      </c>
      <c r="Q9" s="28"/>
      <c r="R9" s="12">
        <v>82</v>
      </c>
      <c r="S9" s="12">
        <v>26</v>
      </c>
      <c r="T9" s="12">
        <v>70</v>
      </c>
      <c r="U9" s="47">
        <f t="shared" ref="U9:U12" si="0">SUM(N9:T9)/40</f>
        <v>9.35</v>
      </c>
      <c r="V9" s="44">
        <v>4</v>
      </c>
    </row>
    <row r="10" spans="1:22" x14ac:dyDescent="0.35">
      <c r="A10" s="27"/>
      <c r="B10" s="10" t="s">
        <v>37</v>
      </c>
      <c r="C10" s="12">
        <v>80</v>
      </c>
      <c r="D10" s="12">
        <v>50</v>
      </c>
      <c r="E10" s="12">
        <v>40</v>
      </c>
      <c r="F10" s="12">
        <v>0</v>
      </c>
      <c r="G10" s="12">
        <v>95</v>
      </c>
      <c r="H10" s="12">
        <v>125</v>
      </c>
      <c r="I10" s="12">
        <v>105</v>
      </c>
      <c r="J10" s="47">
        <f>SUM(C10:F10,G10,H10,I10)/40</f>
        <v>12.375</v>
      </c>
      <c r="K10" s="47">
        <v>6</v>
      </c>
      <c r="L10" s="27"/>
      <c r="M10" s="10" t="str">
        <f>B10</f>
        <v>Zesahn</v>
      </c>
      <c r="N10" s="12">
        <v>80</v>
      </c>
      <c r="O10" s="12">
        <v>50</v>
      </c>
      <c r="P10" s="12">
        <v>40</v>
      </c>
      <c r="Q10" s="28"/>
      <c r="R10" s="12">
        <v>95</v>
      </c>
      <c r="S10" s="12">
        <v>125</v>
      </c>
      <c r="T10" s="12">
        <v>105</v>
      </c>
      <c r="U10" s="47">
        <f t="shared" si="0"/>
        <v>12.375</v>
      </c>
      <c r="V10" s="44">
        <v>6</v>
      </c>
    </row>
    <row r="11" spans="1:22" x14ac:dyDescent="0.35">
      <c r="A11" s="11"/>
      <c r="B11" s="11" t="s">
        <v>31</v>
      </c>
      <c r="C11" s="12">
        <v>124</v>
      </c>
      <c r="D11" s="12">
        <v>40</v>
      </c>
      <c r="E11" s="12">
        <v>80</v>
      </c>
      <c r="F11" s="12">
        <v>0</v>
      </c>
      <c r="G11" s="12">
        <v>92</v>
      </c>
      <c r="H11" s="12">
        <v>92</v>
      </c>
      <c r="I11" s="12">
        <v>100</v>
      </c>
      <c r="J11" s="47">
        <f>SUM(C11:F11,G11,H11,I11)/40</f>
        <v>13.2</v>
      </c>
      <c r="K11" s="47">
        <v>5</v>
      </c>
      <c r="L11" s="11"/>
      <c r="M11" s="10" t="str">
        <f>B11</f>
        <v>Umair</v>
      </c>
      <c r="N11" s="12">
        <v>112</v>
      </c>
      <c r="O11" s="12">
        <v>40</v>
      </c>
      <c r="P11" s="12">
        <v>80</v>
      </c>
      <c r="Q11" s="28"/>
      <c r="R11" s="12">
        <v>92</v>
      </c>
      <c r="S11" s="12">
        <v>92</v>
      </c>
      <c r="T11" s="12">
        <v>100</v>
      </c>
      <c r="U11" s="47">
        <f t="shared" si="0"/>
        <v>12.9</v>
      </c>
      <c r="V11" s="44">
        <v>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7">
        <f>SUM(C12:F12,G12,H12,I12)/40</f>
        <v>0</v>
      </c>
      <c r="K12" s="47"/>
      <c r="L12" s="11"/>
      <c r="M12" s="10" t="s">
        <v>32</v>
      </c>
      <c r="N12" s="12"/>
      <c r="O12" s="12">
        <v>320</v>
      </c>
      <c r="P12" s="12">
        <v>320</v>
      </c>
      <c r="Q12" s="28"/>
      <c r="R12" s="12">
        <v>480</v>
      </c>
      <c r="S12" s="12">
        <v>560</v>
      </c>
      <c r="T12" s="12">
        <v>480</v>
      </c>
      <c r="U12" s="47">
        <f t="shared" si="0"/>
        <v>54</v>
      </c>
      <c r="V12" s="41">
        <v>4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</row>
    <row r="14" spans="1:22" x14ac:dyDescent="0.35">
      <c r="A14" s="13"/>
      <c r="B14" s="10"/>
      <c r="C14" s="14">
        <f t="shared" ref="C14:I14" si="1">SUM(C8:C13)</f>
        <v>296</v>
      </c>
      <c r="D14" s="14">
        <f t="shared" si="1"/>
        <v>142</v>
      </c>
      <c r="E14" s="14">
        <f t="shared" si="1"/>
        <v>132</v>
      </c>
      <c r="F14" s="14">
        <f t="shared" si="1"/>
        <v>0</v>
      </c>
      <c r="G14" s="14">
        <f t="shared" si="1"/>
        <v>249</v>
      </c>
      <c r="H14" s="14">
        <f t="shared" si="1"/>
        <v>233</v>
      </c>
      <c r="I14" s="14">
        <f t="shared" si="1"/>
        <v>265</v>
      </c>
      <c r="J14" s="35">
        <f>C14+D14+E14+F14+G14+H14+I14</f>
        <v>1317</v>
      </c>
      <c r="L14" s="13"/>
      <c r="M14" s="10"/>
      <c r="N14" s="14">
        <f t="shared" ref="N14:T14" si="2">SUM(N8:N13)</f>
        <v>304</v>
      </c>
      <c r="O14" s="14">
        <f t="shared" si="2"/>
        <v>482</v>
      </c>
      <c r="P14" s="14">
        <f t="shared" si="2"/>
        <v>452</v>
      </c>
      <c r="Q14" s="14">
        <f t="shared" si="2"/>
        <v>0</v>
      </c>
      <c r="R14" s="14">
        <f t="shared" si="2"/>
        <v>749</v>
      </c>
      <c r="S14" s="14">
        <f t="shared" si="2"/>
        <v>803</v>
      </c>
      <c r="T14" s="14">
        <f t="shared" si="2"/>
        <v>755</v>
      </c>
      <c r="U14" s="35" t="e">
        <f>N14+O14+P14+#REF!+R14+S14+T14</f>
        <v>#REF!</v>
      </c>
    </row>
    <row r="15" spans="1:22" x14ac:dyDescent="0.35">
      <c r="A15" s="13"/>
      <c r="B15" s="10" t="s">
        <v>22</v>
      </c>
      <c r="C15" s="13"/>
      <c r="D15" s="13">
        <f>D14/20</f>
        <v>7.1</v>
      </c>
      <c r="E15" s="13">
        <f t="shared" ref="E15:I15" si="3">E14/20</f>
        <v>6.6</v>
      </c>
      <c r="F15" s="13">
        <f t="shared" si="3"/>
        <v>0</v>
      </c>
      <c r="G15" s="13">
        <f t="shared" si="3"/>
        <v>12.45</v>
      </c>
      <c r="H15" s="13">
        <f t="shared" si="3"/>
        <v>11.65</v>
      </c>
      <c r="I15" s="13">
        <f t="shared" si="3"/>
        <v>13.25</v>
      </c>
      <c r="L15" s="13"/>
      <c r="M15" s="10" t="s">
        <v>22</v>
      </c>
      <c r="N15" s="13"/>
      <c r="O15" s="13">
        <f>O14/20</f>
        <v>24.1</v>
      </c>
      <c r="P15" s="13">
        <f t="shared" ref="P15" si="4">P14/20</f>
        <v>22.6</v>
      </c>
      <c r="Q15" s="13"/>
      <c r="R15" s="13">
        <f t="shared" ref="R15:T15" si="5">R14/20</f>
        <v>37.450000000000003</v>
      </c>
      <c r="S15" s="13">
        <f t="shared" si="5"/>
        <v>40.15</v>
      </c>
      <c r="T15" s="13">
        <f t="shared" si="5"/>
        <v>37.75</v>
      </c>
    </row>
    <row r="16" spans="1:22" x14ac:dyDescent="0.35">
      <c r="A16" s="13"/>
      <c r="B16" s="10" t="s">
        <v>21</v>
      </c>
      <c r="C16" s="36">
        <f>C15+C14</f>
        <v>296</v>
      </c>
      <c r="D16" s="36">
        <f t="shared" ref="D16:I16" si="6">D15+D14</f>
        <v>149.1</v>
      </c>
      <c r="E16" s="36">
        <f t="shared" si="6"/>
        <v>138.6</v>
      </c>
      <c r="F16" s="36">
        <f t="shared" si="6"/>
        <v>0</v>
      </c>
      <c r="G16" s="36">
        <f t="shared" si="6"/>
        <v>261.45</v>
      </c>
      <c r="H16" s="36">
        <f t="shared" si="6"/>
        <v>244.65</v>
      </c>
      <c r="I16" s="36">
        <f t="shared" si="6"/>
        <v>278.25</v>
      </c>
      <c r="L16" s="13"/>
      <c r="M16" s="10" t="s">
        <v>21</v>
      </c>
      <c r="N16" s="36">
        <f>N15+N14</f>
        <v>304</v>
      </c>
      <c r="O16" s="36">
        <f t="shared" ref="O16:P16" si="7">O15+O14</f>
        <v>506.1</v>
      </c>
      <c r="P16" s="36">
        <f t="shared" si="7"/>
        <v>474.6</v>
      </c>
      <c r="Q16" s="36"/>
      <c r="R16" s="36">
        <f t="shared" ref="R16:T16" si="8">R15+R14</f>
        <v>786.45</v>
      </c>
      <c r="S16" s="36">
        <f t="shared" si="8"/>
        <v>843.15</v>
      </c>
      <c r="T16" s="36">
        <f t="shared" si="8"/>
        <v>792.75</v>
      </c>
    </row>
    <row r="17" spans="1:21" x14ac:dyDescent="0.35">
      <c r="A17" s="13"/>
      <c r="B17" s="39" t="s">
        <v>23</v>
      </c>
      <c r="C17" s="36">
        <f>C14/40</f>
        <v>7.4</v>
      </c>
      <c r="D17" s="36">
        <f t="shared" ref="D17:I17" si="9">D14/40</f>
        <v>3.55</v>
      </c>
      <c r="E17" s="36">
        <f t="shared" si="9"/>
        <v>3.3</v>
      </c>
      <c r="F17" s="36">
        <f t="shared" si="9"/>
        <v>0</v>
      </c>
      <c r="G17" s="36">
        <f t="shared" si="9"/>
        <v>6.2249999999999996</v>
      </c>
      <c r="H17" s="36">
        <f t="shared" si="9"/>
        <v>5.8250000000000002</v>
      </c>
      <c r="I17" s="36">
        <f t="shared" si="9"/>
        <v>6.625</v>
      </c>
      <c r="J17" s="35">
        <f>SUM(C17:I17)</f>
        <v>32.924999999999997</v>
      </c>
      <c r="L17" s="13"/>
      <c r="M17" s="39" t="s">
        <v>23</v>
      </c>
      <c r="N17" s="36">
        <f>N14/40</f>
        <v>7.6</v>
      </c>
      <c r="O17" s="36">
        <f t="shared" ref="O17:P17" si="10">O14/40</f>
        <v>12.05</v>
      </c>
      <c r="P17" s="36">
        <f t="shared" si="10"/>
        <v>11.3</v>
      </c>
      <c r="Q17" s="36"/>
      <c r="R17" s="36">
        <f t="shared" ref="R17:T17" si="11">R14/40</f>
        <v>18.725000000000001</v>
      </c>
      <c r="S17" s="36">
        <f t="shared" si="11"/>
        <v>20.074999999999999</v>
      </c>
      <c r="T17" s="36">
        <f t="shared" si="11"/>
        <v>18.875</v>
      </c>
      <c r="U17" s="35">
        <f>SUM(N17:T17)</f>
        <v>88.625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Z21"/>
  <sheetViews>
    <sheetView topLeftCell="B1" zoomScaleNormal="100" workbookViewId="0">
      <selection activeCell="W6" sqref="W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4.26953125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</row>
    <row r="3" spans="1:26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</row>
    <row r="4" spans="1:26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</row>
    <row r="5" spans="1:26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</row>
    <row r="6" spans="1:26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>
        <v>139</v>
      </c>
      <c r="D9" s="12">
        <v>64</v>
      </c>
      <c r="E9" s="12">
        <v>12</v>
      </c>
      <c r="F9" s="12">
        <v>0</v>
      </c>
      <c r="G9" s="12">
        <v>70</v>
      </c>
      <c r="H9" s="12">
        <v>40</v>
      </c>
      <c r="I9" s="12">
        <v>66</v>
      </c>
      <c r="J9">
        <f>SUM(C9:F9,G9,H9,I9)/40</f>
        <v>9.7750000000000004</v>
      </c>
      <c r="K9" s="44">
        <v>8</v>
      </c>
      <c r="L9" s="27"/>
      <c r="M9" s="10" t="str">
        <f>B9</f>
        <v>Salman</v>
      </c>
      <c r="N9" s="12">
        <v>119</v>
      </c>
      <c r="O9" s="12">
        <v>12</v>
      </c>
      <c r="P9" s="12">
        <v>12</v>
      </c>
      <c r="Q9" s="28">
        <v>0</v>
      </c>
      <c r="R9" s="12">
        <v>58</v>
      </c>
      <c r="S9" s="12">
        <v>40</v>
      </c>
      <c r="T9" s="12">
        <v>54</v>
      </c>
      <c r="U9">
        <f t="shared" ref="U9:U12" si="0">SUM(N9:T9)/40</f>
        <v>7.375</v>
      </c>
      <c r="V9" s="44">
        <v>6</v>
      </c>
      <c r="X9" s="61">
        <v>51</v>
      </c>
      <c r="Y9">
        <v>277</v>
      </c>
    </row>
    <row r="10" spans="1:26" x14ac:dyDescent="0.35">
      <c r="A10" s="27"/>
      <c r="B10" s="10" t="s">
        <v>37</v>
      </c>
      <c r="C10" s="12">
        <v>204</v>
      </c>
      <c r="D10" s="12">
        <v>46</v>
      </c>
      <c r="E10" s="12">
        <v>46</v>
      </c>
      <c r="F10" s="12">
        <v>0</v>
      </c>
      <c r="G10" s="12">
        <v>45</v>
      </c>
      <c r="H10" s="12">
        <v>56</v>
      </c>
      <c r="I10" s="12">
        <v>51</v>
      </c>
      <c r="J10">
        <f>SUM(C10:F10,G10,H10,I10)/40</f>
        <v>11.2</v>
      </c>
      <c r="K10" s="44">
        <v>15</v>
      </c>
      <c r="L10" s="27"/>
      <c r="M10" s="10" t="str">
        <f>B10</f>
        <v>Zesahn</v>
      </c>
      <c r="N10" s="12">
        <v>60</v>
      </c>
      <c r="O10" s="12">
        <v>40</v>
      </c>
      <c r="P10" s="12">
        <v>40</v>
      </c>
      <c r="Q10" s="28">
        <v>0</v>
      </c>
      <c r="R10" s="12">
        <v>39</v>
      </c>
      <c r="S10" s="12">
        <v>50</v>
      </c>
      <c r="T10" s="12">
        <v>51</v>
      </c>
      <c r="U10">
        <f t="shared" si="0"/>
        <v>7</v>
      </c>
      <c r="V10" s="44">
        <v>9</v>
      </c>
      <c r="X10" s="61">
        <v>160</v>
      </c>
      <c r="Y10">
        <f>Y9-X13</f>
        <v>225</v>
      </c>
    </row>
    <row r="11" spans="1:26" x14ac:dyDescent="0.35">
      <c r="A11" s="11"/>
      <c r="B11" s="11" t="s">
        <v>31</v>
      </c>
      <c r="C11" s="12">
        <v>216</v>
      </c>
      <c r="D11" s="12">
        <v>46</v>
      </c>
      <c r="E11" s="12">
        <v>46</v>
      </c>
      <c r="F11" s="12">
        <v>0</v>
      </c>
      <c r="G11" s="12">
        <v>80</v>
      </c>
      <c r="H11" s="12">
        <v>80</v>
      </c>
      <c r="I11" s="12">
        <v>160</v>
      </c>
      <c r="J11">
        <f>SUM(C11:F11,G11,H11,I11)/40</f>
        <v>15.7</v>
      </c>
      <c r="K11" s="44">
        <v>5</v>
      </c>
      <c r="L11" s="11"/>
      <c r="M11" s="10" t="str">
        <f>B11</f>
        <v>Umair</v>
      </c>
      <c r="N11" s="12">
        <v>216</v>
      </c>
      <c r="O11" s="12">
        <v>46</v>
      </c>
      <c r="P11" s="12">
        <v>46</v>
      </c>
      <c r="Q11" s="28">
        <v>0</v>
      </c>
      <c r="R11" s="12">
        <v>80</v>
      </c>
      <c r="S11" s="12">
        <v>80</v>
      </c>
      <c r="T11" s="12">
        <v>160</v>
      </c>
      <c r="U11">
        <f t="shared" si="0"/>
        <v>15.7</v>
      </c>
      <c r="V11" s="44">
        <v>5</v>
      </c>
      <c r="X11" s="61">
        <v>66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>
        <f t="shared" si="0"/>
        <v>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X13" s="61">
        <v>52</v>
      </c>
    </row>
    <row r="14" spans="1:26" x14ac:dyDescent="0.35">
      <c r="A14" s="13"/>
      <c r="B14" s="10"/>
      <c r="C14" s="14">
        <f t="shared" ref="C14:I14" si="1">SUM(C8:C13)</f>
        <v>559</v>
      </c>
      <c r="D14" s="14">
        <f t="shared" si="1"/>
        <v>156</v>
      </c>
      <c r="E14" s="14">
        <f t="shared" si="1"/>
        <v>104</v>
      </c>
      <c r="F14" s="14">
        <f t="shared" si="1"/>
        <v>0</v>
      </c>
      <c r="G14" s="14">
        <f t="shared" si="1"/>
        <v>195</v>
      </c>
      <c r="H14" s="14">
        <f t="shared" si="1"/>
        <v>176</v>
      </c>
      <c r="I14" s="14">
        <f t="shared" si="1"/>
        <v>277</v>
      </c>
      <c r="J14" s="35">
        <f>C14+D14+E14+F14+G14+H14+I14</f>
        <v>1467</v>
      </c>
      <c r="L14" s="13"/>
      <c r="M14" s="10"/>
      <c r="N14" s="14">
        <f>SUM(N8:N12)</f>
        <v>395</v>
      </c>
      <c r="O14" s="14">
        <f t="shared" ref="O14:T14" si="2">SUM(O8:O12)</f>
        <v>98</v>
      </c>
      <c r="P14" s="14">
        <f t="shared" si="2"/>
        <v>98</v>
      </c>
      <c r="Q14" s="14">
        <f t="shared" si="2"/>
        <v>0</v>
      </c>
      <c r="R14" s="14">
        <f t="shared" si="2"/>
        <v>177</v>
      </c>
      <c r="S14" s="14">
        <f t="shared" si="2"/>
        <v>170</v>
      </c>
      <c r="T14" s="14">
        <f t="shared" si="2"/>
        <v>265</v>
      </c>
      <c r="U14" s="35">
        <f>SUM(N14:T14)/40</f>
        <v>30.074999999999999</v>
      </c>
    </row>
    <row r="15" spans="1:26" x14ac:dyDescent="0.35">
      <c r="A15" s="13"/>
      <c r="B15" s="10" t="s">
        <v>22</v>
      </c>
      <c r="C15" s="13"/>
      <c r="D15" s="13">
        <f>D14/20</f>
        <v>7.8</v>
      </c>
      <c r="E15" s="13">
        <f t="shared" ref="E15:I15" si="3">E14/20</f>
        <v>5.2</v>
      </c>
      <c r="F15" s="13">
        <f t="shared" si="3"/>
        <v>0</v>
      </c>
      <c r="G15" s="13">
        <f t="shared" si="3"/>
        <v>9.75</v>
      </c>
      <c r="H15" s="13">
        <f t="shared" si="3"/>
        <v>8.8000000000000007</v>
      </c>
      <c r="I15" s="13">
        <f t="shared" si="3"/>
        <v>13.85</v>
      </c>
      <c r="L15" s="13"/>
      <c r="M15" s="10" t="s">
        <v>22</v>
      </c>
      <c r="N15" s="13"/>
      <c r="O15" s="13">
        <f>O14/20</f>
        <v>4.9000000000000004</v>
      </c>
      <c r="P15" s="13">
        <f t="shared" ref="P15" si="4">P14/20</f>
        <v>4.9000000000000004</v>
      </c>
      <c r="Q15" s="13"/>
      <c r="R15" s="13">
        <f t="shared" ref="R15:T15" si="5">R14/20</f>
        <v>8.85</v>
      </c>
      <c r="S15" s="13">
        <f t="shared" si="5"/>
        <v>8.5</v>
      </c>
      <c r="T15" s="13">
        <f t="shared" si="5"/>
        <v>13.25</v>
      </c>
    </row>
    <row r="16" spans="1:26" x14ac:dyDescent="0.35">
      <c r="A16" s="13"/>
      <c r="B16" s="10" t="s">
        <v>21</v>
      </c>
      <c r="C16" s="36">
        <f>C15+C14</f>
        <v>559</v>
      </c>
      <c r="D16" s="36">
        <f t="shared" ref="D16:I16" si="6">D15+D14</f>
        <v>163.80000000000001</v>
      </c>
      <c r="E16" s="36">
        <f t="shared" si="6"/>
        <v>109.2</v>
      </c>
      <c r="F16" s="36">
        <f t="shared" si="6"/>
        <v>0</v>
      </c>
      <c r="G16" s="36">
        <f t="shared" si="6"/>
        <v>204.75</v>
      </c>
      <c r="H16" s="36">
        <f t="shared" si="6"/>
        <v>184.8</v>
      </c>
      <c r="I16" s="36">
        <f t="shared" si="6"/>
        <v>290.85000000000002</v>
      </c>
      <c r="L16" s="13"/>
      <c r="M16" s="10" t="s">
        <v>21</v>
      </c>
      <c r="N16" s="36">
        <f>N15+N14</f>
        <v>395</v>
      </c>
      <c r="O16" s="36">
        <f t="shared" ref="O16:P16" si="7">O15+O14</f>
        <v>102.9</v>
      </c>
      <c r="P16" s="36">
        <f t="shared" si="7"/>
        <v>102.9</v>
      </c>
      <c r="Q16" s="36"/>
      <c r="R16" s="36">
        <f t="shared" ref="R16:T16" si="8">R15+R14</f>
        <v>185.85</v>
      </c>
      <c r="S16" s="36">
        <f t="shared" si="8"/>
        <v>178.5</v>
      </c>
      <c r="T16" s="36">
        <f t="shared" si="8"/>
        <v>278.25</v>
      </c>
      <c r="X16">
        <v>98</v>
      </c>
      <c r="Y16">
        <v>1163</v>
      </c>
      <c r="Z16">
        <v>1203</v>
      </c>
    </row>
    <row r="17" spans="1:26" x14ac:dyDescent="0.35">
      <c r="A17" s="13"/>
      <c r="B17" s="39" t="s">
        <v>23</v>
      </c>
      <c r="C17" s="36">
        <f>C14/40</f>
        <v>13.975</v>
      </c>
      <c r="D17" s="36">
        <f t="shared" ref="D17:I17" si="9">D14/40</f>
        <v>3.9</v>
      </c>
      <c r="E17" s="36">
        <f t="shared" si="9"/>
        <v>2.6</v>
      </c>
      <c r="F17" s="36">
        <f t="shared" si="9"/>
        <v>0</v>
      </c>
      <c r="G17" s="36">
        <f t="shared" si="9"/>
        <v>4.875</v>
      </c>
      <c r="H17" s="36">
        <f t="shared" si="9"/>
        <v>4.4000000000000004</v>
      </c>
      <c r="I17" s="36">
        <f t="shared" si="9"/>
        <v>6.9249999999999998</v>
      </c>
      <c r="J17" s="35">
        <f>SUM(C17:I17)</f>
        <v>36.674999999999997</v>
      </c>
      <c r="L17" s="13"/>
      <c r="M17" s="39" t="s">
        <v>23</v>
      </c>
      <c r="N17" s="36">
        <f>N14/40</f>
        <v>9.875</v>
      </c>
      <c r="O17" s="36">
        <f t="shared" ref="O17:P17" si="10">O14/40</f>
        <v>2.4500000000000002</v>
      </c>
      <c r="P17" s="36">
        <f t="shared" si="10"/>
        <v>2.4500000000000002</v>
      </c>
      <c r="Q17" s="36"/>
      <c r="R17" s="36">
        <f t="shared" ref="R17:T17" si="11">R14/40</f>
        <v>4.4249999999999998</v>
      </c>
      <c r="S17" s="36">
        <f t="shared" si="11"/>
        <v>4.25</v>
      </c>
      <c r="T17" s="36">
        <f t="shared" si="11"/>
        <v>6.625</v>
      </c>
      <c r="U17" s="35">
        <f>SUM(N17:T17)</f>
        <v>30.074999999999999</v>
      </c>
      <c r="X17">
        <v>99</v>
      </c>
      <c r="Z17">
        <f>Z16-Y16</f>
        <v>40</v>
      </c>
    </row>
    <row r="18" spans="1:26" x14ac:dyDescent="0.35">
      <c r="C18" s="32"/>
      <c r="X18">
        <v>177</v>
      </c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v>169</v>
      </c>
    </row>
    <row r="20" spans="1:26" x14ac:dyDescent="0.35">
      <c r="X20">
        <v>225</v>
      </c>
    </row>
    <row r="21" spans="1:26" x14ac:dyDescent="0.35">
      <c r="X21">
        <v>395</v>
      </c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W19"/>
  <sheetViews>
    <sheetView zoomScaleNormal="100" workbookViewId="0">
      <selection activeCell="Y13" sqref="Y13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>
        <v>100</v>
      </c>
      <c r="D9" s="12">
        <v>80</v>
      </c>
      <c r="E9" s="12">
        <v>35</v>
      </c>
      <c r="F9" s="12">
        <v>0</v>
      </c>
      <c r="G9" s="12">
        <v>92</v>
      </c>
      <c r="H9" s="12">
        <v>67</v>
      </c>
      <c r="I9" s="12">
        <v>92</v>
      </c>
      <c r="J9">
        <f t="shared" ref="J9:J12" si="1">SUM(C9:F9,G9,H9,I9)/40</f>
        <v>11.65</v>
      </c>
      <c r="K9" s="44">
        <v>8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2">SUM(R9:T9)/20</f>
        <v>0</v>
      </c>
      <c r="V9">
        <f>SUM(N9:P9,R9,S9,T9)/40</f>
        <v>0</v>
      </c>
    </row>
    <row r="10" spans="1:23" x14ac:dyDescent="0.35">
      <c r="A10" s="27"/>
      <c r="B10" s="10" t="s">
        <v>37</v>
      </c>
      <c r="C10" s="12">
        <v>160</v>
      </c>
      <c r="D10" s="12">
        <v>50</v>
      </c>
      <c r="E10" s="12">
        <v>60</v>
      </c>
      <c r="F10" s="12">
        <v>0</v>
      </c>
      <c r="G10" s="12">
        <v>80</v>
      </c>
      <c r="H10" s="12">
        <v>65</v>
      </c>
      <c r="I10" s="12">
        <v>85</v>
      </c>
      <c r="J10">
        <f t="shared" si="1"/>
        <v>12.5</v>
      </c>
      <c r="K10" s="44">
        <v>11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2"/>
        <v>0</v>
      </c>
      <c r="V10">
        <f>SUM(N10:P10,R10,S10,T10)/40</f>
        <v>0</v>
      </c>
    </row>
    <row r="11" spans="1:23" x14ac:dyDescent="0.35">
      <c r="A11" s="11"/>
      <c r="B11" s="11" t="s">
        <v>31</v>
      </c>
      <c r="C11" s="12">
        <v>312</v>
      </c>
      <c r="D11" s="12"/>
      <c r="E11" s="12"/>
      <c r="F11" s="12"/>
      <c r="G11" s="12">
        <v>140</v>
      </c>
      <c r="H11" s="12">
        <v>60</v>
      </c>
      <c r="I11" s="12">
        <v>52</v>
      </c>
      <c r="J11">
        <f t="shared" si="1"/>
        <v>14.1</v>
      </c>
      <c r="K11" s="44">
        <v>12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2"/>
        <v>0</v>
      </c>
      <c r="V11">
        <f>SUM(N11:P11,R11,S11,T11)/40</f>
        <v>0</v>
      </c>
    </row>
    <row r="12" spans="1:23" x14ac:dyDescent="0.35">
      <c r="A12" s="11"/>
      <c r="B12" s="11" t="s">
        <v>32</v>
      </c>
      <c r="C12" s="12"/>
      <c r="D12" s="12">
        <v>2160</v>
      </c>
      <c r="E12" s="12">
        <v>2720</v>
      </c>
      <c r="F12" s="12"/>
      <c r="G12" s="12">
        <v>4360</v>
      </c>
      <c r="H12" s="12">
        <v>4640</v>
      </c>
      <c r="I12" s="12">
        <v>7040</v>
      </c>
      <c r="J12">
        <f t="shared" si="1"/>
        <v>523</v>
      </c>
      <c r="K12" s="41">
        <v>6</v>
      </c>
      <c r="L12" s="11"/>
      <c r="M12" s="10" t="str">
        <f>B12</f>
        <v xml:space="preserve">Shakoor 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2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2"/>
        <v>0</v>
      </c>
    </row>
    <row r="14" spans="1:23" x14ac:dyDescent="0.35">
      <c r="A14" s="13"/>
      <c r="B14" s="10"/>
      <c r="C14" s="14">
        <f t="shared" ref="C14:I14" si="3">SUM(C8:C13)</f>
        <v>572</v>
      </c>
      <c r="D14" s="14">
        <f t="shared" si="3"/>
        <v>2290</v>
      </c>
      <c r="E14" s="14">
        <f t="shared" si="3"/>
        <v>2815</v>
      </c>
      <c r="F14" s="14">
        <f t="shared" si="3"/>
        <v>0</v>
      </c>
      <c r="G14" s="14">
        <f t="shared" si="3"/>
        <v>4672</v>
      </c>
      <c r="H14" s="14">
        <f t="shared" si="3"/>
        <v>4832</v>
      </c>
      <c r="I14" s="14">
        <f t="shared" si="3"/>
        <v>7269</v>
      </c>
      <c r="J14" s="35">
        <f>SUM(C14:I14)/40</f>
        <v>561.25</v>
      </c>
      <c r="L14" s="13"/>
      <c r="M14" s="10"/>
      <c r="N14" s="14">
        <f t="shared" ref="N14:U14" si="4">SUM(N8:N13)</f>
        <v>0</v>
      </c>
      <c r="O14" s="14">
        <f t="shared" si="4"/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114.5</v>
      </c>
      <c r="E15" s="13">
        <f t="shared" ref="E15:I15" si="5">E14/20</f>
        <v>140.75</v>
      </c>
      <c r="F15" s="13">
        <f t="shared" si="5"/>
        <v>0</v>
      </c>
      <c r="G15" s="13">
        <f t="shared" si="5"/>
        <v>233.6</v>
      </c>
      <c r="H15" s="13">
        <f t="shared" si="5"/>
        <v>241.6</v>
      </c>
      <c r="I15" s="13">
        <f t="shared" si="5"/>
        <v>363.45</v>
      </c>
      <c r="L15" s="13"/>
      <c r="M15" s="10" t="s">
        <v>22</v>
      </c>
      <c r="N15" s="13"/>
      <c r="O15" s="13">
        <f>O14/20</f>
        <v>0</v>
      </c>
      <c r="P15" s="13">
        <f t="shared" ref="P15" si="6">P14/20</f>
        <v>0</v>
      </c>
      <c r="Q15" s="13"/>
      <c r="R15" s="13">
        <f t="shared" ref="R15:T15" si="7">R14/20</f>
        <v>0</v>
      </c>
      <c r="S15" s="13">
        <f t="shared" si="7"/>
        <v>0</v>
      </c>
      <c r="T15" s="13">
        <f t="shared" si="7"/>
        <v>0</v>
      </c>
      <c r="U15" s="13"/>
    </row>
    <row r="16" spans="1:23" x14ac:dyDescent="0.35">
      <c r="A16" s="13"/>
      <c r="B16" s="10" t="s">
        <v>21</v>
      </c>
      <c r="C16" s="36">
        <f>C15+C14</f>
        <v>572</v>
      </c>
      <c r="D16" s="36">
        <f t="shared" ref="D16:I16" si="8">D15+D14</f>
        <v>2404.5</v>
      </c>
      <c r="E16" s="36">
        <f t="shared" si="8"/>
        <v>2955.75</v>
      </c>
      <c r="F16" s="36">
        <f t="shared" si="8"/>
        <v>0</v>
      </c>
      <c r="G16" s="36">
        <f t="shared" si="8"/>
        <v>4905.6000000000004</v>
      </c>
      <c r="H16" s="36">
        <f t="shared" si="8"/>
        <v>5073.6000000000004</v>
      </c>
      <c r="I16" s="36">
        <f t="shared" si="8"/>
        <v>7632.45</v>
      </c>
      <c r="L16" s="13"/>
      <c r="M16" s="10" t="s">
        <v>21</v>
      </c>
      <c r="N16" s="36">
        <f>N15+N14</f>
        <v>0</v>
      </c>
      <c r="O16" s="36">
        <f t="shared" ref="O16:P16" si="9">O15+O14</f>
        <v>0</v>
      </c>
      <c r="P16" s="36">
        <f t="shared" si="9"/>
        <v>0</v>
      </c>
      <c r="Q16" s="36"/>
      <c r="R16" s="36">
        <f t="shared" ref="R16:T16" si="10">R15+R14</f>
        <v>0</v>
      </c>
      <c r="S16" s="36">
        <f t="shared" si="10"/>
        <v>0</v>
      </c>
      <c r="T16" s="36">
        <f t="shared" si="10"/>
        <v>0</v>
      </c>
      <c r="U16" s="36"/>
    </row>
    <row r="17" spans="1:22" x14ac:dyDescent="0.35">
      <c r="A17" s="13"/>
      <c r="B17" s="39" t="s">
        <v>23</v>
      </c>
      <c r="C17" s="36">
        <f>C14/40</f>
        <v>14.3</v>
      </c>
      <c r="D17" s="36">
        <f t="shared" ref="D17:I17" si="11">D14/40</f>
        <v>57.25</v>
      </c>
      <c r="E17" s="36">
        <f t="shared" si="11"/>
        <v>70.375</v>
      </c>
      <c r="F17" s="36">
        <f t="shared" si="11"/>
        <v>0</v>
      </c>
      <c r="G17" s="36">
        <f t="shared" si="11"/>
        <v>116.8</v>
      </c>
      <c r="H17" s="36">
        <f t="shared" si="11"/>
        <v>120.8</v>
      </c>
      <c r="I17" s="36">
        <f t="shared" si="11"/>
        <v>181.72499999999999</v>
      </c>
      <c r="J17" s="35">
        <f>SUM(C17:I17)</f>
        <v>561.25</v>
      </c>
      <c r="L17" s="13"/>
      <c r="M17" s="39" t="s">
        <v>23</v>
      </c>
      <c r="N17" s="36">
        <f>N14/40</f>
        <v>0</v>
      </c>
      <c r="O17" s="36">
        <f t="shared" ref="O17:P17" si="12">O14/40</f>
        <v>0</v>
      </c>
      <c r="P17" s="36">
        <f t="shared" si="12"/>
        <v>0</v>
      </c>
      <c r="Q17" s="36"/>
      <c r="R17" s="36">
        <f t="shared" ref="R17:T17" si="13">R14/40</f>
        <v>0</v>
      </c>
      <c r="S17" s="36">
        <f t="shared" si="13"/>
        <v>0</v>
      </c>
      <c r="T17" s="36">
        <f t="shared" si="13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W19"/>
  <sheetViews>
    <sheetView tabSelected="1" zoomScaleNormal="100" workbookViewId="0">
      <selection sqref="A1:K14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2" t="s">
        <v>34</v>
      </c>
      <c r="C2" s="63"/>
      <c r="D2" s="63"/>
      <c r="E2" s="63"/>
      <c r="F2" s="63"/>
      <c r="G2" s="63"/>
      <c r="H2" s="63"/>
      <c r="I2" s="63"/>
      <c r="L2" s="1"/>
      <c r="M2" s="62" t="s">
        <v>35</v>
      </c>
      <c r="N2" s="63"/>
      <c r="O2" s="63"/>
      <c r="P2" s="63"/>
      <c r="Q2" s="63"/>
      <c r="R2" s="63"/>
      <c r="S2" s="63"/>
      <c r="T2" s="63"/>
      <c r="U2" s="64"/>
    </row>
    <row r="3" spans="1:23" x14ac:dyDescent="0.35">
      <c r="A3" s="1"/>
      <c r="B3" s="65"/>
      <c r="C3" s="66"/>
      <c r="D3" s="66"/>
      <c r="E3" s="66"/>
      <c r="F3" s="66"/>
      <c r="G3" s="66"/>
      <c r="H3" s="66"/>
      <c r="I3" s="66"/>
      <c r="L3" s="1"/>
      <c r="M3" s="65"/>
      <c r="N3" s="66"/>
      <c r="O3" s="66"/>
      <c r="P3" s="66"/>
      <c r="Q3" s="66"/>
      <c r="R3" s="66"/>
      <c r="S3" s="66"/>
      <c r="T3" s="66"/>
      <c r="U3" s="67"/>
    </row>
    <row r="4" spans="1:23" x14ac:dyDescent="0.35">
      <c r="A4" s="1"/>
      <c r="B4" s="65"/>
      <c r="C4" s="66"/>
      <c r="D4" s="66"/>
      <c r="E4" s="66"/>
      <c r="F4" s="66"/>
      <c r="G4" s="66"/>
      <c r="H4" s="66"/>
      <c r="I4" s="66"/>
      <c r="L4" s="1"/>
      <c r="M4" s="65"/>
      <c r="N4" s="66"/>
      <c r="O4" s="66"/>
      <c r="P4" s="66"/>
      <c r="Q4" s="66"/>
      <c r="R4" s="66"/>
      <c r="S4" s="66"/>
      <c r="T4" s="66"/>
      <c r="U4" s="67"/>
    </row>
    <row r="5" spans="1:23" ht="15" thickBot="1" x14ac:dyDescent="0.4">
      <c r="A5" s="1"/>
      <c r="B5" s="68"/>
      <c r="C5" s="69"/>
      <c r="D5" s="69"/>
      <c r="E5" s="69"/>
      <c r="F5" s="69"/>
      <c r="G5" s="69"/>
      <c r="H5" s="69"/>
      <c r="I5" s="69"/>
      <c r="L5" s="1"/>
      <c r="M5" s="68"/>
      <c r="N5" s="69"/>
      <c r="O5" s="69"/>
      <c r="P5" s="69"/>
      <c r="Q5" s="69"/>
      <c r="R5" s="69"/>
      <c r="S5" s="69"/>
      <c r="T5" s="69"/>
      <c r="U5" s="70"/>
    </row>
    <row r="6" spans="1:23" x14ac:dyDescent="0.35">
      <c r="A6" s="1"/>
      <c r="B6" s="2"/>
      <c r="C6" s="3" t="s">
        <v>1</v>
      </c>
      <c r="D6" s="71" t="s">
        <v>2</v>
      </c>
      <c r="E6" s="72"/>
      <c r="F6" s="72"/>
      <c r="G6" s="72" t="s">
        <v>3</v>
      </c>
      <c r="H6" s="72"/>
      <c r="I6" s="72"/>
      <c r="L6" s="1"/>
      <c r="M6" s="2"/>
      <c r="N6" s="3" t="s">
        <v>1</v>
      </c>
      <c r="O6" s="71" t="s">
        <v>2</v>
      </c>
      <c r="P6" s="72"/>
      <c r="Q6" s="73"/>
      <c r="R6" s="72" t="s">
        <v>3</v>
      </c>
      <c r="S6" s="72"/>
      <c r="T6" s="72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SUM(C8:I8)/40</f>
        <v>0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>
        <v>52</v>
      </c>
      <c r="D9" s="12">
        <v>12</v>
      </c>
      <c r="E9" s="12">
        <v>12</v>
      </c>
      <c r="F9" s="12">
        <v>0</v>
      </c>
      <c r="G9" s="12">
        <v>79</v>
      </c>
      <c r="H9" s="12">
        <v>58</v>
      </c>
      <c r="I9" s="12">
        <v>171</v>
      </c>
      <c r="J9">
        <f t="shared" ref="J9:J12" si="1">SUM(C9:I9)/40</f>
        <v>9.6</v>
      </c>
      <c r="K9" s="76">
        <v>6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2">SUM(R9:T9)/20</f>
        <v>0</v>
      </c>
      <c r="V9">
        <f>SUM(N9:P9,R9,S9,T9)/40</f>
        <v>0</v>
      </c>
    </row>
    <row r="10" spans="1:23" x14ac:dyDescent="0.35">
      <c r="A10" s="27"/>
      <c r="B10" s="10" t="s">
        <v>37</v>
      </c>
      <c r="C10" s="12">
        <v>184</v>
      </c>
      <c r="D10" s="12">
        <v>32</v>
      </c>
      <c r="E10" s="12">
        <v>32</v>
      </c>
      <c r="F10" s="12">
        <v>0</v>
      </c>
      <c r="G10" s="12">
        <v>155</v>
      </c>
      <c r="H10" s="12">
        <v>92</v>
      </c>
      <c r="I10" s="12">
        <v>177</v>
      </c>
      <c r="J10">
        <f t="shared" si="1"/>
        <v>16.8</v>
      </c>
      <c r="K10" s="76">
        <v>10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2"/>
        <v>0</v>
      </c>
      <c r="V10">
        <f>SUM(N10:P10,R10,S10,T10)/40</f>
        <v>0</v>
      </c>
    </row>
    <row r="11" spans="1:23" x14ac:dyDescent="0.35">
      <c r="A11" s="11"/>
      <c r="B11" s="11" t="s">
        <v>31</v>
      </c>
      <c r="C11" s="12">
        <v>80</v>
      </c>
      <c r="D11" s="12">
        <v>0</v>
      </c>
      <c r="E11" s="12">
        <v>0</v>
      </c>
      <c r="F11" s="12">
        <v>0</v>
      </c>
      <c r="G11" s="12">
        <v>81</v>
      </c>
      <c r="H11" s="12">
        <v>75</v>
      </c>
      <c r="I11" s="12">
        <v>56</v>
      </c>
      <c r="J11">
        <f t="shared" si="1"/>
        <v>7.3</v>
      </c>
      <c r="K11" s="76">
        <v>7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2"/>
        <v>0</v>
      </c>
      <c r="V11">
        <f>SUM(N11:P11,R11,S11,T11)/40</f>
        <v>0</v>
      </c>
    </row>
    <row r="12" spans="1:23" x14ac:dyDescent="0.35">
      <c r="A12" s="11"/>
      <c r="B12" s="11" t="s">
        <v>19</v>
      </c>
      <c r="C12" s="12"/>
      <c r="D12" s="12">
        <v>0</v>
      </c>
      <c r="E12" s="12"/>
      <c r="F12" s="12"/>
      <c r="G12" s="12"/>
      <c r="H12" s="12"/>
      <c r="I12" s="12"/>
      <c r="J12">
        <f t="shared" si="1"/>
        <v>0</v>
      </c>
      <c r="L12" s="11"/>
      <c r="M12" s="10" t="str">
        <f>B12</f>
        <v>Mubeen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2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2"/>
        <v>0</v>
      </c>
    </row>
    <row r="14" spans="1:23" x14ac:dyDescent="0.35">
      <c r="A14" s="13"/>
      <c r="B14" s="10"/>
      <c r="C14" s="14">
        <f t="shared" ref="C14:I14" si="3">SUM(C8:C13)</f>
        <v>316</v>
      </c>
      <c r="D14" s="14">
        <f t="shared" si="3"/>
        <v>44</v>
      </c>
      <c r="E14" s="14">
        <f t="shared" si="3"/>
        <v>44</v>
      </c>
      <c r="F14" s="14">
        <f t="shared" si="3"/>
        <v>0</v>
      </c>
      <c r="G14" s="14">
        <f t="shared" si="3"/>
        <v>315</v>
      </c>
      <c r="H14" s="14">
        <f t="shared" si="3"/>
        <v>225</v>
      </c>
      <c r="I14" s="14">
        <f t="shared" si="3"/>
        <v>404</v>
      </c>
      <c r="J14" s="35">
        <f>C14+D14+E14+F14+G14+H14+I14</f>
        <v>1348</v>
      </c>
      <c r="L14" s="13"/>
      <c r="M14" s="10"/>
      <c r="N14" s="14">
        <f t="shared" ref="N14:U14" si="4">SUM(N8:N13)</f>
        <v>0</v>
      </c>
      <c r="O14" s="14">
        <f t="shared" si="4"/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2.2000000000000002</v>
      </c>
      <c r="E15" s="13">
        <f t="shared" ref="E15:I15" si="5">E14/20</f>
        <v>2.2000000000000002</v>
      </c>
      <c r="F15" s="13">
        <f t="shared" si="5"/>
        <v>0</v>
      </c>
      <c r="G15" s="13">
        <f t="shared" si="5"/>
        <v>15.75</v>
      </c>
      <c r="H15" s="13">
        <f t="shared" si="5"/>
        <v>11.25</v>
      </c>
      <c r="I15" s="13">
        <f t="shared" si="5"/>
        <v>20.2</v>
      </c>
      <c r="L15" s="13"/>
      <c r="M15" s="10" t="s">
        <v>22</v>
      </c>
      <c r="N15" s="13"/>
      <c r="O15" s="13">
        <f>O14/20</f>
        <v>0</v>
      </c>
      <c r="P15" s="13">
        <f t="shared" ref="P15" si="6">P14/20</f>
        <v>0</v>
      </c>
      <c r="Q15" s="13"/>
      <c r="R15" s="13">
        <f t="shared" ref="R15:T15" si="7">R14/20</f>
        <v>0</v>
      </c>
      <c r="S15" s="13">
        <f t="shared" si="7"/>
        <v>0</v>
      </c>
      <c r="T15" s="13">
        <f t="shared" si="7"/>
        <v>0</v>
      </c>
      <c r="U15" s="13"/>
    </row>
    <row r="16" spans="1:23" x14ac:dyDescent="0.35">
      <c r="A16" s="13"/>
      <c r="B16" s="10" t="s">
        <v>21</v>
      </c>
      <c r="C16" s="36">
        <f>C15+C14</f>
        <v>316</v>
      </c>
      <c r="D16" s="36">
        <f t="shared" ref="D16:I16" si="8">D15+D14</f>
        <v>46.2</v>
      </c>
      <c r="E16" s="36">
        <f t="shared" si="8"/>
        <v>46.2</v>
      </c>
      <c r="F16" s="36">
        <f t="shared" si="8"/>
        <v>0</v>
      </c>
      <c r="G16" s="36">
        <f t="shared" si="8"/>
        <v>330.75</v>
      </c>
      <c r="H16" s="36">
        <f t="shared" si="8"/>
        <v>236.25</v>
      </c>
      <c r="I16" s="36">
        <f t="shared" si="8"/>
        <v>424.2</v>
      </c>
      <c r="L16" s="13"/>
      <c r="M16" s="10" t="s">
        <v>21</v>
      </c>
      <c r="N16" s="36">
        <f>N15+N14</f>
        <v>0</v>
      </c>
      <c r="O16" s="36">
        <f t="shared" ref="O16:P16" si="9">O15+O14</f>
        <v>0</v>
      </c>
      <c r="P16" s="36">
        <f t="shared" si="9"/>
        <v>0</v>
      </c>
      <c r="Q16" s="36"/>
      <c r="R16" s="36">
        <f t="shared" ref="R16:T16" si="10">R15+R14</f>
        <v>0</v>
      </c>
      <c r="S16" s="36">
        <f t="shared" si="10"/>
        <v>0</v>
      </c>
      <c r="T16" s="36">
        <f t="shared" si="10"/>
        <v>0</v>
      </c>
      <c r="U16" s="36"/>
    </row>
    <row r="17" spans="1:22" x14ac:dyDescent="0.35">
      <c r="A17" s="13"/>
      <c r="B17" s="39" t="s">
        <v>23</v>
      </c>
      <c r="C17" s="36">
        <f>C14/40</f>
        <v>7.9</v>
      </c>
      <c r="D17" s="36">
        <f t="shared" ref="D17:I17" si="11">D14/40</f>
        <v>1.1000000000000001</v>
      </c>
      <c r="E17" s="36">
        <f t="shared" si="11"/>
        <v>1.1000000000000001</v>
      </c>
      <c r="F17" s="36">
        <f t="shared" si="11"/>
        <v>0</v>
      </c>
      <c r="G17" s="36">
        <f t="shared" si="11"/>
        <v>7.875</v>
      </c>
      <c r="H17" s="36">
        <f t="shared" si="11"/>
        <v>5.625</v>
      </c>
      <c r="I17" s="36">
        <f t="shared" si="11"/>
        <v>10.1</v>
      </c>
      <c r="J17" s="35">
        <f>SUM(C17:I17)</f>
        <v>33.700000000000003</v>
      </c>
      <c r="L17" s="13"/>
      <c r="M17" s="39" t="s">
        <v>23</v>
      </c>
      <c r="N17" s="36">
        <f>N14/40</f>
        <v>0</v>
      </c>
      <c r="O17" s="36">
        <f t="shared" ref="O17:P17" si="12">O14/40</f>
        <v>0</v>
      </c>
      <c r="P17" s="36">
        <f t="shared" si="12"/>
        <v>0</v>
      </c>
      <c r="Q17" s="36"/>
      <c r="R17" s="36">
        <f t="shared" ref="R17:T17" si="13">R14/40</f>
        <v>0</v>
      </c>
      <c r="S17" s="36">
        <f t="shared" si="13"/>
        <v>0</v>
      </c>
      <c r="T17" s="36">
        <f t="shared" si="13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2026-07-30T12:20:31Z</dcterms:modified>
</cp:coreProperties>
</file>