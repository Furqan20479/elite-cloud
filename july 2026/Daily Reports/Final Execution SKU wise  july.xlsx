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94501647-FA30-43B8-929F-5A3C83248F79}" xr6:coauthVersionLast="47" xr6:coauthVersionMax="47" xr10:uidLastSave="{00000000-0000-0000-0000-000000000000}"/>
  <bookViews>
    <workbookView xWindow="-110" yWindow="-110" windowWidth="19420" windowHeight="10420" tabRatio="887" activeTab="16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N9" i="15"/>
  <c r="N10" i="15"/>
  <c r="N11" i="15"/>
  <c r="N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N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U9" i="14"/>
  <c r="U10" i="14"/>
  <c r="U11" i="14"/>
  <c r="U12" i="14"/>
  <c r="U13" i="14"/>
  <c r="V9" i="15"/>
  <c r="V10" i="15"/>
  <c r="V11" i="15"/>
  <c r="V12" i="15"/>
  <c r="V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Q9" i="14"/>
  <c r="Q10" i="14"/>
  <c r="Q11" i="14"/>
  <c r="Q12" i="14"/>
  <c r="Q13" i="14"/>
  <c r="R9" i="15"/>
  <c r="R10" i="15"/>
  <c r="R11" i="15"/>
  <c r="R12" i="15"/>
  <c r="R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5"/>
  <c r="J10" i="15"/>
  <c r="J11" i="15"/>
  <c r="J12" i="15"/>
  <c r="J13" i="15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V12" i="14"/>
  <c r="V11" i="14"/>
  <c r="V10" i="14"/>
  <c r="V9" i="14"/>
  <c r="V8" i="14"/>
  <c r="U8" i="14"/>
  <c r="U14" i="14" s="1"/>
  <c r="Q8" i="14"/>
  <c r="U14" i="15"/>
  <c r="T14" i="15"/>
  <c r="T17" i="15" s="1"/>
  <c r="S14" i="15"/>
  <c r="S17" i="15" s="1"/>
  <c r="Q14" i="15"/>
  <c r="P14" i="15"/>
  <c r="P17" i="15" s="1"/>
  <c r="O14" i="15"/>
  <c r="O17" i="15" s="1"/>
  <c r="W12" i="15"/>
  <c r="W11" i="15"/>
  <c r="W10" i="15"/>
  <c r="W9" i="15"/>
  <c r="W8" i="15"/>
  <c r="V8" i="15"/>
  <c r="R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P15" i="15" l="1"/>
  <c r="P16" i="15" s="1"/>
  <c r="S17" i="20"/>
  <c r="P17" i="16"/>
  <c r="Q17" i="23"/>
  <c r="Q15" i="22"/>
  <c r="Q16" i="22" s="1"/>
  <c r="O15" i="14"/>
  <c r="O16" i="14" s="1"/>
  <c r="Q17" i="5"/>
  <c r="V15" i="31"/>
  <c r="V16" i="31" s="1"/>
  <c r="S17" i="31"/>
  <c r="U17" i="25"/>
  <c r="U17" i="21"/>
  <c r="S17" i="26"/>
  <c r="T17" i="16"/>
  <c r="T15" i="15"/>
  <c r="T16" i="15" s="1"/>
  <c r="S17" i="14"/>
  <c r="U17" i="23"/>
  <c r="V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S17" i="22"/>
  <c r="S17" i="12"/>
  <c r="V14" i="20"/>
  <c r="V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Q17" i="15"/>
  <c r="Q15" i="15"/>
  <c r="Q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R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U17" i="15"/>
  <c r="U15" i="15"/>
  <c r="U16" i="15" s="1"/>
  <c r="O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P17" i="11"/>
  <c r="P15" i="11"/>
  <c r="P16" i="11" s="1"/>
  <c r="S15" i="11"/>
  <c r="S16" i="11" s="1"/>
  <c r="R15" i="10"/>
  <c r="R16" i="10" s="1"/>
  <c r="T15" i="9"/>
  <c r="T16" i="9" s="1"/>
  <c r="T17" i="6"/>
  <c r="W14" i="15"/>
  <c r="S15" i="15"/>
  <c r="S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W17" i="15"/>
  <c r="Y17" i="29"/>
  <c r="V17" i="5"/>
  <c r="W17" i="9"/>
  <c r="V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5"/>
  <c r="K10" i="15"/>
  <c r="K11" i="15"/>
  <c r="K12" i="15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J14" i="15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K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K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<sst xmlns="http://schemas.openxmlformats.org/spreadsheetml/2006/main" count="1395" uniqueCount="42">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</sst>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  <xf numFmtId="0" fontId="2" fillId="0" borderId="1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  <c r="AB2" t="s">
        <v>38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39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33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37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39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33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3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39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33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39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33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41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39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33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39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33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34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39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33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40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39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33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34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39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33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34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tabSelected="1"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75">
        <v>7</v>
      </c>
    </row>
    <row r="10" spans="1:23" x14ac:dyDescent="0.35">
      <c r="A10" s="27"/>
      <c r="B10" s="10" t="s">
        <v>39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75">
        <v>8</v>
      </c>
    </row>
    <row r="11" spans="1:23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zoomScaleNormal="100" workbookViewId="0">
      <selection sqref="A1:K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L2" s="1"/>
      <c r="M2" s="61" t="s">
        <v>37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76">
        <f>SUM(C8:F8,G8,H8,I8)/40</f>
        <v>6.5</v>
      </c>
      <c r="K8" s="76">
        <v>6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 s="45">
        <f>SUM(N8:P8,R8,S8,T8)/40</f>
        <v>0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76">
        <f>SUM(C9:F9,G9,H9,I9)/40</f>
        <v>9.4</v>
      </c>
      <c r="K9" s="76">
        <v>4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1">SUM(R9:T9)/20</f>
        <v>0</v>
      </c>
      <c r="V9" s="45">
        <f>SUM(N9:P9,R9,S9,T9)/40</f>
        <v>0</v>
      </c>
    </row>
    <row r="10" spans="1:23" x14ac:dyDescent="0.35">
      <c r="A10" s="27"/>
      <c r="B10" s="10" t="s">
        <v>39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76">
        <f>SUM(C10:F10,G10,H10,I10)/40</f>
        <v>17.850000000000001</v>
      </c>
      <c r="K10" s="76">
        <v>20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1"/>
        <v>0</v>
      </c>
      <c r="V10" s="45">
        <f>SUM(N10:P10,R10,S10,T10)/40</f>
        <v>0</v>
      </c>
    </row>
    <row r="11" spans="1:23" x14ac:dyDescent="0.35">
      <c r="A11" s="11"/>
      <c r="B11" s="11" t="s">
        <v>33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76">
        <f>SUM(C11:F11,G11,H11,I11)/40</f>
        <v>19.649999999999999</v>
      </c>
      <c r="K11" s="76">
        <v>11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1"/>
        <v>0</v>
      </c>
      <c r="V11" s="40">
        <f>SUM(N11:P11,R11,S11,T11)/40</f>
        <v>0</v>
      </c>
    </row>
    <row r="12" spans="1:23" x14ac:dyDescent="0.35">
      <c r="A12" s="11"/>
      <c r="B12" s="11" t="s">
        <v>34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76">
        <f>SUM(C12:F12,G12,H12,I12)/40</f>
        <v>177</v>
      </c>
      <c r="K12" s="76">
        <v>11</v>
      </c>
      <c r="L12" s="11"/>
      <c r="M12" s="10" t="str">
        <f>B12</f>
        <v xml:space="preserve">Shakoor 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1"/>
        <v>0</v>
      </c>
      <c r="V12" s="40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1"/>
        <v>0</v>
      </c>
      <c r="V13" s="40"/>
    </row>
    <row r="14" spans="1:23" x14ac:dyDescent="0.35">
      <c r="A14" s="13"/>
      <c r="B14" s="10"/>
      <c r="C14" s="14">
        <f t="shared" ref="C14:I14" si="2">SUM(C8:C13)</f>
        <v>818</v>
      </c>
      <c r="D14" s="14">
        <f t="shared" si="2"/>
        <v>1192</v>
      </c>
      <c r="E14" s="14">
        <f t="shared" si="2"/>
        <v>1712</v>
      </c>
      <c r="F14" s="14">
        <v>1960</v>
      </c>
      <c r="G14" s="14">
        <f t="shared" si="2"/>
        <v>1676</v>
      </c>
      <c r="H14" s="14">
        <f t="shared" si="2"/>
        <v>1320</v>
      </c>
      <c r="I14" s="14">
        <f t="shared" si="2"/>
        <v>2498</v>
      </c>
      <c r="J14" s="35">
        <f>C14+D14+E14+F14+G14+H14+I14</f>
        <v>11176</v>
      </c>
      <c r="L14" s="13"/>
      <c r="M14" s="10"/>
      <c r="N14" s="14">
        <f t="shared" ref="N14:U14" si="3">SUM(N8:N13)</f>
        <v>0</v>
      </c>
      <c r="O14" s="14">
        <f t="shared" si="3"/>
        <v>0</v>
      </c>
      <c r="P14" s="14">
        <f t="shared" si="3"/>
        <v>0</v>
      </c>
      <c r="Q14" s="14">
        <f t="shared" si="3"/>
        <v>0</v>
      </c>
      <c r="R14" s="14">
        <f t="shared" si="3"/>
        <v>0</v>
      </c>
      <c r="S14" s="14">
        <f t="shared" si="3"/>
        <v>0</v>
      </c>
      <c r="T14" s="14">
        <f t="shared" si="3"/>
        <v>0</v>
      </c>
      <c r="U14" s="14">
        <f t="shared" si="3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4">E14/20</f>
        <v>85.6</v>
      </c>
      <c r="F15" s="13">
        <f t="shared" si="4"/>
        <v>98</v>
      </c>
      <c r="G15" s="13">
        <f t="shared" si="4"/>
        <v>83.8</v>
      </c>
      <c r="H15" s="13">
        <f t="shared" si="4"/>
        <v>66</v>
      </c>
      <c r="I15" s="13">
        <f t="shared" si="4"/>
        <v>124.9</v>
      </c>
      <c r="L15" s="13"/>
      <c r="M15" s="10" t="s">
        <v>22</v>
      </c>
      <c r="N15" s="13"/>
      <c r="O15" s="13">
        <f>O14/20</f>
        <v>0</v>
      </c>
      <c r="P15" s="13">
        <f t="shared" ref="P15" si="5">P14/20</f>
        <v>0</v>
      </c>
      <c r="Q15" s="13"/>
      <c r="R15" s="13">
        <f t="shared" ref="R15:T15" si="6">R14/20</f>
        <v>0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7">D15+D14</f>
        <v>1251.5999999999999</v>
      </c>
      <c r="E16" s="36">
        <f t="shared" si="7"/>
        <v>1797.6</v>
      </c>
      <c r="F16" s="36">
        <f t="shared" si="7"/>
        <v>2058</v>
      </c>
      <c r="G16" s="36">
        <f t="shared" si="7"/>
        <v>1759.8</v>
      </c>
      <c r="H16" s="36">
        <f t="shared" si="7"/>
        <v>1386</v>
      </c>
      <c r="I16" s="36">
        <f t="shared" si="7"/>
        <v>2622.9</v>
      </c>
      <c r="L16" s="13"/>
      <c r="M16" s="10" t="s">
        <v>21</v>
      </c>
      <c r="N16" s="36">
        <f>N15+N14</f>
        <v>0</v>
      </c>
      <c r="O16" s="36">
        <f t="shared" ref="O16:P16" si="8">O15+O14</f>
        <v>0</v>
      </c>
      <c r="P16" s="36">
        <f t="shared" si="8"/>
        <v>0</v>
      </c>
      <c r="Q16" s="36"/>
      <c r="R16" s="36">
        <f t="shared" ref="R16:T16" si="9">R15+R14</f>
        <v>0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10">D14/40</f>
        <v>29.8</v>
      </c>
      <c r="E17" s="36">
        <f t="shared" si="10"/>
        <v>42.8</v>
      </c>
      <c r="F17" s="36">
        <f t="shared" si="10"/>
        <v>49</v>
      </c>
      <c r="G17" s="36">
        <f t="shared" si="10"/>
        <v>41.9</v>
      </c>
      <c r="H17" s="36">
        <f t="shared" si="10"/>
        <v>33</v>
      </c>
      <c r="I17" s="36">
        <f t="shared" si="10"/>
        <v>62.45</v>
      </c>
      <c r="J17" s="35">
        <f>SUM(C17:I17)</f>
        <v>279.40000000000003</v>
      </c>
      <c r="L17" s="13"/>
      <c r="M17" s="39" t="s">
        <v>23</v>
      </c>
      <c r="N17" s="36">
        <f>N14/40</f>
        <v>0</v>
      </c>
      <c r="O17" s="36">
        <f t="shared" ref="O17:P17" si="11">O14/40</f>
        <v>0</v>
      </c>
      <c r="P17" s="36">
        <f t="shared" si="11"/>
        <v>0</v>
      </c>
      <c r="Q17" s="36"/>
      <c r="R17" s="36">
        <f t="shared" ref="R17:T17" si="12">R14/40</f>
        <v>0</v>
      </c>
      <c r="S17" s="36">
        <f t="shared" si="12"/>
        <v>0</v>
      </c>
      <c r="T17" s="36">
        <f t="shared" si="12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5429687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t="s">
        <v>30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t="s">
        <v>30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L15" t="s">
        <v>28</v>
      </c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31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31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31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39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M1" s="1"/>
      <c r="N1" s="1"/>
      <c r="O1" s="1"/>
      <c r="P1" s="1"/>
      <c r="Q1" s="1" t="s">
        <v>36</v>
      </c>
      <c r="R1" s="1"/>
      <c r="S1" s="1"/>
      <c r="T1" s="1"/>
      <c r="U1" s="1"/>
      <c r="V1" s="1"/>
    </row>
    <row r="2" spans="1:25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36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37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39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33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2026-07-16T12:10:30Z</dcterms:modified>
</cp:coreProperties>
</file>