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BB5393F-02DE-483A-A45E-E0BCA2B12E49}" xr6:coauthVersionLast="47" xr6:coauthVersionMax="47" xr10:uidLastSave="{00000000-0000-0000-0000-000000000000}"/>
  <bookViews>
    <workbookView xWindow="-110" yWindow="-110" windowWidth="19420" windowHeight="10420" tabRatio="887" activeTab="1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N9" i="10"/>
  <c r="N10" i="10"/>
  <c r="N11" i="10"/>
  <c r="N12" i="10"/>
  <c r="N9" i="11"/>
  <c r="N10" i="11"/>
  <c r="N11" i="11"/>
  <c r="N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N8" i="10"/>
  <c r="N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0"/>
  <c r="V10" i="10"/>
  <c r="V11" i="10"/>
  <c r="V12" i="10"/>
  <c r="V13" i="10"/>
  <c r="V9" i="11"/>
  <c r="V10" i="11"/>
  <c r="V11" i="11"/>
  <c r="V12" i="11"/>
  <c r="V13" i="11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Q9" i="8"/>
  <c r="Q10" i="8"/>
  <c r="Q11" i="8"/>
  <c r="Q12" i="8"/>
  <c r="Q13" i="8"/>
  <c r="R9" i="9"/>
  <c r="R10" i="9"/>
  <c r="R11" i="9"/>
  <c r="R12" i="9"/>
  <c r="R13" i="9"/>
  <c r="R9" i="10"/>
  <c r="R10" i="10"/>
  <c r="R11" i="10"/>
  <c r="R12" i="10"/>
  <c r="R13" i="10"/>
  <c r="R9" i="11"/>
  <c r="R10" i="11"/>
  <c r="R11" i="11"/>
  <c r="R12" i="11"/>
  <c r="R13" i="11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0"/>
  <c r="J10" i="10"/>
  <c r="J11" i="10"/>
  <c r="J12" i="10"/>
  <c r="J13" i="10"/>
  <c r="J9" i="11"/>
  <c r="J10" i="11"/>
  <c r="J11" i="11"/>
  <c r="J12" i="11"/>
  <c r="J13" i="11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12" i="8"/>
  <c r="V11" i="8"/>
  <c r="V10" i="8"/>
  <c r="V9" i="8"/>
  <c r="V8" i="8"/>
  <c r="Q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U14" i="10"/>
  <c r="U17" i="10" s="1"/>
  <c r="T14" i="10"/>
  <c r="T17" i="10" s="1"/>
  <c r="S14" i="10"/>
  <c r="S15" i="10" s="1"/>
  <c r="S16" i="10" s="1"/>
  <c r="Q14" i="10"/>
  <c r="P14" i="10"/>
  <c r="P17" i="10" s="1"/>
  <c r="O14" i="10"/>
  <c r="W12" i="10"/>
  <c r="W11" i="10"/>
  <c r="W10" i="10"/>
  <c r="W9" i="10"/>
  <c r="W8" i="10"/>
  <c r="V8" i="10"/>
  <c r="R8" i="10"/>
  <c r="U14" i="11"/>
  <c r="U17" i="11" s="1"/>
  <c r="T14" i="11"/>
  <c r="T17" i="11" s="1"/>
  <c r="S14" i="11"/>
  <c r="S15" i="11" s="1"/>
  <c r="S16" i="11" s="1"/>
  <c r="Q14" i="11"/>
  <c r="P14" i="11"/>
  <c r="P15" i="11" s="1"/>
  <c r="P16" i="11" s="1"/>
  <c r="O14" i="11"/>
  <c r="W12" i="11"/>
  <c r="W11" i="11"/>
  <c r="W10" i="11"/>
  <c r="W9" i="11"/>
  <c r="W8" i="11"/>
  <c r="V8" i="11"/>
  <c r="V14" i="11" s="1"/>
  <c r="R8" i="11"/>
  <c r="R14" i="11" s="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P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O15" i="8"/>
  <c r="O16" i="8" s="1"/>
  <c r="R15" i="30"/>
  <c r="R16" i="30" s="1"/>
  <c r="S17" i="22"/>
  <c r="T17" i="12"/>
  <c r="V14" i="20"/>
  <c r="V14" i="15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R14" i="14"/>
  <c r="P17" i="13"/>
  <c r="R14" i="10"/>
  <c r="R14" i="9"/>
  <c r="Q14" i="8"/>
  <c r="P17" i="28"/>
  <c r="Y14" i="30"/>
  <c r="Q15" i="31"/>
  <c r="Q16" i="31" s="1"/>
  <c r="W14" i="20"/>
  <c r="W14" i="11"/>
  <c r="P15" i="10"/>
  <c r="P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V14" i="10"/>
  <c r="W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Q17" i="11"/>
  <c r="Q15" i="11"/>
  <c r="Q16" i="11" s="1"/>
  <c r="T15" i="11"/>
  <c r="T16" i="11" s="1"/>
  <c r="T15" i="10"/>
  <c r="T16" i="10" s="1"/>
  <c r="T15" i="9"/>
  <c r="T16" i="9" s="1"/>
  <c r="T17" i="6"/>
  <c r="W14" i="15"/>
  <c r="S15" i="15"/>
  <c r="S16" i="15" s="1"/>
  <c r="W14" i="13"/>
  <c r="Q17" i="10"/>
  <c r="Q15" i="10"/>
  <c r="Q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U15" i="11"/>
  <c r="U16" i="11" s="1"/>
  <c r="O17" i="11"/>
  <c r="S17" i="11"/>
  <c r="U15" i="10"/>
  <c r="U16" i="10" s="1"/>
  <c r="O17" i="10"/>
  <c r="S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O16" i="11"/>
  <c r="O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U17" i="7"/>
  <c r="V17" i="8"/>
  <c r="W17" i="12"/>
  <c r="W17" i="16"/>
  <c r="W17" i="11"/>
  <c r="W17" i="6"/>
  <c r="W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K9" i="10"/>
  <c r="K10" i="10"/>
  <c r="K11" i="10"/>
  <c r="K12" i="10"/>
  <c r="K9" i="11"/>
  <c r="K10" i="11"/>
  <c r="K11" i="11"/>
  <c r="K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J14" i="11"/>
  <c r="I14" i="11"/>
  <c r="H14" i="11"/>
  <c r="G14" i="11"/>
  <c r="G15" i="11" s="1"/>
  <c r="G16" i="11" s="1"/>
  <c r="F14" i="11"/>
  <c r="E14" i="11"/>
  <c r="D14" i="11"/>
  <c r="C14" i="11"/>
  <c r="J14" i="10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K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K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K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K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<sst xmlns="http://schemas.openxmlformats.org/spreadsheetml/2006/main" count="1400" uniqueCount="42">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</sst>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2"/>
    </row>
    <row r="3" spans="1:11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</row>
    <row r="4" spans="1:11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</row>
    <row r="5" spans="1:11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</row>
    <row r="6" spans="1:11" ht="15" thickBot="1" x14ac:dyDescent="0.4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  <c r="AB2" t="s">
        <v>38</v>
      </c>
    </row>
    <row r="3" spans="1:30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  <c r="AB3">
        <v>14</v>
      </c>
      <c r="AC3">
        <v>13</v>
      </c>
      <c r="AD3">
        <v>13</v>
      </c>
    </row>
    <row r="4" spans="1:30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30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30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ht="14.5" customHeight="1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4.5" customHeight="1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ht="14.5" customHeight="1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0" t="s">
        <v>36</v>
      </c>
      <c r="C2" s="61"/>
      <c r="D2" s="61"/>
      <c r="E2" s="61"/>
      <c r="F2" s="61"/>
      <c r="G2" s="61"/>
      <c r="H2" s="61"/>
      <c r="I2" s="62"/>
      <c r="L2" s="1"/>
      <c r="M2" s="60" t="s">
        <v>37</v>
      </c>
      <c r="N2" s="61"/>
      <c r="O2" s="61"/>
      <c r="P2" s="61"/>
      <c r="Q2" s="61"/>
      <c r="R2" s="61"/>
      <c r="S2" s="61"/>
      <c r="T2" s="61"/>
      <c r="U2" s="62"/>
    </row>
    <row r="3" spans="1:23" x14ac:dyDescent="0.35">
      <c r="A3" s="1"/>
      <c r="B3" s="63"/>
      <c r="C3" s="64"/>
      <c r="D3" s="64"/>
      <c r="E3" s="64"/>
      <c r="F3" s="64"/>
      <c r="G3" s="64"/>
      <c r="H3" s="64"/>
      <c r="I3" s="65"/>
      <c r="L3" s="1"/>
      <c r="M3" s="63"/>
      <c r="N3" s="64"/>
      <c r="O3" s="64"/>
      <c r="P3" s="64"/>
      <c r="Q3" s="64"/>
      <c r="R3" s="64"/>
      <c r="S3" s="64"/>
      <c r="T3" s="64"/>
      <c r="U3" s="65"/>
    </row>
    <row r="4" spans="1:23" x14ac:dyDescent="0.35">
      <c r="A4" s="1"/>
      <c r="B4" s="63"/>
      <c r="C4" s="64"/>
      <c r="D4" s="64"/>
      <c r="E4" s="64"/>
      <c r="F4" s="64"/>
      <c r="G4" s="64"/>
      <c r="H4" s="64"/>
      <c r="I4" s="65"/>
      <c r="L4" s="1"/>
      <c r="M4" s="63"/>
      <c r="N4" s="64"/>
      <c r="O4" s="64"/>
      <c r="P4" s="64"/>
      <c r="Q4" s="64"/>
      <c r="R4" s="64"/>
      <c r="S4" s="64"/>
      <c r="T4" s="64"/>
      <c r="U4" s="65"/>
    </row>
    <row r="5" spans="1:23" ht="15" thickBot="1" x14ac:dyDescent="0.4">
      <c r="A5" s="1"/>
      <c r="B5" s="66"/>
      <c r="C5" s="67"/>
      <c r="D5" s="67"/>
      <c r="E5" s="67"/>
      <c r="F5" s="67"/>
      <c r="G5" s="67"/>
      <c r="H5" s="67"/>
      <c r="I5" s="68"/>
      <c r="L5" s="1"/>
      <c r="M5" s="66"/>
      <c r="N5" s="67"/>
      <c r="O5" s="67"/>
      <c r="P5" s="67"/>
      <c r="Q5" s="67"/>
      <c r="R5" s="67"/>
      <c r="S5" s="67"/>
      <c r="T5" s="67"/>
      <c r="U5" s="68"/>
    </row>
    <row r="6" spans="1:23" x14ac:dyDescent="0.35">
      <c r="A6" s="1"/>
      <c r="B6" s="2"/>
      <c r="C6" s="3" t="s">
        <v>1</v>
      </c>
      <c r="D6" s="69" t="s">
        <v>2</v>
      </c>
      <c r="E6" s="70"/>
      <c r="F6" s="70"/>
      <c r="G6" s="70"/>
      <c r="H6" s="70"/>
      <c r="I6" s="71"/>
      <c r="L6" s="1"/>
      <c r="M6" s="2"/>
      <c r="N6" s="3" t="s">
        <v>1</v>
      </c>
      <c r="O6" s="69" t="s">
        <v>2</v>
      </c>
      <c r="P6" s="70"/>
      <c r="Q6" s="70"/>
      <c r="R6" s="70" t="s">
        <v>3</v>
      </c>
      <c r="S6" s="70"/>
      <c r="T6" s="70"/>
      <c r="U6" s="71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Z9" sqref="Z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L2" s="1"/>
      <c r="M2" s="60" t="s">
        <v>37</v>
      </c>
      <c r="N2" s="61"/>
      <c r="O2" s="61"/>
      <c r="P2" s="61"/>
      <c r="Q2" s="61"/>
      <c r="R2" s="61"/>
      <c r="S2" s="61"/>
      <c r="T2" s="61"/>
    </row>
    <row r="3" spans="1:23" x14ac:dyDescent="0.35">
      <c r="A3" s="1"/>
      <c r="B3" s="63"/>
      <c r="C3" s="64"/>
      <c r="D3" s="64"/>
      <c r="E3" s="64"/>
      <c r="F3" s="64"/>
      <c r="G3" s="64"/>
      <c r="H3" s="64"/>
      <c r="I3" s="64"/>
      <c r="L3" s="1"/>
      <c r="M3" s="63"/>
      <c r="N3" s="64"/>
      <c r="O3" s="64"/>
      <c r="P3" s="64"/>
      <c r="Q3" s="64"/>
      <c r="R3" s="64"/>
      <c r="S3" s="64"/>
      <c r="T3" s="64"/>
    </row>
    <row r="4" spans="1:23" x14ac:dyDescent="0.35">
      <c r="A4" s="1"/>
      <c r="B4" s="63"/>
      <c r="C4" s="64"/>
      <c r="D4" s="64"/>
      <c r="E4" s="64"/>
      <c r="F4" s="64"/>
      <c r="G4" s="64"/>
      <c r="H4" s="64"/>
      <c r="I4" s="64"/>
      <c r="L4" s="1"/>
      <c r="M4" s="63"/>
      <c r="N4" s="64"/>
      <c r="O4" s="64"/>
      <c r="P4" s="64"/>
      <c r="Q4" s="64"/>
      <c r="R4" s="64"/>
      <c r="S4" s="64"/>
      <c r="T4" s="64"/>
    </row>
    <row r="5" spans="1:23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L5" s="1"/>
      <c r="M5" s="66"/>
      <c r="N5" s="67"/>
      <c r="O5" s="67"/>
      <c r="P5" s="67"/>
      <c r="Q5" s="67"/>
      <c r="R5" s="67"/>
      <c r="S5" s="67"/>
      <c r="T5" s="67"/>
    </row>
    <row r="6" spans="1:23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L6" s="1"/>
      <c r="M6" s="2"/>
      <c r="N6" s="3" t="s">
        <v>1</v>
      </c>
      <c r="O6" s="69" t="s">
        <v>2</v>
      </c>
      <c r="P6" s="70"/>
      <c r="Q6" s="71"/>
      <c r="R6" s="72" t="s">
        <v>3</v>
      </c>
      <c r="S6" s="73"/>
      <c r="T6" s="73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41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tabSelected="1" topLeftCell="A3" zoomScaleNormal="100" workbookViewId="0">
      <selection activeCell="K13" sqref="K1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L2" s="1"/>
      <c r="M2" s="60" t="s">
        <v>37</v>
      </c>
      <c r="N2" s="61"/>
      <c r="O2" s="61"/>
      <c r="P2" s="61"/>
      <c r="Q2" s="61"/>
      <c r="R2" s="61"/>
      <c r="S2" s="61"/>
      <c r="T2" s="61"/>
      <c r="U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L3" s="1"/>
      <c r="M3" s="63"/>
      <c r="N3" s="64"/>
      <c r="O3" s="64"/>
      <c r="P3" s="64"/>
      <c r="Q3" s="64"/>
      <c r="R3" s="64"/>
      <c r="S3" s="64"/>
      <c r="T3" s="64"/>
      <c r="U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L4" s="1"/>
      <c r="M4" s="63"/>
      <c r="N4" s="64"/>
      <c r="O4" s="64"/>
      <c r="P4" s="64"/>
      <c r="Q4" s="64"/>
      <c r="R4" s="64"/>
      <c r="S4" s="64"/>
      <c r="T4" s="64"/>
      <c r="U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L5" s="1"/>
      <c r="M5" s="66"/>
      <c r="N5" s="67"/>
      <c r="O5" s="67"/>
      <c r="P5" s="67"/>
      <c r="Q5" s="67"/>
      <c r="R5" s="67"/>
      <c r="S5" s="67"/>
      <c r="T5" s="67"/>
      <c r="U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L6" s="1"/>
      <c r="M6" s="2"/>
      <c r="N6" s="3" t="s">
        <v>1</v>
      </c>
      <c r="O6" s="69" t="s">
        <v>2</v>
      </c>
      <c r="P6" s="70"/>
      <c r="Q6" s="71"/>
      <c r="R6" s="70" t="s">
        <v>3</v>
      </c>
      <c r="S6" s="70"/>
      <c r="T6" s="70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/>
      <c r="V9">
        <f>SUM(N9:P9,R9,S9,T9)/40</f>
        <v>0</v>
      </c>
    </row>
    <row r="10" spans="1:24" x14ac:dyDescent="0.35">
      <c r="A10" s="27"/>
      <c r="B10" s="10" t="s">
        <v>39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/>
      <c r="V10">
        <f>SUM(N10:P10,R10,S10,T10)/40</f>
        <v>0</v>
      </c>
    </row>
    <row r="11" spans="1:24" x14ac:dyDescent="0.35">
      <c r="A11" s="11"/>
      <c r="B11" s="11" t="s">
        <v>33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/>
      <c r="V11">
        <f>SUM(N11:P11,R11,S11,T11)/40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>
        <f t="shared" si="0"/>
        <v>0</v>
      </c>
      <c r="R12" s="12"/>
      <c r="S12" s="12"/>
      <c r="T12" s="12"/>
      <c r="U12" s="28"/>
      <c r="V12">
        <f>SUM(N12:P12,R12,S12,T12)/40</f>
        <v>0</v>
      </c>
    </row>
    <row r="13" spans="1:24" x14ac:dyDescent="0.35">
      <c r="A13" s="11"/>
      <c r="B13" s="11" t="s">
        <v>34</v>
      </c>
      <c r="C13" s="12"/>
      <c r="D13" s="12"/>
      <c r="E13" s="12"/>
      <c r="F13" s="12"/>
      <c r="G13" s="12"/>
      <c r="H13" s="12"/>
      <c r="I13" s="12"/>
      <c r="J13">
        <v>95</v>
      </c>
      <c r="K13" s="74">
        <v>7</v>
      </c>
      <c r="L13" s="11"/>
      <c r="M13" s="11" t="str">
        <f>B13</f>
        <v xml:space="preserve">Shakoor </v>
      </c>
      <c r="N13" s="12"/>
      <c r="O13" s="12"/>
      <c r="P13" s="12"/>
      <c r="Q13" s="28">
        <f t="shared" si="0"/>
        <v>0</v>
      </c>
      <c r="R13" s="12"/>
      <c r="S13" s="12"/>
      <c r="T13" s="12"/>
      <c r="U13" s="28"/>
    </row>
    <row r="14" spans="1:24" x14ac:dyDescent="0.35">
      <c r="A14" s="13"/>
      <c r="B14" s="10"/>
      <c r="C14" s="14">
        <f t="shared" ref="C14:I14" si="1">SUM(C8:C13)</f>
        <v>445</v>
      </c>
      <c r="D14" s="14">
        <f t="shared" si="1"/>
        <v>227</v>
      </c>
      <c r="E14" s="14">
        <f t="shared" si="1"/>
        <v>227</v>
      </c>
      <c r="F14" s="14">
        <f t="shared" si="1"/>
        <v>0</v>
      </c>
      <c r="G14" s="14">
        <f t="shared" si="1"/>
        <v>305</v>
      </c>
      <c r="H14" s="14">
        <f t="shared" si="1"/>
        <v>250</v>
      </c>
      <c r="I14" s="14">
        <f t="shared" si="1"/>
        <v>509</v>
      </c>
      <c r="J14" s="35">
        <f>C14+D14+E14+F14+G14+H14+I14</f>
        <v>1963</v>
      </c>
      <c r="L14" s="13"/>
      <c r="M14" s="10"/>
      <c r="N14" s="14">
        <f t="shared" ref="N14:T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3">E14/20</f>
        <v>11.35</v>
      </c>
      <c r="F15" s="13">
        <f t="shared" si="3"/>
        <v>0</v>
      </c>
      <c r="G15" s="13">
        <f t="shared" si="3"/>
        <v>15.25</v>
      </c>
      <c r="H15" s="13">
        <f t="shared" si="3"/>
        <v>12.5</v>
      </c>
      <c r="I15" s="13">
        <f t="shared" si="3"/>
        <v>25.45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6">D15+D14</f>
        <v>238.35</v>
      </c>
      <c r="E16" s="36">
        <f t="shared" si="6"/>
        <v>238.35</v>
      </c>
      <c r="F16" s="36">
        <f t="shared" si="6"/>
        <v>0</v>
      </c>
      <c r="G16" s="36">
        <f t="shared" si="6"/>
        <v>320.25</v>
      </c>
      <c r="H16" s="36">
        <f t="shared" si="6"/>
        <v>262.5</v>
      </c>
      <c r="I16" s="36">
        <f t="shared" si="6"/>
        <v>534.45000000000005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9">D14/40</f>
        <v>5.6749999999999998</v>
      </c>
      <c r="E17" s="36">
        <f t="shared" si="9"/>
        <v>5.6749999999999998</v>
      </c>
      <c r="F17" s="36">
        <f t="shared" si="9"/>
        <v>0</v>
      </c>
      <c r="G17" s="36">
        <f t="shared" si="9"/>
        <v>7.625</v>
      </c>
      <c r="H17" s="36">
        <f t="shared" si="9"/>
        <v>6.25</v>
      </c>
      <c r="I17" s="36">
        <f t="shared" si="9"/>
        <v>12.725</v>
      </c>
      <c r="J17" s="35">
        <f>SUM(C17:I17)</f>
        <v>49.075000000000003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2" t="s">
        <v>24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2" t="s">
        <v>24</v>
      </c>
    </row>
    <row r="14" spans="1:24" x14ac:dyDescent="0.35">
      <c r="A14" s="13"/>
      <c r="B14" s="10" t="s">
        <v>16</v>
      </c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 t="s">
        <v>16</v>
      </c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6"/>
      <c r="K16" s="42" t="s">
        <v>25</v>
      </c>
      <c r="M16" s="13"/>
      <c r="N16" s="10" t="s">
        <v>21</v>
      </c>
      <c r="O16" s="36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6"/>
      <c r="W16" s="42" t="s">
        <v>25</v>
      </c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5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5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5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5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5" ht="14.5" customHeight="1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5" ht="14.5" customHeight="1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5" ht="15" customHeight="1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5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2026-07-10T13:33:11Z</dcterms:modified>
</cp:coreProperties>
</file>