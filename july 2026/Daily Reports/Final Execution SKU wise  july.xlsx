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15140DE-01E4-4598-9176-1BF79C5E5F8F}" xr6:coauthVersionLast="47" xr6:coauthVersionMax="47" xr10:uidLastSave="{00000000-0000-0000-0000-000000000000}"/>
  <bookViews>
    <workbookView xWindow="-110" yWindow="-110" windowWidth="19420" windowHeight="10420" tabRatio="887" activeTab="26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M9" i="23"/>
  <c r="M10" i="23"/>
  <c r="M11" i="23"/>
  <c r="M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M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U9" i="23"/>
  <c r="U10" i="23"/>
  <c r="U11" i="23"/>
  <c r="U12" i="23"/>
  <c r="U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Q9" i="23"/>
  <c r="Q10" i="23"/>
  <c r="Q11" i="23"/>
  <c r="Q12" i="23"/>
  <c r="Q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T14" i="23"/>
  <c r="T15" i="23" s="1"/>
  <c r="T16" i="23" s="1"/>
  <c r="S14" i="23"/>
  <c r="S17" i="23" s="1"/>
  <c r="R14" i="23"/>
  <c r="R17" i="23" s="1"/>
  <c r="P14" i="23"/>
  <c r="P15" i="23" s="1"/>
  <c r="P16" i="23" s="1"/>
  <c r="O14" i="23"/>
  <c r="N14" i="23"/>
  <c r="N16" i="23" s="1"/>
  <c r="V12" i="23"/>
  <c r="V11" i="23"/>
  <c r="V10" i="23"/>
  <c r="V9" i="23"/>
  <c r="V8" i="23"/>
  <c r="U8" i="23"/>
  <c r="U14" i="23" s="1"/>
  <c r="Q8" i="23"/>
  <c r="Q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P17" i="23"/>
  <c r="P15" i="22"/>
  <c r="P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T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V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R15" i="23"/>
  <c r="R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O17" i="23"/>
  <c r="O15" i="23"/>
  <c r="O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S15" i="23"/>
  <c r="S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N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V17" i="21" l="1"/>
  <c r="W17" i="24"/>
  <c r="Y17" i="4"/>
  <c r="W17" i="20"/>
  <c r="V17" i="22"/>
  <c r="W17" i="32"/>
  <c r="Y17" i="30"/>
  <c r="V17" i="18"/>
  <c r="V17" i="14"/>
  <c r="V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J9" i="23"/>
  <c r="J10" i="23"/>
  <c r="J11" i="23"/>
  <c r="J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J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J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J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<sst xmlns="http://schemas.openxmlformats.org/spreadsheetml/2006/main" count="1388" uniqueCount="49">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</sst>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37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59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59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>
        <v>400</v>
      </c>
      <c r="Q12" s="12">
        <v>480</v>
      </c>
      <c r="R12" s="28"/>
      <c r="S12" s="12">
        <v>360</v>
      </c>
      <c r="T12" s="12">
        <v>360</v>
      </c>
      <c r="U12" s="12">
        <v>360</v>
      </c>
      <c r="V12" s="48">
        <f t="shared" si="1"/>
        <v>49</v>
      </c>
      <c r="W12" s="59">
        <v>4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420</v>
      </c>
      <c r="Q14" s="14">
        <f t="shared" si="3"/>
        <v>500</v>
      </c>
      <c r="R14" s="14">
        <f t="shared" si="3"/>
        <v>0</v>
      </c>
      <c r="S14" s="14">
        <f t="shared" si="3"/>
        <v>493</v>
      </c>
      <c r="T14" s="14">
        <f t="shared" si="3"/>
        <v>499</v>
      </c>
      <c r="U14" s="14">
        <f t="shared" si="3"/>
        <v>658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21</v>
      </c>
      <c r="Q15" s="13">
        <f t="shared" ref="Q15" si="5">Q14/20</f>
        <v>25</v>
      </c>
      <c r="R15" s="13"/>
      <c r="S15" s="13">
        <f t="shared" ref="S15:U15" si="6">S14/20</f>
        <v>24.65</v>
      </c>
      <c r="T15" s="13">
        <f t="shared" si="6"/>
        <v>24.95</v>
      </c>
      <c r="U15" s="13">
        <f t="shared" si="6"/>
        <v>32.9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441</v>
      </c>
      <c r="Q16" s="36">
        <f t="shared" si="8"/>
        <v>525</v>
      </c>
      <c r="R16" s="36"/>
      <c r="S16" s="36">
        <f t="shared" ref="S16:U16" si="9">S15+S14</f>
        <v>517.65</v>
      </c>
      <c r="T16" s="36">
        <f t="shared" si="9"/>
        <v>523.95000000000005</v>
      </c>
      <c r="U16" s="36">
        <f t="shared" si="9"/>
        <v>690.9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10.5</v>
      </c>
      <c r="Q17" s="36">
        <f t="shared" si="11"/>
        <v>12.5</v>
      </c>
      <c r="R17" s="36"/>
      <c r="S17" s="36">
        <f t="shared" ref="S17:U17" si="12">S14/40</f>
        <v>12.324999999999999</v>
      </c>
      <c r="T17" s="36">
        <f t="shared" si="12"/>
        <v>12.475</v>
      </c>
      <c r="U17" s="36">
        <f t="shared" si="12"/>
        <v>16.45</v>
      </c>
      <c r="V17" s="35">
        <f>SUM(O17:U17)</f>
        <v>67.05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zoomScaleNormal="100" workbookViewId="0">
      <selection activeCell="Q11" sqref="Q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44">
        <v>2</v>
      </c>
      <c r="L9" s="27"/>
      <c r="M9" s="10" t="str">
        <f>B9</f>
        <v>Salman</v>
      </c>
      <c r="N9" s="12"/>
      <c r="O9" s="12">
        <v>40</v>
      </c>
      <c r="P9" s="12">
        <v>40</v>
      </c>
      <c r="Q9" s="12">
        <v>0</v>
      </c>
      <c r="R9" s="12">
        <v>40</v>
      </c>
      <c r="S9" s="12">
        <v>40</v>
      </c>
      <c r="T9" s="12"/>
      <c r="U9" s="12">
        <v>40</v>
      </c>
      <c r="V9">
        <f t="shared" ref="V9:V12" si="1">SUM(N9:U9)/40</f>
        <v>5</v>
      </c>
      <c r="W9" s="44">
        <v>1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12"/>
      <c r="R10" s="12"/>
      <c r="S10" s="12"/>
      <c r="T10" s="12"/>
      <c r="U10" s="12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44">
        <v>4</v>
      </c>
      <c r="L11" s="11"/>
      <c r="M11" s="10" t="str">
        <f>B11</f>
        <v>Umair</v>
      </c>
      <c r="N11" s="12"/>
      <c r="O11" s="12"/>
      <c r="P11" s="12"/>
      <c r="Q11" s="12"/>
      <c r="R11" s="12"/>
      <c r="S11" s="12"/>
      <c r="T11" s="12"/>
      <c r="U11" s="12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44">
        <v>5</v>
      </c>
      <c r="L12" s="11"/>
      <c r="M12" s="10" t="str">
        <f>B12</f>
        <v>Shakoor</v>
      </c>
      <c r="N12" s="12"/>
      <c r="O12" s="12"/>
      <c r="P12" s="12"/>
      <c r="Q12" s="12"/>
      <c r="R12" s="12"/>
      <c r="S12" s="12"/>
      <c r="T12" s="12"/>
      <c r="U12" s="12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  <c r="U13" s="12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0</v>
      </c>
      <c r="O14" s="14">
        <f t="shared" si="3"/>
        <v>40</v>
      </c>
      <c r="P14" s="14">
        <f t="shared" si="3"/>
        <v>40</v>
      </c>
      <c r="Q14" s="14">
        <f t="shared" si="3"/>
        <v>0</v>
      </c>
      <c r="R14" s="14">
        <f t="shared" si="3"/>
        <v>40</v>
      </c>
      <c r="S14" s="14">
        <f t="shared" si="3"/>
        <v>40</v>
      </c>
      <c r="T14" s="14">
        <f t="shared" si="3"/>
        <v>0</v>
      </c>
      <c r="U14" s="14">
        <f t="shared" si="3"/>
        <v>40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2</v>
      </c>
      <c r="P15" s="13">
        <f t="shared" ref="P15" si="5">P14/20</f>
        <v>2</v>
      </c>
      <c r="Q15" s="13"/>
      <c r="R15" s="13">
        <f t="shared" ref="R15:T15" si="6">R14/20</f>
        <v>2</v>
      </c>
      <c r="S15" s="13">
        <f t="shared" si="6"/>
        <v>2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0</v>
      </c>
      <c r="O16" s="36">
        <f t="shared" ref="O16:P16" si="8">O15+O14</f>
        <v>42</v>
      </c>
      <c r="P16" s="36">
        <f t="shared" si="8"/>
        <v>42</v>
      </c>
      <c r="Q16" s="36"/>
      <c r="R16" s="36">
        <f t="shared" ref="R16:T16" si="9">R15+R14</f>
        <v>42</v>
      </c>
      <c r="S16" s="36">
        <f t="shared" si="9"/>
        <v>42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0</v>
      </c>
      <c r="O17" s="36">
        <f t="shared" ref="O17:P17" si="11">O14/40</f>
        <v>1</v>
      </c>
      <c r="P17" s="36">
        <f t="shared" si="11"/>
        <v>1</v>
      </c>
      <c r="Q17" s="36"/>
      <c r="R17" s="36">
        <f t="shared" ref="R17:T17" si="12">R14/40</f>
        <v>1</v>
      </c>
      <c r="S17" s="36">
        <f t="shared" si="12"/>
        <v>1</v>
      </c>
      <c r="T17" s="36">
        <f t="shared" si="12"/>
        <v>0</v>
      </c>
      <c r="U17" s="36"/>
      <c r="V17" s="35">
        <f>SUM(N17:T17)</f>
        <v>4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W19"/>
  <sheetViews>
    <sheetView tabSelected="1" zoomScaleNormal="100" workbookViewId="0">
      <selection activeCell="Y14" sqref="Y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>SUM(C10:F10,G10,H10,I10)/40</f>
        <v>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>SUM(C11:F11,G11,H11,I11)/40</f>
        <v>0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32</v>
      </c>
      <c r="C12" s="12"/>
      <c r="D12" s="12">
        <v>360</v>
      </c>
      <c r="E12" s="12">
        <v>360</v>
      </c>
      <c r="F12" s="12">
        <v>0</v>
      </c>
      <c r="G12" s="12">
        <v>320</v>
      </c>
      <c r="H12" s="12">
        <v>400</v>
      </c>
      <c r="I12" s="12">
        <v>320</v>
      </c>
      <c r="J12">
        <f>SUM(C12:F12,G12,H12,I12)/40</f>
        <v>44</v>
      </c>
      <c r="K12" s="75">
        <v>7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0</v>
      </c>
      <c r="D14" s="14">
        <f t="shared" si="2"/>
        <v>360</v>
      </c>
      <c r="E14" s="14">
        <f t="shared" si="2"/>
        <v>360</v>
      </c>
      <c r="F14" s="14">
        <f t="shared" si="2"/>
        <v>0</v>
      </c>
      <c r="G14" s="14">
        <f t="shared" si="2"/>
        <v>320</v>
      </c>
      <c r="H14" s="14">
        <f t="shared" si="2"/>
        <v>400</v>
      </c>
      <c r="I14" s="14">
        <f t="shared" si="2"/>
        <v>320</v>
      </c>
      <c r="J14" s="35">
        <f>C14+D14+E14+F14+G14+H14+I14</f>
        <v>1760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18</v>
      </c>
      <c r="E15" s="13">
        <f t="shared" ref="E15:I15" si="4">E14/20</f>
        <v>18</v>
      </c>
      <c r="F15" s="13">
        <f t="shared" si="4"/>
        <v>0</v>
      </c>
      <c r="G15" s="13">
        <f t="shared" si="4"/>
        <v>16</v>
      </c>
      <c r="H15" s="13">
        <f t="shared" si="4"/>
        <v>20</v>
      </c>
      <c r="I15" s="13">
        <f t="shared" si="4"/>
        <v>16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0</v>
      </c>
      <c r="D16" s="36">
        <f t="shared" ref="D16:I16" si="7">D15+D14</f>
        <v>378</v>
      </c>
      <c r="E16" s="36">
        <f t="shared" si="7"/>
        <v>378</v>
      </c>
      <c r="F16" s="36">
        <f t="shared" si="7"/>
        <v>0</v>
      </c>
      <c r="G16" s="36">
        <f t="shared" si="7"/>
        <v>336</v>
      </c>
      <c r="H16" s="36">
        <f t="shared" si="7"/>
        <v>420</v>
      </c>
      <c r="I16" s="36">
        <f t="shared" si="7"/>
        <v>336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0</v>
      </c>
      <c r="D17" s="36">
        <f t="shared" ref="D17:I17" si="10">D14/40</f>
        <v>9</v>
      </c>
      <c r="E17" s="36">
        <f t="shared" si="10"/>
        <v>9</v>
      </c>
      <c r="F17" s="36">
        <f t="shared" si="10"/>
        <v>0</v>
      </c>
      <c r="G17" s="36">
        <f t="shared" si="10"/>
        <v>8</v>
      </c>
      <c r="H17" s="36">
        <f t="shared" si="10"/>
        <v>10</v>
      </c>
      <c r="I17" s="36">
        <f t="shared" si="10"/>
        <v>8</v>
      </c>
      <c r="J17" s="35">
        <f>SUM(C17:I17)</f>
        <v>44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2026-07-25T11:31:07Z</dcterms:modified>
</cp:coreProperties>
</file>