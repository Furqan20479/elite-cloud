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F14EF40B-328D-4227-885A-B8531CE003CB}" xr6:coauthVersionLast="47" xr6:coauthVersionMax="47" xr10:uidLastSave="{00000000-0000-0000-0000-000000000000}"/>
  <bookViews>
    <workbookView xWindow="-110" yWindow="-110" windowWidth="19420" windowHeight="10420" tabRatio="887" activeTab="25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9" i="21" l="1"/>
  <c r="V10" i="21"/>
  <c r="V11" i="21"/>
  <c r="V12" i="21"/>
  <c r="V8" i="21"/>
  <c r="J9" i="22" l="1"/>
  <c r="J10" i="22"/>
  <c r="J11" i="22"/>
  <c r="J12" i="22"/>
  <c r="J8" i="22"/>
  <c r="V9" i="22"/>
  <c r="V10" i="22"/>
  <c r="V11" i="22"/>
  <c r="V12" i="22"/>
  <c r="V8" i="22"/>
  <c r="W10" i="20"/>
  <c r="W11" i="20"/>
  <c r="W9" i="20" l="1"/>
  <c r="T12" i="17" l="1"/>
  <c r="R12" i="17"/>
  <c r="P12" i="17"/>
  <c r="O12" i="17"/>
  <c r="U9" i="17" l="1"/>
  <c r="U8" i="17"/>
  <c r="U12" i="17"/>
  <c r="U11" i="17" l="1"/>
  <c r="U13" i="17"/>
  <c r="U10" i="17"/>
  <c r="V9" i="18"/>
  <c r="V10" i="18"/>
  <c r="V11" i="18"/>
  <c r="V12" i="18"/>
  <c r="V13" i="18"/>
  <c r="V8" i="18"/>
  <c r="V9" i="19"/>
  <c r="V10" i="19"/>
  <c r="V11" i="19"/>
  <c r="V12" i="19"/>
  <c r="V13" i="19"/>
  <c r="V8" i="19"/>
  <c r="V9" i="15"/>
  <c r="V10" i="15"/>
  <c r="V11" i="15"/>
  <c r="V12" i="15"/>
  <c r="V8" i="15"/>
  <c r="J9" i="15" l="1"/>
  <c r="J10" i="15"/>
  <c r="J11" i="15"/>
  <c r="J12" i="15"/>
  <c r="J8" i="15"/>
  <c r="V11" i="14" l="1"/>
  <c r="V9" i="14" l="1"/>
  <c r="V10" i="14"/>
  <c r="V8" i="14"/>
  <c r="V14" i="12" l="1"/>
  <c r="J12" i="12"/>
  <c r="V9" i="13" l="1"/>
  <c r="V10" i="13"/>
  <c r="V11" i="13"/>
  <c r="V12" i="13"/>
  <c r="V8" i="13"/>
  <c r="J9" i="13"/>
  <c r="J10" i="13"/>
  <c r="J11" i="13"/>
  <c r="J12" i="13"/>
  <c r="J8" i="13"/>
  <c r="V9" i="12"/>
  <c r="V10" i="12"/>
  <c r="V11" i="12"/>
  <c r="V12" i="12"/>
  <c r="V8" i="12"/>
  <c r="U9" i="11"/>
  <c r="U10" i="11"/>
  <c r="U11" i="11"/>
  <c r="U12" i="11"/>
  <c r="U8" i="11"/>
  <c r="Z11" i="10"/>
  <c r="U11" i="10"/>
  <c r="X14" i="10"/>
  <c r="U9" i="10" l="1"/>
  <c r="U10" i="10"/>
  <c r="U8" i="10"/>
  <c r="J11" i="10"/>
  <c r="J12" i="10"/>
  <c r="G12" i="10"/>
  <c r="H12" i="10"/>
  <c r="I12" i="10"/>
  <c r="M13" i="10"/>
  <c r="V10" i="8"/>
  <c r="V11" i="8"/>
  <c r="V12" i="8"/>
  <c r="V9" i="8"/>
  <c r="M13" i="8" l="1"/>
  <c r="X20" i="8"/>
  <c r="X19" i="8"/>
  <c r="X18" i="8"/>
  <c r="X17" i="8"/>
  <c r="V10" i="7"/>
  <c r="V11" i="7"/>
  <c r="V12" i="7"/>
  <c r="V13" i="7"/>
  <c r="V9" i="7"/>
  <c r="W9" i="6" l="1"/>
  <c r="W10" i="6"/>
  <c r="W11" i="6"/>
  <c r="W12" i="6"/>
  <c r="W8" i="6"/>
  <c r="J9" i="5" l="1"/>
  <c r="J10" i="5"/>
  <c r="J11" i="5"/>
  <c r="J12" i="5"/>
  <c r="J8" i="5"/>
  <c r="Z11" i="28" l="1"/>
  <c r="P11" i="28"/>
  <c r="W11" i="28"/>
  <c r="V11" i="28"/>
  <c r="U11" i="28"/>
  <c r="R11" i="28"/>
  <c r="Q11" i="28"/>
  <c r="X13" i="2" l="1"/>
  <c r="X12" i="2"/>
  <c r="X11" i="2"/>
  <c r="X10" i="2"/>
  <c r="X9" i="2"/>
  <c r="T9" i="2"/>
  <c r="T10" i="2"/>
  <c r="T11" i="2"/>
  <c r="T12" i="2"/>
  <c r="T13" i="2"/>
  <c r="T8" i="2"/>
  <c r="X8" i="2" s="1"/>
  <c r="K13" i="2"/>
  <c r="G13" i="2"/>
  <c r="Y13" i="29" l="1"/>
  <c r="X13" i="29"/>
  <c r="T13" i="29"/>
  <c r="L13" i="28"/>
  <c r="O13" i="28"/>
  <c r="L11" i="29" l="1"/>
  <c r="L12" i="29"/>
  <c r="Y13" i="30" l="1"/>
  <c r="L12" i="30" l="1"/>
  <c r="L13" i="30"/>
  <c r="O13" i="30"/>
  <c r="O9" i="29"/>
  <c r="O10" i="29"/>
  <c r="O11" i="29"/>
  <c r="O12" i="29"/>
  <c r="O9" i="28"/>
  <c r="O10" i="28"/>
  <c r="O11" i="28"/>
  <c r="O12" i="28"/>
  <c r="O9" i="2"/>
  <c r="O10" i="2"/>
  <c r="O11" i="2"/>
  <c r="O12" i="2"/>
  <c r="O9" i="3"/>
  <c r="O10" i="3"/>
  <c r="O11" i="3"/>
  <c r="O12" i="3"/>
  <c r="O9" i="4"/>
  <c r="O10" i="4"/>
  <c r="O11" i="4"/>
  <c r="O12" i="4"/>
  <c r="M9" i="5"/>
  <c r="M10" i="5"/>
  <c r="M11" i="5"/>
  <c r="M12" i="5"/>
  <c r="N9" i="6"/>
  <c r="N10" i="6"/>
  <c r="N11" i="6"/>
  <c r="N12" i="6"/>
  <c r="M9" i="7"/>
  <c r="M10" i="7"/>
  <c r="M11" i="7"/>
  <c r="M12" i="7"/>
  <c r="M9" i="8"/>
  <c r="M10" i="8"/>
  <c r="M11" i="8"/>
  <c r="M12" i="8"/>
  <c r="N9" i="9"/>
  <c r="N10" i="9"/>
  <c r="N11" i="9"/>
  <c r="N12" i="9"/>
  <c r="M9" i="10"/>
  <c r="M10" i="10"/>
  <c r="M11" i="10"/>
  <c r="M12" i="10"/>
  <c r="M9" i="11"/>
  <c r="M10" i="11"/>
  <c r="M11" i="11"/>
  <c r="M9" i="12"/>
  <c r="M10" i="12"/>
  <c r="M11" i="12"/>
  <c r="M12" i="12"/>
  <c r="M9" i="13"/>
  <c r="M10" i="13"/>
  <c r="M11" i="13"/>
  <c r="M12" i="13"/>
  <c r="M9" i="14"/>
  <c r="M10" i="14"/>
  <c r="M11" i="14"/>
  <c r="M12" i="14"/>
  <c r="M9" i="15"/>
  <c r="M10" i="15"/>
  <c r="M11" i="15"/>
  <c r="M12" i="15"/>
  <c r="N9" i="16"/>
  <c r="N10" i="16"/>
  <c r="N11" i="16"/>
  <c r="N12" i="16"/>
  <c r="M9" i="17"/>
  <c r="M10" i="17"/>
  <c r="M11" i="17"/>
  <c r="M9" i="18"/>
  <c r="M10" i="18"/>
  <c r="M11" i="18"/>
  <c r="M12" i="18"/>
  <c r="M9" i="19"/>
  <c r="M10" i="19"/>
  <c r="M11" i="19"/>
  <c r="M12" i="19"/>
  <c r="N9" i="20"/>
  <c r="N10" i="20"/>
  <c r="N11" i="20"/>
  <c r="N12" i="20"/>
  <c r="N9" i="21"/>
  <c r="N10" i="21"/>
  <c r="N11" i="21"/>
  <c r="N12" i="21"/>
  <c r="M9" i="22"/>
  <c r="M10" i="22"/>
  <c r="M11" i="22"/>
  <c r="M12" i="22"/>
  <c r="N9" i="23"/>
  <c r="N10" i="23"/>
  <c r="N11" i="23"/>
  <c r="N12" i="23"/>
  <c r="N9" i="24"/>
  <c r="N10" i="24"/>
  <c r="N11" i="24"/>
  <c r="N12" i="24"/>
  <c r="N9" i="25"/>
  <c r="N10" i="25"/>
  <c r="N11" i="25"/>
  <c r="N12" i="25"/>
  <c r="N9" i="26"/>
  <c r="N10" i="26"/>
  <c r="N11" i="26"/>
  <c r="N12" i="26"/>
  <c r="N9" i="27"/>
  <c r="N10" i="27"/>
  <c r="N11" i="27"/>
  <c r="N12" i="27"/>
  <c r="N9" i="32"/>
  <c r="N10" i="32"/>
  <c r="N11" i="32"/>
  <c r="N12" i="32"/>
  <c r="O9" i="30"/>
  <c r="O10" i="30"/>
  <c r="O11" i="30"/>
  <c r="O12" i="30"/>
  <c r="O8" i="29"/>
  <c r="O8" i="28"/>
  <c r="O8" i="2"/>
  <c r="O8" i="3"/>
  <c r="O8" i="4"/>
  <c r="M8" i="5"/>
  <c r="N8" i="6"/>
  <c r="M8" i="7"/>
  <c r="M8" i="8"/>
  <c r="N8" i="9"/>
  <c r="M8" i="10"/>
  <c r="M8" i="11"/>
  <c r="M8" i="12"/>
  <c r="M8" i="13"/>
  <c r="M8" i="14"/>
  <c r="M8" i="15"/>
  <c r="N8" i="16"/>
  <c r="M8" i="17"/>
  <c r="M8" i="18"/>
  <c r="M8" i="19"/>
  <c r="N8" i="20"/>
  <c r="N8" i="21"/>
  <c r="M8" i="22"/>
  <c r="N8" i="23"/>
  <c r="N8" i="24"/>
  <c r="N8" i="25"/>
  <c r="N8" i="26"/>
  <c r="N8" i="27"/>
  <c r="N8" i="32"/>
  <c r="O8" i="30"/>
  <c r="X9" i="30" l="1"/>
  <c r="X10" i="30"/>
  <c r="X11" i="30"/>
  <c r="X12" i="30"/>
  <c r="X13" i="30"/>
  <c r="X9" i="29"/>
  <c r="X10" i="29"/>
  <c r="X11" i="29"/>
  <c r="X12" i="29"/>
  <c r="X9" i="28"/>
  <c r="X10" i="28"/>
  <c r="X11" i="28"/>
  <c r="X12" i="28"/>
  <c r="X13" i="28"/>
  <c r="V9" i="9"/>
  <c r="V10" i="9"/>
  <c r="V11" i="9"/>
  <c r="V12" i="9"/>
  <c r="V13" i="9"/>
  <c r="V9" i="16"/>
  <c r="V10" i="16"/>
  <c r="V11" i="16"/>
  <c r="V12" i="16"/>
  <c r="V13" i="16"/>
  <c r="V9" i="23"/>
  <c r="V10" i="23"/>
  <c r="V11" i="23"/>
  <c r="V12" i="23"/>
  <c r="V13" i="23"/>
  <c r="V9" i="24"/>
  <c r="V10" i="24"/>
  <c r="V11" i="24"/>
  <c r="V12" i="24"/>
  <c r="V13" i="24"/>
  <c r="V9" i="25"/>
  <c r="V10" i="25"/>
  <c r="V11" i="25"/>
  <c r="V12" i="25"/>
  <c r="V13" i="25"/>
  <c r="V9" i="26"/>
  <c r="V10" i="26"/>
  <c r="V11" i="26"/>
  <c r="V12" i="26"/>
  <c r="V13" i="26"/>
  <c r="V9" i="27"/>
  <c r="V10" i="27"/>
  <c r="V11" i="27"/>
  <c r="V12" i="27"/>
  <c r="V13" i="27"/>
  <c r="V9" i="32"/>
  <c r="V10" i="32"/>
  <c r="V11" i="32"/>
  <c r="V12" i="32"/>
  <c r="V13" i="32"/>
  <c r="X9" i="31"/>
  <c r="X10" i="31"/>
  <c r="X11" i="31"/>
  <c r="X12" i="31"/>
  <c r="X13" i="31"/>
  <c r="T9" i="30"/>
  <c r="T10" i="30"/>
  <c r="T11" i="30"/>
  <c r="T12" i="30"/>
  <c r="T13" i="30"/>
  <c r="T9" i="29"/>
  <c r="T10" i="29"/>
  <c r="T11" i="29"/>
  <c r="T12" i="29"/>
  <c r="T9" i="28"/>
  <c r="T10" i="28"/>
  <c r="T11" i="28"/>
  <c r="T12" i="28"/>
  <c r="T13" i="28"/>
  <c r="R9" i="9"/>
  <c r="R10" i="9"/>
  <c r="R11" i="9"/>
  <c r="R12" i="9"/>
  <c r="R13" i="9"/>
  <c r="R9" i="16"/>
  <c r="R10" i="16"/>
  <c r="R11" i="16"/>
  <c r="R12" i="16"/>
  <c r="R13" i="16"/>
  <c r="R9" i="23"/>
  <c r="R10" i="23"/>
  <c r="R11" i="23"/>
  <c r="R12" i="23"/>
  <c r="R13" i="23"/>
  <c r="R9" i="24"/>
  <c r="R10" i="24"/>
  <c r="R11" i="24"/>
  <c r="R12" i="24"/>
  <c r="R13" i="24"/>
  <c r="R9" i="25"/>
  <c r="R10" i="25"/>
  <c r="R11" i="25"/>
  <c r="R12" i="25"/>
  <c r="R13" i="25"/>
  <c r="R9" i="26"/>
  <c r="R10" i="26"/>
  <c r="R11" i="26"/>
  <c r="R12" i="26"/>
  <c r="R13" i="26"/>
  <c r="R9" i="27"/>
  <c r="R10" i="27"/>
  <c r="R11" i="27"/>
  <c r="R12" i="27"/>
  <c r="R13" i="27"/>
  <c r="R9" i="32"/>
  <c r="R10" i="32"/>
  <c r="R11" i="32"/>
  <c r="R12" i="32"/>
  <c r="R13" i="32"/>
  <c r="T9" i="31"/>
  <c r="T10" i="31"/>
  <c r="T11" i="31"/>
  <c r="T12" i="31"/>
  <c r="T13" i="31"/>
  <c r="K9" i="30"/>
  <c r="K10" i="30"/>
  <c r="K11" i="30"/>
  <c r="K12" i="30"/>
  <c r="K13" i="30"/>
  <c r="K9" i="29"/>
  <c r="K10" i="29"/>
  <c r="K11" i="29"/>
  <c r="K12" i="29"/>
  <c r="K13" i="29"/>
  <c r="K9" i="28"/>
  <c r="K10" i="28"/>
  <c r="K11" i="28"/>
  <c r="K12" i="28"/>
  <c r="K13" i="28"/>
  <c r="J9" i="6"/>
  <c r="J10" i="6"/>
  <c r="J11" i="6"/>
  <c r="J12" i="6"/>
  <c r="J13" i="6"/>
  <c r="J9" i="9"/>
  <c r="J10" i="9"/>
  <c r="J11" i="9"/>
  <c r="J12" i="9"/>
  <c r="J13" i="9"/>
  <c r="J9" i="16"/>
  <c r="J10" i="16"/>
  <c r="J11" i="16"/>
  <c r="J12" i="16"/>
  <c r="J13" i="16"/>
  <c r="J9" i="20"/>
  <c r="J10" i="20"/>
  <c r="J11" i="20"/>
  <c r="J12" i="20"/>
  <c r="J13" i="20"/>
  <c r="J9" i="21"/>
  <c r="J10" i="21"/>
  <c r="J11" i="21"/>
  <c r="J12" i="21"/>
  <c r="J13" i="21"/>
  <c r="J9" i="23"/>
  <c r="J10" i="23"/>
  <c r="J11" i="23"/>
  <c r="J12" i="23"/>
  <c r="J13" i="23"/>
  <c r="J9" i="24"/>
  <c r="J10" i="24"/>
  <c r="J11" i="24"/>
  <c r="J12" i="24"/>
  <c r="J13" i="24"/>
  <c r="J9" i="25"/>
  <c r="J10" i="25"/>
  <c r="J11" i="25"/>
  <c r="J12" i="25"/>
  <c r="J13" i="25"/>
  <c r="J9" i="26"/>
  <c r="J10" i="26"/>
  <c r="J11" i="26"/>
  <c r="J12" i="26"/>
  <c r="J13" i="26"/>
  <c r="J9" i="27"/>
  <c r="J10" i="27"/>
  <c r="J11" i="27"/>
  <c r="J12" i="27"/>
  <c r="J13" i="27"/>
  <c r="J9" i="32"/>
  <c r="J10" i="32"/>
  <c r="J11" i="32"/>
  <c r="J12" i="32"/>
  <c r="J13" i="32"/>
  <c r="K9" i="31"/>
  <c r="K10" i="31"/>
  <c r="K11" i="31"/>
  <c r="K12" i="31"/>
  <c r="K13" i="31"/>
  <c r="G9" i="30"/>
  <c r="G10" i="30"/>
  <c r="G11" i="30"/>
  <c r="G12" i="30"/>
  <c r="G13" i="30"/>
  <c r="G9" i="29"/>
  <c r="G10" i="29"/>
  <c r="G11" i="29"/>
  <c r="G12" i="29"/>
  <c r="G13" i="29"/>
  <c r="G9" i="28"/>
  <c r="G10" i="28"/>
  <c r="G11" i="28"/>
  <c r="G12" i="28"/>
  <c r="G13" i="28"/>
  <c r="G9" i="31"/>
  <c r="G10" i="31"/>
  <c r="G11" i="31"/>
  <c r="G12" i="31"/>
  <c r="G13" i="31"/>
  <c r="W14" i="30" l="1"/>
  <c r="W17" i="30" s="1"/>
  <c r="V14" i="30"/>
  <c r="V15" i="30" s="1"/>
  <c r="V16" i="30" s="1"/>
  <c r="U14" i="30"/>
  <c r="U15" i="30" s="1"/>
  <c r="U16" i="30" s="1"/>
  <c r="S14" i="30"/>
  <c r="R14" i="30"/>
  <c r="R17" i="30" s="1"/>
  <c r="Q14" i="30"/>
  <c r="Q15" i="30" s="1"/>
  <c r="Q16" i="30" s="1"/>
  <c r="P14" i="30"/>
  <c r="Y12" i="30"/>
  <c r="Y11" i="30"/>
  <c r="Y10" i="30"/>
  <c r="Y9" i="30"/>
  <c r="Y8" i="30"/>
  <c r="X8" i="30"/>
  <c r="X14" i="30" s="1"/>
  <c r="T8" i="30"/>
  <c r="W14" i="29"/>
  <c r="W15" i="29" s="1"/>
  <c r="W16" i="29" s="1"/>
  <c r="V14" i="29"/>
  <c r="V15" i="29" s="1"/>
  <c r="V16" i="29" s="1"/>
  <c r="U14" i="29"/>
  <c r="U17" i="29" s="1"/>
  <c r="S14" i="29"/>
  <c r="S15" i="29" s="1"/>
  <c r="S16" i="29" s="1"/>
  <c r="R14" i="29"/>
  <c r="R15" i="29" s="1"/>
  <c r="R16" i="29" s="1"/>
  <c r="Q14" i="29"/>
  <c r="P14" i="29"/>
  <c r="P16" i="29" s="1"/>
  <c r="Y12" i="29"/>
  <c r="Y11" i="29"/>
  <c r="Y10" i="29"/>
  <c r="Y9" i="29"/>
  <c r="Y8" i="29"/>
  <c r="X8" i="29"/>
  <c r="T8" i="29"/>
  <c r="W14" i="28"/>
  <c r="V14" i="28"/>
  <c r="V15" i="28" s="1"/>
  <c r="V16" i="28" s="1"/>
  <c r="U14" i="28"/>
  <c r="U15" i="28" s="1"/>
  <c r="U16" i="28" s="1"/>
  <c r="S14" i="28"/>
  <c r="R14" i="28"/>
  <c r="R17" i="28" s="1"/>
  <c r="Q14" i="28"/>
  <c r="Q15" i="28" s="1"/>
  <c r="Q16" i="28" s="1"/>
  <c r="P14" i="28"/>
  <c r="P16" i="28" s="1"/>
  <c r="Y12" i="28"/>
  <c r="Y11" i="28"/>
  <c r="Y10" i="28"/>
  <c r="Y9" i="28"/>
  <c r="Y8" i="28"/>
  <c r="X8" i="28"/>
  <c r="T8" i="28"/>
  <c r="T14" i="28" s="1"/>
  <c r="Y17" i="2"/>
  <c r="U16" i="2"/>
  <c r="W15" i="2"/>
  <c r="W16" i="2" s="1"/>
  <c r="V15" i="2"/>
  <c r="V16" i="2" s="1"/>
  <c r="U15" i="2"/>
  <c r="S15" i="2"/>
  <c r="S16" i="2" s="1"/>
  <c r="R15" i="2"/>
  <c r="R16" i="2" s="1"/>
  <c r="Q15" i="2"/>
  <c r="Q16" i="2" s="1"/>
  <c r="P15" i="2"/>
  <c r="P16" i="2" s="1"/>
  <c r="Y14" i="2"/>
  <c r="Y12" i="2"/>
  <c r="Y11" i="2"/>
  <c r="Y10" i="2"/>
  <c r="Y9" i="2"/>
  <c r="Y8" i="2"/>
  <c r="Y17" i="3"/>
  <c r="W16" i="3"/>
  <c r="U16" i="3"/>
  <c r="R16" i="3"/>
  <c r="P16" i="3"/>
  <c r="W15" i="3"/>
  <c r="V15" i="3"/>
  <c r="V16" i="3" s="1"/>
  <c r="U15" i="3"/>
  <c r="S15" i="3"/>
  <c r="S16" i="3" s="1"/>
  <c r="R15" i="3"/>
  <c r="Q15" i="3"/>
  <c r="Q16" i="3" s="1"/>
  <c r="Y14" i="3"/>
  <c r="Y12" i="3"/>
  <c r="Y11" i="3"/>
  <c r="Y10" i="3"/>
  <c r="Y9" i="3"/>
  <c r="Y8" i="3"/>
  <c r="X14" i="4"/>
  <c r="W14" i="4"/>
  <c r="W17" i="4" s="1"/>
  <c r="V14" i="4"/>
  <c r="V17" i="4" s="1"/>
  <c r="U14" i="4"/>
  <c r="U15" i="4" s="1"/>
  <c r="U16" i="4" s="1"/>
  <c r="T14" i="4"/>
  <c r="S14" i="4"/>
  <c r="S15" i="4" s="1"/>
  <c r="S16" i="4" s="1"/>
  <c r="R14" i="4"/>
  <c r="Q14" i="4"/>
  <c r="Q17" i="4" s="1"/>
  <c r="P14" i="4"/>
  <c r="Y12" i="4"/>
  <c r="Y11" i="4"/>
  <c r="Y10" i="4"/>
  <c r="Y9" i="4"/>
  <c r="Y8" i="4"/>
  <c r="U14" i="5"/>
  <c r="T14" i="5"/>
  <c r="T17" i="5" s="1"/>
  <c r="S14" i="5"/>
  <c r="S17" i="5" s="1"/>
  <c r="R14" i="5"/>
  <c r="R15" i="5" s="1"/>
  <c r="R16" i="5" s="1"/>
  <c r="Q14" i="5"/>
  <c r="Q15" i="5" s="1"/>
  <c r="Q16" i="5" s="1"/>
  <c r="P14" i="5"/>
  <c r="O14" i="5"/>
  <c r="O17" i="5" s="1"/>
  <c r="N14" i="5"/>
  <c r="V12" i="5"/>
  <c r="V11" i="5"/>
  <c r="V10" i="5"/>
  <c r="V9" i="5"/>
  <c r="V8" i="5"/>
  <c r="U14" i="6"/>
  <c r="U17" i="6" s="1"/>
  <c r="T14" i="6"/>
  <c r="T15" i="6" s="1"/>
  <c r="T16" i="6" s="1"/>
  <c r="S14" i="6"/>
  <c r="S15" i="6" s="1"/>
  <c r="S16" i="6" s="1"/>
  <c r="Q14" i="6"/>
  <c r="P14" i="6"/>
  <c r="P17" i="6" s="1"/>
  <c r="O14" i="6"/>
  <c r="T14" i="7"/>
  <c r="T17" i="7" s="1"/>
  <c r="S14" i="7"/>
  <c r="S17" i="7" s="1"/>
  <c r="R14" i="7"/>
  <c r="R15" i="7" s="1"/>
  <c r="R16" i="7" s="1"/>
  <c r="P14" i="7"/>
  <c r="O14" i="7"/>
  <c r="O17" i="7" s="1"/>
  <c r="N14" i="7"/>
  <c r="Q14" i="7"/>
  <c r="T14" i="8"/>
  <c r="T15" i="8" s="1"/>
  <c r="T16" i="8" s="1"/>
  <c r="S14" i="8"/>
  <c r="S15" i="8" s="1"/>
  <c r="S16" i="8" s="1"/>
  <c r="R14" i="8"/>
  <c r="R17" i="8" s="1"/>
  <c r="P14" i="8"/>
  <c r="P15" i="8" s="1"/>
  <c r="P16" i="8" s="1"/>
  <c r="O14" i="8"/>
  <c r="O17" i="8" s="1"/>
  <c r="N14" i="8"/>
  <c r="N16" i="8" s="1"/>
  <c r="V8" i="8"/>
  <c r="U14" i="9"/>
  <c r="U17" i="9" s="1"/>
  <c r="T14" i="9"/>
  <c r="T17" i="9" s="1"/>
  <c r="S14" i="9"/>
  <c r="S15" i="9" s="1"/>
  <c r="S16" i="9" s="1"/>
  <c r="Q14" i="9"/>
  <c r="P14" i="9"/>
  <c r="P17" i="9" s="1"/>
  <c r="O14" i="9"/>
  <c r="W12" i="9"/>
  <c r="W11" i="9"/>
  <c r="W10" i="9"/>
  <c r="W9" i="9"/>
  <c r="W8" i="9"/>
  <c r="V8" i="9"/>
  <c r="R8" i="9"/>
  <c r="S14" i="10"/>
  <c r="S17" i="10" s="1"/>
  <c r="R14" i="10"/>
  <c r="R17" i="10" s="1"/>
  <c r="Q14" i="10"/>
  <c r="Q15" i="10" s="1"/>
  <c r="Q16" i="10" s="1"/>
  <c r="P14" i="10"/>
  <c r="O14" i="10"/>
  <c r="O17" i="10" s="1"/>
  <c r="N14" i="10"/>
  <c r="S14" i="11"/>
  <c r="S17" i="11" s="1"/>
  <c r="R14" i="11"/>
  <c r="R15" i="11" s="1"/>
  <c r="R16" i="11" s="1"/>
  <c r="P14" i="11"/>
  <c r="O14" i="11"/>
  <c r="O15" i="11" s="1"/>
  <c r="O16" i="11" s="1"/>
  <c r="N14" i="11"/>
  <c r="Q14" i="11"/>
  <c r="T14" i="12"/>
  <c r="T15" i="12" s="1"/>
  <c r="T16" i="12" s="1"/>
  <c r="S14" i="12"/>
  <c r="S15" i="12" s="1"/>
  <c r="S16" i="12" s="1"/>
  <c r="R14" i="12"/>
  <c r="R17" i="12" s="1"/>
  <c r="P14" i="12"/>
  <c r="P15" i="12" s="1"/>
  <c r="P16" i="12" s="1"/>
  <c r="O14" i="12"/>
  <c r="O15" i="12" s="1"/>
  <c r="O16" i="12" s="1"/>
  <c r="N14" i="12"/>
  <c r="N16" i="12" s="1"/>
  <c r="U14" i="12"/>
  <c r="T14" i="13"/>
  <c r="T17" i="13" s="1"/>
  <c r="S14" i="13"/>
  <c r="S17" i="13" s="1"/>
  <c r="R14" i="13"/>
  <c r="R15" i="13" s="1"/>
  <c r="R16" i="13" s="1"/>
  <c r="P14" i="13"/>
  <c r="O14" i="13"/>
  <c r="O15" i="13" s="1"/>
  <c r="O16" i="13" s="1"/>
  <c r="N14" i="13"/>
  <c r="T14" i="14"/>
  <c r="T15" i="14" s="1"/>
  <c r="T16" i="14" s="1"/>
  <c r="S14" i="14"/>
  <c r="S15" i="14" s="1"/>
  <c r="S16" i="14" s="1"/>
  <c r="R14" i="14"/>
  <c r="R17" i="14" s="1"/>
  <c r="P14" i="14"/>
  <c r="P15" i="14" s="1"/>
  <c r="P16" i="14" s="1"/>
  <c r="O14" i="14"/>
  <c r="O17" i="14" s="1"/>
  <c r="N14" i="14"/>
  <c r="U14" i="14"/>
  <c r="T14" i="15"/>
  <c r="S14" i="15"/>
  <c r="S17" i="15" s="1"/>
  <c r="R14" i="15"/>
  <c r="R17" i="15" s="1"/>
  <c r="P14" i="15"/>
  <c r="O14" i="15"/>
  <c r="O17" i="15" s="1"/>
  <c r="N14" i="15"/>
  <c r="N17" i="15" s="1"/>
  <c r="U14" i="16"/>
  <c r="U15" i="16" s="1"/>
  <c r="U16" i="16" s="1"/>
  <c r="T14" i="16"/>
  <c r="T15" i="16" s="1"/>
  <c r="T16" i="16" s="1"/>
  <c r="S14" i="16"/>
  <c r="S17" i="16" s="1"/>
  <c r="Q14" i="16"/>
  <c r="Q15" i="16" s="1"/>
  <c r="Q16" i="16" s="1"/>
  <c r="P14" i="16"/>
  <c r="P15" i="16" s="1"/>
  <c r="P16" i="16" s="1"/>
  <c r="O14" i="16"/>
  <c r="W12" i="16"/>
  <c r="W11" i="16"/>
  <c r="W10" i="16"/>
  <c r="W9" i="16"/>
  <c r="W8" i="16"/>
  <c r="V8" i="16"/>
  <c r="V14" i="16" s="1"/>
  <c r="R8" i="16"/>
  <c r="S14" i="17"/>
  <c r="S17" i="17" s="1"/>
  <c r="R14" i="17"/>
  <c r="R15" i="17" s="1"/>
  <c r="R16" i="17" s="1"/>
  <c r="P14" i="17"/>
  <c r="O14" i="17"/>
  <c r="O17" i="17" s="1"/>
  <c r="N14" i="17"/>
  <c r="Q14" i="17"/>
  <c r="T14" i="18"/>
  <c r="T17" i="18" s="1"/>
  <c r="S14" i="18"/>
  <c r="S15" i="18" s="1"/>
  <c r="S16" i="18" s="1"/>
  <c r="R14" i="18"/>
  <c r="R15" i="18" s="1"/>
  <c r="R16" i="18" s="1"/>
  <c r="P14" i="18"/>
  <c r="P17" i="18" s="1"/>
  <c r="O14" i="18"/>
  <c r="O15" i="18" s="1"/>
  <c r="O16" i="18" s="1"/>
  <c r="N14" i="18"/>
  <c r="N17" i="18" s="1"/>
  <c r="U14" i="18"/>
  <c r="Q14" i="18"/>
  <c r="T14" i="19"/>
  <c r="T15" i="19" s="1"/>
  <c r="T16" i="19" s="1"/>
  <c r="S14" i="19"/>
  <c r="S17" i="19" s="1"/>
  <c r="R14" i="19"/>
  <c r="R17" i="19" s="1"/>
  <c r="P14" i="19"/>
  <c r="P15" i="19" s="1"/>
  <c r="P16" i="19" s="1"/>
  <c r="O14" i="19"/>
  <c r="N14" i="19"/>
  <c r="N16" i="19" s="1"/>
  <c r="U14" i="20"/>
  <c r="U17" i="20" s="1"/>
  <c r="T14" i="20"/>
  <c r="T15" i="20" s="1"/>
  <c r="T16" i="20" s="1"/>
  <c r="S14" i="20"/>
  <c r="S15" i="20" s="1"/>
  <c r="S16" i="20" s="1"/>
  <c r="Q14" i="20"/>
  <c r="Q17" i="20" s="1"/>
  <c r="P14" i="20"/>
  <c r="P15" i="20" s="1"/>
  <c r="P16" i="20" s="1"/>
  <c r="O14" i="20"/>
  <c r="W8" i="20"/>
  <c r="U14" i="21"/>
  <c r="U15" i="21" s="1"/>
  <c r="U16" i="21" s="1"/>
  <c r="T14" i="21"/>
  <c r="T17" i="21" s="1"/>
  <c r="S14" i="21"/>
  <c r="S17" i="21" s="1"/>
  <c r="Q14" i="21"/>
  <c r="Q15" i="21" s="1"/>
  <c r="Q16" i="21" s="1"/>
  <c r="P14" i="21"/>
  <c r="O14" i="21"/>
  <c r="O16" i="21" s="1"/>
  <c r="T14" i="22"/>
  <c r="T17" i="22" s="1"/>
  <c r="S14" i="22"/>
  <c r="S15" i="22" s="1"/>
  <c r="S16" i="22" s="1"/>
  <c r="R14" i="22"/>
  <c r="R15" i="22" s="1"/>
  <c r="R16" i="22" s="1"/>
  <c r="P14" i="22"/>
  <c r="P17" i="22" s="1"/>
  <c r="O14" i="22"/>
  <c r="O15" i="22" s="1"/>
  <c r="O16" i="22" s="1"/>
  <c r="N14" i="22"/>
  <c r="N17" i="22" s="1"/>
  <c r="U14" i="22"/>
  <c r="Q14" i="22"/>
  <c r="U14" i="23"/>
  <c r="U15" i="23" s="1"/>
  <c r="U16" i="23" s="1"/>
  <c r="T14" i="23"/>
  <c r="T17" i="23" s="1"/>
  <c r="S14" i="23"/>
  <c r="S17" i="23" s="1"/>
  <c r="Q14" i="23"/>
  <c r="Q15" i="23" s="1"/>
  <c r="Q16" i="23" s="1"/>
  <c r="P14" i="23"/>
  <c r="O14" i="23"/>
  <c r="O16" i="23" s="1"/>
  <c r="W12" i="23"/>
  <c r="W11" i="23"/>
  <c r="W10" i="23"/>
  <c r="W9" i="23"/>
  <c r="W8" i="23"/>
  <c r="V8" i="23"/>
  <c r="V14" i="23" s="1"/>
  <c r="R8" i="23"/>
  <c r="R14" i="23" s="1"/>
  <c r="U14" i="24"/>
  <c r="U17" i="24" s="1"/>
  <c r="T14" i="24"/>
  <c r="T15" i="24" s="1"/>
  <c r="T16" i="24" s="1"/>
  <c r="S14" i="24"/>
  <c r="S15" i="24" s="1"/>
  <c r="S16" i="24" s="1"/>
  <c r="Q14" i="24"/>
  <c r="Q17" i="24" s="1"/>
  <c r="P14" i="24"/>
  <c r="P15" i="24" s="1"/>
  <c r="P16" i="24" s="1"/>
  <c r="O14" i="24"/>
  <c r="O17" i="24" s="1"/>
  <c r="W12" i="24"/>
  <c r="W11" i="24"/>
  <c r="W10" i="24"/>
  <c r="W9" i="24"/>
  <c r="W8" i="24"/>
  <c r="V8" i="24"/>
  <c r="R8" i="24"/>
  <c r="U14" i="25"/>
  <c r="U15" i="25" s="1"/>
  <c r="U16" i="25" s="1"/>
  <c r="T14" i="25"/>
  <c r="T17" i="25" s="1"/>
  <c r="S14" i="25"/>
  <c r="S17" i="25" s="1"/>
  <c r="Q14" i="25"/>
  <c r="Q15" i="25" s="1"/>
  <c r="Q16" i="25" s="1"/>
  <c r="P14" i="25"/>
  <c r="O14" i="25"/>
  <c r="O16" i="25" s="1"/>
  <c r="W12" i="25"/>
  <c r="W11" i="25"/>
  <c r="W10" i="25"/>
  <c r="W9" i="25"/>
  <c r="W8" i="25"/>
  <c r="V8" i="25"/>
  <c r="R8" i="25"/>
  <c r="U14" i="26"/>
  <c r="U17" i="26" s="1"/>
  <c r="T14" i="26"/>
  <c r="T15" i="26" s="1"/>
  <c r="T16" i="26" s="1"/>
  <c r="S14" i="26"/>
  <c r="S15" i="26" s="1"/>
  <c r="S16" i="26" s="1"/>
  <c r="Q14" i="26"/>
  <c r="Q17" i="26" s="1"/>
  <c r="P14" i="26"/>
  <c r="P15" i="26" s="1"/>
  <c r="P16" i="26" s="1"/>
  <c r="O14" i="26"/>
  <c r="O17" i="26" s="1"/>
  <c r="W12" i="26"/>
  <c r="W11" i="26"/>
  <c r="W10" i="26"/>
  <c r="W9" i="26"/>
  <c r="W8" i="26"/>
  <c r="V8" i="26"/>
  <c r="V14" i="26" s="1"/>
  <c r="R8" i="26"/>
  <c r="R14" i="26" s="1"/>
  <c r="U14" i="27"/>
  <c r="U15" i="27" s="1"/>
  <c r="U16" i="27" s="1"/>
  <c r="T14" i="27"/>
  <c r="T17" i="27" s="1"/>
  <c r="S14" i="27"/>
  <c r="S17" i="27" s="1"/>
  <c r="Q14" i="27"/>
  <c r="Q15" i="27" s="1"/>
  <c r="Q16" i="27" s="1"/>
  <c r="P14" i="27"/>
  <c r="O14" i="27"/>
  <c r="O16" i="27" s="1"/>
  <c r="W12" i="27"/>
  <c r="W11" i="27"/>
  <c r="W10" i="27"/>
  <c r="W9" i="27"/>
  <c r="W8" i="27"/>
  <c r="V8" i="27"/>
  <c r="V14" i="27" s="1"/>
  <c r="R8" i="27"/>
  <c r="R14" i="27" s="1"/>
  <c r="U14" i="32"/>
  <c r="U17" i="32" s="1"/>
  <c r="T14" i="32"/>
  <c r="S14" i="32"/>
  <c r="S17" i="32" s="1"/>
  <c r="Q14" i="32"/>
  <c r="Q17" i="32" s="1"/>
  <c r="P14" i="32"/>
  <c r="P17" i="32" s="1"/>
  <c r="O14" i="32"/>
  <c r="O16" i="32" s="1"/>
  <c r="W12" i="32"/>
  <c r="W11" i="32"/>
  <c r="W10" i="32"/>
  <c r="W9" i="32"/>
  <c r="W8" i="32"/>
  <c r="V8" i="32"/>
  <c r="V14" i="32" s="1"/>
  <c r="R8" i="32"/>
  <c r="R14" i="32" s="1"/>
  <c r="W14" i="31"/>
  <c r="W17" i="31" s="1"/>
  <c r="V14" i="31"/>
  <c r="V17" i="31" s="1"/>
  <c r="U14" i="31"/>
  <c r="U15" i="31" s="1"/>
  <c r="U16" i="31" s="1"/>
  <c r="S14" i="31"/>
  <c r="S15" i="31" s="1"/>
  <c r="S16" i="31" s="1"/>
  <c r="R14" i="31"/>
  <c r="R17" i="31" s="1"/>
  <c r="Q14" i="31"/>
  <c r="Q17" i="31" s="1"/>
  <c r="P14" i="31"/>
  <c r="Y12" i="31"/>
  <c r="Y11" i="31"/>
  <c r="Y10" i="31"/>
  <c r="Y9" i="31"/>
  <c r="Y8" i="31"/>
  <c r="X8" i="31"/>
  <c r="T8" i="31"/>
  <c r="R17" i="18" l="1"/>
  <c r="O15" i="15"/>
  <c r="O16" i="15" s="1"/>
  <c r="S17" i="20"/>
  <c r="P17" i="16"/>
  <c r="Q17" i="23"/>
  <c r="P15" i="22"/>
  <c r="P16" i="22" s="1"/>
  <c r="O15" i="14"/>
  <c r="O16" i="14" s="1"/>
  <c r="Q17" i="5"/>
  <c r="V15" i="31"/>
  <c r="V16" i="31" s="1"/>
  <c r="S17" i="31"/>
  <c r="U17" i="25"/>
  <c r="U17" i="21"/>
  <c r="S17" i="26"/>
  <c r="T17" i="16"/>
  <c r="S15" i="15"/>
  <c r="S16" i="15" s="1"/>
  <c r="S17" i="14"/>
  <c r="U17" i="23"/>
  <c r="T14" i="17"/>
  <c r="U17" i="28"/>
  <c r="O17" i="11"/>
  <c r="O15" i="7"/>
  <c r="O16" i="7" s="1"/>
  <c r="S17" i="4"/>
  <c r="R17" i="29"/>
  <c r="R14" i="25"/>
  <c r="T14" i="29"/>
  <c r="R15" i="28"/>
  <c r="R16" i="28" s="1"/>
  <c r="T14" i="31"/>
  <c r="Q17" i="25"/>
  <c r="Q15" i="24"/>
  <c r="Q16" i="24" s="1"/>
  <c r="R14" i="16"/>
  <c r="Q14" i="13"/>
  <c r="Q14" i="12"/>
  <c r="O17" i="12"/>
  <c r="O15" i="8"/>
  <c r="O16" i="8" s="1"/>
  <c r="R15" i="30"/>
  <c r="R16" i="30" s="1"/>
  <c r="R17" i="22"/>
  <c r="S17" i="12"/>
  <c r="V14" i="20"/>
  <c r="U14" i="15"/>
  <c r="W14" i="6"/>
  <c r="X14" i="29"/>
  <c r="W17" i="29"/>
  <c r="W15" i="30"/>
  <c r="W16" i="30" s="1"/>
  <c r="S17" i="24"/>
  <c r="Y14" i="29"/>
  <c r="V17" i="29"/>
  <c r="U17" i="27"/>
  <c r="U14" i="13"/>
  <c r="X14" i="31"/>
  <c r="U15" i="32"/>
  <c r="U16" i="32" s="1"/>
  <c r="V14" i="25"/>
  <c r="V14" i="24"/>
  <c r="U15" i="20"/>
  <c r="U16" i="20" s="1"/>
  <c r="T17" i="19"/>
  <c r="S17" i="8"/>
  <c r="X14" i="28"/>
  <c r="U17" i="30"/>
  <c r="Q17" i="27"/>
  <c r="Q15" i="26"/>
  <c r="Q16" i="26" s="1"/>
  <c r="Q17" i="21"/>
  <c r="Q15" i="20"/>
  <c r="Q16" i="20" s="1"/>
  <c r="Q14" i="19"/>
  <c r="Q14" i="14"/>
  <c r="O17" i="13"/>
  <c r="R14" i="9"/>
  <c r="Q14" i="8"/>
  <c r="P17" i="28"/>
  <c r="Y14" i="30"/>
  <c r="Q15" i="31"/>
  <c r="Q16" i="31" s="1"/>
  <c r="W14" i="20"/>
  <c r="U14" i="11"/>
  <c r="O15" i="10"/>
  <c r="O16" i="10" s="1"/>
  <c r="P15" i="9"/>
  <c r="P16" i="9" s="1"/>
  <c r="P17" i="30"/>
  <c r="Y14" i="31"/>
  <c r="W14" i="23"/>
  <c r="R14" i="21"/>
  <c r="O17" i="20"/>
  <c r="P17" i="19"/>
  <c r="P15" i="18"/>
  <c r="P16" i="18" s="1"/>
  <c r="O15" i="17"/>
  <c r="O16" i="17" s="1"/>
  <c r="W14" i="9"/>
  <c r="P15" i="6"/>
  <c r="P16" i="6" s="1"/>
  <c r="O15" i="5"/>
  <c r="O16" i="5" s="1"/>
  <c r="Q15" i="4"/>
  <c r="Q16" i="4" s="1"/>
  <c r="S15" i="21"/>
  <c r="S16" i="21" s="1"/>
  <c r="P17" i="15"/>
  <c r="P15" i="15"/>
  <c r="P16" i="15" s="1"/>
  <c r="N17" i="14"/>
  <c r="V14" i="14"/>
  <c r="N16" i="14"/>
  <c r="R15" i="31"/>
  <c r="R16" i="31" s="1"/>
  <c r="W15" i="31"/>
  <c r="W16" i="31" s="1"/>
  <c r="P17" i="31"/>
  <c r="U17" i="31"/>
  <c r="W14" i="32"/>
  <c r="S15" i="32"/>
  <c r="S16" i="32" s="1"/>
  <c r="W14" i="25"/>
  <c r="S15" i="23"/>
  <c r="S16" i="23" s="1"/>
  <c r="V14" i="22"/>
  <c r="T15" i="22"/>
  <c r="T16" i="22" s="1"/>
  <c r="P17" i="21"/>
  <c r="P15" i="21"/>
  <c r="P16" i="21" s="1"/>
  <c r="R14" i="20"/>
  <c r="U14" i="19"/>
  <c r="U14" i="17"/>
  <c r="S15" i="17"/>
  <c r="S16" i="17" s="1"/>
  <c r="O17" i="16"/>
  <c r="W14" i="16"/>
  <c r="P17" i="27"/>
  <c r="P15" i="27"/>
  <c r="P16" i="27" s="1"/>
  <c r="O17" i="19"/>
  <c r="O15" i="19"/>
  <c r="O16" i="19" s="1"/>
  <c r="P16" i="31"/>
  <c r="T15" i="32"/>
  <c r="T16" i="32" s="1"/>
  <c r="T17" i="32"/>
  <c r="P15" i="32"/>
  <c r="P16" i="32" s="1"/>
  <c r="O17" i="32"/>
  <c r="W14" i="27"/>
  <c r="S15" i="25"/>
  <c r="S16" i="25" s="1"/>
  <c r="W14" i="24"/>
  <c r="U15" i="24"/>
  <c r="U16" i="24" s="1"/>
  <c r="P17" i="23"/>
  <c r="P15" i="23"/>
  <c r="P16" i="23" s="1"/>
  <c r="V14" i="19"/>
  <c r="W17" i="28"/>
  <c r="W15" i="28"/>
  <c r="W16" i="28" s="1"/>
  <c r="Q15" i="32"/>
  <c r="Q16" i="32" s="1"/>
  <c r="S15" i="27"/>
  <c r="S16" i="27" s="1"/>
  <c r="W14" i="26"/>
  <c r="U15" i="26"/>
  <c r="U16" i="26" s="1"/>
  <c r="P17" i="25"/>
  <c r="P15" i="25"/>
  <c r="P16" i="25" s="1"/>
  <c r="R14" i="24"/>
  <c r="V14" i="21"/>
  <c r="R15" i="19"/>
  <c r="R16" i="19" s="1"/>
  <c r="V14" i="18"/>
  <c r="T15" i="18"/>
  <c r="T16" i="18" s="1"/>
  <c r="P17" i="17"/>
  <c r="P15" i="17"/>
  <c r="P16" i="17" s="1"/>
  <c r="O16" i="16"/>
  <c r="Q14" i="15"/>
  <c r="S15" i="13"/>
  <c r="S16" i="13" s="1"/>
  <c r="T15" i="27"/>
  <c r="T16" i="27" s="1"/>
  <c r="O16" i="26"/>
  <c r="P17" i="26"/>
  <c r="T17" i="26"/>
  <c r="T15" i="25"/>
  <c r="T16" i="25" s="1"/>
  <c r="O16" i="24"/>
  <c r="P17" i="24"/>
  <c r="T17" i="24"/>
  <c r="T15" i="23"/>
  <c r="T16" i="23" s="1"/>
  <c r="N16" i="22"/>
  <c r="O17" i="22"/>
  <c r="S17" i="22"/>
  <c r="T15" i="21"/>
  <c r="T16" i="21" s="1"/>
  <c r="O16" i="20"/>
  <c r="P17" i="20"/>
  <c r="T17" i="20"/>
  <c r="S15" i="19"/>
  <c r="S16" i="19" s="1"/>
  <c r="N16" i="18"/>
  <c r="O17" i="18"/>
  <c r="S17" i="18"/>
  <c r="N17" i="17"/>
  <c r="R17" i="17"/>
  <c r="S15" i="16"/>
  <c r="S16" i="16" s="1"/>
  <c r="Q17" i="16"/>
  <c r="U17" i="16"/>
  <c r="T17" i="15"/>
  <c r="T15" i="15"/>
  <c r="T16" i="15" s="1"/>
  <c r="N16" i="15"/>
  <c r="P17" i="13"/>
  <c r="P15" i="13"/>
  <c r="P16" i="13" s="1"/>
  <c r="N17" i="12"/>
  <c r="T14" i="10"/>
  <c r="U14" i="10"/>
  <c r="V14" i="9"/>
  <c r="P17" i="5"/>
  <c r="P15" i="5"/>
  <c r="P16" i="5" s="1"/>
  <c r="S15" i="5"/>
  <c r="S16" i="5" s="1"/>
  <c r="R17" i="4"/>
  <c r="R15" i="4"/>
  <c r="R16" i="4" s="1"/>
  <c r="V15" i="4"/>
  <c r="V16" i="4" s="1"/>
  <c r="S17" i="28"/>
  <c r="S15" i="28"/>
  <c r="S16" i="28" s="1"/>
  <c r="T14" i="30"/>
  <c r="O17" i="27"/>
  <c r="O17" i="25"/>
  <c r="O17" i="23"/>
  <c r="O17" i="21"/>
  <c r="N17" i="19"/>
  <c r="N16" i="17"/>
  <c r="P17" i="11"/>
  <c r="P15" i="11"/>
  <c r="P16" i="11" s="1"/>
  <c r="S15" i="11"/>
  <c r="S16" i="11" s="1"/>
  <c r="R15" i="10"/>
  <c r="R16" i="10" s="1"/>
  <c r="T15" i="9"/>
  <c r="T16" i="9" s="1"/>
  <c r="T17" i="6"/>
  <c r="V14" i="15"/>
  <c r="R15" i="15"/>
  <c r="R16" i="15" s="1"/>
  <c r="V14" i="13"/>
  <c r="P17" i="10"/>
  <c r="P15" i="10"/>
  <c r="P16" i="10" s="1"/>
  <c r="Q17" i="9"/>
  <c r="Q15" i="9"/>
  <c r="Q16" i="9" s="1"/>
  <c r="N17" i="8"/>
  <c r="V14" i="8"/>
  <c r="P17" i="7"/>
  <c r="P15" i="7"/>
  <c r="P16" i="7" s="1"/>
  <c r="S15" i="7"/>
  <c r="S16" i="7" s="1"/>
  <c r="Q17" i="6"/>
  <c r="Q15" i="6"/>
  <c r="Q16" i="6" s="1"/>
  <c r="V14" i="5"/>
  <c r="Y14" i="4"/>
  <c r="Q17" i="29"/>
  <c r="Q15" i="29"/>
  <c r="Q16" i="29" s="1"/>
  <c r="U15" i="29"/>
  <c r="U16" i="29" s="1"/>
  <c r="S17" i="30"/>
  <c r="S15" i="30"/>
  <c r="S16" i="30" s="1"/>
  <c r="R15" i="14"/>
  <c r="R16" i="14" s="1"/>
  <c r="P17" i="14"/>
  <c r="T17" i="14"/>
  <c r="T15" i="13"/>
  <c r="T16" i="13" s="1"/>
  <c r="N17" i="13"/>
  <c r="R17" i="13"/>
  <c r="R15" i="12"/>
  <c r="R16" i="12" s="1"/>
  <c r="P17" i="12"/>
  <c r="T17" i="12"/>
  <c r="N17" i="11"/>
  <c r="R17" i="11"/>
  <c r="S15" i="10"/>
  <c r="S16" i="10" s="1"/>
  <c r="N17" i="10"/>
  <c r="Q17" i="10"/>
  <c r="U15" i="9"/>
  <c r="U16" i="9" s="1"/>
  <c r="O17" i="9"/>
  <c r="S17" i="9"/>
  <c r="R15" i="8"/>
  <c r="R16" i="8" s="1"/>
  <c r="P17" i="8"/>
  <c r="T17" i="8"/>
  <c r="T15" i="7"/>
  <c r="T16" i="7" s="1"/>
  <c r="N17" i="7"/>
  <c r="R17" i="7"/>
  <c r="U15" i="6"/>
  <c r="U16" i="6" s="1"/>
  <c r="O17" i="6"/>
  <c r="S17" i="6"/>
  <c r="T15" i="5"/>
  <c r="T16" i="5" s="1"/>
  <c r="N17" i="5"/>
  <c r="R17" i="5"/>
  <c r="W15" i="4"/>
  <c r="W16" i="4" s="1"/>
  <c r="P17" i="4"/>
  <c r="U17" i="4"/>
  <c r="Q17" i="28"/>
  <c r="V17" i="28"/>
  <c r="S17" i="29"/>
  <c r="P16" i="30"/>
  <c r="Q17" i="30"/>
  <c r="V17" i="30"/>
  <c r="N16" i="13"/>
  <c r="N16" i="11"/>
  <c r="N16" i="10"/>
  <c r="O16" i="9"/>
  <c r="N16" i="7"/>
  <c r="O16" i="6"/>
  <c r="N16" i="5"/>
  <c r="P16" i="4"/>
  <c r="Y14" i="28"/>
  <c r="P17" i="29"/>
  <c r="X12" i="24"/>
  <c r="X11" i="24"/>
  <c r="X10" i="24"/>
  <c r="X9" i="24"/>
  <c r="X8" i="24"/>
  <c r="V17" i="21" l="1"/>
  <c r="W17" i="24"/>
  <c r="Y17" i="4"/>
  <c r="W17" i="20"/>
  <c r="V17" i="22"/>
  <c r="W17" i="32"/>
  <c r="Y17" i="30"/>
  <c r="V17" i="18"/>
  <c r="V17" i="14"/>
  <c r="W17" i="23"/>
  <c r="W17" i="26"/>
  <c r="Y17" i="28"/>
  <c r="U17" i="7"/>
  <c r="V17" i="8"/>
  <c r="V17" i="12"/>
  <c r="W17" i="16"/>
  <c r="U17" i="11"/>
  <c r="W17" i="6"/>
  <c r="U17" i="10"/>
  <c r="W17" i="25"/>
  <c r="V17" i="15"/>
  <c r="Y17" i="29"/>
  <c r="V17" i="5"/>
  <c r="W17" i="9"/>
  <c r="V17" i="13"/>
  <c r="V17" i="19"/>
  <c r="W17" i="27"/>
  <c r="U17" i="17"/>
  <c r="Y17" i="31"/>
  <c r="X14" i="24"/>
  <c r="X17" i="24" l="1"/>
  <c r="J13" i="17" l="1"/>
  <c r="L9" i="30" l="1"/>
  <c r="L10" i="30"/>
  <c r="L11" i="30"/>
  <c r="L9" i="29"/>
  <c r="L10" i="29"/>
  <c r="L9" i="28"/>
  <c r="L10" i="28"/>
  <c r="L11" i="28"/>
  <c r="L12" i="28"/>
  <c r="K9" i="6"/>
  <c r="K10" i="6"/>
  <c r="K11" i="6"/>
  <c r="K12" i="6"/>
  <c r="J9" i="7"/>
  <c r="J10" i="7"/>
  <c r="J11" i="7"/>
  <c r="J12" i="7"/>
  <c r="J9" i="8"/>
  <c r="J10" i="8"/>
  <c r="J11" i="8"/>
  <c r="J12" i="8"/>
  <c r="K9" i="9"/>
  <c r="K10" i="9"/>
  <c r="K11" i="9"/>
  <c r="K12" i="9"/>
  <c r="J9" i="10"/>
  <c r="J10" i="10"/>
  <c r="J9" i="11"/>
  <c r="J10" i="11"/>
  <c r="J11" i="11"/>
  <c r="J12" i="11"/>
  <c r="J9" i="12"/>
  <c r="J10" i="12"/>
  <c r="J11" i="12"/>
  <c r="J9" i="14"/>
  <c r="J10" i="14"/>
  <c r="J11" i="14"/>
  <c r="J12" i="14"/>
  <c r="K9" i="16"/>
  <c r="K10" i="16"/>
  <c r="K11" i="16"/>
  <c r="K12" i="16"/>
  <c r="J9" i="17"/>
  <c r="J10" i="17"/>
  <c r="J11" i="17"/>
  <c r="J12" i="17"/>
  <c r="J9" i="18"/>
  <c r="J10" i="18"/>
  <c r="J11" i="18"/>
  <c r="J12" i="18"/>
  <c r="J9" i="19"/>
  <c r="J10" i="19"/>
  <c r="J11" i="19"/>
  <c r="J12" i="19"/>
  <c r="K9" i="20"/>
  <c r="K10" i="20"/>
  <c r="K11" i="20"/>
  <c r="K12" i="20"/>
  <c r="K9" i="21"/>
  <c r="K10" i="21"/>
  <c r="K11" i="21"/>
  <c r="K12" i="21"/>
  <c r="K9" i="23"/>
  <c r="K10" i="23"/>
  <c r="K11" i="23"/>
  <c r="K12" i="23"/>
  <c r="K9" i="24"/>
  <c r="K10" i="24"/>
  <c r="K11" i="24"/>
  <c r="K12" i="24"/>
  <c r="K9" i="25"/>
  <c r="K10" i="25"/>
  <c r="K11" i="25"/>
  <c r="K12" i="25"/>
  <c r="K9" i="26"/>
  <c r="K10" i="26"/>
  <c r="K11" i="26"/>
  <c r="K12" i="26"/>
  <c r="K9" i="27"/>
  <c r="K10" i="27"/>
  <c r="K11" i="27"/>
  <c r="K12" i="27"/>
  <c r="K9" i="32"/>
  <c r="K10" i="32"/>
  <c r="K11" i="32"/>
  <c r="K12" i="32"/>
  <c r="L9" i="31"/>
  <c r="L10" i="31"/>
  <c r="L11" i="31"/>
  <c r="L12" i="31"/>
  <c r="L8" i="30"/>
  <c r="L8" i="29"/>
  <c r="L8" i="28"/>
  <c r="K8" i="6"/>
  <c r="J8" i="7"/>
  <c r="J8" i="8"/>
  <c r="K8" i="9"/>
  <c r="J8" i="10"/>
  <c r="J8" i="11"/>
  <c r="J8" i="12"/>
  <c r="J8" i="14"/>
  <c r="K8" i="16"/>
  <c r="J8" i="17"/>
  <c r="J8" i="18"/>
  <c r="J8" i="19"/>
  <c r="K8" i="20"/>
  <c r="K8" i="21"/>
  <c r="K8" i="23"/>
  <c r="K8" i="24"/>
  <c r="K8" i="25"/>
  <c r="K8" i="26"/>
  <c r="K8" i="27"/>
  <c r="K8" i="32"/>
  <c r="L8" i="31"/>
  <c r="L17" i="2" l="1"/>
  <c r="L17" i="3"/>
  <c r="L14" i="2"/>
  <c r="L14" i="3"/>
  <c r="D16" i="2"/>
  <c r="E16" i="2"/>
  <c r="F16" i="2"/>
  <c r="H16" i="2"/>
  <c r="I16" i="2"/>
  <c r="J16" i="2"/>
  <c r="D16" i="3"/>
  <c r="E16" i="3"/>
  <c r="F16" i="3"/>
  <c r="H16" i="3"/>
  <c r="I16" i="3"/>
  <c r="J16" i="3"/>
  <c r="C16" i="3"/>
  <c r="E15" i="2"/>
  <c r="F15" i="2"/>
  <c r="H15" i="2"/>
  <c r="I15" i="2"/>
  <c r="J15" i="2"/>
  <c r="E15" i="3"/>
  <c r="F15" i="3"/>
  <c r="H15" i="3"/>
  <c r="I15" i="3"/>
  <c r="J15" i="3"/>
  <c r="D15" i="2"/>
  <c r="D15" i="3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J8" i="9" l="1"/>
  <c r="J8" i="16"/>
  <c r="J8" i="20"/>
  <c r="J8" i="21"/>
  <c r="J8" i="23"/>
  <c r="J8" i="24"/>
  <c r="J8" i="25"/>
  <c r="J8" i="26"/>
  <c r="J8" i="27"/>
  <c r="J8" i="32"/>
  <c r="J8" i="6"/>
  <c r="K8" i="28" l="1"/>
  <c r="G8" i="28"/>
  <c r="K8" i="29"/>
  <c r="G8" i="29"/>
  <c r="K8" i="30"/>
  <c r="G8" i="30"/>
  <c r="K8" i="31"/>
  <c r="G8" i="31"/>
  <c r="J14" i="32" l="1"/>
  <c r="I14" i="32"/>
  <c r="H14" i="32"/>
  <c r="G14" i="32"/>
  <c r="G15" i="32" s="1"/>
  <c r="G16" i="32" s="1"/>
  <c r="F14" i="32"/>
  <c r="E14" i="32"/>
  <c r="D14" i="32"/>
  <c r="D15" i="32" s="1"/>
  <c r="D16" i="32" s="1"/>
  <c r="C14" i="32"/>
  <c r="K14" i="31"/>
  <c r="J14" i="31"/>
  <c r="I14" i="31"/>
  <c r="H14" i="31"/>
  <c r="G14" i="31"/>
  <c r="F14" i="31"/>
  <c r="E14" i="31"/>
  <c r="D14" i="31"/>
  <c r="C14" i="31"/>
  <c r="K14" i="30"/>
  <c r="J14" i="30"/>
  <c r="I14" i="30"/>
  <c r="H14" i="30"/>
  <c r="G14" i="30"/>
  <c r="F14" i="30"/>
  <c r="E14" i="30"/>
  <c r="D14" i="30"/>
  <c r="C14" i="30"/>
  <c r="K14" i="29"/>
  <c r="J14" i="29"/>
  <c r="I14" i="29"/>
  <c r="H14" i="29"/>
  <c r="G14" i="29"/>
  <c r="F14" i="29"/>
  <c r="E14" i="29"/>
  <c r="D14" i="29"/>
  <c r="C14" i="29"/>
  <c r="K14" i="28"/>
  <c r="J14" i="28"/>
  <c r="I14" i="28"/>
  <c r="H14" i="28"/>
  <c r="G14" i="28"/>
  <c r="F14" i="28"/>
  <c r="E14" i="28"/>
  <c r="D14" i="28"/>
  <c r="C14" i="28"/>
  <c r="J14" i="27"/>
  <c r="I14" i="27"/>
  <c r="H14" i="27"/>
  <c r="G14" i="27"/>
  <c r="F14" i="27"/>
  <c r="E14" i="27"/>
  <c r="D14" i="27"/>
  <c r="C14" i="27"/>
  <c r="J14" i="26"/>
  <c r="I14" i="26"/>
  <c r="H14" i="26"/>
  <c r="G14" i="26"/>
  <c r="F14" i="26"/>
  <c r="E14" i="26"/>
  <c r="D14" i="26"/>
  <c r="C14" i="26"/>
  <c r="J14" i="25"/>
  <c r="I14" i="25"/>
  <c r="H14" i="25"/>
  <c r="G14" i="25"/>
  <c r="F14" i="25"/>
  <c r="E14" i="25"/>
  <c r="D14" i="25"/>
  <c r="C14" i="25"/>
  <c r="J14" i="24"/>
  <c r="I14" i="24"/>
  <c r="H14" i="24"/>
  <c r="G14" i="24"/>
  <c r="F14" i="24"/>
  <c r="E14" i="24"/>
  <c r="D14" i="24"/>
  <c r="C14" i="24"/>
  <c r="J14" i="23"/>
  <c r="I14" i="23"/>
  <c r="H14" i="23"/>
  <c r="G14" i="23"/>
  <c r="G15" i="23" s="1"/>
  <c r="G16" i="23" s="1"/>
  <c r="F14" i="23"/>
  <c r="E14" i="23"/>
  <c r="D14" i="23"/>
  <c r="C14" i="23"/>
  <c r="I14" i="22"/>
  <c r="H14" i="22"/>
  <c r="G14" i="22"/>
  <c r="F14" i="22"/>
  <c r="E14" i="22"/>
  <c r="D14" i="22"/>
  <c r="C14" i="22"/>
  <c r="J14" i="21"/>
  <c r="I14" i="21"/>
  <c r="I15" i="21" s="1"/>
  <c r="I16" i="21" s="1"/>
  <c r="H14" i="21"/>
  <c r="G14" i="21"/>
  <c r="F14" i="21"/>
  <c r="F15" i="21" s="1"/>
  <c r="F16" i="21" s="1"/>
  <c r="E14" i="21"/>
  <c r="D14" i="21"/>
  <c r="C14" i="21"/>
  <c r="J14" i="20"/>
  <c r="I14" i="20"/>
  <c r="H14" i="20"/>
  <c r="G14" i="20"/>
  <c r="G15" i="20" s="1"/>
  <c r="G16" i="20" s="1"/>
  <c r="F14" i="20"/>
  <c r="E14" i="20"/>
  <c r="D14" i="20"/>
  <c r="C14" i="20"/>
  <c r="I14" i="19"/>
  <c r="H14" i="19"/>
  <c r="G14" i="19"/>
  <c r="F14" i="19"/>
  <c r="E14" i="19"/>
  <c r="D14" i="19"/>
  <c r="C14" i="19"/>
  <c r="I14" i="18"/>
  <c r="H14" i="18"/>
  <c r="G14" i="18"/>
  <c r="F14" i="18"/>
  <c r="E14" i="18"/>
  <c r="D14" i="18"/>
  <c r="C14" i="18"/>
  <c r="G17" i="23" l="1"/>
  <c r="I17" i="27"/>
  <c r="I15" i="27"/>
  <c r="I16" i="27" s="1"/>
  <c r="I17" i="28"/>
  <c r="I15" i="28"/>
  <c r="I16" i="28" s="1"/>
  <c r="H17" i="29"/>
  <c r="H15" i="29"/>
  <c r="H16" i="29" s="1"/>
  <c r="J17" i="31"/>
  <c r="J15" i="31"/>
  <c r="J16" i="31" s="1"/>
  <c r="H17" i="32"/>
  <c r="H15" i="32"/>
  <c r="H16" i="32" s="1"/>
  <c r="H17" i="18"/>
  <c r="H15" i="18"/>
  <c r="H16" i="18" s="1"/>
  <c r="H17" i="22"/>
  <c r="H15" i="22"/>
  <c r="H16" i="22" s="1"/>
  <c r="G17" i="18"/>
  <c r="G15" i="18"/>
  <c r="G16" i="18" s="1"/>
  <c r="G17" i="22"/>
  <c r="G15" i="22"/>
  <c r="G16" i="22" s="1"/>
  <c r="G17" i="26"/>
  <c r="G15" i="26"/>
  <c r="G16" i="26" s="1"/>
  <c r="J17" i="28"/>
  <c r="J15" i="28"/>
  <c r="J16" i="28" s="1"/>
  <c r="I17" i="29"/>
  <c r="I15" i="29"/>
  <c r="I16" i="29" s="1"/>
  <c r="H17" i="30"/>
  <c r="H15" i="30"/>
  <c r="H16" i="30" s="1"/>
  <c r="I17" i="32"/>
  <c r="I15" i="32"/>
  <c r="I16" i="32" s="1"/>
  <c r="I17" i="18"/>
  <c r="I15" i="18"/>
  <c r="I16" i="18" s="1"/>
  <c r="I17" i="22"/>
  <c r="I15" i="22"/>
  <c r="I16" i="22" s="1"/>
  <c r="H17" i="23"/>
  <c r="H15" i="23"/>
  <c r="H16" i="23" s="1"/>
  <c r="H17" i="26"/>
  <c r="H15" i="26"/>
  <c r="H16" i="26" s="1"/>
  <c r="G17" i="27"/>
  <c r="G15" i="27"/>
  <c r="G16" i="27" s="1"/>
  <c r="J17" i="29"/>
  <c r="J15" i="29"/>
  <c r="J16" i="29" s="1"/>
  <c r="I17" i="30"/>
  <c r="I15" i="30"/>
  <c r="I16" i="30" s="1"/>
  <c r="H17" i="31"/>
  <c r="H15" i="31"/>
  <c r="H16" i="31" s="1"/>
  <c r="I17" i="23"/>
  <c r="I15" i="23"/>
  <c r="I16" i="23" s="1"/>
  <c r="I17" i="26"/>
  <c r="I15" i="26"/>
  <c r="I16" i="26" s="1"/>
  <c r="H17" i="27"/>
  <c r="H15" i="27"/>
  <c r="H16" i="27" s="1"/>
  <c r="H17" i="28"/>
  <c r="H15" i="28"/>
  <c r="H16" i="28" s="1"/>
  <c r="J17" i="30"/>
  <c r="J15" i="30"/>
  <c r="J16" i="30" s="1"/>
  <c r="I17" i="31"/>
  <c r="I15" i="31"/>
  <c r="I16" i="31" s="1"/>
  <c r="G17" i="32"/>
  <c r="D17" i="23"/>
  <c r="D15" i="23"/>
  <c r="D16" i="23" s="1"/>
  <c r="D17" i="30"/>
  <c r="D15" i="30"/>
  <c r="D16" i="30" s="1"/>
  <c r="F17" i="22"/>
  <c r="F15" i="22"/>
  <c r="F16" i="22" s="1"/>
  <c r="E17" i="23"/>
  <c r="E15" i="23"/>
  <c r="E16" i="23" s="1"/>
  <c r="E17" i="26"/>
  <c r="E15" i="26"/>
  <c r="E16" i="26" s="1"/>
  <c r="D17" i="27"/>
  <c r="D15" i="27"/>
  <c r="D16" i="27" s="1"/>
  <c r="C17" i="28"/>
  <c r="C16" i="28"/>
  <c r="L14" i="28"/>
  <c r="F17" i="29"/>
  <c r="F15" i="29"/>
  <c r="F16" i="29" s="1"/>
  <c r="E17" i="30"/>
  <c r="E15" i="30"/>
  <c r="E16" i="30" s="1"/>
  <c r="D17" i="31"/>
  <c r="D15" i="31"/>
  <c r="D16" i="31" s="1"/>
  <c r="C17" i="32"/>
  <c r="K14" i="32"/>
  <c r="C16" i="32"/>
  <c r="E17" i="22"/>
  <c r="E15" i="22"/>
  <c r="E16" i="22" s="1"/>
  <c r="C17" i="27"/>
  <c r="C16" i="27"/>
  <c r="K14" i="27"/>
  <c r="F17" i="28"/>
  <c r="F15" i="28"/>
  <c r="F16" i="28" s="1"/>
  <c r="E17" i="29"/>
  <c r="E15" i="29"/>
  <c r="E16" i="29" s="1"/>
  <c r="C17" i="31"/>
  <c r="C16" i="31"/>
  <c r="L14" i="31"/>
  <c r="C17" i="22"/>
  <c r="J14" i="22"/>
  <c r="C16" i="22"/>
  <c r="F17" i="23"/>
  <c r="F15" i="23"/>
  <c r="F16" i="23" s="1"/>
  <c r="F17" i="26"/>
  <c r="F15" i="26"/>
  <c r="F16" i="26" s="1"/>
  <c r="E17" i="27"/>
  <c r="E15" i="27"/>
  <c r="E16" i="27" s="1"/>
  <c r="D17" i="28"/>
  <c r="D15" i="28"/>
  <c r="D16" i="28" s="1"/>
  <c r="C17" i="29"/>
  <c r="L14" i="29"/>
  <c r="C16" i="29"/>
  <c r="F17" i="30"/>
  <c r="F15" i="30"/>
  <c r="F16" i="30" s="1"/>
  <c r="E17" i="31"/>
  <c r="E15" i="31"/>
  <c r="E16" i="31" s="1"/>
  <c r="D17" i="32"/>
  <c r="E17" i="18"/>
  <c r="E15" i="18"/>
  <c r="E16" i="18" s="1"/>
  <c r="D17" i="26"/>
  <c r="D15" i="26"/>
  <c r="D16" i="26" s="1"/>
  <c r="F17" i="32"/>
  <c r="F15" i="32"/>
  <c r="F16" i="32" s="1"/>
  <c r="F17" i="18"/>
  <c r="F15" i="18"/>
  <c r="F16" i="18" s="1"/>
  <c r="C17" i="18"/>
  <c r="C16" i="18"/>
  <c r="J14" i="18"/>
  <c r="D17" i="18"/>
  <c r="D15" i="18"/>
  <c r="D16" i="18" s="1"/>
  <c r="D17" i="22"/>
  <c r="D15" i="22"/>
  <c r="D16" i="22" s="1"/>
  <c r="C17" i="23"/>
  <c r="K14" i="23"/>
  <c r="C16" i="23"/>
  <c r="C17" i="26"/>
  <c r="K17" i="26" s="1"/>
  <c r="K14" i="26"/>
  <c r="C16" i="26"/>
  <c r="F17" i="27"/>
  <c r="F15" i="27"/>
  <c r="F16" i="27" s="1"/>
  <c r="E17" i="28"/>
  <c r="E15" i="28"/>
  <c r="E16" i="28" s="1"/>
  <c r="D17" i="29"/>
  <c r="D15" i="29"/>
  <c r="D16" i="29" s="1"/>
  <c r="C17" i="30"/>
  <c r="L14" i="30"/>
  <c r="C16" i="30"/>
  <c r="F17" i="31"/>
  <c r="F15" i="31"/>
  <c r="F16" i="31" s="1"/>
  <c r="E17" i="32"/>
  <c r="E15" i="32"/>
  <c r="E16" i="32" s="1"/>
  <c r="F17" i="25"/>
  <c r="F15" i="25"/>
  <c r="F16" i="25" s="1"/>
  <c r="E17" i="25"/>
  <c r="E15" i="25"/>
  <c r="E16" i="25" s="1"/>
  <c r="D17" i="25"/>
  <c r="D15" i="25"/>
  <c r="D16" i="25" s="1"/>
  <c r="C17" i="25"/>
  <c r="C16" i="25"/>
  <c r="I17" i="25"/>
  <c r="I15" i="25"/>
  <c r="I16" i="25" s="1"/>
  <c r="H17" i="25"/>
  <c r="H15" i="25"/>
  <c r="H16" i="25" s="1"/>
  <c r="G15" i="25"/>
  <c r="G16" i="25" s="1"/>
  <c r="K14" i="25"/>
  <c r="G17" i="25"/>
  <c r="E17" i="24"/>
  <c r="E15" i="24"/>
  <c r="E16" i="24" s="1"/>
  <c r="H17" i="24"/>
  <c r="H15" i="24"/>
  <c r="H16" i="24" s="1"/>
  <c r="F17" i="24"/>
  <c r="F15" i="24"/>
  <c r="F16" i="24" s="1"/>
  <c r="I17" i="24"/>
  <c r="I15" i="24"/>
  <c r="I16" i="24" s="1"/>
  <c r="C17" i="24"/>
  <c r="K14" i="24"/>
  <c r="C16" i="24"/>
  <c r="D17" i="24"/>
  <c r="D15" i="24"/>
  <c r="D16" i="24" s="1"/>
  <c r="G17" i="24"/>
  <c r="G15" i="24"/>
  <c r="G16" i="24" s="1"/>
  <c r="F17" i="21"/>
  <c r="E17" i="21"/>
  <c r="E15" i="21"/>
  <c r="E16" i="21" s="1"/>
  <c r="D17" i="21"/>
  <c r="D15" i="21"/>
  <c r="D16" i="21" s="1"/>
  <c r="C17" i="21"/>
  <c r="C16" i="21"/>
  <c r="I17" i="21"/>
  <c r="H17" i="21"/>
  <c r="H15" i="21"/>
  <c r="H16" i="21" s="1"/>
  <c r="G17" i="21"/>
  <c r="G15" i="21"/>
  <c r="G16" i="21" s="1"/>
  <c r="K14" i="21"/>
  <c r="C17" i="20"/>
  <c r="C16" i="20"/>
  <c r="I17" i="20"/>
  <c r="I15" i="20"/>
  <c r="I16" i="20" s="1"/>
  <c r="H17" i="20"/>
  <c r="H15" i="20"/>
  <c r="H16" i="20" s="1"/>
  <c r="G17" i="20"/>
  <c r="F17" i="20"/>
  <c r="F15" i="20"/>
  <c r="F16" i="20" s="1"/>
  <c r="E17" i="20"/>
  <c r="E15" i="20"/>
  <c r="E16" i="20" s="1"/>
  <c r="D17" i="20"/>
  <c r="D15" i="20"/>
  <c r="D16" i="20" s="1"/>
  <c r="K14" i="20"/>
  <c r="C17" i="19"/>
  <c r="C16" i="19"/>
  <c r="I17" i="19"/>
  <c r="I15" i="19"/>
  <c r="I16" i="19" s="1"/>
  <c r="H17" i="19"/>
  <c r="H15" i="19"/>
  <c r="H16" i="19" s="1"/>
  <c r="G17" i="19"/>
  <c r="G15" i="19"/>
  <c r="G16" i="19" s="1"/>
  <c r="F17" i="19"/>
  <c r="F15" i="19"/>
  <c r="F16" i="19" s="1"/>
  <c r="E17" i="19"/>
  <c r="E15" i="19"/>
  <c r="E16" i="19" s="1"/>
  <c r="D17" i="19"/>
  <c r="J14" i="19"/>
  <c r="D15" i="19"/>
  <c r="D16" i="19" s="1"/>
  <c r="I14" i="17"/>
  <c r="H14" i="17"/>
  <c r="G14" i="17"/>
  <c r="F14" i="17"/>
  <c r="E14" i="17"/>
  <c r="D14" i="17"/>
  <c r="C14" i="17"/>
  <c r="J14" i="16"/>
  <c r="I14" i="16"/>
  <c r="H14" i="16"/>
  <c r="G14" i="16"/>
  <c r="G15" i="16" s="1"/>
  <c r="G16" i="16" s="1"/>
  <c r="F14" i="16"/>
  <c r="E14" i="16"/>
  <c r="D14" i="16"/>
  <c r="C14" i="16"/>
  <c r="I14" i="15"/>
  <c r="H14" i="15"/>
  <c r="G14" i="15"/>
  <c r="F14" i="15"/>
  <c r="E14" i="15"/>
  <c r="D14" i="15"/>
  <c r="C14" i="15"/>
  <c r="I14" i="14"/>
  <c r="H14" i="14"/>
  <c r="G14" i="14"/>
  <c r="E14" i="14"/>
  <c r="D14" i="14"/>
  <c r="C14" i="14"/>
  <c r="I14" i="13"/>
  <c r="H14" i="13"/>
  <c r="G14" i="13"/>
  <c r="G15" i="13" s="1"/>
  <c r="G16" i="13" s="1"/>
  <c r="F14" i="13"/>
  <c r="E14" i="13"/>
  <c r="D14" i="13"/>
  <c r="C14" i="13"/>
  <c r="I14" i="12"/>
  <c r="H14" i="12"/>
  <c r="G14" i="12"/>
  <c r="F14" i="12"/>
  <c r="E14" i="12"/>
  <c r="D14" i="12"/>
  <c r="C14" i="12"/>
  <c r="I14" i="11"/>
  <c r="H14" i="11"/>
  <c r="G14" i="11"/>
  <c r="G15" i="11" s="1"/>
  <c r="G16" i="11" s="1"/>
  <c r="F14" i="11"/>
  <c r="E14" i="11"/>
  <c r="D14" i="11"/>
  <c r="C14" i="11"/>
  <c r="I14" i="10"/>
  <c r="H14" i="10"/>
  <c r="G14" i="10"/>
  <c r="G15" i="10" s="1"/>
  <c r="G16" i="10" s="1"/>
  <c r="F14" i="10"/>
  <c r="E14" i="10"/>
  <c r="D14" i="10"/>
  <c r="C14" i="10"/>
  <c r="J14" i="9"/>
  <c r="I14" i="9"/>
  <c r="H14" i="9"/>
  <c r="G14" i="9"/>
  <c r="F14" i="9"/>
  <c r="E14" i="9"/>
  <c r="D14" i="9"/>
  <c r="C14" i="9"/>
  <c r="I14" i="8"/>
  <c r="H14" i="8"/>
  <c r="G14" i="8"/>
  <c r="F14" i="8"/>
  <c r="E14" i="8"/>
  <c r="D14" i="8"/>
  <c r="C14" i="8"/>
  <c r="I14" i="7"/>
  <c r="H14" i="7"/>
  <c r="G14" i="7"/>
  <c r="F14" i="7"/>
  <c r="E14" i="7"/>
  <c r="D14" i="7"/>
  <c r="C14" i="7"/>
  <c r="I14" i="6"/>
  <c r="H14" i="6"/>
  <c r="G14" i="6"/>
  <c r="G15" i="6" s="1"/>
  <c r="G16" i="6" s="1"/>
  <c r="F14" i="6"/>
  <c r="E14" i="6"/>
  <c r="D14" i="6"/>
  <c r="C14" i="6"/>
  <c r="I14" i="5"/>
  <c r="H14" i="5"/>
  <c r="G14" i="5"/>
  <c r="F14" i="5"/>
  <c r="E14" i="5"/>
  <c r="D14" i="5"/>
  <c r="C14" i="5"/>
  <c r="D15" i="5" l="1"/>
  <c r="D16" i="5" s="1"/>
  <c r="J14" i="5"/>
  <c r="L17" i="30"/>
  <c r="H17" i="6"/>
  <c r="H15" i="6"/>
  <c r="H16" i="6" s="1"/>
  <c r="H17" i="7"/>
  <c r="H15" i="7"/>
  <c r="H16" i="7" s="1"/>
  <c r="G17" i="8"/>
  <c r="G15" i="8"/>
  <c r="G16" i="8" s="1"/>
  <c r="H17" i="11"/>
  <c r="H15" i="11"/>
  <c r="H16" i="11" s="1"/>
  <c r="I17" i="6"/>
  <c r="I15" i="6"/>
  <c r="I16" i="6" s="1"/>
  <c r="I17" i="7"/>
  <c r="I15" i="7"/>
  <c r="I16" i="7" s="1"/>
  <c r="H17" i="8"/>
  <c r="H15" i="8"/>
  <c r="H16" i="8" s="1"/>
  <c r="G17" i="9"/>
  <c r="G15" i="9"/>
  <c r="G16" i="9" s="1"/>
  <c r="I17" i="11"/>
  <c r="I15" i="11"/>
  <c r="I16" i="11" s="1"/>
  <c r="G17" i="5"/>
  <c r="G15" i="5"/>
  <c r="G16" i="5" s="1"/>
  <c r="I17" i="8"/>
  <c r="I15" i="8"/>
  <c r="I16" i="8" s="1"/>
  <c r="H17" i="9"/>
  <c r="H15" i="9"/>
  <c r="H16" i="9" s="1"/>
  <c r="H17" i="5"/>
  <c r="H15" i="5"/>
  <c r="H16" i="5" s="1"/>
  <c r="G17" i="7"/>
  <c r="G15" i="7"/>
  <c r="G16" i="7" s="1"/>
  <c r="I17" i="9"/>
  <c r="I15" i="9"/>
  <c r="I16" i="9" s="1"/>
  <c r="G17" i="11"/>
  <c r="J17" i="18"/>
  <c r="L17" i="29"/>
  <c r="D17" i="6"/>
  <c r="D15" i="6"/>
  <c r="D16" i="6" s="1"/>
  <c r="D17" i="5"/>
  <c r="E17" i="6"/>
  <c r="E15" i="6"/>
  <c r="E16" i="6" s="1"/>
  <c r="E17" i="7"/>
  <c r="E15" i="7"/>
  <c r="E16" i="7" s="1"/>
  <c r="D17" i="8"/>
  <c r="D15" i="8"/>
  <c r="D16" i="8" s="1"/>
  <c r="C17" i="9"/>
  <c r="K14" i="9"/>
  <c r="C16" i="9"/>
  <c r="E17" i="11"/>
  <c r="E15" i="11"/>
  <c r="E16" i="11" s="1"/>
  <c r="K17" i="23"/>
  <c r="K17" i="27"/>
  <c r="C17" i="5"/>
  <c r="C16" i="5"/>
  <c r="C17" i="8"/>
  <c r="J14" i="8"/>
  <c r="C16" i="8"/>
  <c r="D17" i="11"/>
  <c r="D15" i="11"/>
  <c r="D16" i="11" s="1"/>
  <c r="E17" i="5"/>
  <c r="E15" i="5"/>
  <c r="E16" i="5" s="1"/>
  <c r="F17" i="6"/>
  <c r="F15" i="6"/>
  <c r="F16" i="6" s="1"/>
  <c r="F17" i="7"/>
  <c r="F15" i="7"/>
  <c r="F16" i="7" s="1"/>
  <c r="E17" i="8"/>
  <c r="E15" i="8"/>
  <c r="E16" i="8" s="1"/>
  <c r="D17" i="9"/>
  <c r="D15" i="9"/>
  <c r="D16" i="9" s="1"/>
  <c r="F17" i="11"/>
  <c r="F15" i="11"/>
  <c r="F16" i="11" s="1"/>
  <c r="L17" i="31"/>
  <c r="K17" i="32"/>
  <c r="D17" i="7"/>
  <c r="D15" i="7"/>
  <c r="D16" i="7" s="1"/>
  <c r="F17" i="9"/>
  <c r="F15" i="9"/>
  <c r="F16" i="9" s="1"/>
  <c r="F17" i="5"/>
  <c r="F15" i="5"/>
  <c r="F16" i="5" s="1"/>
  <c r="C17" i="6"/>
  <c r="C16" i="6"/>
  <c r="K14" i="6"/>
  <c r="C17" i="7"/>
  <c r="J14" i="7"/>
  <c r="C16" i="7"/>
  <c r="F17" i="8"/>
  <c r="F15" i="8"/>
  <c r="F16" i="8" s="1"/>
  <c r="E17" i="9"/>
  <c r="E15" i="9"/>
  <c r="E16" i="9" s="1"/>
  <c r="C17" i="11"/>
  <c r="C16" i="11"/>
  <c r="J14" i="11"/>
  <c r="J17" i="22"/>
  <c r="L17" i="28"/>
  <c r="K17" i="25"/>
  <c r="K17" i="24"/>
  <c r="K17" i="21"/>
  <c r="K17" i="20"/>
  <c r="J17" i="19"/>
  <c r="C17" i="16"/>
  <c r="C16" i="16"/>
  <c r="I17" i="16"/>
  <c r="I15" i="16"/>
  <c r="I16" i="16" s="1"/>
  <c r="H17" i="16"/>
  <c r="H15" i="16"/>
  <c r="H16" i="16" s="1"/>
  <c r="G17" i="16"/>
  <c r="F17" i="16"/>
  <c r="F15" i="16"/>
  <c r="F16" i="16" s="1"/>
  <c r="E17" i="16"/>
  <c r="E15" i="16"/>
  <c r="E16" i="16" s="1"/>
  <c r="D17" i="16"/>
  <c r="K14" i="16"/>
  <c r="D15" i="16"/>
  <c r="D16" i="16" s="1"/>
  <c r="C17" i="17"/>
  <c r="C16" i="17"/>
  <c r="I17" i="17"/>
  <c r="I15" i="17"/>
  <c r="I16" i="17" s="1"/>
  <c r="H17" i="17"/>
  <c r="H15" i="17"/>
  <c r="H16" i="17" s="1"/>
  <c r="G17" i="17"/>
  <c r="G15" i="17"/>
  <c r="G16" i="17" s="1"/>
  <c r="F17" i="17"/>
  <c r="F15" i="17"/>
  <c r="F16" i="17" s="1"/>
  <c r="E17" i="17"/>
  <c r="E15" i="17"/>
  <c r="E16" i="17" s="1"/>
  <c r="D17" i="17"/>
  <c r="D15" i="17"/>
  <c r="D16" i="17" s="1"/>
  <c r="J14" i="17"/>
  <c r="C17" i="15"/>
  <c r="C16" i="15"/>
  <c r="I17" i="15"/>
  <c r="I15" i="15"/>
  <c r="I16" i="15" s="1"/>
  <c r="H17" i="15"/>
  <c r="H15" i="15"/>
  <c r="H16" i="15" s="1"/>
  <c r="G17" i="15"/>
  <c r="G15" i="15"/>
  <c r="G16" i="15" s="1"/>
  <c r="F17" i="15"/>
  <c r="F15" i="15"/>
  <c r="F16" i="15" s="1"/>
  <c r="E17" i="15"/>
  <c r="E15" i="15"/>
  <c r="E16" i="15" s="1"/>
  <c r="D17" i="15"/>
  <c r="D15" i="15"/>
  <c r="D16" i="15" s="1"/>
  <c r="J14" i="15"/>
  <c r="C17" i="14"/>
  <c r="C16" i="14"/>
  <c r="I17" i="14"/>
  <c r="I15" i="14"/>
  <c r="I16" i="14" s="1"/>
  <c r="H17" i="14"/>
  <c r="H15" i="14"/>
  <c r="H16" i="14" s="1"/>
  <c r="G17" i="14"/>
  <c r="G15" i="14"/>
  <c r="G16" i="14" s="1"/>
  <c r="F17" i="14"/>
  <c r="F15" i="14"/>
  <c r="F16" i="14" s="1"/>
  <c r="E17" i="14"/>
  <c r="E15" i="14"/>
  <c r="E16" i="14" s="1"/>
  <c r="D17" i="14"/>
  <c r="J14" i="14"/>
  <c r="D15" i="14"/>
  <c r="D16" i="14" s="1"/>
  <c r="I17" i="13"/>
  <c r="I15" i="13"/>
  <c r="I16" i="13" s="1"/>
  <c r="G17" i="13"/>
  <c r="H17" i="13"/>
  <c r="H15" i="13"/>
  <c r="H16" i="13" s="1"/>
  <c r="C17" i="13"/>
  <c r="C16" i="13"/>
  <c r="J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I17" i="12"/>
  <c r="I15" i="12"/>
  <c r="I16" i="12" s="1"/>
  <c r="H17" i="12"/>
  <c r="H15" i="12"/>
  <c r="H16" i="12" s="1"/>
  <c r="G17" i="12"/>
  <c r="G15" i="12"/>
  <c r="G16" i="12" s="1"/>
  <c r="F17" i="12"/>
  <c r="F15" i="12"/>
  <c r="F16" i="12" s="1"/>
  <c r="E17" i="12"/>
  <c r="E15" i="12"/>
  <c r="E16" i="12" s="1"/>
  <c r="D17" i="12"/>
  <c r="D15" i="12"/>
  <c r="D16" i="12" s="1"/>
  <c r="J14" i="12"/>
  <c r="C17" i="10"/>
  <c r="C16" i="10"/>
  <c r="I17" i="10"/>
  <c r="I15" i="10"/>
  <c r="I16" i="10" s="1"/>
  <c r="H17" i="10"/>
  <c r="H15" i="10"/>
  <c r="H16" i="10" s="1"/>
  <c r="G17" i="10"/>
  <c r="F17" i="10"/>
  <c r="F15" i="10"/>
  <c r="F16" i="10" s="1"/>
  <c r="E17" i="10"/>
  <c r="E15" i="10"/>
  <c r="E16" i="10" s="1"/>
  <c r="D17" i="10"/>
  <c r="D15" i="10"/>
  <c r="D16" i="10" s="1"/>
  <c r="J14" i="10"/>
  <c r="G17" i="6"/>
  <c r="J14" i="6"/>
  <c r="K14" i="4"/>
  <c r="J14" i="4"/>
  <c r="I14" i="4"/>
  <c r="H14" i="4"/>
  <c r="G14" i="4"/>
  <c r="F14" i="4"/>
  <c r="E14" i="4"/>
  <c r="D14" i="4"/>
  <c r="C14" i="4"/>
  <c r="J17" i="8" l="1"/>
  <c r="J17" i="7"/>
  <c r="J17" i="4"/>
  <c r="J15" i="4"/>
  <c r="J16" i="4" s="1"/>
  <c r="H17" i="4"/>
  <c r="H15" i="4"/>
  <c r="H16" i="4" s="1"/>
  <c r="I17" i="4"/>
  <c r="I15" i="4"/>
  <c r="I16" i="4" s="1"/>
  <c r="J17" i="11"/>
  <c r="E17" i="4"/>
  <c r="E15" i="4"/>
  <c r="E16" i="4" s="1"/>
  <c r="F17" i="4"/>
  <c r="F15" i="4"/>
  <c r="F16" i="4" s="1"/>
  <c r="K17" i="9"/>
  <c r="D17" i="4"/>
  <c r="D15" i="4"/>
  <c r="D16" i="4" s="1"/>
  <c r="C17" i="4"/>
  <c r="L14" i="4"/>
  <c r="C16" i="4"/>
  <c r="K17" i="6"/>
  <c r="J17" i="5"/>
  <c r="K17" i="16"/>
  <c r="J17" i="17"/>
  <c r="J17" i="15"/>
  <c r="J17" i="14"/>
  <c r="J17" i="13"/>
  <c r="J17" i="12"/>
  <c r="J17" i="10"/>
  <c r="L17" i="4" l="1"/>
  <c r="K18" i="2"/>
  <c r="J18" i="2"/>
  <c r="I18" i="2"/>
  <c r="H18" i="2"/>
  <c r="G18" i="2"/>
  <c r="F18" i="2"/>
  <c r="E18" i="2"/>
  <c r="D18" i="2"/>
  <c r="C15" i="2"/>
  <c r="C16" i="2" s="1"/>
</calcChain>
</file>

<file path=xl/sharedStrings.xml><?xml version="1.0" encoding="utf-8"?>
<sst xmlns="http://schemas.openxmlformats.org/spreadsheetml/2006/main" count="1389" uniqueCount="49">
  <si>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</si>
  <si>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</si>
  <si>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</si>
  <si>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</si>
  <si>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</si>
  <si>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</si>
  <si>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</si>
  <si>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</si>
  <si>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</si>
  <si>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</si>
  <si>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Mubeen </t>
  </si>
  <si>
    <t>LEM</t>
  </si>
  <si>
    <t>CHK</t>
  </si>
  <si>
    <t>Meat</t>
  </si>
  <si>
    <t>Salman</t>
  </si>
  <si>
    <t xml:space="preserve">Zeshan </t>
  </si>
  <si>
    <t xml:space="preserve">Total </t>
  </si>
  <si>
    <t>Furqan</t>
  </si>
  <si>
    <t xml:space="preserve">Last Month </t>
  </si>
  <si>
    <t>Mubeen</t>
  </si>
  <si>
    <t>Saturday</t>
  </si>
  <si>
    <t>With FOC</t>
  </si>
  <si>
    <t>FOC</t>
  </si>
  <si>
    <t>SKU Wise</t>
  </si>
  <si>
    <t xml:space="preserve">Pcs </t>
  </si>
  <si>
    <t xml:space="preserve">Ctns </t>
  </si>
  <si>
    <t>Shops</t>
  </si>
  <si>
    <t>Ctns</t>
  </si>
  <si>
    <t xml:space="preserve"> </t>
  </si>
  <si>
    <t>Executed</t>
  </si>
  <si>
    <t>Zeshan</t>
  </si>
  <si>
    <t>Umair</t>
  </si>
  <si>
    <t xml:space="preserve">Shakoor </t>
  </si>
  <si>
    <t>Bilal</t>
  </si>
  <si>
    <t>Booking</t>
  </si>
  <si>
    <t>Execution</t>
  </si>
  <si>
    <t>chk</t>
  </si>
  <si>
    <t>Zesahn</t>
  </si>
  <si>
    <t>Shakoor</t>
  </si>
  <si>
    <t>CTNS</t>
  </si>
  <si>
    <t>70meat</t>
  </si>
  <si>
    <t>70lem</t>
  </si>
  <si>
    <t>120lem</t>
  </si>
  <si>
    <t>No EXC</t>
  </si>
  <si>
    <t>M</t>
  </si>
  <si>
    <t>L</t>
  </si>
  <si>
    <t>c</t>
  </si>
  <si>
    <t>C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</si>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</sst>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8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4" borderId="15" xfId="0" applyFont="1" applyFill="1" applyBorder="1"/>
    <xf numFmtId="0" fontId="2" fillId="0" borderId="27" xfId="0" applyFont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0" fillId="6" borderId="15" xfId="0" applyFill="1" applyBorder="1"/>
    <xf numFmtId="0" fontId="1" fillId="0" borderId="28" xfId="0" applyFont="1" applyBorder="1"/>
    <xf numFmtId="0" fontId="0" fillId="0" borderId="28" xfId="0" applyBorder="1"/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left"/>
    </xf>
    <xf numFmtId="0" fontId="2" fillId="5" borderId="15" xfId="0" applyFont="1" applyFill="1" applyBorder="1" applyAlignment="1">
      <alignment horizontal="center" vertical="center"/>
    </xf>
    <xf numFmtId="0" fontId="1" fillId="5" borderId="15" xfId="0" applyFont="1" applyFill="1" applyBorder="1"/>
    <xf numFmtId="0" fontId="2" fillId="5" borderId="15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15" xfId="0" applyFont="1" applyFill="1" applyBorder="1" applyAlignment="1">
      <alignment horizontal="center" vertical="center" wrapText="1"/>
    </xf>
    <xf numFmtId="0" fontId="2" fillId="0" borderId="27" xfId="0" applyFont="1" applyFill="1" applyBorder="1" applyAlignment="1">
      <alignment horizontal="center" vertical="center"/>
    </xf>
    <xf numFmtId="0" fontId="2" fillId="0" borderId="15" xfId="0" applyFont="1" applyFill="1" applyBorder="1" applyAlignment="1">
      <alignment horizontal="center" vertical="center"/>
    </xf>
    <xf numFmtId="0" fontId="2" fillId="0" borderId="2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zoomScale="115" zoomScaleNormal="115" workbookViewId="0">
      <selection activeCell="O18" sqref="O18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61" t="s">
        <v>0</v>
      </c>
      <c r="C2" s="62"/>
      <c r="D2" s="62"/>
      <c r="E2" s="62"/>
      <c r="F2" s="62"/>
      <c r="G2" s="62"/>
      <c r="H2" s="62"/>
      <c r="I2" s="62"/>
      <c r="J2" s="62"/>
      <c r="K2" s="63"/>
    </row>
    <row r="3" spans="1:11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</row>
    <row r="4" spans="1:11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</row>
    <row r="5" spans="1:11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</row>
    <row r="6" spans="1:11" ht="15" thickBot="1" x14ac:dyDescent="0.4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</row>
    <row r="7" spans="1:11" x14ac:dyDescent="0.35">
      <c r="A7" s="4" t="s">
        <v>4</v>
      </c>
      <c r="B7" s="4" t="s">
        <v>5</v>
      </c>
      <c r="C7" s="5" t="s">
        <v>6</v>
      </c>
      <c r="D7" s="6" t="s">
        <v>13</v>
      </c>
      <c r="E7" s="7" t="s">
        <v>11</v>
      </c>
      <c r="F7" s="7" t="s">
        <v>12</v>
      </c>
      <c r="G7" s="8" t="s">
        <v>8</v>
      </c>
      <c r="H7" s="9" t="s">
        <v>13</v>
      </c>
      <c r="I7" s="7" t="s">
        <v>7</v>
      </c>
      <c r="J7" s="7" t="s">
        <v>12</v>
      </c>
      <c r="K7" s="8" t="s">
        <v>8</v>
      </c>
    </row>
    <row r="8" spans="1:11" x14ac:dyDescent="0.35">
      <c r="A8" s="27"/>
      <c r="B8" s="10" t="s">
        <v>18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17</v>
      </c>
    </row>
    <row r="23" spans="1:11" x14ac:dyDescent="0.35">
      <c r="B23" t="s">
        <v>31</v>
      </c>
    </row>
    <row r="24" spans="1:11" x14ac:dyDescent="0.35">
      <c r="B24" t="s">
        <v>30</v>
      </c>
    </row>
    <row r="25" spans="1:11" x14ac:dyDescent="0.35">
      <c r="B25" t="s">
        <v>14</v>
      </c>
    </row>
    <row r="26" spans="1:11" x14ac:dyDescent="0.35">
      <c r="B26" t="s">
        <v>19</v>
      </c>
    </row>
    <row r="27" spans="1:11" x14ac:dyDescent="0.35">
      <c r="B27" t="s">
        <v>32</v>
      </c>
    </row>
    <row r="28" spans="1:11" x14ac:dyDescent="0.35">
      <c r="B28" t="s">
        <v>33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AD19"/>
  <sheetViews>
    <sheetView zoomScaleNormal="100" workbookViewId="0">
      <selection activeCell="AA9" sqref="AA9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9.0898437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1" max="21" width="3.90625" bestFit="1" customWidth="1"/>
    <col min="22" max="22" width="3.6328125" bestFit="1" customWidth="1"/>
    <col min="23" max="23" width="3.08984375" bestFit="1" customWidth="1"/>
  </cols>
  <sheetData>
    <row r="1" spans="1:30" ht="15" thickBot="1" x14ac:dyDescent="0.4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50"/>
      <c r="M1" s="50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30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  <c r="AB2" t="s">
        <v>36</v>
      </c>
    </row>
    <row r="3" spans="1:30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  <c r="AB3">
        <v>14</v>
      </c>
      <c r="AC3">
        <v>13</v>
      </c>
      <c r="AD3">
        <v>13</v>
      </c>
    </row>
    <row r="4" spans="1:30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30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30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30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30" x14ac:dyDescent="0.35">
      <c r="A8" s="27">
        <v>1</v>
      </c>
      <c r="B8" s="10" t="s">
        <v>17</v>
      </c>
      <c r="C8" s="12">
        <v>70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66</v>
      </c>
      <c r="I8" s="12">
        <v>71</v>
      </c>
      <c r="J8" s="12">
        <v>64</v>
      </c>
      <c r="K8" s="28">
        <f>SUM(H8:J8)/20</f>
        <v>10.050000000000001</v>
      </c>
      <c r="L8">
        <f>SUM(C8:F8,H8,I8,J8)/40</f>
        <v>10.225</v>
      </c>
      <c r="M8" s="44">
        <v>8</v>
      </c>
      <c r="N8" s="27">
        <v>46174</v>
      </c>
      <c r="O8" s="10" t="s">
        <v>31</v>
      </c>
      <c r="P8" s="12">
        <v>284</v>
      </c>
      <c r="Q8" s="12">
        <v>40</v>
      </c>
      <c r="R8" s="12">
        <v>40</v>
      </c>
      <c r="S8" s="12">
        <v>0</v>
      </c>
      <c r="T8" s="28">
        <f>SUM(Q8:S8)/20</f>
        <v>4</v>
      </c>
      <c r="U8" s="12">
        <v>86</v>
      </c>
      <c r="V8" s="12">
        <v>66</v>
      </c>
      <c r="W8" s="12">
        <v>48</v>
      </c>
      <c r="X8" s="28">
        <f>SUM(U8:W8)/20</f>
        <v>10</v>
      </c>
      <c r="Y8">
        <f>SUM(P8:S8,U8,V8,W8)/40</f>
        <v>14.1</v>
      </c>
      <c r="Z8" s="44">
        <v>10</v>
      </c>
    </row>
    <row r="9" spans="1:30" x14ac:dyDescent="0.35">
      <c r="A9" s="27"/>
      <c r="B9" s="10" t="s">
        <v>10</v>
      </c>
      <c r="C9" s="12">
        <v>52</v>
      </c>
      <c r="D9" s="12">
        <v>52</v>
      </c>
      <c r="E9" s="12">
        <v>40</v>
      </c>
      <c r="F9" s="12">
        <v>0</v>
      </c>
      <c r="G9" s="28">
        <f t="shared" ref="G9:G13" si="0">SUM(D9:F9)/20</f>
        <v>4.5999999999999996</v>
      </c>
      <c r="H9" s="12">
        <v>107</v>
      </c>
      <c r="I9" s="12">
        <v>107</v>
      </c>
      <c r="J9" s="12">
        <v>212</v>
      </c>
      <c r="K9" s="28">
        <f t="shared" ref="K9:K13" si="1">SUM(H9:J9)/20</f>
        <v>21.3</v>
      </c>
      <c r="L9">
        <f t="shared" ref="L9:L12" si="2">SUM(C9:F9,H9,I9,J9)/40</f>
        <v>14.25</v>
      </c>
      <c r="M9" s="44">
        <v>9</v>
      </c>
      <c r="N9" s="27">
        <v>46174</v>
      </c>
      <c r="O9" s="10" t="s">
        <v>14</v>
      </c>
      <c r="P9" s="12">
        <v>200</v>
      </c>
      <c r="Q9" s="12">
        <v>12</v>
      </c>
      <c r="R9" s="12">
        <v>12</v>
      </c>
      <c r="S9" s="12">
        <v>0</v>
      </c>
      <c r="T9" s="28">
        <f t="shared" ref="T9:T13" si="3">SUM(Q9:S9)/20</f>
        <v>1.2</v>
      </c>
      <c r="U9" s="12">
        <v>10</v>
      </c>
      <c r="V9" s="12">
        <v>15</v>
      </c>
      <c r="W9" s="12">
        <v>15</v>
      </c>
      <c r="X9" s="28">
        <f t="shared" ref="X9:X13" si="4">SUM(U9:W9)/20</f>
        <v>2</v>
      </c>
      <c r="Y9">
        <f t="shared" ref="Y9:Y12" si="5">SUM(P9:S9,U9,V9,W9)/40</f>
        <v>6.6</v>
      </c>
      <c r="Z9" s="44">
        <v>4</v>
      </c>
    </row>
    <row r="10" spans="1:30" x14ac:dyDescent="0.35">
      <c r="A10" s="27"/>
      <c r="B10" s="10" t="s">
        <v>9</v>
      </c>
      <c r="C10" s="12">
        <v>200</v>
      </c>
      <c r="D10" s="12">
        <v>12</v>
      </c>
      <c r="E10" s="12">
        <v>12</v>
      </c>
      <c r="F10" s="12">
        <v>0</v>
      </c>
      <c r="G10" s="28">
        <f t="shared" si="0"/>
        <v>1.2</v>
      </c>
      <c r="H10" s="12">
        <v>23</v>
      </c>
      <c r="I10" s="12">
        <v>28</v>
      </c>
      <c r="J10" s="12">
        <v>29</v>
      </c>
      <c r="K10" s="28">
        <f t="shared" si="1"/>
        <v>4</v>
      </c>
      <c r="L10">
        <f t="shared" si="2"/>
        <v>7.6</v>
      </c>
      <c r="M10" s="44">
        <v>4</v>
      </c>
      <c r="N10" s="27"/>
      <c r="O10" s="10" t="s">
        <v>30</v>
      </c>
      <c r="P10" s="12">
        <v>86</v>
      </c>
      <c r="Q10" s="12"/>
      <c r="R10" s="12"/>
      <c r="S10" s="12"/>
      <c r="T10" s="28">
        <f t="shared" si="3"/>
        <v>0</v>
      </c>
      <c r="U10" s="12">
        <v>65</v>
      </c>
      <c r="V10" s="12">
        <v>65</v>
      </c>
      <c r="W10" s="12">
        <v>106</v>
      </c>
      <c r="X10" s="28">
        <f t="shared" si="4"/>
        <v>11.8</v>
      </c>
      <c r="Y10">
        <f t="shared" si="5"/>
        <v>8.0500000000000007</v>
      </c>
      <c r="Z10" s="44">
        <v>5</v>
      </c>
    </row>
    <row r="11" spans="1:30" x14ac:dyDescent="0.35">
      <c r="A11" s="11"/>
      <c r="B11" s="11" t="s">
        <v>15</v>
      </c>
      <c r="C11" s="12">
        <v>98</v>
      </c>
      <c r="D11" s="12">
        <v>0</v>
      </c>
      <c r="E11" s="12">
        <v>0</v>
      </c>
      <c r="F11" s="12">
        <v>0</v>
      </c>
      <c r="G11" s="28">
        <f t="shared" si="0"/>
        <v>0</v>
      </c>
      <c r="H11" s="12">
        <v>65</v>
      </c>
      <c r="I11" s="12">
        <v>65</v>
      </c>
      <c r="J11" s="12">
        <v>112</v>
      </c>
      <c r="K11" s="28">
        <f t="shared" si="1"/>
        <v>12.1</v>
      </c>
      <c r="L11">
        <f t="shared" si="2"/>
        <v>8.5</v>
      </c>
      <c r="M11" s="44">
        <v>7</v>
      </c>
      <c r="N11" s="11"/>
      <c r="O11" s="11" t="s">
        <v>17</v>
      </c>
      <c r="P11" s="12">
        <v>24</v>
      </c>
      <c r="Q11" s="12">
        <v>40</v>
      </c>
      <c r="R11" s="12">
        <v>40</v>
      </c>
      <c r="S11" s="12">
        <v>0</v>
      </c>
      <c r="T11" s="28">
        <f t="shared" si="3"/>
        <v>4</v>
      </c>
      <c r="U11" s="12">
        <v>63</v>
      </c>
      <c r="V11" s="12">
        <v>59</v>
      </c>
      <c r="W11" s="12">
        <v>58</v>
      </c>
      <c r="X11" s="28">
        <f t="shared" si="4"/>
        <v>9</v>
      </c>
      <c r="Y11">
        <f t="shared" si="5"/>
        <v>7.1</v>
      </c>
      <c r="Z11" s="41">
        <v>5</v>
      </c>
    </row>
    <row r="12" spans="1:30" x14ac:dyDescent="0.35">
      <c r="A12" s="11"/>
      <c r="B12" s="11" t="s">
        <v>31</v>
      </c>
      <c r="C12" s="12">
        <v>382</v>
      </c>
      <c r="D12" s="12">
        <v>46</v>
      </c>
      <c r="E12" s="12">
        <v>46</v>
      </c>
      <c r="F12" s="12">
        <v>0</v>
      </c>
      <c r="G12" s="28">
        <f t="shared" si="0"/>
        <v>4.5999999999999996</v>
      </c>
      <c r="H12" s="12">
        <v>100</v>
      </c>
      <c r="I12" s="12">
        <v>98</v>
      </c>
      <c r="J12" s="12">
        <v>60</v>
      </c>
      <c r="K12" s="28">
        <f t="shared" si="1"/>
        <v>12.9</v>
      </c>
      <c r="L12">
        <f t="shared" si="2"/>
        <v>18.3</v>
      </c>
      <c r="M12" s="44">
        <v>15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30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30" x14ac:dyDescent="0.35">
      <c r="A14" s="13"/>
      <c r="B14" s="10"/>
      <c r="C14" s="14">
        <f t="shared" ref="C14:K14" si="6">SUM(C8:C13)</f>
        <v>802</v>
      </c>
      <c r="D14" s="14">
        <f t="shared" si="6"/>
        <v>156</v>
      </c>
      <c r="E14" s="14">
        <f t="shared" si="6"/>
        <v>190</v>
      </c>
      <c r="F14" s="14">
        <f t="shared" si="6"/>
        <v>0</v>
      </c>
      <c r="G14" s="14">
        <f t="shared" si="6"/>
        <v>17.299999999999997</v>
      </c>
      <c r="H14" s="14">
        <f t="shared" si="6"/>
        <v>361</v>
      </c>
      <c r="I14" s="14">
        <f t="shared" si="6"/>
        <v>369</v>
      </c>
      <c r="J14" s="14">
        <f t="shared" si="6"/>
        <v>477</v>
      </c>
      <c r="K14" s="14">
        <f t="shared" si="6"/>
        <v>60.35</v>
      </c>
      <c r="L14" s="35">
        <f>C14+D14+E14+F14+H14+I14+J14</f>
        <v>2355</v>
      </c>
      <c r="N14" s="13"/>
      <c r="O14" s="10"/>
      <c r="P14" s="14">
        <f t="shared" ref="P14:X14" si="7">SUM(P8:P13)</f>
        <v>594</v>
      </c>
      <c r="Q14" s="14">
        <f t="shared" si="7"/>
        <v>92</v>
      </c>
      <c r="R14" s="14">
        <f t="shared" si="7"/>
        <v>92</v>
      </c>
      <c r="S14" s="14">
        <f t="shared" si="7"/>
        <v>0</v>
      </c>
      <c r="T14" s="14">
        <f t="shared" si="7"/>
        <v>9.1999999999999993</v>
      </c>
      <c r="U14" s="14">
        <f t="shared" si="7"/>
        <v>224</v>
      </c>
      <c r="V14" s="14">
        <f t="shared" si="7"/>
        <v>205</v>
      </c>
      <c r="W14" s="14">
        <f t="shared" si="7"/>
        <v>227</v>
      </c>
      <c r="X14" s="14">
        <f t="shared" si="7"/>
        <v>32.799999999999997</v>
      </c>
      <c r="Y14" s="35">
        <f>P14+Q14+R14+S14+U14+V14+W14</f>
        <v>1434</v>
      </c>
    </row>
    <row r="15" spans="1:30" x14ac:dyDescent="0.35">
      <c r="A15" s="13"/>
      <c r="B15" s="10" t="s">
        <v>22</v>
      </c>
      <c r="C15" s="13"/>
      <c r="D15" s="13">
        <f>D14/20</f>
        <v>7.8</v>
      </c>
      <c r="E15" s="13">
        <f t="shared" ref="E15:J15" si="8">E14/20</f>
        <v>9.5</v>
      </c>
      <c r="F15" s="13">
        <f t="shared" si="8"/>
        <v>0</v>
      </c>
      <c r="G15" s="13"/>
      <c r="H15" s="13">
        <f t="shared" si="8"/>
        <v>18.05</v>
      </c>
      <c r="I15" s="13">
        <f t="shared" si="8"/>
        <v>18.45</v>
      </c>
      <c r="J15" s="13">
        <f t="shared" si="8"/>
        <v>23.85</v>
      </c>
      <c r="K15" s="13"/>
      <c r="N15" s="13"/>
      <c r="O15" s="10" t="s">
        <v>22</v>
      </c>
      <c r="P15" s="13"/>
      <c r="Q15" s="13">
        <f>Q14/20</f>
        <v>4.5999999999999996</v>
      </c>
      <c r="R15" s="13">
        <f t="shared" ref="R15:S15" si="9">R14/20</f>
        <v>4.5999999999999996</v>
      </c>
      <c r="S15" s="13">
        <f t="shared" si="9"/>
        <v>0</v>
      </c>
      <c r="T15" s="13"/>
      <c r="U15" s="13">
        <f t="shared" ref="U15:W15" si="10">U14/20</f>
        <v>11.2</v>
      </c>
      <c r="V15" s="13">
        <f t="shared" si="10"/>
        <v>10.25</v>
      </c>
      <c r="W15" s="13">
        <f t="shared" si="10"/>
        <v>11.35</v>
      </c>
      <c r="X15" s="13"/>
    </row>
    <row r="16" spans="1:30" x14ac:dyDescent="0.35">
      <c r="A16" s="13"/>
      <c r="B16" s="10" t="s">
        <v>21</v>
      </c>
      <c r="C16" s="36">
        <f>C15+C14</f>
        <v>802</v>
      </c>
      <c r="D16" s="36">
        <f t="shared" ref="D16:J16" si="11">D15+D14</f>
        <v>163.80000000000001</v>
      </c>
      <c r="E16" s="36">
        <f t="shared" si="11"/>
        <v>199.5</v>
      </c>
      <c r="F16" s="36">
        <f t="shared" si="11"/>
        <v>0</v>
      </c>
      <c r="G16" s="36"/>
      <c r="H16" s="36">
        <f t="shared" si="11"/>
        <v>379.05</v>
      </c>
      <c r="I16" s="36">
        <f t="shared" si="11"/>
        <v>387.45</v>
      </c>
      <c r="J16" s="36">
        <f t="shared" si="11"/>
        <v>500.85</v>
      </c>
      <c r="K16" s="36"/>
      <c r="N16" s="13"/>
      <c r="O16" s="10" t="s">
        <v>21</v>
      </c>
      <c r="P16" s="36">
        <f>P15+P14</f>
        <v>594</v>
      </c>
      <c r="Q16" s="36">
        <f t="shared" ref="Q16:S16" si="12">Q15+Q14</f>
        <v>96.6</v>
      </c>
      <c r="R16" s="36">
        <f t="shared" si="12"/>
        <v>96.6</v>
      </c>
      <c r="S16" s="36">
        <f t="shared" si="12"/>
        <v>0</v>
      </c>
      <c r="T16" s="36"/>
      <c r="U16" s="36">
        <f t="shared" ref="U16:W16" si="13">U15+U14</f>
        <v>235.2</v>
      </c>
      <c r="V16" s="36">
        <f t="shared" si="13"/>
        <v>215.25</v>
      </c>
      <c r="W16" s="36">
        <f t="shared" si="13"/>
        <v>238.35</v>
      </c>
      <c r="X16" s="36"/>
    </row>
    <row r="17" spans="1:25" x14ac:dyDescent="0.35">
      <c r="A17" s="13"/>
      <c r="B17" s="39" t="s">
        <v>23</v>
      </c>
      <c r="C17" s="36">
        <f>C14/40</f>
        <v>20.05</v>
      </c>
      <c r="D17" s="36">
        <f t="shared" ref="D17:J17" si="14">D14/40</f>
        <v>3.9</v>
      </c>
      <c r="E17" s="36">
        <f t="shared" si="14"/>
        <v>4.75</v>
      </c>
      <c r="F17" s="36">
        <f t="shared" si="14"/>
        <v>0</v>
      </c>
      <c r="G17" s="36"/>
      <c r="H17" s="36">
        <f t="shared" si="14"/>
        <v>9.0250000000000004</v>
      </c>
      <c r="I17" s="36">
        <f t="shared" si="14"/>
        <v>9.2249999999999996</v>
      </c>
      <c r="J17" s="36">
        <f t="shared" si="14"/>
        <v>11.925000000000001</v>
      </c>
      <c r="K17" s="36"/>
      <c r="L17" s="35">
        <f>SUM(C17:J17)</f>
        <v>58.875</v>
      </c>
      <c r="N17" s="13"/>
      <c r="O17" s="39" t="s">
        <v>23</v>
      </c>
      <c r="P17" s="36">
        <f>P14/40</f>
        <v>14.85</v>
      </c>
      <c r="Q17" s="36">
        <f t="shared" ref="Q17:S17" si="15">Q14/40</f>
        <v>2.2999999999999998</v>
      </c>
      <c r="R17" s="36">
        <f t="shared" si="15"/>
        <v>2.2999999999999998</v>
      </c>
      <c r="S17" s="36">
        <f t="shared" si="15"/>
        <v>0</v>
      </c>
      <c r="T17" s="36"/>
      <c r="U17" s="36">
        <f t="shared" ref="U17:W17" si="16">U14/40</f>
        <v>5.6</v>
      </c>
      <c r="V17" s="36">
        <f t="shared" si="16"/>
        <v>5.125</v>
      </c>
      <c r="W17" s="36">
        <f t="shared" si="16"/>
        <v>5.6749999999999998</v>
      </c>
      <c r="X17" s="36"/>
      <c r="Y17" s="35">
        <f>SUM(P17:W17)</f>
        <v>35.849999999999994</v>
      </c>
    </row>
    <row r="18" spans="1:25" ht="15" thickBot="1" x14ac:dyDescent="0.4">
      <c r="A18" s="51"/>
      <c r="B18" s="51"/>
      <c r="C18" s="52"/>
      <c r="D18" s="51"/>
      <c r="E18" s="51"/>
      <c r="F18" s="51"/>
      <c r="G18" s="51"/>
      <c r="H18" s="51"/>
      <c r="I18" s="51"/>
      <c r="J18" s="51"/>
      <c r="K18" s="51"/>
      <c r="L18" s="51"/>
      <c r="M18" s="51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Z19"/>
  <sheetViews>
    <sheetView zoomScaleNormal="100" workbookViewId="0">
      <selection activeCell="M16" sqref="M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46175</v>
      </c>
      <c r="B8" s="10" t="s">
        <v>17</v>
      </c>
      <c r="C8" s="12">
        <v>66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62</v>
      </c>
      <c r="I8" s="12">
        <v>94</v>
      </c>
      <c r="J8" s="12">
        <v>117</v>
      </c>
      <c r="K8" s="28">
        <f>SUM(H8:J8)/20</f>
        <v>13.65</v>
      </c>
      <c r="L8">
        <f>SUM(C8:F8,H8,I8,J8)/40</f>
        <v>11.925000000000001</v>
      </c>
      <c r="M8" s="44">
        <v>13</v>
      </c>
      <c r="N8" s="27">
        <v>46175</v>
      </c>
      <c r="O8" s="10" t="str">
        <f>B8</f>
        <v>Furqan</v>
      </c>
      <c r="P8" s="12">
        <v>54</v>
      </c>
      <c r="Q8" s="12">
        <v>6</v>
      </c>
      <c r="R8" s="12">
        <v>72</v>
      </c>
      <c r="S8" s="12">
        <v>0</v>
      </c>
      <c r="T8" s="28">
        <f>SUM(Q8:S8)/20</f>
        <v>3.9</v>
      </c>
      <c r="U8" s="12">
        <v>54</v>
      </c>
      <c r="V8" s="12">
        <v>90</v>
      </c>
      <c r="W8" s="12">
        <v>109</v>
      </c>
      <c r="X8" s="28">
        <f>SUM(U8:W8)/20</f>
        <v>12.65</v>
      </c>
      <c r="Y8">
        <f>SUM(P8:S8,U8,V8,W8)/40</f>
        <v>9.625</v>
      </c>
      <c r="Z8">
        <v>10</v>
      </c>
    </row>
    <row r="9" spans="1:26" x14ac:dyDescent="0.35">
      <c r="A9" s="27">
        <v>46175</v>
      </c>
      <c r="B9" s="10" t="s">
        <v>14</v>
      </c>
      <c r="C9" s="12">
        <v>152</v>
      </c>
      <c r="D9" s="12">
        <v>52</v>
      </c>
      <c r="E9" s="12">
        <v>62</v>
      </c>
      <c r="F9" s="12">
        <v>0</v>
      </c>
      <c r="G9" s="28">
        <f t="shared" ref="G9:G13" si="0">SUM(D9:F9)/20</f>
        <v>5.7</v>
      </c>
      <c r="H9" s="12">
        <v>81</v>
      </c>
      <c r="I9" s="12">
        <v>61</v>
      </c>
      <c r="J9" s="12">
        <v>72</v>
      </c>
      <c r="K9" s="28">
        <f t="shared" ref="K9:K13" si="1">SUM(H9:J9)/20</f>
        <v>10.7</v>
      </c>
      <c r="L9">
        <f t="shared" ref="L9:L11" si="2">SUM(C9:F9,H9,I9,J9)/40</f>
        <v>12</v>
      </c>
      <c r="M9" s="44">
        <v>8</v>
      </c>
      <c r="N9" s="27">
        <v>46175</v>
      </c>
      <c r="O9" s="10" t="str">
        <f t="shared" ref="O9:O13" si="3">B9</f>
        <v>Salman</v>
      </c>
      <c r="P9" s="12">
        <v>128</v>
      </c>
      <c r="Q9" s="12">
        <v>44</v>
      </c>
      <c r="R9" s="12">
        <v>34</v>
      </c>
      <c r="S9" s="12">
        <v>0</v>
      </c>
      <c r="T9" s="28">
        <f t="shared" ref="T9:T13" si="4">SUM(Q9:S9)/20</f>
        <v>3.9</v>
      </c>
      <c r="U9" s="12">
        <v>55</v>
      </c>
      <c r="V9" s="12">
        <v>45</v>
      </c>
      <c r="W9" s="12">
        <v>56</v>
      </c>
      <c r="X9" s="28">
        <f t="shared" ref="X9:X13" si="5">SUM(U9:W9)/20</f>
        <v>7.8</v>
      </c>
      <c r="Y9">
        <f t="shared" ref="Y9:Y13" si="6">SUM(P9:S9,U9,V9,W9)/40</f>
        <v>9.0500000000000007</v>
      </c>
      <c r="Z9" s="44">
        <v>6</v>
      </c>
    </row>
    <row r="10" spans="1:26" x14ac:dyDescent="0.35">
      <c r="A10" s="27">
        <v>46175</v>
      </c>
      <c r="B10" s="10" t="s">
        <v>37</v>
      </c>
      <c r="C10" s="12">
        <v>60</v>
      </c>
      <c r="D10" s="12">
        <v>40</v>
      </c>
      <c r="E10" s="12">
        <v>40</v>
      </c>
      <c r="F10" s="12"/>
      <c r="G10" s="28">
        <f t="shared" si="0"/>
        <v>4</v>
      </c>
      <c r="H10" s="12">
        <v>60</v>
      </c>
      <c r="I10" s="12">
        <v>80</v>
      </c>
      <c r="J10" s="12">
        <v>80</v>
      </c>
      <c r="K10" s="28">
        <f t="shared" si="1"/>
        <v>11</v>
      </c>
      <c r="L10">
        <f t="shared" si="2"/>
        <v>9</v>
      </c>
      <c r="M10" s="44">
        <v>9</v>
      </c>
      <c r="N10" s="27">
        <v>46175</v>
      </c>
      <c r="O10" s="10" t="str">
        <f t="shared" si="3"/>
        <v>Zesahn</v>
      </c>
      <c r="P10" s="12">
        <v>70</v>
      </c>
      <c r="Q10" s="12">
        <v>40</v>
      </c>
      <c r="R10" s="12">
        <v>40</v>
      </c>
      <c r="S10" s="12">
        <v>0</v>
      </c>
      <c r="T10" s="28">
        <f t="shared" si="4"/>
        <v>4</v>
      </c>
      <c r="U10" s="12">
        <v>60</v>
      </c>
      <c r="V10" s="12">
        <v>80</v>
      </c>
      <c r="W10" s="12">
        <v>60</v>
      </c>
      <c r="X10" s="28">
        <f t="shared" si="5"/>
        <v>10</v>
      </c>
      <c r="Y10">
        <f t="shared" si="6"/>
        <v>8.75</v>
      </c>
      <c r="Z10" s="44">
        <v>8</v>
      </c>
    </row>
    <row r="11" spans="1:26" x14ac:dyDescent="0.35">
      <c r="A11" s="27">
        <v>46175</v>
      </c>
      <c r="B11" s="11" t="s">
        <v>31</v>
      </c>
      <c r="C11" s="12">
        <v>276</v>
      </c>
      <c r="D11" s="12">
        <v>40</v>
      </c>
      <c r="E11" s="12">
        <v>40</v>
      </c>
      <c r="F11" s="12">
        <v>0</v>
      </c>
      <c r="G11" s="28">
        <f t="shared" si="0"/>
        <v>4</v>
      </c>
      <c r="H11" s="12">
        <v>80</v>
      </c>
      <c r="I11" s="12">
        <v>40</v>
      </c>
      <c r="J11" s="12">
        <v>40</v>
      </c>
      <c r="K11" s="28">
        <f t="shared" si="1"/>
        <v>8</v>
      </c>
      <c r="L11">
        <f t="shared" si="2"/>
        <v>12.9</v>
      </c>
      <c r="M11" s="44">
        <v>10</v>
      </c>
      <c r="N11" s="27">
        <v>46175</v>
      </c>
      <c r="O11" s="10" t="str">
        <f t="shared" si="3"/>
        <v>Umair</v>
      </c>
      <c r="P11" s="12">
        <v>276</v>
      </c>
      <c r="Q11" s="12">
        <v>39</v>
      </c>
      <c r="R11" s="12">
        <v>40</v>
      </c>
      <c r="S11" s="12">
        <v>0</v>
      </c>
      <c r="T11" s="28">
        <f t="shared" si="4"/>
        <v>3.95</v>
      </c>
      <c r="U11" s="12">
        <v>80</v>
      </c>
      <c r="V11" s="12">
        <v>40</v>
      </c>
      <c r="W11" s="12">
        <v>40</v>
      </c>
      <c r="X11" s="28">
        <f t="shared" si="5"/>
        <v>8</v>
      </c>
      <c r="Y11">
        <f t="shared" si="6"/>
        <v>12.875</v>
      </c>
      <c r="Z11" s="44">
        <v>10</v>
      </c>
    </row>
    <row r="12" spans="1:26" x14ac:dyDescent="0.35">
      <c r="A12" s="27">
        <v>46175</v>
      </c>
      <c r="B12" s="55" t="s">
        <v>19</v>
      </c>
      <c r="C12" s="53"/>
      <c r="D12" s="53"/>
      <c r="E12" s="53"/>
      <c r="F12" s="53"/>
      <c r="G12" s="54">
        <f t="shared" si="0"/>
        <v>0</v>
      </c>
      <c r="H12" s="53"/>
      <c r="I12" s="53"/>
      <c r="J12" s="53"/>
      <c r="K12" s="54">
        <f t="shared" si="1"/>
        <v>0</v>
      </c>
      <c r="L12">
        <f t="shared" ref="L12:L13" si="7">SUM(C12:F12,H12,I12,J12)/40</f>
        <v>0</v>
      </c>
      <c r="M12" s="44">
        <v>10</v>
      </c>
      <c r="N12" s="27">
        <v>46175</v>
      </c>
      <c r="O12" s="10" t="str">
        <f t="shared" si="3"/>
        <v>Mubeen</v>
      </c>
      <c r="P12" s="12">
        <v>52</v>
      </c>
      <c r="Q12" s="12">
        <v>72</v>
      </c>
      <c r="R12" s="12">
        <v>63</v>
      </c>
      <c r="S12" s="12">
        <v>0</v>
      </c>
      <c r="T12" s="28">
        <f t="shared" si="4"/>
        <v>6.75</v>
      </c>
      <c r="U12" s="12">
        <v>61</v>
      </c>
      <c r="V12" s="12">
        <v>61</v>
      </c>
      <c r="W12" s="12">
        <v>142</v>
      </c>
      <c r="X12" s="28">
        <f t="shared" si="5"/>
        <v>13.2</v>
      </c>
      <c r="Y12">
        <f t="shared" si="6"/>
        <v>11.275</v>
      </c>
      <c r="Z12" s="44">
        <v>7</v>
      </c>
    </row>
    <row r="13" spans="1:26" x14ac:dyDescent="0.35">
      <c r="A13" s="27">
        <v>46175</v>
      </c>
      <c r="B13" s="11" t="s">
        <v>38</v>
      </c>
      <c r="C13" s="12"/>
      <c r="D13" s="12">
        <v>400</v>
      </c>
      <c r="E13" s="12">
        <v>300</v>
      </c>
      <c r="F13" s="12"/>
      <c r="G13" s="28">
        <f t="shared" si="0"/>
        <v>35</v>
      </c>
      <c r="H13" s="12">
        <v>880</v>
      </c>
      <c r="I13" s="12">
        <v>840</v>
      </c>
      <c r="J13" s="12">
        <v>380</v>
      </c>
      <c r="K13" s="28">
        <f t="shared" si="1"/>
        <v>105</v>
      </c>
      <c r="L13">
        <f t="shared" si="7"/>
        <v>70</v>
      </c>
      <c r="M13" s="44">
        <v>7</v>
      </c>
      <c r="N13" s="27">
        <v>46175</v>
      </c>
      <c r="O13" s="11" t="str">
        <f t="shared" si="3"/>
        <v>Shakoor</v>
      </c>
      <c r="P13" s="12"/>
      <c r="Q13" s="12">
        <v>160</v>
      </c>
      <c r="R13" s="12">
        <v>120</v>
      </c>
      <c r="S13" s="12"/>
      <c r="T13" s="28">
        <f t="shared" si="4"/>
        <v>14</v>
      </c>
      <c r="U13" s="12">
        <v>440</v>
      </c>
      <c r="V13" s="12">
        <v>440</v>
      </c>
      <c r="W13" s="12">
        <v>520</v>
      </c>
      <c r="X13" s="28">
        <f t="shared" si="5"/>
        <v>70</v>
      </c>
      <c r="Y13">
        <f t="shared" si="6"/>
        <v>42</v>
      </c>
      <c r="Z13" s="41">
        <v>4</v>
      </c>
    </row>
    <row r="14" spans="1:26" x14ac:dyDescent="0.35">
      <c r="A14" s="13"/>
      <c r="B14" s="10"/>
      <c r="C14" s="14">
        <f t="shared" ref="C14:K14" si="8">SUM(C8:C13)</f>
        <v>554</v>
      </c>
      <c r="D14" s="14">
        <f t="shared" si="8"/>
        <v>578</v>
      </c>
      <c r="E14" s="14">
        <f t="shared" si="8"/>
        <v>534</v>
      </c>
      <c r="F14" s="14">
        <f t="shared" si="8"/>
        <v>0</v>
      </c>
      <c r="G14" s="14">
        <f t="shared" si="8"/>
        <v>55.6</v>
      </c>
      <c r="H14" s="14">
        <f t="shared" si="8"/>
        <v>1163</v>
      </c>
      <c r="I14" s="14">
        <f t="shared" si="8"/>
        <v>1115</v>
      </c>
      <c r="J14" s="14">
        <f t="shared" si="8"/>
        <v>689</v>
      </c>
      <c r="K14" s="14">
        <f t="shared" si="8"/>
        <v>148.35</v>
      </c>
      <c r="L14" s="35">
        <f>C14+D14+E14+F14+H14+I14+J14</f>
        <v>4633</v>
      </c>
      <c r="N14" s="13"/>
      <c r="O14" s="10"/>
      <c r="P14" s="14">
        <f t="shared" ref="P14:X14" si="9">SUM(P8:P13)</f>
        <v>580</v>
      </c>
      <c r="Q14" s="14">
        <f t="shared" si="9"/>
        <v>361</v>
      </c>
      <c r="R14" s="14">
        <f t="shared" si="9"/>
        <v>369</v>
      </c>
      <c r="S14" s="14">
        <f t="shared" si="9"/>
        <v>0</v>
      </c>
      <c r="T14" s="14">
        <f t="shared" si="9"/>
        <v>36.5</v>
      </c>
      <c r="U14" s="14">
        <f t="shared" si="9"/>
        <v>750</v>
      </c>
      <c r="V14" s="14">
        <f t="shared" si="9"/>
        <v>756</v>
      </c>
      <c r="W14" s="14">
        <f t="shared" si="9"/>
        <v>927</v>
      </c>
      <c r="X14" s="14">
        <f t="shared" si="9"/>
        <v>121.65</v>
      </c>
      <c r="Y14" s="35">
        <f>P14+Q14+R14+S14+U14+V14+W14</f>
        <v>3743</v>
      </c>
    </row>
    <row r="15" spans="1:26" x14ac:dyDescent="0.35">
      <c r="A15" s="13"/>
      <c r="B15" s="10" t="s">
        <v>22</v>
      </c>
      <c r="C15" s="13"/>
      <c r="D15" s="13">
        <f>D14/20</f>
        <v>28.9</v>
      </c>
      <c r="E15" s="13">
        <f t="shared" ref="E15:J15" si="10">E14/20</f>
        <v>26.7</v>
      </c>
      <c r="F15" s="13">
        <f t="shared" si="10"/>
        <v>0</v>
      </c>
      <c r="G15" s="13"/>
      <c r="H15" s="13">
        <f t="shared" si="10"/>
        <v>58.15</v>
      </c>
      <c r="I15" s="13">
        <f t="shared" si="10"/>
        <v>55.75</v>
      </c>
      <c r="J15" s="13">
        <f t="shared" si="10"/>
        <v>34.450000000000003</v>
      </c>
      <c r="K15" s="13"/>
      <c r="N15" s="13"/>
      <c r="O15" s="10" t="s">
        <v>22</v>
      </c>
      <c r="P15" s="13"/>
      <c r="Q15" s="13">
        <f>Q14/20</f>
        <v>18.05</v>
      </c>
      <c r="R15" s="13">
        <f t="shared" ref="R15:S15" si="11">R14/20</f>
        <v>18.45</v>
      </c>
      <c r="S15" s="13">
        <f t="shared" si="11"/>
        <v>0</v>
      </c>
      <c r="T15" s="13"/>
      <c r="U15" s="13">
        <f t="shared" ref="U15:W15" si="12">U14/20</f>
        <v>37.5</v>
      </c>
      <c r="V15" s="13">
        <f t="shared" si="12"/>
        <v>37.799999999999997</v>
      </c>
      <c r="W15" s="13">
        <f t="shared" si="12"/>
        <v>46.35</v>
      </c>
      <c r="X15" s="13"/>
    </row>
    <row r="16" spans="1:26" x14ac:dyDescent="0.35">
      <c r="A16" s="13"/>
      <c r="B16" s="10" t="s">
        <v>21</v>
      </c>
      <c r="C16" s="36">
        <f>C15+C14</f>
        <v>554</v>
      </c>
      <c r="D16" s="36">
        <f t="shared" ref="D16:J16" si="13">D15+D14</f>
        <v>606.9</v>
      </c>
      <c r="E16" s="36">
        <f t="shared" si="13"/>
        <v>560.70000000000005</v>
      </c>
      <c r="F16" s="36">
        <f t="shared" si="13"/>
        <v>0</v>
      </c>
      <c r="G16" s="36"/>
      <c r="H16" s="36">
        <f t="shared" si="13"/>
        <v>1221.1500000000001</v>
      </c>
      <c r="I16" s="36">
        <f t="shared" si="13"/>
        <v>1170.75</v>
      </c>
      <c r="J16" s="36">
        <f t="shared" si="13"/>
        <v>723.45</v>
      </c>
      <c r="K16" s="36"/>
      <c r="N16" s="13"/>
      <c r="O16" s="10" t="s">
        <v>21</v>
      </c>
      <c r="P16" s="36">
        <f>P15+P14</f>
        <v>580</v>
      </c>
      <c r="Q16" s="36">
        <f t="shared" ref="Q16:S16" si="14">Q15+Q14</f>
        <v>379.05</v>
      </c>
      <c r="R16" s="36">
        <f t="shared" si="14"/>
        <v>387.45</v>
      </c>
      <c r="S16" s="36">
        <f t="shared" si="14"/>
        <v>0</v>
      </c>
      <c r="T16" s="36"/>
      <c r="U16" s="36">
        <f t="shared" ref="U16:W16" si="15">U15+U14</f>
        <v>787.5</v>
      </c>
      <c r="V16" s="36">
        <f t="shared" si="15"/>
        <v>793.8</v>
      </c>
      <c r="W16" s="36">
        <f t="shared" si="15"/>
        <v>973.35</v>
      </c>
      <c r="X16" s="36"/>
    </row>
    <row r="17" spans="1:25" x14ac:dyDescent="0.35">
      <c r="A17" s="13"/>
      <c r="B17" s="39" t="s">
        <v>23</v>
      </c>
      <c r="C17" s="36">
        <f>C14/40</f>
        <v>13.85</v>
      </c>
      <c r="D17" s="36">
        <f t="shared" ref="D17:J17" si="16">D14/40</f>
        <v>14.45</v>
      </c>
      <c r="E17" s="36">
        <f t="shared" si="16"/>
        <v>13.35</v>
      </c>
      <c r="F17" s="36">
        <f t="shared" si="16"/>
        <v>0</v>
      </c>
      <c r="G17" s="36"/>
      <c r="H17" s="36">
        <f t="shared" si="16"/>
        <v>29.074999999999999</v>
      </c>
      <c r="I17" s="36">
        <f t="shared" si="16"/>
        <v>27.875</v>
      </c>
      <c r="J17" s="36">
        <f t="shared" si="16"/>
        <v>17.225000000000001</v>
      </c>
      <c r="K17" s="36"/>
      <c r="L17" s="35">
        <f>SUM(C17:J17)</f>
        <v>115.82499999999999</v>
      </c>
      <c r="N17" s="13"/>
      <c r="O17" s="39" t="s">
        <v>23</v>
      </c>
      <c r="P17" s="36">
        <f>P14/40</f>
        <v>14.5</v>
      </c>
      <c r="Q17" s="36">
        <f t="shared" ref="Q17:S17" si="17">Q14/40</f>
        <v>9.0250000000000004</v>
      </c>
      <c r="R17" s="36">
        <f t="shared" si="17"/>
        <v>9.2249999999999996</v>
      </c>
      <c r="S17" s="36">
        <f t="shared" si="17"/>
        <v>0</v>
      </c>
      <c r="T17" s="36"/>
      <c r="U17" s="36">
        <f t="shared" ref="U17:W17" si="18">U14/40</f>
        <v>18.75</v>
      </c>
      <c r="V17" s="36">
        <f t="shared" si="18"/>
        <v>18.899999999999999</v>
      </c>
      <c r="W17" s="36">
        <f t="shared" si="18"/>
        <v>23.175000000000001</v>
      </c>
      <c r="X17" s="36"/>
      <c r="Y17" s="35">
        <f>SUM(P17:W17)</f>
        <v>93.575000000000003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Z19"/>
  <sheetViews>
    <sheetView topLeftCell="B1" zoomScaleNormal="100" workbookViewId="0">
      <selection activeCell="L9" sqref="L9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46176</v>
      </c>
      <c r="B8" s="10" t="s">
        <v>17</v>
      </c>
      <c r="C8" s="12">
        <v>72</v>
      </c>
      <c r="D8" s="12">
        <v>72</v>
      </c>
      <c r="E8" s="12">
        <v>48</v>
      </c>
      <c r="F8" s="12">
        <v>0</v>
      </c>
      <c r="G8" s="28">
        <f>SUM(D8:F8)/20</f>
        <v>6</v>
      </c>
      <c r="H8" s="12">
        <v>40</v>
      </c>
      <c r="I8" s="12">
        <v>20</v>
      </c>
      <c r="J8" s="12">
        <v>60</v>
      </c>
      <c r="K8" s="28">
        <f>SUM(H8:J8)/20</f>
        <v>6</v>
      </c>
      <c r="L8">
        <f>SUM(C8:F8,H8,I8,J8)/40</f>
        <v>7.8</v>
      </c>
      <c r="M8" s="44">
        <v>7</v>
      </c>
      <c r="N8" s="27">
        <v>46176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46176</v>
      </c>
      <c r="B9" s="10" t="s">
        <v>14</v>
      </c>
      <c r="C9" s="12">
        <v>34</v>
      </c>
      <c r="D9" s="12">
        <v>32</v>
      </c>
      <c r="E9" s="12">
        <v>26</v>
      </c>
      <c r="F9" s="12">
        <v>0</v>
      </c>
      <c r="G9" s="28">
        <f t="shared" ref="G9:G13" si="0">SUM(D9:F9)/20</f>
        <v>2.9</v>
      </c>
      <c r="H9" s="12">
        <v>42</v>
      </c>
      <c r="I9" s="12">
        <v>36</v>
      </c>
      <c r="J9" s="12">
        <v>52</v>
      </c>
      <c r="K9" s="28">
        <f t="shared" ref="K9:K13" si="1">SUM(H9:J9)/20</f>
        <v>6.5</v>
      </c>
      <c r="L9">
        <f t="shared" ref="L9:L12" si="2">SUM(C9:F9,H9,I9,J9)/40</f>
        <v>5.55</v>
      </c>
      <c r="M9" s="44">
        <v>7</v>
      </c>
      <c r="N9" s="27">
        <v>46176</v>
      </c>
      <c r="O9" s="10" t="str">
        <f t="shared" ref="O9:O12" si="3">B9</f>
        <v>Salman</v>
      </c>
      <c r="P9" s="12">
        <v>34</v>
      </c>
      <c r="Q9" s="12">
        <v>26</v>
      </c>
      <c r="R9" s="12">
        <v>26</v>
      </c>
      <c r="S9" s="12">
        <v>0</v>
      </c>
      <c r="T9" s="28">
        <f t="shared" ref="T9:T13" si="4">SUM(Q9:S9)/20</f>
        <v>2.6</v>
      </c>
      <c r="U9" s="12">
        <v>29</v>
      </c>
      <c r="V9" s="12">
        <v>36</v>
      </c>
      <c r="W9" s="12">
        <v>52</v>
      </c>
      <c r="X9" s="28">
        <f t="shared" ref="X9:X13" si="5">SUM(U9:W9)/20</f>
        <v>5.85</v>
      </c>
      <c r="Y9">
        <f t="shared" ref="Y9:Y13" si="6">SUM(P9:S9,U9,V9,W9)/40</f>
        <v>5.0750000000000002</v>
      </c>
      <c r="Z9" s="44">
        <v>7</v>
      </c>
    </row>
    <row r="10" spans="1:26" x14ac:dyDescent="0.35">
      <c r="A10" s="27">
        <v>46176</v>
      </c>
      <c r="B10" s="10" t="s">
        <v>37</v>
      </c>
      <c r="C10" s="12">
        <v>100</v>
      </c>
      <c r="D10" s="12">
        <v>100</v>
      </c>
      <c r="E10" s="12">
        <v>30</v>
      </c>
      <c r="F10" s="12">
        <v>0</v>
      </c>
      <c r="G10" s="28">
        <f t="shared" si="0"/>
        <v>6.5</v>
      </c>
      <c r="H10" s="12">
        <v>45</v>
      </c>
      <c r="I10" s="12">
        <v>60</v>
      </c>
      <c r="J10" s="12">
        <v>155</v>
      </c>
      <c r="K10" s="28">
        <f t="shared" si="1"/>
        <v>13</v>
      </c>
      <c r="L10">
        <f t="shared" si="2"/>
        <v>12.25</v>
      </c>
      <c r="M10" s="44">
        <v>9</v>
      </c>
      <c r="N10" s="27">
        <v>46176</v>
      </c>
      <c r="O10" s="10" t="str">
        <f t="shared" si="3"/>
        <v>Zesahn</v>
      </c>
      <c r="P10" s="12">
        <v>100</v>
      </c>
      <c r="Q10" s="12">
        <v>100</v>
      </c>
      <c r="R10" s="12">
        <v>30</v>
      </c>
      <c r="S10" s="12">
        <v>0</v>
      </c>
      <c r="T10" s="28">
        <f t="shared" si="4"/>
        <v>6.5</v>
      </c>
      <c r="U10" s="12">
        <v>45</v>
      </c>
      <c r="V10" s="12">
        <v>60</v>
      </c>
      <c r="W10" s="12">
        <v>155</v>
      </c>
      <c r="X10" s="28">
        <f t="shared" si="5"/>
        <v>13</v>
      </c>
      <c r="Y10">
        <f t="shared" si="6"/>
        <v>12.25</v>
      </c>
      <c r="Z10" s="44">
        <v>9</v>
      </c>
    </row>
    <row r="11" spans="1:26" x14ac:dyDescent="0.35">
      <c r="A11" s="27">
        <v>46176</v>
      </c>
      <c r="B11" s="11" t="s">
        <v>31</v>
      </c>
      <c r="C11" s="12">
        <v>612</v>
      </c>
      <c r="D11" s="12">
        <v>20</v>
      </c>
      <c r="E11" s="12">
        <v>20</v>
      </c>
      <c r="F11" s="12">
        <v>0</v>
      </c>
      <c r="G11" s="28">
        <f t="shared" si="0"/>
        <v>2</v>
      </c>
      <c r="H11" s="12">
        <v>145</v>
      </c>
      <c r="I11" s="12">
        <v>145</v>
      </c>
      <c r="J11" s="12">
        <v>110</v>
      </c>
      <c r="K11" s="28">
        <f t="shared" si="1"/>
        <v>20</v>
      </c>
      <c r="L11">
        <f t="shared" si="2"/>
        <v>26.3</v>
      </c>
      <c r="M11" s="41">
        <v>7</v>
      </c>
      <c r="N11" s="27">
        <v>46176</v>
      </c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27">
        <v>46176</v>
      </c>
      <c r="B12" s="11" t="s">
        <v>19</v>
      </c>
      <c r="C12" s="12">
        <v>72</v>
      </c>
      <c r="D12" s="12">
        <v>72</v>
      </c>
      <c r="E12" s="12">
        <v>66</v>
      </c>
      <c r="F12" s="12">
        <v>0</v>
      </c>
      <c r="G12" s="28">
        <f t="shared" si="0"/>
        <v>6.9</v>
      </c>
      <c r="H12" s="12">
        <v>112</v>
      </c>
      <c r="I12" s="12">
        <v>100</v>
      </c>
      <c r="J12" s="12">
        <v>112</v>
      </c>
      <c r="K12" s="28">
        <f t="shared" si="1"/>
        <v>16.2</v>
      </c>
      <c r="L12">
        <f t="shared" si="2"/>
        <v>13.35</v>
      </c>
      <c r="M12" s="41">
        <v>4</v>
      </c>
      <c r="N12" s="27">
        <v>46176</v>
      </c>
      <c r="O12" s="10" t="str">
        <f t="shared" si="3"/>
        <v>Mubeen</v>
      </c>
      <c r="P12" s="12">
        <v>0</v>
      </c>
      <c r="Q12" s="12">
        <v>0</v>
      </c>
      <c r="R12" s="12">
        <v>0</v>
      </c>
      <c r="S12" s="12"/>
      <c r="T12" s="28">
        <f t="shared" si="4"/>
        <v>0</v>
      </c>
      <c r="U12" s="12">
        <v>40</v>
      </c>
      <c r="V12" s="12">
        <v>40</v>
      </c>
      <c r="W12" s="12">
        <v>40</v>
      </c>
      <c r="X12" s="28">
        <f t="shared" si="5"/>
        <v>6</v>
      </c>
      <c r="Y12">
        <f t="shared" si="6"/>
        <v>3</v>
      </c>
      <c r="Z12" s="44">
        <v>1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27">
        <v>46176</v>
      </c>
      <c r="O13" s="11" t="s">
        <v>32</v>
      </c>
      <c r="P13" s="12"/>
      <c r="Q13" s="12">
        <v>198</v>
      </c>
      <c r="R13" s="12">
        <v>237</v>
      </c>
      <c r="S13" s="12"/>
      <c r="T13" s="28">
        <f t="shared" si="4"/>
        <v>21.75</v>
      </c>
      <c r="U13" s="12">
        <v>359</v>
      </c>
      <c r="V13" s="12">
        <v>78</v>
      </c>
      <c r="W13" s="12">
        <v>358</v>
      </c>
      <c r="X13" s="28">
        <f t="shared" si="5"/>
        <v>39.75</v>
      </c>
      <c r="Y13">
        <f t="shared" si="6"/>
        <v>30.75</v>
      </c>
      <c r="Z13" s="44">
        <v>3</v>
      </c>
    </row>
    <row r="14" spans="1:26" x14ac:dyDescent="0.35">
      <c r="A14" s="13"/>
      <c r="B14" s="10"/>
      <c r="C14" s="14">
        <f t="shared" ref="C14:K14" si="7">SUM(C8:C13)</f>
        <v>890</v>
      </c>
      <c r="D14" s="14">
        <f t="shared" si="7"/>
        <v>296</v>
      </c>
      <c r="E14" s="14">
        <f t="shared" si="7"/>
        <v>190</v>
      </c>
      <c r="F14" s="14">
        <f t="shared" si="7"/>
        <v>0</v>
      </c>
      <c r="G14" s="14">
        <f t="shared" si="7"/>
        <v>24.299999999999997</v>
      </c>
      <c r="H14" s="14">
        <f t="shared" si="7"/>
        <v>384</v>
      </c>
      <c r="I14" s="14">
        <f t="shared" si="7"/>
        <v>361</v>
      </c>
      <c r="J14" s="14">
        <f t="shared" si="7"/>
        <v>489</v>
      </c>
      <c r="K14" s="14">
        <f t="shared" si="7"/>
        <v>61.7</v>
      </c>
      <c r="L14" s="35">
        <f>C14+D14+E14+F14+H14+I14+J14</f>
        <v>2610</v>
      </c>
      <c r="N14" s="13"/>
      <c r="O14" s="10"/>
      <c r="P14" s="14">
        <f t="shared" ref="P14:X14" si="8">SUM(P8:P13)</f>
        <v>134</v>
      </c>
      <c r="Q14" s="14">
        <f t="shared" si="8"/>
        <v>324</v>
      </c>
      <c r="R14" s="14">
        <f t="shared" si="8"/>
        <v>293</v>
      </c>
      <c r="S14" s="14">
        <f t="shared" si="8"/>
        <v>0</v>
      </c>
      <c r="T14" s="14">
        <f t="shared" si="8"/>
        <v>30.85</v>
      </c>
      <c r="U14" s="14">
        <f t="shared" si="8"/>
        <v>473</v>
      </c>
      <c r="V14" s="14">
        <f t="shared" si="8"/>
        <v>214</v>
      </c>
      <c r="W14" s="14">
        <f t="shared" si="8"/>
        <v>605</v>
      </c>
      <c r="X14" s="14">
        <f t="shared" si="8"/>
        <v>64.599999999999994</v>
      </c>
      <c r="Y14" s="35">
        <f>P14+Q14+R14+S14+U14+V14+W14</f>
        <v>2043</v>
      </c>
    </row>
    <row r="15" spans="1:26" x14ac:dyDescent="0.35">
      <c r="A15" s="13"/>
      <c r="B15" s="10" t="s">
        <v>22</v>
      </c>
      <c r="C15" s="13"/>
      <c r="D15" s="13">
        <f>D14/20</f>
        <v>14.8</v>
      </c>
      <c r="E15" s="13">
        <f t="shared" ref="E15:J15" si="9">E14/20</f>
        <v>9.5</v>
      </c>
      <c r="F15" s="13">
        <f t="shared" si="9"/>
        <v>0</v>
      </c>
      <c r="G15" s="13"/>
      <c r="H15" s="13">
        <f t="shared" si="9"/>
        <v>19.2</v>
      </c>
      <c r="I15" s="13">
        <f t="shared" si="9"/>
        <v>18.05</v>
      </c>
      <c r="J15" s="13">
        <f t="shared" si="9"/>
        <v>24.45</v>
      </c>
      <c r="K15" s="13"/>
      <c r="N15" s="13"/>
      <c r="O15" s="10" t="s">
        <v>22</v>
      </c>
      <c r="P15" s="13"/>
      <c r="Q15" s="13">
        <f>Q14/20</f>
        <v>16.2</v>
      </c>
      <c r="R15" s="13">
        <f t="shared" ref="R15:S15" si="10">R14/20</f>
        <v>14.65</v>
      </c>
      <c r="S15" s="13">
        <f t="shared" si="10"/>
        <v>0</v>
      </c>
      <c r="T15" s="13"/>
      <c r="U15" s="13">
        <f t="shared" ref="U15:W15" si="11">U14/20</f>
        <v>23.65</v>
      </c>
      <c r="V15" s="13">
        <f t="shared" si="11"/>
        <v>10.7</v>
      </c>
      <c r="W15" s="13">
        <f t="shared" si="11"/>
        <v>30.25</v>
      </c>
      <c r="X15" s="13"/>
    </row>
    <row r="16" spans="1:26" x14ac:dyDescent="0.35">
      <c r="A16" s="13"/>
      <c r="B16" s="10" t="s">
        <v>21</v>
      </c>
      <c r="C16" s="36">
        <f>C15+C14</f>
        <v>890</v>
      </c>
      <c r="D16" s="36">
        <f t="shared" ref="D16:J16" si="12">D15+D14</f>
        <v>310.8</v>
      </c>
      <c r="E16" s="36">
        <f t="shared" si="12"/>
        <v>199.5</v>
      </c>
      <c r="F16" s="36">
        <f t="shared" si="12"/>
        <v>0</v>
      </c>
      <c r="G16" s="36"/>
      <c r="H16" s="36">
        <f t="shared" si="12"/>
        <v>403.2</v>
      </c>
      <c r="I16" s="36">
        <f t="shared" si="12"/>
        <v>379.05</v>
      </c>
      <c r="J16" s="36">
        <f t="shared" si="12"/>
        <v>513.45000000000005</v>
      </c>
      <c r="K16" s="36"/>
      <c r="N16" s="13"/>
      <c r="O16" s="10" t="s">
        <v>21</v>
      </c>
      <c r="P16" s="36">
        <f>P15+P14</f>
        <v>134</v>
      </c>
      <c r="Q16" s="36">
        <f t="shared" ref="Q16:S16" si="13">Q15+Q14</f>
        <v>340.2</v>
      </c>
      <c r="R16" s="36">
        <f t="shared" si="13"/>
        <v>307.64999999999998</v>
      </c>
      <c r="S16" s="36">
        <f t="shared" si="13"/>
        <v>0</v>
      </c>
      <c r="T16" s="36"/>
      <c r="U16" s="36">
        <f t="shared" ref="U16:W16" si="14">U15+U14</f>
        <v>496.65</v>
      </c>
      <c r="V16" s="36">
        <f t="shared" si="14"/>
        <v>224.7</v>
      </c>
      <c r="W16" s="36">
        <f t="shared" si="14"/>
        <v>635.25</v>
      </c>
      <c r="X16" s="36"/>
    </row>
    <row r="17" spans="1:25" x14ac:dyDescent="0.35">
      <c r="A17" s="13"/>
      <c r="B17" s="39" t="s">
        <v>23</v>
      </c>
      <c r="C17" s="36">
        <f>C14/40</f>
        <v>22.25</v>
      </c>
      <c r="D17" s="36">
        <f t="shared" ref="D17:J17" si="15">D14/40</f>
        <v>7.4</v>
      </c>
      <c r="E17" s="36">
        <f t="shared" si="15"/>
        <v>4.75</v>
      </c>
      <c r="F17" s="36">
        <f t="shared" si="15"/>
        <v>0</v>
      </c>
      <c r="G17" s="36"/>
      <c r="H17" s="36">
        <f t="shared" si="15"/>
        <v>9.6</v>
      </c>
      <c r="I17" s="36">
        <f t="shared" si="15"/>
        <v>9.0250000000000004</v>
      </c>
      <c r="J17" s="36">
        <f t="shared" si="15"/>
        <v>12.225</v>
      </c>
      <c r="K17" s="36"/>
      <c r="L17" s="35">
        <f>SUM(C17:J17)</f>
        <v>65.25</v>
      </c>
      <c r="N17" s="13"/>
      <c r="O17" s="39" t="s">
        <v>23</v>
      </c>
      <c r="P17" s="36">
        <f>P14/40</f>
        <v>3.35</v>
      </c>
      <c r="Q17" s="36">
        <f t="shared" ref="Q17:S17" si="16">Q14/40</f>
        <v>8.1</v>
      </c>
      <c r="R17" s="36">
        <f t="shared" si="16"/>
        <v>7.3250000000000002</v>
      </c>
      <c r="S17" s="36">
        <f t="shared" si="16"/>
        <v>0</v>
      </c>
      <c r="T17" s="36"/>
      <c r="U17" s="36">
        <f t="shared" ref="U17:W17" si="17">U14/40</f>
        <v>11.824999999999999</v>
      </c>
      <c r="V17" s="36">
        <f t="shared" si="17"/>
        <v>5.35</v>
      </c>
      <c r="W17" s="36">
        <f t="shared" si="17"/>
        <v>15.125</v>
      </c>
      <c r="X17" s="36"/>
      <c r="Y17" s="35">
        <f>SUM(P17:W17)</f>
        <v>51.074999999999996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Z19"/>
  <sheetViews>
    <sheetView zoomScaleNormal="100" workbookViewId="0">
      <selection activeCell="L9" sqref="L9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8.08984375" bestFit="1" customWidth="1"/>
    <col min="16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46177</v>
      </c>
      <c r="B8" s="10" t="s">
        <v>17</v>
      </c>
      <c r="C8" s="12">
        <v>22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43</v>
      </c>
      <c r="I8" s="12">
        <v>57</v>
      </c>
      <c r="J8" s="12">
        <v>39</v>
      </c>
      <c r="K8" s="28">
        <f>SUM(H8:J8)/20</f>
        <v>6.95</v>
      </c>
      <c r="L8">
        <f>SUM(C8:F8,H8,I8,J8)/40</f>
        <v>4.0250000000000004</v>
      </c>
      <c r="M8" s="44">
        <v>6</v>
      </c>
      <c r="N8" s="27">
        <v>46177</v>
      </c>
      <c r="O8" s="10" t="str">
        <f>B8</f>
        <v>Furqan</v>
      </c>
      <c r="P8" s="12">
        <v>60</v>
      </c>
      <c r="Q8" s="12">
        <v>36</v>
      </c>
      <c r="R8" s="12">
        <v>32</v>
      </c>
      <c r="S8" s="12">
        <v>0</v>
      </c>
      <c r="T8" s="28">
        <f>SUM(Q8:S8)/20</f>
        <v>3.4</v>
      </c>
      <c r="U8" s="12">
        <v>20</v>
      </c>
      <c r="V8" s="12">
        <v>20</v>
      </c>
      <c r="W8" s="12">
        <v>40</v>
      </c>
      <c r="X8" s="28">
        <f>SUM(U8:W8)/20</f>
        <v>4</v>
      </c>
      <c r="Y8">
        <f>SUM(P8:S8,U8,V8,W8)/40</f>
        <v>5.2</v>
      </c>
      <c r="Z8" s="44">
        <v>4</v>
      </c>
    </row>
    <row r="9" spans="1:26" x14ac:dyDescent="0.35">
      <c r="A9" s="27">
        <v>46177</v>
      </c>
      <c r="B9" s="10" t="s">
        <v>14</v>
      </c>
      <c r="C9" s="12">
        <v>120</v>
      </c>
      <c r="D9" s="12">
        <v>80</v>
      </c>
      <c r="E9" s="12">
        <v>90</v>
      </c>
      <c r="F9" s="12">
        <v>0</v>
      </c>
      <c r="G9" s="28">
        <f t="shared" ref="G9:G13" si="0">SUM(D9:F9)/20</f>
        <v>8.5</v>
      </c>
      <c r="H9" s="12">
        <v>50</v>
      </c>
      <c r="I9" s="12">
        <v>40</v>
      </c>
      <c r="J9" s="12">
        <v>50</v>
      </c>
      <c r="K9" s="28">
        <f t="shared" ref="K9:K13" si="1">SUM(H9:J9)/20</f>
        <v>7</v>
      </c>
      <c r="L9">
        <f t="shared" ref="L9:L13" si="2">SUM(C9:F9,H9,I9,J9)/40</f>
        <v>10.75</v>
      </c>
      <c r="M9" s="44">
        <v>3</v>
      </c>
      <c r="N9" s="27">
        <v>46177</v>
      </c>
      <c r="O9" s="10" t="str">
        <f t="shared" ref="O9:O13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>
        <v>46177</v>
      </c>
      <c r="B10" s="10" t="s">
        <v>37</v>
      </c>
      <c r="C10" s="12">
        <v>262</v>
      </c>
      <c r="D10" s="12">
        <v>70</v>
      </c>
      <c r="E10" s="12">
        <v>30</v>
      </c>
      <c r="F10" s="12">
        <v>0</v>
      </c>
      <c r="G10" s="28">
        <f t="shared" si="0"/>
        <v>5</v>
      </c>
      <c r="H10" s="12">
        <v>117</v>
      </c>
      <c r="I10" s="12">
        <v>60</v>
      </c>
      <c r="J10" s="12">
        <v>165</v>
      </c>
      <c r="K10" s="28">
        <f t="shared" si="1"/>
        <v>17.100000000000001</v>
      </c>
      <c r="L10">
        <f t="shared" si="2"/>
        <v>17.600000000000001</v>
      </c>
      <c r="M10" s="44">
        <v>12</v>
      </c>
      <c r="N10" s="27">
        <v>46177</v>
      </c>
      <c r="O10" s="10" t="str">
        <f t="shared" si="3"/>
        <v>Zesahn</v>
      </c>
      <c r="P10" s="12">
        <v>170</v>
      </c>
      <c r="Q10" s="12">
        <v>30</v>
      </c>
      <c r="R10" s="12">
        <v>30</v>
      </c>
      <c r="S10" s="12">
        <v>0</v>
      </c>
      <c r="T10" s="28">
        <f t="shared" si="4"/>
        <v>3</v>
      </c>
      <c r="U10" s="12">
        <v>77</v>
      </c>
      <c r="V10" s="12">
        <v>60</v>
      </c>
      <c r="W10" s="12">
        <v>85</v>
      </c>
      <c r="X10" s="28">
        <f t="shared" si="5"/>
        <v>11.1</v>
      </c>
      <c r="Y10">
        <f t="shared" si="6"/>
        <v>11.3</v>
      </c>
      <c r="Z10" s="44">
        <v>11</v>
      </c>
    </row>
    <row r="11" spans="1:26" x14ac:dyDescent="0.35">
      <c r="A11" s="27">
        <v>46177</v>
      </c>
      <c r="B11" s="11" t="s">
        <v>31</v>
      </c>
      <c r="C11" s="12">
        <v>182</v>
      </c>
      <c r="D11" s="12">
        <v>95</v>
      </c>
      <c r="E11" s="12">
        <v>75</v>
      </c>
      <c r="F11" s="12">
        <v>0</v>
      </c>
      <c r="G11" s="28">
        <f t="shared" si="0"/>
        <v>8.5</v>
      </c>
      <c r="H11" s="12">
        <v>218</v>
      </c>
      <c r="I11" s="12">
        <v>148</v>
      </c>
      <c r="J11" s="12">
        <v>138</v>
      </c>
      <c r="K11" s="28">
        <f t="shared" si="1"/>
        <v>25.2</v>
      </c>
      <c r="L11">
        <f t="shared" si="2"/>
        <v>21.4</v>
      </c>
      <c r="M11" s="41">
        <v>10</v>
      </c>
      <c r="N11" s="27">
        <v>46177</v>
      </c>
      <c r="O11" s="10" t="str">
        <f t="shared" si="3"/>
        <v>Umair</v>
      </c>
      <c r="P11" s="12">
        <f>182+572</f>
        <v>754</v>
      </c>
      <c r="Q11" s="12">
        <f>95+20</f>
        <v>115</v>
      </c>
      <c r="R11" s="12">
        <f>75+20</f>
        <v>95</v>
      </c>
      <c r="S11" s="12"/>
      <c r="T11" s="28">
        <f t="shared" si="4"/>
        <v>10.5</v>
      </c>
      <c r="U11" s="12">
        <f>218+145</f>
        <v>363</v>
      </c>
      <c r="V11" s="12">
        <f>138+145</f>
        <v>283</v>
      </c>
      <c r="W11" s="12">
        <f>138+110</f>
        <v>248</v>
      </c>
      <c r="X11" s="28">
        <f t="shared" si="5"/>
        <v>44.7</v>
      </c>
      <c r="Y11">
        <f t="shared" si="6"/>
        <v>46.45</v>
      </c>
      <c r="Z11" s="44">
        <f>8+6</f>
        <v>14</v>
      </c>
    </row>
    <row r="12" spans="1:26" x14ac:dyDescent="0.35">
      <c r="A12" s="11"/>
      <c r="B12" s="11" t="s">
        <v>19</v>
      </c>
      <c r="C12" s="12">
        <v>104</v>
      </c>
      <c r="D12" s="12">
        <v>74</v>
      </c>
      <c r="E12" s="12">
        <v>62</v>
      </c>
      <c r="F12" s="12">
        <v>0</v>
      </c>
      <c r="G12" s="28">
        <f t="shared" si="0"/>
        <v>6.8</v>
      </c>
      <c r="H12" s="12">
        <v>82</v>
      </c>
      <c r="I12" s="12">
        <v>128</v>
      </c>
      <c r="J12" s="12">
        <v>152</v>
      </c>
      <c r="K12" s="28">
        <f t="shared" si="1"/>
        <v>18.100000000000001</v>
      </c>
      <c r="L12">
        <f t="shared" si="2"/>
        <v>15.05</v>
      </c>
      <c r="M12" s="44">
        <v>9</v>
      </c>
      <c r="N12" s="11"/>
      <c r="O12" s="10" t="str">
        <f t="shared" si="3"/>
        <v>Mubeen</v>
      </c>
      <c r="P12" s="12">
        <v>104</v>
      </c>
      <c r="Q12" s="12">
        <v>74</v>
      </c>
      <c r="R12" s="12">
        <v>62</v>
      </c>
      <c r="S12" s="12">
        <v>0</v>
      </c>
      <c r="T12" s="28">
        <f t="shared" si="4"/>
        <v>6.8</v>
      </c>
      <c r="U12" s="12">
        <v>82</v>
      </c>
      <c r="V12" s="12">
        <v>128</v>
      </c>
      <c r="W12" s="12">
        <v>152</v>
      </c>
      <c r="X12" s="28">
        <f t="shared" si="5"/>
        <v>18.100000000000001</v>
      </c>
      <c r="Y12">
        <f t="shared" si="6"/>
        <v>15.05</v>
      </c>
      <c r="Z12" s="44">
        <v>9</v>
      </c>
    </row>
    <row r="13" spans="1:26" x14ac:dyDescent="0.35">
      <c r="A13" s="11"/>
      <c r="B13" s="11" t="s">
        <v>32</v>
      </c>
      <c r="C13" s="12"/>
      <c r="D13" s="12">
        <v>200</v>
      </c>
      <c r="E13" s="12">
        <v>200</v>
      </c>
      <c r="F13" s="12"/>
      <c r="G13" s="28">
        <f t="shared" si="0"/>
        <v>20</v>
      </c>
      <c r="H13" s="12">
        <v>400</v>
      </c>
      <c r="I13" s="12">
        <v>400</v>
      </c>
      <c r="J13" s="12">
        <v>400</v>
      </c>
      <c r="K13" s="28">
        <f t="shared" si="1"/>
        <v>60</v>
      </c>
      <c r="L13">
        <f t="shared" si="2"/>
        <v>40</v>
      </c>
      <c r="M13" s="44">
        <v>3</v>
      </c>
      <c r="N13" s="11"/>
      <c r="O13" s="11" t="str">
        <f t="shared" si="3"/>
        <v xml:space="preserve">Shakoor </v>
      </c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690</v>
      </c>
      <c r="D14" s="14">
        <f t="shared" si="7"/>
        <v>519</v>
      </c>
      <c r="E14" s="14">
        <f t="shared" si="7"/>
        <v>457</v>
      </c>
      <c r="F14" s="14">
        <f t="shared" si="7"/>
        <v>0</v>
      </c>
      <c r="G14" s="14">
        <f t="shared" si="7"/>
        <v>48.8</v>
      </c>
      <c r="H14" s="14">
        <f t="shared" si="7"/>
        <v>910</v>
      </c>
      <c r="I14" s="14">
        <f t="shared" si="7"/>
        <v>833</v>
      </c>
      <c r="J14" s="14">
        <f t="shared" si="7"/>
        <v>944</v>
      </c>
      <c r="K14" s="14">
        <f t="shared" si="7"/>
        <v>134.35</v>
      </c>
      <c r="L14" s="35">
        <f>C14+D14+E14+F14+H14+I14+J14</f>
        <v>4353</v>
      </c>
      <c r="N14" s="13"/>
      <c r="O14" s="10"/>
      <c r="P14" s="14">
        <f t="shared" ref="P14:X14" si="8">SUM(P8:P13)</f>
        <v>1088</v>
      </c>
      <c r="Q14" s="14">
        <f t="shared" si="8"/>
        <v>255</v>
      </c>
      <c r="R14" s="14">
        <f t="shared" si="8"/>
        <v>219</v>
      </c>
      <c r="S14" s="14">
        <f t="shared" si="8"/>
        <v>0</v>
      </c>
      <c r="T14" s="14">
        <f t="shared" si="8"/>
        <v>23.7</v>
      </c>
      <c r="U14" s="14">
        <f t="shared" si="8"/>
        <v>542</v>
      </c>
      <c r="V14" s="14">
        <f t="shared" si="8"/>
        <v>491</v>
      </c>
      <c r="W14" s="14">
        <f t="shared" si="8"/>
        <v>525</v>
      </c>
      <c r="X14" s="14">
        <f t="shared" si="8"/>
        <v>77.900000000000006</v>
      </c>
      <c r="Y14" s="35">
        <f>P14+Q14+R14+S14+U14+V14+W14</f>
        <v>3120</v>
      </c>
    </row>
    <row r="15" spans="1:26" x14ac:dyDescent="0.35">
      <c r="A15" s="13"/>
      <c r="B15" s="10" t="s">
        <v>22</v>
      </c>
      <c r="C15" s="13"/>
      <c r="D15" s="13">
        <f>D14/20</f>
        <v>25.95</v>
      </c>
      <c r="E15" s="13">
        <f t="shared" ref="E15:J15" si="9">E14/20</f>
        <v>22.85</v>
      </c>
      <c r="F15" s="13">
        <f t="shared" si="9"/>
        <v>0</v>
      </c>
      <c r="G15" s="13"/>
      <c r="H15" s="13">
        <f t="shared" si="9"/>
        <v>45.5</v>
      </c>
      <c r="I15" s="13">
        <f t="shared" si="9"/>
        <v>41.65</v>
      </c>
      <c r="J15" s="13">
        <f t="shared" si="9"/>
        <v>47.2</v>
      </c>
      <c r="K15" s="13"/>
      <c r="N15" s="13"/>
      <c r="O15" s="10" t="s">
        <v>22</v>
      </c>
      <c r="P15" s="13"/>
      <c r="Q15" s="13">
        <f>Q14/20</f>
        <v>12.75</v>
      </c>
      <c r="R15" s="13">
        <f t="shared" ref="R15:S15" si="10">R14/20</f>
        <v>10.95</v>
      </c>
      <c r="S15" s="13">
        <f t="shared" si="10"/>
        <v>0</v>
      </c>
      <c r="T15" s="13"/>
      <c r="U15" s="13">
        <f t="shared" ref="U15:W15" si="11">U14/20</f>
        <v>27.1</v>
      </c>
      <c r="V15" s="13">
        <f t="shared" si="11"/>
        <v>24.55</v>
      </c>
      <c r="W15" s="13">
        <f t="shared" si="11"/>
        <v>26.25</v>
      </c>
      <c r="X15" s="13"/>
    </row>
    <row r="16" spans="1:26" x14ac:dyDescent="0.35">
      <c r="A16" s="13"/>
      <c r="B16" s="10" t="s">
        <v>21</v>
      </c>
      <c r="C16" s="36">
        <f>C15+C14</f>
        <v>690</v>
      </c>
      <c r="D16" s="36">
        <f t="shared" ref="D16:J16" si="12">D15+D14</f>
        <v>544.95000000000005</v>
      </c>
      <c r="E16" s="36">
        <f t="shared" si="12"/>
        <v>479.85</v>
      </c>
      <c r="F16" s="36">
        <f t="shared" si="12"/>
        <v>0</v>
      </c>
      <c r="G16" s="36"/>
      <c r="H16" s="36">
        <f t="shared" si="12"/>
        <v>955.5</v>
      </c>
      <c r="I16" s="36">
        <f t="shared" si="12"/>
        <v>874.65</v>
      </c>
      <c r="J16" s="36">
        <f t="shared" si="12"/>
        <v>991.2</v>
      </c>
      <c r="K16" s="36"/>
      <c r="N16" s="13"/>
      <c r="O16" s="10" t="s">
        <v>21</v>
      </c>
      <c r="P16" s="36">
        <f>P15+P14</f>
        <v>1088</v>
      </c>
      <c r="Q16" s="36">
        <f t="shared" ref="Q16:S16" si="13">Q15+Q14</f>
        <v>267.75</v>
      </c>
      <c r="R16" s="36">
        <f t="shared" si="13"/>
        <v>229.95</v>
      </c>
      <c r="S16" s="36">
        <f t="shared" si="13"/>
        <v>0</v>
      </c>
      <c r="T16" s="36"/>
      <c r="U16" s="36">
        <f t="shared" ref="U16:W16" si="14">U15+U14</f>
        <v>569.1</v>
      </c>
      <c r="V16" s="36">
        <f t="shared" si="14"/>
        <v>515.54999999999995</v>
      </c>
      <c r="W16" s="36">
        <f t="shared" si="14"/>
        <v>551.25</v>
      </c>
      <c r="X16" s="36"/>
    </row>
    <row r="17" spans="1:25" x14ac:dyDescent="0.35">
      <c r="A17" s="13"/>
      <c r="B17" s="39" t="s">
        <v>23</v>
      </c>
      <c r="C17" s="36">
        <f>C14/40</f>
        <v>17.25</v>
      </c>
      <c r="D17" s="36">
        <f t="shared" ref="D17:J17" si="15">D14/40</f>
        <v>12.975</v>
      </c>
      <c r="E17" s="36">
        <f t="shared" si="15"/>
        <v>11.425000000000001</v>
      </c>
      <c r="F17" s="36">
        <f t="shared" si="15"/>
        <v>0</v>
      </c>
      <c r="G17" s="36"/>
      <c r="H17" s="36">
        <f t="shared" si="15"/>
        <v>22.75</v>
      </c>
      <c r="I17" s="36">
        <f t="shared" si="15"/>
        <v>20.824999999999999</v>
      </c>
      <c r="J17" s="36">
        <f t="shared" si="15"/>
        <v>23.6</v>
      </c>
      <c r="K17" s="36"/>
      <c r="L17" s="35">
        <f>SUM(C17:J17)</f>
        <v>108.82500000000002</v>
      </c>
      <c r="N17" s="13"/>
      <c r="O17" s="39" t="s">
        <v>23</v>
      </c>
      <c r="P17" s="36">
        <f>P14/40</f>
        <v>27.2</v>
      </c>
      <c r="Q17" s="36">
        <f t="shared" ref="Q17:S17" si="16">Q14/40</f>
        <v>6.375</v>
      </c>
      <c r="R17" s="36">
        <f t="shared" si="16"/>
        <v>5.4749999999999996</v>
      </c>
      <c r="S17" s="36">
        <f t="shared" si="16"/>
        <v>0</v>
      </c>
      <c r="T17" s="36"/>
      <c r="U17" s="36">
        <f t="shared" ref="U17:W17" si="17">U14/40</f>
        <v>13.55</v>
      </c>
      <c r="V17" s="36">
        <f t="shared" si="17"/>
        <v>12.275</v>
      </c>
      <c r="W17" s="36">
        <f t="shared" si="17"/>
        <v>13.125</v>
      </c>
      <c r="X17" s="36"/>
      <c r="Y17" s="35">
        <f>SUM(P17:W17)</f>
        <v>78.000000000000014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Z20"/>
  <sheetViews>
    <sheetView zoomScaleNormal="100" workbookViewId="0">
      <selection activeCell="O18" sqref="O18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ht="14.5" customHeight="1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4.5" customHeight="1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ht="14.5" customHeight="1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ht="15" customHeight="1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46178</v>
      </c>
      <c r="B8" s="43"/>
      <c r="C8" s="29"/>
      <c r="D8" s="29"/>
      <c r="E8" s="29"/>
      <c r="F8" s="29"/>
      <c r="G8" s="29"/>
      <c r="H8" s="29"/>
      <c r="I8" s="29"/>
      <c r="J8" s="29"/>
      <c r="K8" s="29"/>
      <c r="N8" s="27">
        <v>46178</v>
      </c>
      <c r="O8" s="43">
        <f>B8</f>
        <v>0</v>
      </c>
      <c r="P8" s="29"/>
      <c r="Q8" s="29"/>
      <c r="R8" s="29"/>
      <c r="S8" s="29"/>
      <c r="T8" s="29">
        <f>SUM(P8:S8)/20</f>
        <v>0</v>
      </c>
      <c r="U8" s="29"/>
      <c r="V8" s="29"/>
      <c r="W8" s="29"/>
      <c r="X8" s="29">
        <f t="shared" ref="X8:X13" si="0">SUM(T8:W8)/20</f>
        <v>0</v>
      </c>
      <c r="Y8">
        <f>SUM(P8:S8,U8,V8,W8)/40</f>
        <v>0</v>
      </c>
    </row>
    <row r="9" spans="1:26" x14ac:dyDescent="0.35">
      <c r="A9" s="27">
        <v>46178</v>
      </c>
      <c r="B9" s="43"/>
      <c r="C9" s="29"/>
      <c r="D9" s="29"/>
      <c r="E9" s="29"/>
      <c r="F9" s="29"/>
      <c r="G9" s="29"/>
      <c r="H9" s="29"/>
      <c r="I9" s="29"/>
      <c r="J9" s="29"/>
      <c r="K9" s="29"/>
      <c r="M9" s="44"/>
      <c r="N9" s="27">
        <v>46178</v>
      </c>
      <c r="O9" s="43">
        <f t="shared" ref="O9:O12" si="1">B9</f>
        <v>0</v>
      </c>
      <c r="P9" s="29"/>
      <c r="Q9" s="29"/>
      <c r="R9" s="29"/>
      <c r="S9" s="29"/>
      <c r="T9" s="29">
        <f t="shared" ref="T9:T13" si="2">SUM(P9:S9)/20</f>
        <v>0</v>
      </c>
      <c r="U9" s="29"/>
      <c r="V9" s="29"/>
      <c r="W9" s="29"/>
      <c r="X9" s="29">
        <f t="shared" si="0"/>
        <v>0</v>
      </c>
      <c r="Y9">
        <f t="shared" ref="Y9:Y12" si="3">SUM(P9:S9,U9,V9,W9)/40</f>
        <v>0</v>
      </c>
    </row>
    <row r="10" spans="1:26" x14ac:dyDescent="0.35">
      <c r="A10" s="27">
        <v>46178</v>
      </c>
      <c r="B10" s="43"/>
      <c r="C10" s="29"/>
      <c r="D10" s="29"/>
      <c r="E10" s="29"/>
      <c r="F10" s="29"/>
      <c r="G10" s="29"/>
      <c r="H10" s="29"/>
      <c r="I10" s="29"/>
      <c r="J10" s="29"/>
      <c r="K10" s="29"/>
      <c r="M10" s="44"/>
      <c r="N10" s="27">
        <v>46178</v>
      </c>
      <c r="O10" s="43">
        <f t="shared" si="1"/>
        <v>0</v>
      </c>
      <c r="P10" s="29"/>
      <c r="Q10" s="29"/>
      <c r="R10" s="29"/>
      <c r="S10" s="29"/>
      <c r="T10" s="29">
        <f t="shared" si="2"/>
        <v>0</v>
      </c>
      <c r="U10" s="29"/>
      <c r="V10" s="29"/>
      <c r="W10" s="29"/>
      <c r="X10" s="29">
        <f t="shared" si="0"/>
        <v>0</v>
      </c>
      <c r="Y10">
        <f t="shared" si="3"/>
        <v>0</v>
      </c>
    </row>
    <row r="11" spans="1:26" x14ac:dyDescent="0.35">
      <c r="A11" s="11"/>
      <c r="B11" s="55"/>
      <c r="C11" s="29"/>
      <c r="D11" s="29"/>
      <c r="E11" s="29"/>
      <c r="F11" s="29"/>
      <c r="G11" s="29"/>
      <c r="H11" s="29"/>
      <c r="I11" s="29"/>
      <c r="J11" s="29"/>
      <c r="K11" s="29"/>
      <c r="M11" s="44"/>
      <c r="N11" s="11"/>
      <c r="O11" s="43">
        <f t="shared" si="1"/>
        <v>0</v>
      </c>
      <c r="P11" s="29"/>
      <c r="Q11" s="29"/>
      <c r="R11" s="29"/>
      <c r="S11" s="29"/>
      <c r="T11" s="29">
        <f t="shared" si="2"/>
        <v>0</v>
      </c>
      <c r="U11" s="29"/>
      <c r="V11" s="29"/>
      <c r="W11" s="29"/>
      <c r="X11" s="29">
        <f t="shared" si="0"/>
        <v>0</v>
      </c>
      <c r="Y11">
        <f t="shared" si="3"/>
        <v>0</v>
      </c>
    </row>
    <row r="12" spans="1:26" x14ac:dyDescent="0.35">
      <c r="A12" s="13"/>
      <c r="B12" s="55"/>
      <c r="C12" s="29"/>
      <c r="D12" s="29"/>
      <c r="E12" s="29"/>
      <c r="F12" s="29"/>
      <c r="G12" s="29"/>
      <c r="H12" s="29"/>
      <c r="I12" s="29"/>
      <c r="J12" s="29"/>
      <c r="K12" s="29"/>
      <c r="M12" s="44"/>
      <c r="N12" s="13"/>
      <c r="O12" s="43">
        <f t="shared" si="1"/>
        <v>0</v>
      </c>
      <c r="P12" s="29"/>
      <c r="Q12" s="29"/>
      <c r="R12" s="29"/>
      <c r="S12" s="29"/>
      <c r="T12" s="29">
        <f t="shared" si="2"/>
        <v>0</v>
      </c>
      <c r="U12" s="29"/>
      <c r="V12" s="29"/>
      <c r="W12" s="29"/>
      <c r="X12" s="29">
        <f t="shared" si="0"/>
        <v>0</v>
      </c>
      <c r="Y12">
        <f t="shared" si="3"/>
        <v>0</v>
      </c>
    </row>
    <row r="13" spans="1:26" x14ac:dyDescent="0.35">
      <c r="A13" s="13"/>
      <c r="B13" s="55"/>
      <c r="C13" s="29"/>
      <c r="D13" s="29"/>
      <c r="E13" s="29"/>
      <c r="F13" s="29"/>
      <c r="G13" s="29">
        <f t="shared" ref="G13" si="4">SUM(C13:F13)/20</f>
        <v>0</v>
      </c>
      <c r="H13" s="29"/>
      <c r="I13" s="29"/>
      <c r="J13" s="29"/>
      <c r="K13" s="29">
        <f t="shared" ref="K13" si="5">SUM(G13:J13)/20</f>
        <v>0</v>
      </c>
      <c r="N13" s="13"/>
      <c r="O13" s="55"/>
      <c r="P13" s="29"/>
      <c r="Q13" s="29"/>
      <c r="R13" s="29"/>
      <c r="S13" s="29"/>
      <c r="T13" s="29">
        <f t="shared" si="2"/>
        <v>0</v>
      </c>
      <c r="U13" s="29"/>
      <c r="V13" s="29"/>
      <c r="W13" s="29"/>
      <c r="X13" s="29">
        <f t="shared" si="0"/>
        <v>0</v>
      </c>
    </row>
    <row r="14" spans="1:26" x14ac:dyDescent="0.35">
      <c r="A14" s="13"/>
      <c r="B14" s="55"/>
      <c r="C14" s="29"/>
      <c r="D14" s="29"/>
      <c r="E14" s="29"/>
      <c r="F14" s="29"/>
      <c r="G14" s="29"/>
      <c r="H14" s="29"/>
      <c r="I14" s="29"/>
      <c r="J14" s="29"/>
      <c r="K14" s="29"/>
      <c r="L14" s="35">
        <f>C14+D14+E14+F14+H14+I14+J14</f>
        <v>0</v>
      </c>
      <c r="N14" s="13"/>
      <c r="O14" s="55"/>
      <c r="P14" s="29"/>
      <c r="Q14" s="29"/>
      <c r="R14" s="29"/>
      <c r="S14" s="29"/>
      <c r="T14" s="29"/>
      <c r="U14" s="29"/>
      <c r="V14" s="29"/>
      <c r="W14" s="29"/>
      <c r="X14" s="29"/>
      <c r="Y14" s="35">
        <f>P14+Q14+R14+S14+U14+V14+W14</f>
        <v>0</v>
      </c>
    </row>
    <row r="15" spans="1:26" x14ac:dyDescent="0.35">
      <c r="A15" s="13"/>
      <c r="B15" s="10" t="s">
        <v>22</v>
      </c>
      <c r="C15" s="14">
        <f t="shared" ref="C15" si="6">SUM(C8:C14)</f>
        <v>0</v>
      </c>
      <c r="D15" s="14">
        <f>D14/20</f>
        <v>0</v>
      </c>
      <c r="E15" s="14">
        <f t="shared" ref="E15:J15" si="7">E14/20</f>
        <v>0</v>
      </c>
      <c r="F15" s="14">
        <f t="shared" si="7"/>
        <v>0</v>
      </c>
      <c r="G15" s="14"/>
      <c r="H15" s="14">
        <f t="shared" si="7"/>
        <v>0</v>
      </c>
      <c r="I15" s="14">
        <f t="shared" si="7"/>
        <v>0</v>
      </c>
      <c r="J15" s="14">
        <f t="shared" si="7"/>
        <v>0</v>
      </c>
      <c r="K15" s="14"/>
      <c r="N15" s="13"/>
      <c r="O15" s="10" t="s">
        <v>22</v>
      </c>
      <c r="P15" s="14">
        <f t="shared" ref="P15" si="8">SUM(P8:P14)</f>
        <v>0</v>
      </c>
      <c r="Q15" s="14">
        <f>Q14/20</f>
        <v>0</v>
      </c>
      <c r="R15" s="14">
        <f t="shared" ref="R15:S15" si="9">R14/20</f>
        <v>0</v>
      </c>
      <c r="S15" s="14">
        <f t="shared" si="9"/>
        <v>0</v>
      </c>
      <c r="T15" s="14"/>
      <c r="U15" s="14">
        <f t="shared" ref="U15:W15" si="10">U14/20</f>
        <v>0</v>
      </c>
      <c r="V15" s="14">
        <f t="shared" si="10"/>
        <v>0</v>
      </c>
      <c r="W15" s="14">
        <f t="shared" si="10"/>
        <v>0</v>
      </c>
      <c r="X15" s="14"/>
    </row>
    <row r="16" spans="1:26" x14ac:dyDescent="0.35">
      <c r="A16" s="13"/>
      <c r="B16" s="10" t="s">
        <v>21</v>
      </c>
      <c r="C16" s="13">
        <f>C15+C14</f>
        <v>0</v>
      </c>
      <c r="D16" s="13">
        <f t="shared" ref="D16:J16" si="11">D15+D14</f>
        <v>0</v>
      </c>
      <c r="E16" s="13">
        <f t="shared" si="11"/>
        <v>0</v>
      </c>
      <c r="F16" s="13">
        <f t="shared" si="11"/>
        <v>0</v>
      </c>
      <c r="G16" s="13"/>
      <c r="H16" s="13">
        <f t="shared" si="11"/>
        <v>0</v>
      </c>
      <c r="I16" s="13">
        <f t="shared" si="11"/>
        <v>0</v>
      </c>
      <c r="J16" s="13">
        <f t="shared" si="11"/>
        <v>0</v>
      </c>
      <c r="K16" s="13"/>
      <c r="N16" s="13"/>
      <c r="O16" s="10" t="s">
        <v>21</v>
      </c>
      <c r="P16" s="13">
        <f>P15+P14</f>
        <v>0</v>
      </c>
      <c r="Q16" s="13">
        <f t="shared" ref="Q16:S16" si="12">Q15+Q14</f>
        <v>0</v>
      </c>
      <c r="R16" s="13">
        <f t="shared" si="12"/>
        <v>0</v>
      </c>
      <c r="S16" s="13">
        <f t="shared" si="12"/>
        <v>0</v>
      </c>
      <c r="T16" s="13"/>
      <c r="U16" s="13">
        <f t="shared" ref="U16:W16" si="13">U15+U14</f>
        <v>0</v>
      </c>
      <c r="V16" s="13">
        <f t="shared" si="13"/>
        <v>0</v>
      </c>
      <c r="W16" s="13">
        <f t="shared" si="13"/>
        <v>0</v>
      </c>
      <c r="X16" s="13"/>
    </row>
    <row r="17" spans="1:25" x14ac:dyDescent="0.35">
      <c r="A17" s="13"/>
      <c r="B17" s="39" t="s">
        <v>23</v>
      </c>
      <c r="C17" s="36"/>
      <c r="D17" s="36"/>
      <c r="E17" s="36"/>
      <c r="F17" s="36"/>
      <c r="G17" s="36"/>
      <c r="H17" s="36"/>
      <c r="I17" s="36"/>
      <c r="J17" s="36"/>
      <c r="K17" s="36"/>
      <c r="L17" s="35">
        <f>SUM(C17:J17)</f>
        <v>0</v>
      </c>
      <c r="N17" s="13"/>
      <c r="O17" s="39" t="s">
        <v>23</v>
      </c>
      <c r="P17" s="36"/>
      <c r="Q17" s="36"/>
      <c r="R17" s="36"/>
      <c r="S17" s="36"/>
      <c r="T17" s="36"/>
      <c r="U17" s="36"/>
      <c r="V17" s="36"/>
      <c r="W17" s="36"/>
      <c r="X17" s="36"/>
      <c r="Y17" s="35">
        <f>SUM(P17:W17)</f>
        <v>0</v>
      </c>
    </row>
    <row r="18" spans="1:25" x14ac:dyDescent="0.35">
      <c r="A18" s="1"/>
      <c r="B18" s="1"/>
      <c r="C18" s="41"/>
      <c r="D18" s="26">
        <f t="shared" ref="D18:K18" si="14">D15/40</f>
        <v>0</v>
      </c>
      <c r="E18" s="26">
        <f t="shared" si="14"/>
        <v>0</v>
      </c>
      <c r="F18" s="26">
        <f t="shared" si="14"/>
        <v>0</v>
      </c>
      <c r="G18" s="26">
        <f t="shared" si="14"/>
        <v>0</v>
      </c>
      <c r="H18" s="26">
        <f t="shared" si="14"/>
        <v>0</v>
      </c>
      <c r="I18" s="26">
        <f t="shared" si="14"/>
        <v>0</v>
      </c>
      <c r="J18" s="26">
        <f t="shared" si="14"/>
        <v>0</v>
      </c>
      <c r="K18" s="26">
        <f t="shared" si="14"/>
        <v>0</v>
      </c>
    </row>
    <row r="20" spans="1:25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Z18"/>
  <sheetViews>
    <sheetView topLeftCell="B1" zoomScaleNormal="100" workbookViewId="0">
      <selection activeCell="Y11" sqref="Y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6328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7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7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46179</v>
      </c>
      <c r="B8" s="10" t="s">
        <v>17</v>
      </c>
      <c r="C8" s="12"/>
      <c r="D8" s="12"/>
      <c r="E8" s="12"/>
      <c r="F8" s="12"/>
      <c r="G8" s="28">
        <v>0</v>
      </c>
      <c r="H8" s="12"/>
      <c r="I8" s="12"/>
      <c r="J8" s="12"/>
      <c r="K8" s="28">
        <v>0</v>
      </c>
      <c r="L8">
        <v>0</v>
      </c>
      <c r="M8" s="44"/>
      <c r="N8" s="27">
        <v>46179</v>
      </c>
      <c r="O8" s="10" t="str">
        <f>B8</f>
        <v>Furqan</v>
      </c>
      <c r="P8" s="12"/>
      <c r="Q8" s="12"/>
      <c r="R8" s="12"/>
      <c r="S8" s="12"/>
      <c r="T8" s="28">
        <v>12</v>
      </c>
      <c r="U8" s="12"/>
      <c r="V8" s="12"/>
      <c r="W8" s="12"/>
      <c r="X8" s="28">
        <v>33</v>
      </c>
      <c r="Y8">
        <f>SUM(P8:S8,U8,V8,W8)/40</f>
        <v>0</v>
      </c>
    </row>
    <row r="9" spans="1:26" x14ac:dyDescent="0.35">
      <c r="A9" s="27">
        <v>46179</v>
      </c>
      <c r="B9" s="10" t="s">
        <v>14</v>
      </c>
      <c r="C9" s="12">
        <v>110</v>
      </c>
      <c r="D9" s="12">
        <v>82</v>
      </c>
      <c r="E9" s="12">
        <v>26</v>
      </c>
      <c r="F9" s="12">
        <v>0</v>
      </c>
      <c r="G9" s="28">
        <v>10.9</v>
      </c>
      <c r="H9" s="12">
        <v>60</v>
      </c>
      <c r="I9" s="12">
        <v>25</v>
      </c>
      <c r="J9" s="12">
        <v>65</v>
      </c>
      <c r="K9" s="28">
        <v>8.0449999999999999</v>
      </c>
      <c r="L9">
        <v>9.1999999999999993</v>
      </c>
      <c r="M9" s="44">
        <v>8</v>
      </c>
      <c r="N9" s="27">
        <v>46179</v>
      </c>
      <c r="O9" s="10" t="str">
        <f t="shared" ref="O9:O12" si="0">B9</f>
        <v>Salman</v>
      </c>
      <c r="P9" s="12">
        <v>60</v>
      </c>
      <c r="Q9" s="12">
        <v>42</v>
      </c>
      <c r="R9" s="12">
        <v>16</v>
      </c>
      <c r="S9" s="12">
        <v>0</v>
      </c>
      <c r="T9" s="28">
        <v>12</v>
      </c>
      <c r="U9" s="12">
        <v>40</v>
      </c>
      <c r="V9" s="12">
        <v>25</v>
      </c>
      <c r="W9" s="12">
        <v>45</v>
      </c>
      <c r="X9" s="28">
        <v>33</v>
      </c>
      <c r="Y9">
        <f t="shared" ref="Y9:Y12" si="1">SUM(P9:S9,U9,V9,W9)/40</f>
        <v>5.7</v>
      </c>
      <c r="Z9" s="44">
        <v>6</v>
      </c>
    </row>
    <row r="10" spans="1:26" x14ac:dyDescent="0.35">
      <c r="A10" s="27"/>
      <c r="B10" s="10" t="s">
        <v>37</v>
      </c>
      <c r="C10" s="12">
        <v>200</v>
      </c>
      <c r="D10" s="12">
        <v>40</v>
      </c>
      <c r="E10" s="12">
        <v>0</v>
      </c>
      <c r="F10" s="12">
        <v>0</v>
      </c>
      <c r="G10" s="28">
        <v>12</v>
      </c>
      <c r="H10" s="12">
        <v>130</v>
      </c>
      <c r="I10" s="12">
        <v>50</v>
      </c>
      <c r="J10" s="12">
        <v>260</v>
      </c>
      <c r="K10" s="28">
        <v>22.6</v>
      </c>
      <c r="L10">
        <v>17</v>
      </c>
      <c r="M10" s="44">
        <v>10</v>
      </c>
      <c r="N10" s="27"/>
      <c r="O10" s="10" t="str">
        <f t="shared" si="0"/>
        <v>Zesahn</v>
      </c>
      <c r="P10" s="12">
        <v>200</v>
      </c>
      <c r="Q10" s="12">
        <v>40</v>
      </c>
      <c r="R10" s="12">
        <v>0</v>
      </c>
      <c r="S10" s="12">
        <v>0</v>
      </c>
      <c r="T10" s="28">
        <v>12</v>
      </c>
      <c r="U10" s="12">
        <v>130</v>
      </c>
      <c r="V10" s="12">
        <v>50</v>
      </c>
      <c r="W10" s="12">
        <v>260</v>
      </c>
      <c r="X10" s="28">
        <v>33</v>
      </c>
      <c r="Y10">
        <f t="shared" si="1"/>
        <v>17</v>
      </c>
      <c r="Z10" s="44">
        <v>10</v>
      </c>
    </row>
    <row r="11" spans="1:26" x14ac:dyDescent="0.35">
      <c r="A11" s="10"/>
      <c r="B11" s="10" t="s">
        <v>31</v>
      </c>
      <c r="C11" s="12">
        <v>280</v>
      </c>
      <c r="D11" s="12">
        <v>180</v>
      </c>
      <c r="E11" s="12">
        <v>140</v>
      </c>
      <c r="F11" s="12"/>
      <c r="G11" s="28">
        <v>30</v>
      </c>
      <c r="H11" s="12">
        <v>135</v>
      </c>
      <c r="I11" s="12">
        <v>135</v>
      </c>
      <c r="J11" s="12">
        <v>170</v>
      </c>
      <c r="K11" s="28">
        <v>23.5</v>
      </c>
      <c r="L11">
        <v>26</v>
      </c>
      <c r="M11" s="44">
        <v>7</v>
      </c>
      <c r="N11" s="10"/>
      <c r="O11" s="10" t="str">
        <f t="shared" si="0"/>
        <v>Umair</v>
      </c>
      <c r="P11" s="12">
        <v>140</v>
      </c>
      <c r="Q11" s="12">
        <v>180</v>
      </c>
      <c r="R11" s="12">
        <v>140</v>
      </c>
      <c r="S11" s="12">
        <v>0</v>
      </c>
      <c r="T11" s="28">
        <v>12</v>
      </c>
      <c r="U11" s="12">
        <v>135</v>
      </c>
      <c r="V11" s="12">
        <v>135</v>
      </c>
      <c r="W11" s="12">
        <v>170</v>
      </c>
      <c r="X11" s="28">
        <v>33</v>
      </c>
      <c r="Y11">
        <f t="shared" si="1"/>
        <v>22.5</v>
      </c>
      <c r="Z11" s="44">
        <v>6</v>
      </c>
    </row>
    <row r="12" spans="1:26" x14ac:dyDescent="0.35">
      <c r="A12" s="10"/>
      <c r="B12" s="10" t="s">
        <v>19</v>
      </c>
      <c r="C12" s="12">
        <v>12</v>
      </c>
      <c r="D12" s="12">
        <v>32</v>
      </c>
      <c r="E12" s="12">
        <v>32</v>
      </c>
      <c r="F12" s="12">
        <v>0</v>
      </c>
      <c r="G12" s="28">
        <v>3.8</v>
      </c>
      <c r="H12" s="12">
        <v>110</v>
      </c>
      <c r="I12" s="12">
        <v>85</v>
      </c>
      <c r="J12" s="12">
        <v>85</v>
      </c>
      <c r="K12" s="28">
        <v>14.190000000000001</v>
      </c>
      <c r="L12">
        <v>8.9</v>
      </c>
      <c r="M12" s="41">
        <v>5</v>
      </c>
      <c r="N12" s="10"/>
      <c r="O12" s="10" t="str">
        <f t="shared" si="0"/>
        <v>Mubeen</v>
      </c>
      <c r="P12" s="12"/>
      <c r="Q12" s="12">
        <v>0</v>
      </c>
      <c r="R12" s="12">
        <v>0</v>
      </c>
      <c r="S12" s="12">
        <v>0</v>
      </c>
      <c r="T12" s="28">
        <v>12</v>
      </c>
      <c r="U12" s="12">
        <v>80</v>
      </c>
      <c r="V12" s="12">
        <v>60</v>
      </c>
      <c r="W12" s="12">
        <v>60</v>
      </c>
      <c r="X12" s="28">
        <v>33</v>
      </c>
      <c r="Y12">
        <f t="shared" si="1"/>
        <v>5</v>
      </c>
      <c r="Z12" s="44">
        <v>2</v>
      </c>
    </row>
    <row r="13" spans="1:26" x14ac:dyDescent="0.35">
      <c r="A13" s="13"/>
      <c r="B13" s="10"/>
      <c r="C13" s="14"/>
      <c r="D13" s="14"/>
      <c r="E13" s="14"/>
      <c r="F13" s="14"/>
      <c r="G13" s="28">
        <v>12</v>
      </c>
      <c r="H13" s="14"/>
      <c r="I13" s="14"/>
      <c r="J13" s="14"/>
      <c r="K13" s="28">
        <v>33</v>
      </c>
      <c r="N13" s="13"/>
      <c r="O13" s="10"/>
      <c r="P13" s="14"/>
      <c r="Q13" s="14"/>
      <c r="R13" s="14"/>
      <c r="S13" s="14"/>
      <c r="T13" s="28">
        <v>12</v>
      </c>
      <c r="U13" s="14"/>
      <c r="V13" s="14"/>
      <c r="W13" s="14"/>
      <c r="X13" s="28">
        <v>33</v>
      </c>
    </row>
    <row r="14" spans="1:26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5">
        <f>C14+D14+E14+F14+H14+I14+J14</f>
        <v>0</v>
      </c>
      <c r="N14" s="13"/>
      <c r="O14" s="10"/>
      <c r="P14" s="13"/>
      <c r="Q14" s="13"/>
      <c r="R14" s="13"/>
      <c r="S14" s="13"/>
      <c r="T14" s="13"/>
      <c r="U14" s="13"/>
      <c r="V14" s="13"/>
      <c r="W14" s="13"/>
      <c r="X14" s="13"/>
      <c r="Y14" s="35">
        <f>P14+Q14+R14+S14+U14+V14+W14</f>
        <v>0</v>
      </c>
    </row>
    <row r="15" spans="1:26" x14ac:dyDescent="0.35">
      <c r="A15" s="13"/>
      <c r="B15" s="10" t="s">
        <v>22</v>
      </c>
      <c r="C15" s="36"/>
      <c r="D15" s="36">
        <f>D14/20</f>
        <v>0</v>
      </c>
      <c r="E15" s="36">
        <f t="shared" ref="E15:J15" si="2">E14/20</f>
        <v>0</v>
      </c>
      <c r="F15" s="36">
        <f t="shared" si="2"/>
        <v>0</v>
      </c>
      <c r="G15" s="36"/>
      <c r="H15" s="36">
        <f t="shared" si="2"/>
        <v>0</v>
      </c>
      <c r="I15" s="36">
        <f t="shared" si="2"/>
        <v>0</v>
      </c>
      <c r="J15" s="36">
        <f t="shared" si="2"/>
        <v>0</v>
      </c>
      <c r="K15" s="36"/>
      <c r="N15" s="13"/>
      <c r="O15" s="10" t="s">
        <v>22</v>
      </c>
      <c r="P15" s="36"/>
      <c r="Q15" s="36">
        <f>Q14/20</f>
        <v>0</v>
      </c>
      <c r="R15" s="36">
        <f t="shared" ref="R15:S15" si="3">R14/20</f>
        <v>0</v>
      </c>
      <c r="S15" s="36">
        <f t="shared" si="3"/>
        <v>0</v>
      </c>
      <c r="T15" s="36"/>
      <c r="U15" s="36">
        <f t="shared" ref="U15:W15" si="4">U14/20</f>
        <v>0</v>
      </c>
      <c r="V15" s="36">
        <f t="shared" si="4"/>
        <v>0</v>
      </c>
      <c r="W15" s="36">
        <f t="shared" si="4"/>
        <v>0</v>
      </c>
      <c r="X15" s="36"/>
    </row>
    <row r="16" spans="1:26" x14ac:dyDescent="0.35">
      <c r="A16" s="13"/>
      <c r="B16" s="13" t="s">
        <v>21</v>
      </c>
      <c r="C16" s="36">
        <f>C15+C14</f>
        <v>0</v>
      </c>
      <c r="D16" s="36">
        <f t="shared" ref="D16:J16" si="5">D15+D14</f>
        <v>0</v>
      </c>
      <c r="E16" s="36">
        <f t="shared" si="5"/>
        <v>0</v>
      </c>
      <c r="F16" s="36">
        <f t="shared" si="5"/>
        <v>0</v>
      </c>
      <c r="G16" s="36"/>
      <c r="H16" s="36">
        <f t="shared" si="5"/>
        <v>0</v>
      </c>
      <c r="I16" s="36">
        <f t="shared" si="5"/>
        <v>0</v>
      </c>
      <c r="J16" s="36">
        <f t="shared" si="5"/>
        <v>0</v>
      </c>
      <c r="K16" s="36"/>
      <c r="N16" s="13"/>
      <c r="O16" s="13" t="s">
        <v>21</v>
      </c>
      <c r="P16" s="36">
        <f>P15+P14</f>
        <v>0</v>
      </c>
      <c r="Q16" s="36">
        <f t="shared" ref="Q16:S16" si="6">Q15+Q14</f>
        <v>0</v>
      </c>
      <c r="R16" s="36">
        <f t="shared" si="6"/>
        <v>0</v>
      </c>
      <c r="S16" s="36">
        <f t="shared" si="6"/>
        <v>0</v>
      </c>
      <c r="T16" s="36"/>
      <c r="U16" s="36">
        <f t="shared" ref="U16:W16" si="7">U15+U14</f>
        <v>0</v>
      </c>
      <c r="V16" s="36">
        <f t="shared" si="7"/>
        <v>0</v>
      </c>
      <c r="W16" s="36">
        <f t="shared" si="7"/>
        <v>0</v>
      </c>
      <c r="X16" s="36"/>
    </row>
    <row r="17" spans="1:25" x14ac:dyDescent="0.35">
      <c r="A17" s="40"/>
      <c r="B17" s="39" t="s">
        <v>23</v>
      </c>
      <c r="C17" s="40"/>
      <c r="D17" s="40"/>
      <c r="E17" s="40"/>
      <c r="F17" s="40"/>
      <c r="G17" s="40"/>
      <c r="H17" s="40"/>
      <c r="I17" s="40"/>
      <c r="J17" s="40"/>
      <c r="K17" s="40"/>
      <c r="L17" s="35">
        <f>SUM(C17:J17)</f>
        <v>0</v>
      </c>
      <c r="N17" s="40"/>
      <c r="O17" s="39" t="s">
        <v>23</v>
      </c>
      <c r="P17" s="40"/>
      <c r="Q17" s="40"/>
      <c r="R17" s="40"/>
      <c r="S17" s="40"/>
      <c r="T17" s="40"/>
      <c r="U17" s="40"/>
      <c r="V17" s="40"/>
      <c r="W17" s="40"/>
      <c r="X17" s="40"/>
      <c r="Y17" s="35">
        <f>SUM(P17:W17)</f>
        <v>0</v>
      </c>
    </row>
    <row r="18" spans="1:25" x14ac:dyDescent="0.35">
      <c r="C18" s="32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Z19"/>
  <sheetViews>
    <sheetView topLeftCell="B1" zoomScaleNormal="100" workbookViewId="0">
      <selection activeCell="Q19" sqref="Q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56" t="s">
        <v>8</v>
      </c>
      <c r="H7" s="12" t="s">
        <v>13</v>
      </c>
      <c r="I7" s="12" t="s">
        <v>7</v>
      </c>
      <c r="J7" s="12" t="s">
        <v>12</v>
      </c>
      <c r="K7" s="56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>
        <v>82</v>
      </c>
      <c r="D8" s="12">
        <v>13</v>
      </c>
      <c r="E8" s="12">
        <v>13</v>
      </c>
      <c r="F8" s="12">
        <v>0</v>
      </c>
      <c r="G8" s="56">
        <v>12</v>
      </c>
      <c r="H8" s="12">
        <v>14</v>
      </c>
      <c r="I8" s="12">
        <v>20</v>
      </c>
      <c r="J8" s="12">
        <v>16</v>
      </c>
      <c r="K8" s="56">
        <v>33</v>
      </c>
      <c r="L8">
        <v>3.95</v>
      </c>
      <c r="M8">
        <v>6</v>
      </c>
      <c r="N8" s="27"/>
      <c r="O8" s="10" t="str">
        <f>B8</f>
        <v>Furqan</v>
      </c>
      <c r="P8" s="12">
        <v>42</v>
      </c>
      <c r="Q8" s="12">
        <v>6</v>
      </c>
      <c r="R8" s="12">
        <v>6</v>
      </c>
      <c r="S8" s="12">
        <v>0</v>
      </c>
      <c r="T8" s="12"/>
      <c r="U8" s="12"/>
      <c r="V8" s="12"/>
      <c r="W8" s="12"/>
      <c r="X8" s="12"/>
      <c r="Y8">
        <f>SUM(P8:S8,U8,V8,W8)/40</f>
        <v>1.35</v>
      </c>
      <c r="Z8" s="44">
        <v>3</v>
      </c>
    </row>
    <row r="9" spans="1:26" x14ac:dyDescent="0.35">
      <c r="A9" s="27"/>
      <c r="B9" s="10" t="s">
        <v>14</v>
      </c>
      <c r="C9" s="12">
        <v>80</v>
      </c>
      <c r="D9" s="12">
        <v>80</v>
      </c>
      <c r="E9" s="12">
        <v>80</v>
      </c>
      <c r="F9" s="12">
        <v>0</v>
      </c>
      <c r="G9" s="56">
        <v>12</v>
      </c>
      <c r="H9" s="12">
        <v>80</v>
      </c>
      <c r="I9" s="12">
        <v>60</v>
      </c>
      <c r="J9" s="12">
        <v>60</v>
      </c>
      <c r="K9" s="56">
        <v>33</v>
      </c>
      <c r="L9">
        <v>11</v>
      </c>
      <c r="M9">
        <v>7</v>
      </c>
      <c r="N9" s="27"/>
      <c r="O9" s="10" t="str">
        <f t="shared" ref="O9:O12" si="0">B9</f>
        <v>Salman</v>
      </c>
      <c r="P9" s="12">
        <v>80</v>
      </c>
      <c r="Q9" s="12">
        <v>80</v>
      </c>
      <c r="R9" s="12">
        <v>80</v>
      </c>
      <c r="S9" s="12"/>
      <c r="T9" s="12"/>
      <c r="U9" s="12">
        <v>80</v>
      </c>
      <c r="V9" s="12">
        <v>60</v>
      </c>
      <c r="W9" s="12">
        <v>60</v>
      </c>
      <c r="X9" s="12"/>
      <c r="Y9">
        <f t="shared" ref="Y9:Y12" si="1">SUM(P9:S9,U9,V9,W9)/40</f>
        <v>11</v>
      </c>
      <c r="Z9" s="44">
        <v>3</v>
      </c>
    </row>
    <row r="10" spans="1:26" x14ac:dyDescent="0.35">
      <c r="A10" s="27"/>
      <c r="B10" s="10" t="s">
        <v>37</v>
      </c>
      <c r="C10" s="12">
        <v>40</v>
      </c>
      <c r="D10" s="12">
        <v>20</v>
      </c>
      <c r="E10" s="12">
        <v>20</v>
      </c>
      <c r="F10" s="12">
        <v>0</v>
      </c>
      <c r="G10" s="56">
        <v>12</v>
      </c>
      <c r="H10" s="12">
        <v>95</v>
      </c>
      <c r="I10" s="12">
        <v>50</v>
      </c>
      <c r="J10" s="12">
        <v>95</v>
      </c>
      <c r="K10" s="56">
        <v>33</v>
      </c>
      <c r="L10">
        <v>8</v>
      </c>
      <c r="M10">
        <v>11</v>
      </c>
      <c r="N10" s="27"/>
      <c r="O10" s="10" t="str">
        <f t="shared" si="0"/>
        <v>Zesahn</v>
      </c>
      <c r="P10" s="12">
        <v>40</v>
      </c>
      <c r="Q10" s="12">
        <v>0</v>
      </c>
      <c r="R10" s="12">
        <v>0</v>
      </c>
      <c r="S10" s="12">
        <v>0</v>
      </c>
      <c r="T10" s="12"/>
      <c r="U10" s="12">
        <v>80</v>
      </c>
      <c r="V10" s="12">
        <v>40</v>
      </c>
      <c r="W10" s="12">
        <v>80</v>
      </c>
      <c r="X10" s="12"/>
      <c r="Y10">
        <f t="shared" si="1"/>
        <v>6</v>
      </c>
      <c r="Z10" s="44">
        <v>9</v>
      </c>
    </row>
    <row r="11" spans="1:26" x14ac:dyDescent="0.35">
      <c r="A11" s="11"/>
      <c r="B11" s="11" t="s">
        <v>31</v>
      </c>
      <c r="C11" s="12">
        <v>242</v>
      </c>
      <c r="D11" s="12">
        <v>52</v>
      </c>
      <c r="E11" s="12">
        <v>52</v>
      </c>
      <c r="F11" s="12">
        <v>0</v>
      </c>
      <c r="G11" s="56">
        <v>12</v>
      </c>
      <c r="H11" s="12">
        <v>15</v>
      </c>
      <c r="I11" s="12">
        <v>10</v>
      </c>
      <c r="J11" s="12">
        <v>15</v>
      </c>
      <c r="K11" s="56">
        <v>33</v>
      </c>
      <c r="L11">
        <v>9.65</v>
      </c>
      <c r="M11">
        <v>10</v>
      </c>
      <c r="N11" s="11"/>
      <c r="O11" s="10" t="str">
        <f t="shared" si="0"/>
        <v>Umair</v>
      </c>
      <c r="P11" s="12">
        <v>242</v>
      </c>
      <c r="Q11" s="12">
        <v>52</v>
      </c>
      <c r="R11" s="12">
        <v>52</v>
      </c>
      <c r="S11" s="12">
        <v>0</v>
      </c>
      <c r="T11" s="12"/>
      <c r="U11" s="12">
        <v>15</v>
      </c>
      <c r="V11" s="12">
        <v>10</v>
      </c>
      <c r="W11" s="12">
        <v>15</v>
      </c>
      <c r="X11" s="12"/>
      <c r="Y11">
        <f t="shared" si="1"/>
        <v>9.65</v>
      </c>
      <c r="Z11" s="44">
        <v>10</v>
      </c>
    </row>
    <row r="12" spans="1:26" x14ac:dyDescent="0.35">
      <c r="A12" s="11"/>
      <c r="B12" s="11" t="s">
        <v>19</v>
      </c>
      <c r="C12" s="12">
        <v>20</v>
      </c>
      <c r="D12" s="12">
        <v>0</v>
      </c>
      <c r="E12" s="12">
        <v>0</v>
      </c>
      <c r="F12" s="12">
        <v>0</v>
      </c>
      <c r="G12" s="56">
        <v>12</v>
      </c>
      <c r="H12" s="12">
        <v>150</v>
      </c>
      <c r="I12" s="12">
        <v>100</v>
      </c>
      <c r="J12" s="12">
        <v>250</v>
      </c>
      <c r="K12" s="56">
        <v>33</v>
      </c>
      <c r="L12">
        <v>13</v>
      </c>
      <c r="M12">
        <v>8</v>
      </c>
      <c r="N12" s="11"/>
      <c r="O12" s="10" t="str">
        <f t="shared" si="0"/>
        <v>Mubeen</v>
      </c>
      <c r="P12" s="12">
        <v>20</v>
      </c>
      <c r="Q12" s="12">
        <v>0</v>
      </c>
      <c r="R12" s="12">
        <v>0</v>
      </c>
      <c r="S12" s="12">
        <v>0</v>
      </c>
      <c r="T12" s="12">
        <v>0</v>
      </c>
      <c r="U12" s="12">
        <v>150</v>
      </c>
      <c r="V12" s="12">
        <v>100</v>
      </c>
      <c r="W12" s="12">
        <v>210</v>
      </c>
      <c r="X12" s="12"/>
      <c r="Y12">
        <f t="shared" si="1"/>
        <v>12</v>
      </c>
      <c r="Z12" s="41">
        <v>7</v>
      </c>
    </row>
    <row r="13" spans="1:26" x14ac:dyDescent="0.35">
      <c r="A13" s="11"/>
      <c r="B13" s="11"/>
      <c r="C13" s="12"/>
      <c r="D13" s="12"/>
      <c r="E13" s="12"/>
      <c r="F13" s="12"/>
      <c r="G13" s="56"/>
      <c r="H13" s="12"/>
      <c r="I13" s="12"/>
      <c r="J13" s="12"/>
      <c r="K13" s="56"/>
      <c r="N13" s="11"/>
      <c r="O13" s="11"/>
      <c r="P13" s="12"/>
      <c r="Q13" s="12"/>
      <c r="R13" s="12"/>
      <c r="S13" s="12"/>
      <c r="T13" s="12"/>
      <c r="U13" s="12"/>
      <c r="V13" s="12"/>
      <c r="W13" s="12"/>
      <c r="X13" s="12"/>
    </row>
    <row r="14" spans="1:26" x14ac:dyDescent="0.35">
      <c r="A14" s="13"/>
      <c r="B14" s="10"/>
      <c r="C14" s="14">
        <f t="shared" ref="C14:K14" si="2">SUM(C8:C13)</f>
        <v>464</v>
      </c>
      <c r="D14" s="14">
        <f t="shared" si="2"/>
        <v>165</v>
      </c>
      <c r="E14" s="14">
        <f t="shared" si="2"/>
        <v>165</v>
      </c>
      <c r="F14" s="14">
        <f t="shared" si="2"/>
        <v>0</v>
      </c>
      <c r="G14" s="33">
        <f t="shared" si="2"/>
        <v>60</v>
      </c>
      <c r="H14" s="14">
        <f t="shared" si="2"/>
        <v>354</v>
      </c>
      <c r="I14" s="14">
        <f t="shared" si="2"/>
        <v>240</v>
      </c>
      <c r="J14" s="14">
        <f t="shared" si="2"/>
        <v>436</v>
      </c>
      <c r="K14" s="33">
        <f t="shared" si="2"/>
        <v>165</v>
      </c>
      <c r="L14" s="35">
        <f>C14+D14+E14+F14+H14+I14+J14</f>
        <v>1824</v>
      </c>
      <c r="N14" s="13"/>
      <c r="O14" s="10"/>
      <c r="P14" s="14">
        <f t="shared" ref="P14:X14" si="3">SUM(P8:P13)</f>
        <v>424</v>
      </c>
      <c r="Q14" s="14">
        <f t="shared" si="3"/>
        <v>138</v>
      </c>
      <c r="R14" s="14">
        <f t="shared" si="3"/>
        <v>138</v>
      </c>
      <c r="S14" s="14">
        <f t="shared" si="3"/>
        <v>0</v>
      </c>
      <c r="T14" s="14">
        <f t="shared" si="3"/>
        <v>0</v>
      </c>
      <c r="U14" s="14">
        <f t="shared" si="3"/>
        <v>325</v>
      </c>
      <c r="V14" s="14">
        <f t="shared" si="3"/>
        <v>210</v>
      </c>
      <c r="W14" s="14">
        <f t="shared" si="3"/>
        <v>365</v>
      </c>
      <c r="X14" s="14">
        <f t="shared" si="3"/>
        <v>0</v>
      </c>
      <c r="Y14" s="35">
        <f>P14+Q14+R14+S14+U14+V14+W14</f>
        <v>1600</v>
      </c>
    </row>
    <row r="15" spans="1:26" x14ac:dyDescent="0.35">
      <c r="A15" s="13"/>
      <c r="B15" s="10" t="s">
        <v>22</v>
      </c>
      <c r="C15" s="13"/>
      <c r="D15" s="13">
        <f>D14/20</f>
        <v>8.25</v>
      </c>
      <c r="E15" s="13">
        <f t="shared" ref="E15:J15" si="4">E14/20</f>
        <v>8.25</v>
      </c>
      <c r="F15" s="13">
        <f t="shared" si="4"/>
        <v>0</v>
      </c>
      <c r="G15" s="57"/>
      <c r="H15" s="13">
        <f t="shared" si="4"/>
        <v>17.7</v>
      </c>
      <c r="I15" s="13">
        <f t="shared" si="4"/>
        <v>12</v>
      </c>
      <c r="J15" s="13">
        <f t="shared" si="4"/>
        <v>21.8</v>
      </c>
      <c r="K15" s="57"/>
      <c r="N15" s="13"/>
      <c r="O15" s="10" t="s">
        <v>22</v>
      </c>
      <c r="P15" s="13"/>
      <c r="Q15" s="13">
        <f>Q14/20</f>
        <v>6.9</v>
      </c>
      <c r="R15" s="13">
        <f t="shared" ref="R15:S15" si="5">R14/20</f>
        <v>6.9</v>
      </c>
      <c r="S15" s="13">
        <f t="shared" si="5"/>
        <v>0</v>
      </c>
      <c r="T15" s="13"/>
      <c r="U15" s="13">
        <f t="shared" ref="U15:W15" si="6">U14/20</f>
        <v>16.25</v>
      </c>
      <c r="V15" s="13">
        <f t="shared" si="6"/>
        <v>10.5</v>
      </c>
      <c r="W15" s="13">
        <f t="shared" si="6"/>
        <v>18.25</v>
      </c>
      <c r="X15" s="13"/>
    </row>
    <row r="16" spans="1:26" x14ac:dyDescent="0.35">
      <c r="A16" s="13"/>
      <c r="B16" s="10" t="s">
        <v>21</v>
      </c>
      <c r="C16" s="36">
        <f>C15+C14</f>
        <v>464</v>
      </c>
      <c r="D16" s="36">
        <f t="shared" ref="D16:J16" si="7">D15+D14</f>
        <v>173.25</v>
      </c>
      <c r="E16" s="36">
        <f t="shared" si="7"/>
        <v>173.25</v>
      </c>
      <c r="F16" s="36">
        <f t="shared" si="7"/>
        <v>0</v>
      </c>
      <c r="G16" s="33"/>
      <c r="H16" s="36">
        <f t="shared" si="7"/>
        <v>371.7</v>
      </c>
      <c r="I16" s="36">
        <f t="shared" si="7"/>
        <v>252</v>
      </c>
      <c r="J16" s="36">
        <f t="shared" si="7"/>
        <v>457.8</v>
      </c>
      <c r="K16" s="33"/>
      <c r="N16" s="13"/>
      <c r="O16" s="10" t="s">
        <v>21</v>
      </c>
      <c r="P16" s="36">
        <f>P15+P14</f>
        <v>424</v>
      </c>
      <c r="Q16" s="36">
        <f t="shared" ref="Q16:S16" si="8">Q15+Q14</f>
        <v>144.9</v>
      </c>
      <c r="R16" s="36">
        <f t="shared" si="8"/>
        <v>144.9</v>
      </c>
      <c r="S16" s="36">
        <f t="shared" si="8"/>
        <v>0</v>
      </c>
      <c r="T16" s="36"/>
      <c r="U16" s="36">
        <f t="shared" ref="U16:W16" si="9">U15+U14</f>
        <v>341.25</v>
      </c>
      <c r="V16" s="36">
        <f t="shared" si="9"/>
        <v>220.5</v>
      </c>
      <c r="W16" s="36">
        <f t="shared" si="9"/>
        <v>383.25</v>
      </c>
      <c r="X16" s="36"/>
    </row>
    <row r="17" spans="1:25" x14ac:dyDescent="0.35">
      <c r="A17" s="13"/>
      <c r="B17" s="39" t="s">
        <v>23</v>
      </c>
      <c r="C17" s="36">
        <f>C14/40</f>
        <v>11.6</v>
      </c>
      <c r="D17" s="36">
        <f t="shared" ref="D17:J17" si="10">D14/40</f>
        <v>4.125</v>
      </c>
      <c r="E17" s="36">
        <f t="shared" si="10"/>
        <v>4.125</v>
      </c>
      <c r="F17" s="36">
        <f t="shared" si="10"/>
        <v>0</v>
      </c>
      <c r="G17" s="33"/>
      <c r="H17" s="36">
        <f t="shared" si="10"/>
        <v>8.85</v>
      </c>
      <c r="I17" s="36">
        <f t="shared" si="10"/>
        <v>6</v>
      </c>
      <c r="J17" s="36">
        <f t="shared" si="10"/>
        <v>10.9</v>
      </c>
      <c r="K17" s="33"/>
      <c r="L17" s="35">
        <f>SUM(C17:J17)</f>
        <v>45.6</v>
      </c>
      <c r="N17" s="13"/>
      <c r="O17" s="39" t="s">
        <v>23</v>
      </c>
      <c r="P17" s="36">
        <f>P14/40</f>
        <v>10.6</v>
      </c>
      <c r="Q17" s="36">
        <f t="shared" ref="Q17:S17" si="11">Q14/40</f>
        <v>3.45</v>
      </c>
      <c r="R17" s="36">
        <f t="shared" si="11"/>
        <v>3.45</v>
      </c>
      <c r="S17" s="36">
        <f t="shared" si="11"/>
        <v>0</v>
      </c>
      <c r="T17" s="36"/>
      <c r="U17" s="36">
        <f t="shared" ref="U17:W17" si="12">U14/40</f>
        <v>8.125</v>
      </c>
      <c r="V17" s="36">
        <f t="shared" si="12"/>
        <v>5.25</v>
      </c>
      <c r="W17" s="36">
        <f t="shared" si="12"/>
        <v>9.125</v>
      </c>
      <c r="X17" s="36"/>
      <c r="Y17" s="35">
        <f>SUM(P17:W17)</f>
        <v>40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W19"/>
  <sheetViews>
    <sheetView zoomScaleNormal="100" workbookViewId="0">
      <selection activeCell="Q20" sqref="Q2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7.08984375" customWidth="1"/>
    <col min="7" max="7" width="4.26953125" bestFit="1" customWidth="1"/>
    <col min="8" max="8" width="3.54296875" bestFit="1" customWidth="1"/>
    <col min="9" max="9" width="5.81640625" bestFit="1" customWidth="1"/>
    <col min="12" max="12" width="3.90625" bestFit="1" customWidth="1"/>
    <col min="13" max="13" width="6.453125" bestFit="1" customWidth="1"/>
    <col min="14" max="14" width="4" bestFit="1" customWidth="1"/>
    <col min="15" max="15" width="5" bestFit="1" customWidth="1"/>
    <col min="16" max="16" width="3.26953125" bestFit="1" customWidth="1"/>
    <col min="21" max="21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3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6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6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9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/>
      <c r="H6" s="71"/>
      <c r="I6" s="72"/>
      <c r="L6" s="1"/>
      <c r="M6" s="2"/>
      <c r="N6" s="3" t="s">
        <v>1</v>
      </c>
      <c r="O6" s="70" t="s">
        <v>2</v>
      </c>
      <c r="P6" s="71"/>
      <c r="Q6" s="71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12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>
        <v>46181</v>
      </c>
      <c r="B8" s="10" t="s">
        <v>17</v>
      </c>
      <c r="C8" s="12">
        <v>128</v>
      </c>
      <c r="D8" s="12"/>
      <c r="E8" s="12"/>
      <c r="F8" s="12"/>
      <c r="G8" s="12">
        <v>87</v>
      </c>
      <c r="H8" s="12">
        <v>7</v>
      </c>
      <c r="I8" s="28">
        <v>46</v>
      </c>
      <c r="J8">
        <f>SUM(C8:I8)/40</f>
        <v>6.7</v>
      </c>
      <c r="K8" s="44">
        <v>6</v>
      </c>
      <c r="L8" s="27">
        <v>46181</v>
      </c>
      <c r="M8" s="10" t="str">
        <f>B8</f>
        <v>Furqan</v>
      </c>
      <c r="N8" s="12">
        <v>92</v>
      </c>
      <c r="O8" s="12">
        <v>0</v>
      </c>
      <c r="P8" s="12">
        <v>0</v>
      </c>
      <c r="Q8" s="12">
        <v>0</v>
      </c>
      <c r="R8" s="12">
        <v>87</v>
      </c>
      <c r="S8" s="12">
        <v>7</v>
      </c>
      <c r="T8" s="12">
        <v>46</v>
      </c>
      <c r="U8" s="28"/>
      <c r="V8">
        <f>SUM(N8:Q8,R8,S8,T8)/40</f>
        <v>5.8</v>
      </c>
      <c r="W8" s="44">
        <v>4</v>
      </c>
    </row>
    <row r="9" spans="1:23" x14ac:dyDescent="0.35">
      <c r="A9" s="27">
        <v>46181</v>
      </c>
      <c r="B9" s="10" t="s">
        <v>14</v>
      </c>
      <c r="C9" s="12">
        <v>160</v>
      </c>
      <c r="D9" s="12">
        <v>50</v>
      </c>
      <c r="E9" s="12">
        <v>50</v>
      </c>
      <c r="F9" s="12">
        <v>0</v>
      </c>
      <c r="G9" s="12">
        <v>10</v>
      </c>
      <c r="H9" s="12">
        <v>0</v>
      </c>
      <c r="I9" s="28">
        <v>10</v>
      </c>
      <c r="J9">
        <f t="shared" ref="J9:J12" si="0">SUM(C9:I9)/40</f>
        <v>7</v>
      </c>
      <c r="K9" s="44">
        <v>7</v>
      </c>
      <c r="L9" s="27">
        <v>46181</v>
      </c>
      <c r="M9" s="10" t="str">
        <f>B9</f>
        <v>Salman</v>
      </c>
      <c r="N9" s="12">
        <v>40</v>
      </c>
      <c r="O9" s="12">
        <v>50</v>
      </c>
      <c r="P9" s="12">
        <v>50</v>
      </c>
      <c r="Q9" s="12">
        <v>0</v>
      </c>
      <c r="R9" s="12">
        <v>10</v>
      </c>
      <c r="S9" s="12">
        <v>0</v>
      </c>
      <c r="T9" s="12">
        <v>10</v>
      </c>
      <c r="U9" s="28"/>
      <c r="V9">
        <f>SUM(N9:Q9,R9,S9,T9)/40</f>
        <v>4</v>
      </c>
      <c r="W9" s="44">
        <v>2</v>
      </c>
    </row>
    <row r="10" spans="1:23" x14ac:dyDescent="0.35">
      <c r="A10" s="27">
        <v>46181</v>
      </c>
      <c r="B10" s="10" t="s">
        <v>37</v>
      </c>
      <c r="C10" s="12">
        <v>40</v>
      </c>
      <c r="D10" s="12">
        <v>90</v>
      </c>
      <c r="E10" s="12">
        <v>130</v>
      </c>
      <c r="F10" s="12">
        <v>0</v>
      </c>
      <c r="G10" s="12">
        <v>130</v>
      </c>
      <c r="H10" s="12">
        <v>25</v>
      </c>
      <c r="I10" s="28">
        <v>90</v>
      </c>
      <c r="J10">
        <f t="shared" si="0"/>
        <v>12.625</v>
      </c>
      <c r="K10" s="44">
        <v>11</v>
      </c>
      <c r="L10" s="27">
        <v>46181</v>
      </c>
      <c r="M10" s="10" t="str">
        <f>B10</f>
        <v>Zesahn</v>
      </c>
      <c r="N10" s="12">
        <v>40</v>
      </c>
      <c r="O10" s="12">
        <v>90</v>
      </c>
      <c r="P10" s="12">
        <v>130</v>
      </c>
      <c r="Q10" s="12">
        <v>0</v>
      </c>
      <c r="R10" s="12">
        <v>115</v>
      </c>
      <c r="S10" s="12">
        <v>10</v>
      </c>
      <c r="T10" s="12">
        <v>75</v>
      </c>
      <c r="U10" s="28"/>
      <c r="V10">
        <f>SUM(N10:Q10,R10,S10,T10)/40</f>
        <v>11.5</v>
      </c>
      <c r="W10" s="44">
        <v>11</v>
      </c>
    </row>
    <row r="11" spans="1:23" x14ac:dyDescent="0.35">
      <c r="A11" s="11"/>
      <c r="B11" s="11" t="s">
        <v>19</v>
      </c>
      <c r="C11" s="12"/>
      <c r="D11" s="12"/>
      <c r="E11" s="12"/>
      <c r="F11" s="12"/>
      <c r="G11" s="12"/>
      <c r="H11" s="12"/>
      <c r="I11" s="28"/>
      <c r="J11">
        <f t="shared" si="0"/>
        <v>0</v>
      </c>
      <c r="L11" s="11"/>
      <c r="M11" s="10" t="str">
        <f>B11</f>
        <v>Mubeen</v>
      </c>
      <c r="N11" s="12"/>
      <c r="O11" s="12"/>
      <c r="P11" s="12"/>
      <c r="Q11" s="12"/>
      <c r="R11" s="12"/>
      <c r="S11" s="12"/>
      <c r="T11" s="12"/>
      <c r="U11" s="28"/>
      <c r="V11">
        <f>SUM(N11:Q11,R11,S11,T11)/40</f>
        <v>0</v>
      </c>
    </row>
    <row r="12" spans="1:23" x14ac:dyDescent="0.35">
      <c r="A12" s="11"/>
      <c r="B12" s="11" t="s">
        <v>31</v>
      </c>
      <c r="C12" s="12">
        <v>254</v>
      </c>
      <c r="D12" s="12"/>
      <c r="E12" s="12"/>
      <c r="F12" s="12"/>
      <c r="G12" s="12">
        <v>85</v>
      </c>
      <c r="H12" s="12">
        <v>85</v>
      </c>
      <c r="I12" s="28">
        <v>70</v>
      </c>
      <c r="J12">
        <f t="shared" si="0"/>
        <v>12.35</v>
      </c>
      <c r="K12" s="41">
        <v>12</v>
      </c>
      <c r="L12" s="11"/>
      <c r="M12" s="10" t="str">
        <f>B12</f>
        <v>Umair</v>
      </c>
      <c r="N12" s="12">
        <v>254</v>
      </c>
      <c r="O12" s="12">
        <v>0</v>
      </c>
      <c r="P12" s="12">
        <v>0</v>
      </c>
      <c r="Q12" s="12">
        <v>0</v>
      </c>
      <c r="R12" s="12">
        <v>85</v>
      </c>
      <c r="S12" s="12">
        <v>85</v>
      </c>
      <c r="T12" s="12">
        <v>70</v>
      </c>
      <c r="U12" s="28"/>
      <c r="V12">
        <f>SUM(N12:Q12,R12,S12,T12)/40</f>
        <v>12.35</v>
      </c>
      <c r="W12" s="44">
        <v>11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28"/>
      <c r="L13" s="11"/>
      <c r="M13" s="11"/>
      <c r="N13" s="12"/>
      <c r="O13" s="12"/>
      <c r="P13" s="12"/>
      <c r="Q13" s="12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1">SUM(C8:C13)</f>
        <v>582</v>
      </c>
      <c r="D14" s="14">
        <f t="shared" si="1"/>
        <v>140</v>
      </c>
      <c r="E14" s="14">
        <f t="shared" si="1"/>
        <v>180</v>
      </c>
      <c r="F14" s="14">
        <f t="shared" si="1"/>
        <v>0</v>
      </c>
      <c r="G14" s="14">
        <f t="shared" si="1"/>
        <v>312</v>
      </c>
      <c r="H14" s="14">
        <f t="shared" si="1"/>
        <v>117</v>
      </c>
      <c r="I14" s="14">
        <f t="shared" si="1"/>
        <v>216</v>
      </c>
      <c r="J14" s="35">
        <f>SUM(C14:I14)/40</f>
        <v>38.674999999999997</v>
      </c>
      <c r="L14" s="13"/>
      <c r="M14" s="10"/>
      <c r="N14" s="14">
        <f t="shared" ref="N14:U14" si="2">SUM(N8:N13)</f>
        <v>426</v>
      </c>
      <c r="O14" s="14">
        <f t="shared" si="2"/>
        <v>140</v>
      </c>
      <c r="P14" s="14">
        <f t="shared" si="2"/>
        <v>180</v>
      </c>
      <c r="Q14" s="14">
        <f t="shared" si="2"/>
        <v>0</v>
      </c>
      <c r="R14" s="14">
        <f t="shared" si="2"/>
        <v>297</v>
      </c>
      <c r="S14" s="14">
        <f t="shared" si="2"/>
        <v>102</v>
      </c>
      <c r="T14" s="14">
        <f t="shared" si="2"/>
        <v>201</v>
      </c>
      <c r="U14" s="14">
        <f t="shared" si="2"/>
        <v>0</v>
      </c>
      <c r="V14" s="35">
        <f>N14+O14+P14+Q14+R14+S14+T14</f>
        <v>1346</v>
      </c>
    </row>
    <row r="15" spans="1:23" x14ac:dyDescent="0.35">
      <c r="A15" s="13"/>
      <c r="B15" s="10" t="s">
        <v>22</v>
      </c>
      <c r="C15" s="13"/>
      <c r="D15" s="13">
        <f>D14/20</f>
        <v>7</v>
      </c>
      <c r="E15" s="13">
        <f t="shared" ref="E15:H15" si="3">E14/20</f>
        <v>9</v>
      </c>
      <c r="F15" s="13">
        <f t="shared" si="3"/>
        <v>0</v>
      </c>
      <c r="G15" s="13">
        <f t="shared" si="3"/>
        <v>15.6</v>
      </c>
      <c r="H15" s="13">
        <f t="shared" si="3"/>
        <v>5.85</v>
      </c>
      <c r="I15" s="13"/>
      <c r="L15" s="13"/>
      <c r="M15" s="10" t="s">
        <v>22</v>
      </c>
      <c r="N15" s="13"/>
      <c r="O15" s="13">
        <f>O14/20</f>
        <v>7</v>
      </c>
      <c r="P15" s="13">
        <f t="shared" ref="P15:Q15" si="4">P14/20</f>
        <v>9</v>
      </c>
      <c r="Q15" s="13">
        <f t="shared" si="4"/>
        <v>0</v>
      </c>
      <c r="R15" s="13">
        <f t="shared" ref="R15:T15" si="5">R14/20</f>
        <v>14.85</v>
      </c>
      <c r="S15" s="13">
        <f t="shared" si="5"/>
        <v>5.0999999999999996</v>
      </c>
      <c r="T15" s="13">
        <f t="shared" si="5"/>
        <v>10.050000000000001</v>
      </c>
      <c r="U15" s="13"/>
    </row>
    <row r="16" spans="1:23" x14ac:dyDescent="0.35">
      <c r="A16" s="13"/>
      <c r="B16" s="10" t="s">
        <v>21</v>
      </c>
      <c r="C16" s="36">
        <f>C15+C14</f>
        <v>582</v>
      </c>
      <c r="D16" s="36">
        <f t="shared" ref="D16:H16" si="6">D15+D14</f>
        <v>147</v>
      </c>
      <c r="E16" s="36">
        <f t="shared" si="6"/>
        <v>189</v>
      </c>
      <c r="F16" s="36">
        <f t="shared" si="6"/>
        <v>0</v>
      </c>
      <c r="G16" s="36">
        <f t="shared" si="6"/>
        <v>327.60000000000002</v>
      </c>
      <c r="H16" s="36">
        <f t="shared" si="6"/>
        <v>122.85</v>
      </c>
      <c r="I16" s="36"/>
      <c r="L16" s="13"/>
      <c r="M16" s="10" t="s">
        <v>21</v>
      </c>
      <c r="N16" s="36">
        <f>N15+N14</f>
        <v>426</v>
      </c>
      <c r="O16" s="36">
        <f t="shared" ref="O16:Q16" si="7">O15+O14</f>
        <v>147</v>
      </c>
      <c r="P16" s="36">
        <f t="shared" si="7"/>
        <v>189</v>
      </c>
      <c r="Q16" s="36">
        <f t="shared" si="7"/>
        <v>0</v>
      </c>
      <c r="R16" s="36">
        <f t="shared" ref="R16:T16" si="8">R15+R14</f>
        <v>311.85000000000002</v>
      </c>
      <c r="S16" s="36">
        <f t="shared" si="8"/>
        <v>107.1</v>
      </c>
      <c r="T16" s="36">
        <f t="shared" si="8"/>
        <v>211.05</v>
      </c>
      <c r="U16" s="36"/>
    </row>
    <row r="17" spans="1:22" x14ac:dyDescent="0.35">
      <c r="A17" s="13"/>
      <c r="B17" s="39" t="s">
        <v>23</v>
      </c>
      <c r="C17" s="36">
        <f>C14/40</f>
        <v>14.55</v>
      </c>
      <c r="D17" s="36">
        <f t="shared" ref="D17:H17" si="9">D14/40</f>
        <v>3.5</v>
      </c>
      <c r="E17" s="36">
        <f t="shared" si="9"/>
        <v>4.5</v>
      </c>
      <c r="F17" s="36">
        <f t="shared" si="9"/>
        <v>0</v>
      </c>
      <c r="G17" s="36">
        <f t="shared" si="9"/>
        <v>7.8</v>
      </c>
      <c r="H17" s="36">
        <f t="shared" si="9"/>
        <v>2.9249999999999998</v>
      </c>
      <c r="I17" s="36"/>
      <c r="J17" s="35">
        <f>SUM(C17:H17)</f>
        <v>33.274999999999999</v>
      </c>
      <c r="L17" s="13"/>
      <c r="M17" s="39" t="s">
        <v>23</v>
      </c>
      <c r="N17" s="36">
        <f>N14/40</f>
        <v>10.65</v>
      </c>
      <c r="O17" s="36">
        <f t="shared" ref="O17:Q17" si="10">O14/40</f>
        <v>3.5</v>
      </c>
      <c r="P17" s="36">
        <f t="shared" si="10"/>
        <v>4.5</v>
      </c>
      <c r="Q17" s="36">
        <f t="shared" si="10"/>
        <v>0</v>
      </c>
      <c r="R17" s="36">
        <f t="shared" ref="R17:T17" si="11">R14/40</f>
        <v>7.4249999999999998</v>
      </c>
      <c r="S17" s="36">
        <f t="shared" si="11"/>
        <v>2.5499999999999998</v>
      </c>
      <c r="T17" s="36">
        <f t="shared" si="11"/>
        <v>5.0250000000000004</v>
      </c>
      <c r="U17" s="36"/>
      <c r="V17" s="35">
        <f>SUM(N17:T17)</f>
        <v>33.65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X19"/>
  <sheetViews>
    <sheetView zoomScaleNormal="100" workbookViewId="0">
      <selection activeCell="K9" sqref="K9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9.1796875" bestFit="1" customWidth="1"/>
    <col min="15" max="15" width="4" bestFit="1" customWidth="1"/>
    <col min="16" max="16" width="4.26953125" bestFit="1" customWidth="1"/>
    <col min="17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12</v>
      </c>
      <c r="S7" s="45" t="s">
        <v>13</v>
      </c>
      <c r="T7" s="45" t="s">
        <v>7</v>
      </c>
      <c r="U7" s="12" t="s">
        <v>12</v>
      </c>
      <c r="V7" s="12" t="s">
        <v>12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>
        <v>64</v>
      </c>
      <c r="D8" s="12">
        <v>12</v>
      </c>
      <c r="E8" s="12">
        <v>12</v>
      </c>
      <c r="F8" s="12">
        <v>0</v>
      </c>
      <c r="G8" s="12">
        <v>16</v>
      </c>
      <c r="H8" s="12">
        <v>16</v>
      </c>
      <c r="I8" s="12">
        <v>16</v>
      </c>
      <c r="J8" s="30">
        <f>SUM(G8:I8)/20</f>
        <v>2.4</v>
      </c>
      <c r="K8">
        <f>SUM(C8:F8,G8,H8,I8)/40</f>
        <v>3.4</v>
      </c>
      <c r="L8" s="44">
        <v>4</v>
      </c>
      <c r="M8" s="27"/>
      <c r="N8" s="10" t="str">
        <f>B8</f>
        <v>Furqan</v>
      </c>
      <c r="O8" s="12">
        <v>0</v>
      </c>
      <c r="P8" s="12">
        <v>0</v>
      </c>
      <c r="Q8" s="12">
        <v>0</v>
      </c>
      <c r="R8" s="30">
        <v>0</v>
      </c>
      <c r="S8" s="12">
        <v>0</v>
      </c>
      <c r="T8" s="12">
        <v>0</v>
      </c>
      <c r="U8" s="12"/>
      <c r="V8" s="30">
        <v>0</v>
      </c>
      <c r="W8">
        <f>SUM(O8:V8)/40</f>
        <v>0</v>
      </c>
    </row>
    <row r="9" spans="1:24" x14ac:dyDescent="0.35">
      <c r="A9" s="27"/>
      <c r="B9" s="10" t="s">
        <v>14</v>
      </c>
      <c r="C9" s="12">
        <v>141</v>
      </c>
      <c r="D9" s="12">
        <v>67</v>
      </c>
      <c r="E9" s="12">
        <v>32</v>
      </c>
      <c r="F9" s="12">
        <v>0</v>
      </c>
      <c r="G9" s="12">
        <v>20</v>
      </c>
      <c r="H9" s="12">
        <v>20</v>
      </c>
      <c r="I9" s="12">
        <v>30</v>
      </c>
      <c r="J9" s="30">
        <f t="shared" ref="J9:J13" si="0">SUM(G9:I9)/20</f>
        <v>3.5</v>
      </c>
      <c r="K9">
        <f>SUM(C9:F9,G9,H9,I9)/40</f>
        <v>7.75</v>
      </c>
      <c r="L9" s="44">
        <v>7</v>
      </c>
      <c r="M9" s="27"/>
      <c r="N9" s="10" t="str">
        <f>B9</f>
        <v>Salman</v>
      </c>
      <c r="O9" s="12">
        <v>126</v>
      </c>
      <c r="P9" s="12">
        <v>37</v>
      </c>
      <c r="Q9" s="12">
        <v>22</v>
      </c>
      <c r="R9" s="30">
        <v>0</v>
      </c>
      <c r="S9" s="12">
        <v>20</v>
      </c>
      <c r="T9" s="12">
        <v>20</v>
      </c>
      <c r="U9" s="12"/>
      <c r="V9" s="30">
        <v>30</v>
      </c>
      <c r="W9">
        <f t="shared" ref="W9:W12" si="1">SUM(O9:V9)/40</f>
        <v>6.375</v>
      </c>
      <c r="X9" s="44">
        <v>5</v>
      </c>
    </row>
    <row r="10" spans="1:24" x14ac:dyDescent="0.35">
      <c r="A10" s="27"/>
      <c r="B10" s="10" t="s">
        <v>37</v>
      </c>
      <c r="C10" s="12">
        <v>140</v>
      </c>
      <c r="D10" s="12">
        <v>80</v>
      </c>
      <c r="E10" s="12">
        <v>60</v>
      </c>
      <c r="F10" s="12">
        <v>0</v>
      </c>
      <c r="G10" s="12">
        <v>160</v>
      </c>
      <c r="H10" s="12">
        <v>110</v>
      </c>
      <c r="I10" s="12">
        <v>140</v>
      </c>
      <c r="J10" s="30">
        <f t="shared" si="0"/>
        <v>20.5</v>
      </c>
      <c r="K10">
        <f>SUM(C10:F10,G10,H10,I10)/40</f>
        <v>17.25</v>
      </c>
      <c r="L10" s="44">
        <v>9</v>
      </c>
      <c r="M10" s="27"/>
      <c r="N10" s="10" t="str">
        <f>B10</f>
        <v>Zesahn</v>
      </c>
      <c r="O10" s="12">
        <v>90</v>
      </c>
      <c r="P10" s="12">
        <v>60</v>
      </c>
      <c r="Q10" s="12">
        <v>40</v>
      </c>
      <c r="R10" s="30">
        <v>0</v>
      </c>
      <c r="S10" s="12">
        <v>145</v>
      </c>
      <c r="T10" s="12">
        <v>100</v>
      </c>
      <c r="U10" s="12"/>
      <c r="V10" s="30">
        <v>115</v>
      </c>
      <c r="W10">
        <f t="shared" si="1"/>
        <v>13.75</v>
      </c>
      <c r="X10" s="44">
        <v>8</v>
      </c>
    </row>
    <row r="11" spans="1:24" x14ac:dyDescent="0.35">
      <c r="A11" s="11"/>
      <c r="B11" s="11" t="s">
        <v>31</v>
      </c>
      <c r="C11" s="12">
        <v>172</v>
      </c>
      <c r="D11" s="12">
        <v>20</v>
      </c>
      <c r="E11" s="12">
        <v>20</v>
      </c>
      <c r="F11" s="12">
        <v>0</v>
      </c>
      <c r="G11" s="12">
        <v>148</v>
      </c>
      <c r="H11" s="12">
        <v>208</v>
      </c>
      <c r="I11" s="12">
        <v>284</v>
      </c>
      <c r="J11" s="30">
        <f t="shared" si="0"/>
        <v>32</v>
      </c>
      <c r="K11">
        <f>SUM(C11:F11,G11,H11,I11)/40</f>
        <v>21.3</v>
      </c>
      <c r="L11" s="44">
        <v>11</v>
      </c>
      <c r="M11" s="11"/>
      <c r="N11" s="10" t="str">
        <f>B11</f>
        <v>Umair</v>
      </c>
      <c r="O11" s="12">
        <v>132</v>
      </c>
      <c r="P11" s="12">
        <v>20</v>
      </c>
      <c r="Q11" s="12">
        <v>20</v>
      </c>
      <c r="R11" s="30">
        <v>0</v>
      </c>
      <c r="S11" s="12">
        <v>148</v>
      </c>
      <c r="T11" s="12">
        <v>208</v>
      </c>
      <c r="U11" s="12"/>
      <c r="V11" s="30">
        <v>284</v>
      </c>
      <c r="W11">
        <f t="shared" si="1"/>
        <v>20.3</v>
      </c>
      <c r="X11" s="44">
        <v>11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30">
        <f t="shared" si="0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30"/>
      <c r="S12" s="12"/>
      <c r="T12" s="12"/>
      <c r="U12" s="12"/>
      <c r="V12" s="30"/>
      <c r="W12">
        <f t="shared" si="1"/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30">
        <f t="shared" si="0"/>
        <v>0</v>
      </c>
      <c r="M13" s="11"/>
      <c r="N13" s="11"/>
      <c r="O13" s="12"/>
      <c r="P13" s="12"/>
      <c r="Q13" s="12"/>
      <c r="R13" s="30"/>
      <c r="S13" s="12"/>
      <c r="T13" s="12"/>
      <c r="U13" s="12"/>
      <c r="V13" s="30"/>
    </row>
    <row r="14" spans="1:24" x14ac:dyDescent="0.35">
      <c r="A14" s="13"/>
      <c r="B14" s="10" t="s">
        <v>16</v>
      </c>
      <c r="C14" s="14">
        <f t="shared" ref="C14:I14" si="2">SUM(C8:C13)</f>
        <v>517</v>
      </c>
      <c r="D14" s="14">
        <f t="shared" si="2"/>
        <v>179</v>
      </c>
      <c r="E14" s="14">
        <f t="shared" si="2"/>
        <v>124</v>
      </c>
      <c r="F14" s="14">
        <f t="shared" si="2"/>
        <v>0</v>
      </c>
      <c r="G14" s="14">
        <f t="shared" si="2"/>
        <v>344</v>
      </c>
      <c r="H14" s="14">
        <f t="shared" si="2"/>
        <v>354</v>
      </c>
      <c r="I14" s="14">
        <f t="shared" si="2"/>
        <v>470</v>
      </c>
      <c r="J14" s="30">
        <f t="shared" ref="J14" si="3">SUM(G14:I14)/20</f>
        <v>58.4</v>
      </c>
      <c r="K14" s="35">
        <f>C14+D14+E14+F14+G14+H14+I14</f>
        <v>1988</v>
      </c>
      <c r="M14" s="13"/>
      <c r="N14" s="10" t="s">
        <v>16</v>
      </c>
      <c r="O14" s="14">
        <f t="shared" ref="O14:U14" si="4">SUM(O8:O13)</f>
        <v>348</v>
      </c>
      <c r="P14" s="14">
        <f t="shared" si="4"/>
        <v>117</v>
      </c>
      <c r="Q14" s="14">
        <f t="shared" si="4"/>
        <v>82</v>
      </c>
      <c r="R14" s="31"/>
      <c r="S14" s="14">
        <f t="shared" si="4"/>
        <v>313</v>
      </c>
      <c r="T14" s="14">
        <f t="shared" si="4"/>
        <v>328</v>
      </c>
      <c r="U14" s="14">
        <f t="shared" si="4"/>
        <v>0</v>
      </c>
      <c r="V14" s="30"/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8.9499999999999993</v>
      </c>
      <c r="E15" s="13">
        <f t="shared" ref="E15:I15" si="5">E14/20</f>
        <v>6.2</v>
      </c>
      <c r="F15" s="13">
        <f t="shared" si="5"/>
        <v>0</v>
      </c>
      <c r="G15" s="13">
        <f t="shared" si="5"/>
        <v>17.2</v>
      </c>
      <c r="H15" s="13">
        <f t="shared" si="5"/>
        <v>17.7</v>
      </c>
      <c r="I15" s="13">
        <f t="shared" si="5"/>
        <v>23.5</v>
      </c>
      <c r="J15" s="13"/>
      <c r="M15" s="13"/>
      <c r="N15" s="10" t="s">
        <v>22</v>
      </c>
      <c r="O15" s="13"/>
      <c r="P15" s="13">
        <f>P14/20</f>
        <v>5.85</v>
      </c>
      <c r="Q15" s="13">
        <f t="shared" ref="Q15" si="6">Q14/20</f>
        <v>4.0999999999999996</v>
      </c>
      <c r="R15" s="13"/>
      <c r="S15" s="13">
        <f t="shared" ref="S15:U15" si="7">S14/20</f>
        <v>15.65</v>
      </c>
      <c r="T15" s="13">
        <f t="shared" si="7"/>
        <v>16.399999999999999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517</v>
      </c>
      <c r="D16" s="36">
        <f t="shared" ref="D16:I16" si="8">D15+D14</f>
        <v>187.95</v>
      </c>
      <c r="E16" s="36">
        <f t="shared" si="8"/>
        <v>130.19999999999999</v>
      </c>
      <c r="F16" s="36">
        <f t="shared" si="8"/>
        <v>0</v>
      </c>
      <c r="G16" s="36">
        <f t="shared" si="8"/>
        <v>361.2</v>
      </c>
      <c r="H16" s="36">
        <f t="shared" si="8"/>
        <v>371.7</v>
      </c>
      <c r="I16" s="36">
        <f t="shared" si="8"/>
        <v>493.5</v>
      </c>
      <c r="J16" s="36"/>
      <c r="M16" s="13"/>
      <c r="N16" s="10" t="s">
        <v>21</v>
      </c>
      <c r="O16" s="36">
        <f>O15+O14</f>
        <v>348</v>
      </c>
      <c r="P16" s="36">
        <f t="shared" ref="P16:Q16" si="9">P15+P14</f>
        <v>122.85</v>
      </c>
      <c r="Q16" s="36">
        <f t="shared" si="9"/>
        <v>86.1</v>
      </c>
      <c r="R16" s="36"/>
      <c r="S16" s="36">
        <f t="shared" ref="S16:U16" si="10">S15+S14</f>
        <v>328.65</v>
      </c>
      <c r="T16" s="36">
        <f t="shared" si="10"/>
        <v>344.4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12.925000000000001</v>
      </c>
      <c r="D17" s="36">
        <f t="shared" ref="D17:I17" si="11">D14/40</f>
        <v>4.4749999999999996</v>
      </c>
      <c r="E17" s="36">
        <f t="shared" si="11"/>
        <v>3.1</v>
      </c>
      <c r="F17" s="36">
        <f t="shared" si="11"/>
        <v>0</v>
      </c>
      <c r="G17" s="36">
        <f t="shared" si="11"/>
        <v>8.6</v>
      </c>
      <c r="H17" s="36">
        <f t="shared" si="11"/>
        <v>8.85</v>
      </c>
      <c r="I17" s="36">
        <f t="shared" si="11"/>
        <v>11.75</v>
      </c>
      <c r="J17" s="36"/>
      <c r="K17" s="35">
        <f>SUM(C17:I17)</f>
        <v>49.7</v>
      </c>
      <c r="M17" s="13"/>
      <c r="N17" s="39" t="s">
        <v>23</v>
      </c>
      <c r="O17" s="36">
        <f>O14/40</f>
        <v>8.6999999999999993</v>
      </c>
      <c r="P17" s="36">
        <f t="shared" ref="P17:Q17" si="12">P14/40</f>
        <v>2.9249999999999998</v>
      </c>
      <c r="Q17" s="36">
        <f t="shared" si="12"/>
        <v>2.0499999999999998</v>
      </c>
      <c r="R17" s="36"/>
      <c r="S17" s="36">
        <f t="shared" ref="S17:U17" si="13">S14/40</f>
        <v>7.8250000000000002</v>
      </c>
      <c r="T17" s="36">
        <f t="shared" si="13"/>
        <v>8.1999999999999993</v>
      </c>
      <c r="U17" s="36">
        <f t="shared" si="13"/>
        <v>0</v>
      </c>
      <c r="V17" s="36"/>
      <c r="W17" s="35">
        <f>SUM(O17:U17)</f>
        <v>29.7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W19"/>
  <sheetViews>
    <sheetView zoomScaleNormal="100" workbookViewId="0">
      <selection activeCell="S19" sqref="S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3" t="s">
        <v>3</v>
      </c>
      <c r="S6" s="74"/>
      <c r="T6" s="74"/>
      <c r="U6" s="74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39</v>
      </c>
      <c r="W7" s="59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>B8</f>
        <v>Furqan</v>
      </c>
      <c r="N8" s="12"/>
      <c r="O8" s="12"/>
      <c r="P8" s="12"/>
      <c r="Q8" s="28"/>
      <c r="R8" s="12"/>
      <c r="S8" s="12"/>
      <c r="T8" s="12"/>
    </row>
    <row r="9" spans="1:23" x14ac:dyDescent="0.35">
      <c r="A9" s="27"/>
      <c r="B9" s="10" t="s">
        <v>14</v>
      </c>
      <c r="C9" s="12">
        <v>72</v>
      </c>
      <c r="D9" s="12">
        <v>104</v>
      </c>
      <c r="E9" s="12">
        <v>30</v>
      </c>
      <c r="F9" s="12">
        <v>0</v>
      </c>
      <c r="G9" s="12">
        <v>58</v>
      </c>
      <c r="H9" s="12">
        <v>34</v>
      </c>
      <c r="I9" s="12">
        <v>50</v>
      </c>
      <c r="J9">
        <f>SUM(C9:F9,G9,H9,I9)/40</f>
        <v>8.6999999999999993</v>
      </c>
      <c r="K9" s="44">
        <v>9</v>
      </c>
      <c r="L9" s="27"/>
      <c r="M9" s="10" t="str">
        <f>B9</f>
        <v>Salman</v>
      </c>
      <c r="N9" s="12">
        <v>42</v>
      </c>
      <c r="O9" s="12">
        <v>54</v>
      </c>
      <c r="P9" s="12">
        <v>20</v>
      </c>
      <c r="Q9" s="28">
        <v>0</v>
      </c>
      <c r="R9" s="12">
        <v>58</v>
      </c>
      <c r="S9" s="12">
        <v>34</v>
      </c>
      <c r="T9" s="12"/>
      <c r="U9" s="59">
        <v>50</v>
      </c>
      <c r="V9">
        <f>SUM(N9:U9)/40</f>
        <v>6.45</v>
      </c>
      <c r="W9" s="44">
        <v>7</v>
      </c>
    </row>
    <row r="10" spans="1:23" x14ac:dyDescent="0.35">
      <c r="A10" s="27"/>
      <c r="B10" s="10" t="s">
        <v>37</v>
      </c>
      <c r="C10" s="12"/>
      <c r="D10" s="12">
        <v>0</v>
      </c>
      <c r="E10" s="12">
        <v>0</v>
      </c>
      <c r="F10" s="12">
        <v>0</v>
      </c>
      <c r="G10" s="12">
        <v>40</v>
      </c>
      <c r="H10" s="12"/>
      <c r="I10" s="12"/>
      <c r="J10">
        <f>SUM(C10:F10,G10,H10,I10)/40</f>
        <v>1</v>
      </c>
      <c r="K10" s="44">
        <v>1</v>
      </c>
      <c r="L10" s="27"/>
      <c r="M10" s="10" t="str">
        <f>B10</f>
        <v>Zesahn</v>
      </c>
      <c r="N10" s="12"/>
      <c r="O10" s="12"/>
      <c r="P10" s="12"/>
      <c r="Q10" s="28"/>
      <c r="R10" s="12"/>
      <c r="S10" s="12"/>
      <c r="T10" s="12"/>
      <c r="V10">
        <f t="shared" ref="V10:V13" si="0">SUM(N10:U10)/40</f>
        <v>0</v>
      </c>
    </row>
    <row r="11" spans="1:23" x14ac:dyDescent="0.35">
      <c r="A11" s="11"/>
      <c r="B11" s="11" t="s">
        <v>31</v>
      </c>
      <c r="C11" s="12">
        <v>210</v>
      </c>
      <c r="D11" s="12">
        <v>40</v>
      </c>
      <c r="E11" s="12">
        <v>40</v>
      </c>
      <c r="F11" s="12"/>
      <c r="G11" s="12">
        <v>54</v>
      </c>
      <c r="H11" s="12">
        <v>62</v>
      </c>
      <c r="I11" s="12">
        <v>62</v>
      </c>
      <c r="J11">
        <f>SUM(C11:F11,G11,H11,I11)/40</f>
        <v>11.7</v>
      </c>
      <c r="K11" s="44">
        <v>9</v>
      </c>
      <c r="L11" s="11"/>
      <c r="M11" s="10" t="str">
        <f>B11</f>
        <v>Umair</v>
      </c>
      <c r="N11" s="12">
        <v>198</v>
      </c>
      <c r="O11" s="12">
        <v>40</v>
      </c>
      <c r="P11" s="12">
        <v>40</v>
      </c>
      <c r="Q11" s="28">
        <v>0</v>
      </c>
      <c r="R11" s="12">
        <v>52</v>
      </c>
      <c r="S11" s="12">
        <v>60</v>
      </c>
      <c r="T11" s="12"/>
      <c r="U11" s="59">
        <v>60</v>
      </c>
      <c r="V11">
        <f t="shared" si="0"/>
        <v>11.25</v>
      </c>
      <c r="W11" s="44">
        <v>8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V12">
        <f t="shared" si="0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V13">
        <f t="shared" si="0"/>
        <v>0</v>
      </c>
    </row>
    <row r="14" spans="1:23" x14ac:dyDescent="0.35">
      <c r="A14" s="13"/>
      <c r="B14" s="10"/>
      <c r="C14" s="14">
        <f t="shared" ref="C14:I14" si="1">SUM(C8:C13)</f>
        <v>282</v>
      </c>
      <c r="D14" s="14">
        <f t="shared" si="1"/>
        <v>144</v>
      </c>
      <c r="E14" s="14">
        <f t="shared" si="1"/>
        <v>70</v>
      </c>
      <c r="F14" s="14">
        <f t="shared" si="1"/>
        <v>0</v>
      </c>
      <c r="G14" s="14">
        <f t="shared" si="1"/>
        <v>152</v>
      </c>
      <c r="H14" s="14">
        <f t="shared" si="1"/>
        <v>96</v>
      </c>
      <c r="I14" s="14">
        <f t="shared" si="1"/>
        <v>112</v>
      </c>
      <c r="J14" s="35">
        <f>C14+D14+E14+F14+G14+H14+I14</f>
        <v>856</v>
      </c>
      <c r="L14" s="13"/>
      <c r="M14" s="10"/>
      <c r="N14" s="14">
        <f t="shared" ref="N14:T14" si="2">SUM(N8:N13)</f>
        <v>240</v>
      </c>
      <c r="O14" s="14">
        <f t="shared" si="2"/>
        <v>94</v>
      </c>
      <c r="P14" s="14">
        <f t="shared" si="2"/>
        <v>60</v>
      </c>
      <c r="Q14" s="14">
        <f t="shared" si="2"/>
        <v>0</v>
      </c>
      <c r="R14" s="14">
        <f t="shared" si="2"/>
        <v>110</v>
      </c>
      <c r="S14" s="14">
        <f t="shared" si="2"/>
        <v>94</v>
      </c>
      <c r="T14" s="14">
        <f t="shared" si="2"/>
        <v>0</v>
      </c>
      <c r="U14" s="35"/>
    </row>
    <row r="15" spans="1:23" x14ac:dyDescent="0.35">
      <c r="A15" s="13"/>
      <c r="B15" s="10" t="s">
        <v>22</v>
      </c>
      <c r="C15" s="13"/>
      <c r="D15" s="13">
        <f>D14/20</f>
        <v>7.2</v>
      </c>
      <c r="E15" s="13">
        <f t="shared" ref="E15:I15" si="3">E14/20</f>
        <v>3.5</v>
      </c>
      <c r="F15" s="13">
        <f t="shared" si="3"/>
        <v>0</v>
      </c>
      <c r="G15" s="13">
        <f t="shared" si="3"/>
        <v>7.6</v>
      </c>
      <c r="H15" s="13">
        <f t="shared" si="3"/>
        <v>4.8</v>
      </c>
      <c r="I15" s="13">
        <f t="shared" si="3"/>
        <v>5.6</v>
      </c>
      <c r="L15" s="13"/>
      <c r="M15" s="10" t="s">
        <v>22</v>
      </c>
      <c r="N15" s="13"/>
      <c r="O15" s="13">
        <f>O14/20</f>
        <v>4.7</v>
      </c>
      <c r="P15" s="13">
        <f t="shared" ref="P15" si="4">P14/20</f>
        <v>3</v>
      </c>
      <c r="Q15" s="13"/>
      <c r="R15" s="13">
        <f t="shared" ref="R15:T15" si="5">R14/20</f>
        <v>5.5</v>
      </c>
      <c r="S15" s="13">
        <f t="shared" si="5"/>
        <v>4.7</v>
      </c>
      <c r="T15" s="13">
        <f t="shared" si="5"/>
        <v>0</v>
      </c>
    </row>
    <row r="16" spans="1:23" x14ac:dyDescent="0.35">
      <c r="A16" s="13"/>
      <c r="B16" s="10" t="s">
        <v>21</v>
      </c>
      <c r="C16" s="36">
        <f>C15+C14</f>
        <v>282</v>
      </c>
      <c r="D16" s="36">
        <f t="shared" ref="D16:I16" si="6">D15+D14</f>
        <v>151.19999999999999</v>
      </c>
      <c r="E16" s="36">
        <f t="shared" si="6"/>
        <v>73.5</v>
      </c>
      <c r="F16" s="36">
        <f t="shared" si="6"/>
        <v>0</v>
      </c>
      <c r="G16" s="36">
        <f t="shared" si="6"/>
        <v>159.6</v>
      </c>
      <c r="H16" s="36">
        <f t="shared" si="6"/>
        <v>100.8</v>
      </c>
      <c r="I16" s="36">
        <f t="shared" si="6"/>
        <v>117.6</v>
      </c>
      <c r="L16" s="13"/>
      <c r="M16" s="10" t="s">
        <v>21</v>
      </c>
      <c r="N16" s="36">
        <f>N15+N14</f>
        <v>240</v>
      </c>
      <c r="O16" s="36">
        <f t="shared" ref="O16:P16" si="7">O15+O14</f>
        <v>98.7</v>
      </c>
      <c r="P16" s="36">
        <f t="shared" si="7"/>
        <v>63</v>
      </c>
      <c r="Q16" s="36"/>
      <c r="R16" s="36">
        <f t="shared" ref="R16:T16" si="8">R15+R14</f>
        <v>115.5</v>
      </c>
      <c r="S16" s="36">
        <f t="shared" si="8"/>
        <v>98.7</v>
      </c>
      <c r="T16" s="36">
        <f t="shared" si="8"/>
        <v>0</v>
      </c>
    </row>
    <row r="17" spans="1:21" x14ac:dyDescent="0.35">
      <c r="A17" s="13"/>
      <c r="B17" s="39" t="s">
        <v>23</v>
      </c>
      <c r="C17" s="36">
        <f>C14/40</f>
        <v>7.05</v>
      </c>
      <c r="D17" s="36">
        <f t="shared" ref="D17:I17" si="9">D14/40</f>
        <v>3.6</v>
      </c>
      <c r="E17" s="36">
        <f t="shared" si="9"/>
        <v>1.75</v>
      </c>
      <c r="F17" s="36">
        <f t="shared" si="9"/>
        <v>0</v>
      </c>
      <c r="G17" s="36">
        <f t="shared" si="9"/>
        <v>3.8</v>
      </c>
      <c r="H17" s="36">
        <f t="shared" si="9"/>
        <v>2.4</v>
      </c>
      <c r="I17" s="36">
        <f t="shared" si="9"/>
        <v>2.8</v>
      </c>
      <c r="J17" s="35">
        <f>SUM(C17:I17)</f>
        <v>21.4</v>
      </c>
      <c r="L17" s="13"/>
      <c r="M17" s="39" t="s">
        <v>23</v>
      </c>
      <c r="N17" s="36">
        <f>N14/40</f>
        <v>6</v>
      </c>
      <c r="O17" s="36">
        <f t="shared" ref="O17:P17" si="10">O14/40</f>
        <v>2.35</v>
      </c>
      <c r="P17" s="36">
        <f t="shared" si="10"/>
        <v>1.5</v>
      </c>
      <c r="Q17" s="36"/>
      <c r="R17" s="36">
        <f t="shared" ref="R17:T17" si="11">R14/40</f>
        <v>2.75</v>
      </c>
      <c r="S17" s="36">
        <f t="shared" si="11"/>
        <v>2.35</v>
      </c>
      <c r="T17" s="36">
        <f t="shared" si="11"/>
        <v>0</v>
      </c>
      <c r="U17" s="35">
        <f>SUM(N17:T17)</f>
        <v>14.95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Y20"/>
  <sheetViews>
    <sheetView zoomScaleNormal="100" workbookViewId="0">
      <selection activeCell="AA12" sqref="AA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27</v>
      </c>
      <c r="W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28"/>
      <c r="R8" s="12"/>
      <c r="S8" s="12"/>
      <c r="T8" s="12"/>
      <c r="U8" s="28"/>
      <c r="V8">
        <f>SUM(N8:P8,R8,S8,T8)/40</f>
        <v>0</v>
      </c>
    </row>
    <row r="9" spans="1:24" x14ac:dyDescent="0.35">
      <c r="A9" s="27"/>
      <c r="B9" s="10" t="s">
        <v>14</v>
      </c>
      <c r="C9" s="12">
        <v>153</v>
      </c>
      <c r="D9" s="12">
        <v>85</v>
      </c>
      <c r="E9" s="12">
        <v>85</v>
      </c>
      <c r="F9" s="12">
        <v>0</v>
      </c>
      <c r="G9" s="12">
        <v>168</v>
      </c>
      <c r="H9" s="12">
        <v>108</v>
      </c>
      <c r="I9" s="12">
        <v>246</v>
      </c>
      <c r="J9">
        <f>SUM(C9:F9,G9,H9,I9)/40</f>
        <v>21.125</v>
      </c>
      <c r="K9" s="44">
        <v>18</v>
      </c>
      <c r="L9" s="27"/>
      <c r="M9" s="10" t="str">
        <f t="shared" si="0"/>
        <v>Salman</v>
      </c>
      <c r="N9" s="12">
        <v>124</v>
      </c>
      <c r="O9" s="12">
        <v>82</v>
      </c>
      <c r="P9" s="12">
        <v>82</v>
      </c>
      <c r="Q9" s="28">
        <v>0</v>
      </c>
      <c r="R9" s="12">
        <v>138</v>
      </c>
      <c r="S9" s="12">
        <v>83</v>
      </c>
      <c r="T9" s="12"/>
      <c r="U9" s="28">
        <v>190</v>
      </c>
      <c r="V9">
        <f>SUM(N9:U9)/40</f>
        <v>17.475000000000001</v>
      </c>
      <c r="W9" s="44">
        <v>14</v>
      </c>
    </row>
    <row r="10" spans="1:24" x14ac:dyDescent="0.35">
      <c r="A10" s="27"/>
      <c r="B10" s="10" t="s">
        <v>37</v>
      </c>
      <c r="C10" s="12">
        <v>100</v>
      </c>
      <c r="D10" s="12">
        <v>40</v>
      </c>
      <c r="E10" s="12">
        <v>40</v>
      </c>
      <c r="F10" s="12">
        <v>0</v>
      </c>
      <c r="G10" s="12">
        <v>99</v>
      </c>
      <c r="H10" s="12">
        <v>54</v>
      </c>
      <c r="I10" s="12">
        <v>181</v>
      </c>
      <c r="J10">
        <f>SUM(C10:F10,G10,H10,I10)/40</f>
        <v>12.85</v>
      </c>
      <c r="K10" s="44">
        <v>11</v>
      </c>
      <c r="L10" s="27"/>
      <c r="M10" s="10" t="str">
        <f t="shared" si="0"/>
        <v>Zesahn</v>
      </c>
      <c r="N10" s="12">
        <v>100</v>
      </c>
      <c r="O10" s="12">
        <v>40</v>
      </c>
      <c r="P10" s="12">
        <v>40</v>
      </c>
      <c r="Q10" s="28">
        <v>0</v>
      </c>
      <c r="R10" s="12">
        <v>19</v>
      </c>
      <c r="S10" s="12">
        <v>14</v>
      </c>
      <c r="T10" s="12"/>
      <c r="U10" s="28">
        <v>61</v>
      </c>
      <c r="V10">
        <f t="shared" ref="V10:V12" si="1">SUM(N10:U10)/40</f>
        <v>6.85</v>
      </c>
      <c r="W10" s="44">
        <v>11</v>
      </c>
    </row>
    <row r="11" spans="1:24" x14ac:dyDescent="0.35">
      <c r="A11" s="11"/>
      <c r="B11" s="11" t="s">
        <v>31</v>
      </c>
      <c r="C11" s="12">
        <v>192</v>
      </c>
      <c r="D11" s="12">
        <v>102</v>
      </c>
      <c r="E11" s="12">
        <v>102</v>
      </c>
      <c r="F11" s="12"/>
      <c r="G11" s="12">
        <v>38</v>
      </c>
      <c r="H11" s="12">
        <v>88</v>
      </c>
      <c r="I11" s="12">
        <v>82</v>
      </c>
      <c r="J11">
        <f>SUM(C11:F11,G11,H11,I11)/40</f>
        <v>15.1</v>
      </c>
      <c r="K11" s="44">
        <v>8</v>
      </c>
      <c r="L11" s="11"/>
      <c r="M11" s="10" t="str">
        <f t="shared" si="0"/>
        <v>Umair</v>
      </c>
      <c r="N11" s="12">
        <v>140</v>
      </c>
      <c r="O11" s="12">
        <v>102</v>
      </c>
      <c r="P11" s="12">
        <v>102</v>
      </c>
      <c r="Q11" s="28">
        <v>0</v>
      </c>
      <c r="R11" s="12">
        <v>32</v>
      </c>
      <c r="S11" s="12">
        <v>82</v>
      </c>
      <c r="T11" s="12"/>
      <c r="U11" s="28">
        <v>82</v>
      </c>
      <c r="V11">
        <f t="shared" si="1"/>
        <v>13.5</v>
      </c>
      <c r="W11" s="44">
        <v>7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 t="shared" si="0"/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4" x14ac:dyDescent="0.35">
      <c r="A13" s="11"/>
      <c r="B13" s="11" t="s">
        <v>32</v>
      </c>
      <c r="C13" s="12"/>
      <c r="D13" s="12"/>
      <c r="E13" s="12"/>
      <c r="F13" s="12"/>
      <c r="G13" s="12"/>
      <c r="H13" s="12"/>
      <c r="I13" s="12"/>
      <c r="J13">
        <v>95</v>
      </c>
      <c r="K13" s="41">
        <v>7</v>
      </c>
      <c r="L13" s="11"/>
      <c r="M13" s="11" t="str">
        <f t="shared" si="0"/>
        <v xml:space="preserve">Shakoor </v>
      </c>
      <c r="N13" s="12"/>
      <c r="O13" s="12"/>
      <c r="P13" s="12"/>
      <c r="Q13" s="28"/>
      <c r="R13" s="12"/>
      <c r="S13" s="12"/>
      <c r="T13" s="12"/>
      <c r="U13" s="28"/>
      <c r="V13">
        <v>74</v>
      </c>
      <c r="W13" s="41">
        <v>5</v>
      </c>
    </row>
    <row r="14" spans="1:24" x14ac:dyDescent="0.35">
      <c r="A14" s="13"/>
      <c r="B14" s="10"/>
      <c r="C14" s="14">
        <f t="shared" ref="C14:I14" si="2">SUM(C8:C13)</f>
        <v>445</v>
      </c>
      <c r="D14" s="14">
        <f t="shared" si="2"/>
        <v>227</v>
      </c>
      <c r="E14" s="14">
        <f t="shared" si="2"/>
        <v>227</v>
      </c>
      <c r="F14" s="14">
        <f t="shared" si="2"/>
        <v>0</v>
      </c>
      <c r="G14" s="14">
        <f t="shared" si="2"/>
        <v>305</v>
      </c>
      <c r="H14" s="14">
        <f t="shared" si="2"/>
        <v>250</v>
      </c>
      <c r="I14" s="14">
        <f t="shared" si="2"/>
        <v>509</v>
      </c>
      <c r="J14" s="35">
        <f>C14+D14+E14+F14+G14+H14+I14</f>
        <v>1963</v>
      </c>
      <c r="L14" s="13"/>
      <c r="M14" s="10"/>
      <c r="N14" s="14">
        <f t="shared" ref="N14:T14" si="3">SUM(N8:N13)</f>
        <v>364</v>
      </c>
      <c r="O14" s="14">
        <f t="shared" si="3"/>
        <v>224</v>
      </c>
      <c r="P14" s="14">
        <f t="shared" si="3"/>
        <v>224</v>
      </c>
      <c r="Q14" s="14">
        <f t="shared" si="3"/>
        <v>0</v>
      </c>
      <c r="R14" s="14">
        <f t="shared" si="3"/>
        <v>189</v>
      </c>
      <c r="S14" s="14">
        <f t="shared" si="3"/>
        <v>179</v>
      </c>
      <c r="T14" s="14">
        <f t="shared" si="3"/>
        <v>0</v>
      </c>
      <c r="U14" s="14"/>
      <c r="V14" s="35" t="e">
        <f>N14+O14+P14+#REF!+R14+S14+T14</f>
        <v>#REF!</v>
      </c>
      <c r="X14">
        <v>42</v>
      </c>
    </row>
    <row r="15" spans="1:24" x14ac:dyDescent="0.35">
      <c r="A15" s="13"/>
      <c r="B15" s="10" t="s">
        <v>22</v>
      </c>
      <c r="C15" s="13"/>
      <c r="D15" s="13">
        <f>D14/20</f>
        <v>11.35</v>
      </c>
      <c r="E15" s="13">
        <f t="shared" ref="E15:I15" si="4">E14/20</f>
        <v>11.35</v>
      </c>
      <c r="F15" s="13">
        <f t="shared" si="4"/>
        <v>0</v>
      </c>
      <c r="G15" s="13">
        <f t="shared" si="4"/>
        <v>15.25</v>
      </c>
      <c r="H15" s="13">
        <f t="shared" si="4"/>
        <v>12.5</v>
      </c>
      <c r="I15" s="13">
        <f t="shared" si="4"/>
        <v>25.45</v>
      </c>
      <c r="L15" s="13"/>
      <c r="M15" s="10" t="s">
        <v>22</v>
      </c>
      <c r="N15" s="13"/>
      <c r="O15" s="13">
        <f>O14/20</f>
        <v>11.2</v>
      </c>
      <c r="P15" s="13">
        <f t="shared" ref="P15" si="5">P14/20</f>
        <v>11.2</v>
      </c>
      <c r="Q15" s="13"/>
      <c r="R15" s="13">
        <f t="shared" ref="R15:T15" si="6">R14/20</f>
        <v>9.4499999999999993</v>
      </c>
      <c r="S15" s="13">
        <f t="shared" si="6"/>
        <v>8.9499999999999993</v>
      </c>
      <c r="T15" s="13">
        <f t="shared" si="6"/>
        <v>0</v>
      </c>
      <c r="U15" s="13"/>
      <c r="X15">
        <v>126</v>
      </c>
    </row>
    <row r="16" spans="1:24" x14ac:dyDescent="0.35">
      <c r="A16" s="13"/>
      <c r="B16" s="10" t="s">
        <v>21</v>
      </c>
      <c r="C16" s="36">
        <f>C15+C14</f>
        <v>445</v>
      </c>
      <c r="D16" s="36">
        <f t="shared" ref="D16:I16" si="7">D15+D14</f>
        <v>238.35</v>
      </c>
      <c r="E16" s="36">
        <f t="shared" si="7"/>
        <v>238.35</v>
      </c>
      <c r="F16" s="36">
        <f t="shared" si="7"/>
        <v>0</v>
      </c>
      <c r="G16" s="36">
        <f t="shared" si="7"/>
        <v>320.25</v>
      </c>
      <c r="H16" s="36">
        <f t="shared" si="7"/>
        <v>262.5</v>
      </c>
      <c r="I16" s="36">
        <f t="shared" si="7"/>
        <v>534.45000000000005</v>
      </c>
      <c r="L16" s="13"/>
      <c r="M16" s="10" t="s">
        <v>21</v>
      </c>
      <c r="N16" s="36">
        <f>N15+N14</f>
        <v>364</v>
      </c>
      <c r="O16" s="36">
        <f t="shared" ref="O16:P16" si="8">O15+O14</f>
        <v>235.2</v>
      </c>
      <c r="P16" s="36">
        <f t="shared" si="8"/>
        <v>235.2</v>
      </c>
      <c r="Q16" s="36"/>
      <c r="R16" s="36">
        <f t="shared" ref="R16:T16" si="9">R15+R14</f>
        <v>198.45</v>
      </c>
      <c r="S16" s="36">
        <f t="shared" si="9"/>
        <v>187.95</v>
      </c>
      <c r="T16" s="36">
        <f t="shared" si="9"/>
        <v>0</v>
      </c>
      <c r="U16" s="36"/>
      <c r="X16">
        <v>42</v>
      </c>
    </row>
    <row r="17" spans="1:25" x14ac:dyDescent="0.35">
      <c r="A17" s="13"/>
      <c r="B17" s="39" t="s">
        <v>23</v>
      </c>
      <c r="C17" s="36">
        <f>C14/40</f>
        <v>11.125</v>
      </c>
      <c r="D17" s="36">
        <f t="shared" ref="D17:I17" si="10">D14/40</f>
        <v>5.6749999999999998</v>
      </c>
      <c r="E17" s="36">
        <f t="shared" si="10"/>
        <v>5.6749999999999998</v>
      </c>
      <c r="F17" s="36">
        <f t="shared" si="10"/>
        <v>0</v>
      </c>
      <c r="G17" s="36">
        <f t="shared" si="10"/>
        <v>7.625</v>
      </c>
      <c r="H17" s="36">
        <f t="shared" si="10"/>
        <v>6.25</v>
      </c>
      <c r="I17" s="36">
        <f t="shared" si="10"/>
        <v>12.725</v>
      </c>
      <c r="J17" s="35">
        <f>SUM(C17:I17)</f>
        <v>49.075000000000003</v>
      </c>
      <c r="L17" s="13"/>
      <c r="M17" s="39" t="s">
        <v>23</v>
      </c>
      <c r="N17" s="36">
        <f>N14/40</f>
        <v>9.1</v>
      </c>
      <c r="O17" s="36">
        <f t="shared" ref="O17:P17" si="11">O14/40</f>
        <v>5.6</v>
      </c>
      <c r="P17" s="36">
        <f t="shared" si="11"/>
        <v>5.6</v>
      </c>
      <c r="Q17" s="36"/>
      <c r="R17" s="36">
        <f t="shared" ref="R17:T17" si="12">R14/40</f>
        <v>4.7249999999999996</v>
      </c>
      <c r="S17" s="36">
        <f t="shared" si="12"/>
        <v>4.4749999999999996</v>
      </c>
      <c r="T17" s="36">
        <f t="shared" si="12"/>
        <v>0</v>
      </c>
      <c r="U17" s="36"/>
      <c r="V17" s="35">
        <f>SUM(N17:T17)</f>
        <v>29.5</v>
      </c>
      <c r="X17">
        <f>400*5</f>
        <v>2000</v>
      </c>
    </row>
    <row r="18" spans="1:25" x14ac:dyDescent="0.35">
      <c r="C18" s="32"/>
      <c r="X18">
        <f>Y18*40</f>
        <v>1600</v>
      </c>
      <c r="Y18">
        <v>40</v>
      </c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X19">
        <f>SUM(X14:X18)</f>
        <v>3810</v>
      </c>
    </row>
    <row r="20" spans="1:25" x14ac:dyDescent="0.35">
      <c r="X20">
        <f>X19/40</f>
        <v>95.25</v>
      </c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L1" t="s">
        <v>20</v>
      </c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 t="s">
        <v>16</v>
      </c>
      <c r="C14" s="33">
        <f t="shared" ref="C14:J14" si="3">SUM(C8:C13)</f>
        <v>0</v>
      </c>
      <c r="D14" s="33">
        <f t="shared" si="3"/>
        <v>0</v>
      </c>
      <c r="E14" s="33">
        <f t="shared" si="3"/>
        <v>0</v>
      </c>
      <c r="F14" s="33">
        <f t="shared" si="3"/>
        <v>0</v>
      </c>
      <c r="G14" s="33">
        <f t="shared" si="3"/>
        <v>0</v>
      </c>
      <c r="H14" s="33">
        <f t="shared" si="3"/>
        <v>0</v>
      </c>
      <c r="I14" s="33">
        <f t="shared" si="3"/>
        <v>0</v>
      </c>
      <c r="J14" s="33">
        <f t="shared" si="3"/>
        <v>0</v>
      </c>
      <c r="K14" s="34">
        <f>C14+D14+E14+F14+G14+H14+I14</f>
        <v>0</v>
      </c>
      <c r="M14" s="13"/>
      <c r="N14" s="10" t="s">
        <v>16</v>
      </c>
      <c r="O14" s="33">
        <f t="shared" ref="O14:V14" si="4">SUM(O8:O13)</f>
        <v>0</v>
      </c>
      <c r="P14" s="33">
        <f t="shared" si="4"/>
        <v>0</v>
      </c>
      <c r="Q14" s="33">
        <f t="shared" si="4"/>
        <v>0</v>
      </c>
      <c r="R14" s="33">
        <f t="shared" si="4"/>
        <v>0</v>
      </c>
      <c r="S14" s="33">
        <f t="shared" si="4"/>
        <v>0</v>
      </c>
      <c r="T14" s="33">
        <f t="shared" si="4"/>
        <v>0</v>
      </c>
      <c r="U14" s="33">
        <f t="shared" si="4"/>
        <v>0</v>
      </c>
      <c r="V14" s="33">
        <f t="shared" si="4"/>
        <v>0</v>
      </c>
      <c r="W14" s="34" t="e">
        <f>O14+P14+Q14+#REF!+S14+T14+U14</f>
        <v>#REF!</v>
      </c>
    </row>
    <row r="15" spans="1:24" x14ac:dyDescent="0.35">
      <c r="A15" s="13"/>
      <c r="B15" s="10" t="s">
        <v>22</v>
      </c>
      <c r="C15" s="30"/>
      <c r="D15" s="30">
        <f>D14/20</f>
        <v>0</v>
      </c>
      <c r="E15" s="30">
        <f t="shared" ref="E15:I15" si="5">E14/20</f>
        <v>0</v>
      </c>
      <c r="F15" s="30">
        <f t="shared" si="5"/>
        <v>0</v>
      </c>
      <c r="G15" s="30">
        <f t="shared" si="5"/>
        <v>0</v>
      </c>
      <c r="H15" s="30">
        <f t="shared" si="5"/>
        <v>0</v>
      </c>
      <c r="I15" s="30">
        <f t="shared" si="5"/>
        <v>0</v>
      </c>
      <c r="J15" s="30"/>
      <c r="M15" s="13"/>
      <c r="N15" s="10" t="s">
        <v>22</v>
      </c>
      <c r="O15" s="30"/>
      <c r="P15" s="30">
        <f>P14/20</f>
        <v>0</v>
      </c>
      <c r="Q15" s="30">
        <f t="shared" ref="Q15" si="6">Q14/20</f>
        <v>0</v>
      </c>
      <c r="R15" s="30"/>
      <c r="S15" s="30">
        <f t="shared" ref="S15:U15" si="7">S14/20</f>
        <v>0</v>
      </c>
      <c r="T15" s="30">
        <f t="shared" si="7"/>
        <v>0</v>
      </c>
      <c r="U15" s="30">
        <f t="shared" si="7"/>
        <v>0</v>
      </c>
      <c r="V15" s="30"/>
    </row>
    <row r="16" spans="1:24" x14ac:dyDescent="0.35">
      <c r="A16" s="13"/>
      <c r="B16" s="10" t="s">
        <v>21</v>
      </c>
      <c r="C16" s="38">
        <f>C15+C14</f>
        <v>0</v>
      </c>
      <c r="D16" s="38">
        <f t="shared" ref="D16:I16" si="8">D15+D14</f>
        <v>0</v>
      </c>
      <c r="E16" s="38">
        <f t="shared" si="8"/>
        <v>0</v>
      </c>
      <c r="F16" s="38">
        <f t="shared" si="8"/>
        <v>0</v>
      </c>
      <c r="G16" s="38">
        <f t="shared" si="8"/>
        <v>0</v>
      </c>
      <c r="H16" s="38">
        <f t="shared" si="8"/>
        <v>0</v>
      </c>
      <c r="I16" s="38">
        <f t="shared" si="8"/>
        <v>0</v>
      </c>
      <c r="J16" s="38"/>
      <c r="M16" s="13"/>
      <c r="N16" s="10" t="s">
        <v>21</v>
      </c>
      <c r="O16" s="38">
        <f>O15+O14</f>
        <v>0</v>
      </c>
      <c r="P16" s="38">
        <f t="shared" ref="P16:Q16" si="9">P15+P14</f>
        <v>0</v>
      </c>
      <c r="Q16" s="38">
        <f t="shared" si="9"/>
        <v>0</v>
      </c>
      <c r="R16" s="38"/>
      <c r="S16" s="38">
        <f t="shared" ref="S16:U16" si="10">S15+S14</f>
        <v>0</v>
      </c>
      <c r="T16" s="38">
        <f t="shared" si="10"/>
        <v>0</v>
      </c>
      <c r="U16" s="38">
        <f t="shared" si="10"/>
        <v>0</v>
      </c>
      <c r="V16" s="38"/>
    </row>
    <row r="17" spans="1:23" x14ac:dyDescent="0.35">
      <c r="A17" s="13"/>
      <c r="B17" s="10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4">
        <f>SUM(C17:I17)</f>
        <v>0</v>
      </c>
      <c r="M17" s="13"/>
      <c r="N17" s="10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4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Z19"/>
  <sheetViews>
    <sheetView topLeftCell="B1" zoomScaleNormal="100" workbookViewId="0">
      <selection activeCell="W17" sqref="W17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8" width="4.36328125" bestFit="1" customWidth="1"/>
    <col min="9" max="9" width="3.9062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19" max="19" width="0" hidden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1" t="s">
        <v>3</v>
      </c>
      <c r="R6" s="71"/>
      <c r="S6" s="71"/>
      <c r="T6" s="72"/>
    </row>
    <row r="7" spans="1:26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13</v>
      </c>
      <c r="R7" s="45" t="s">
        <v>7</v>
      </c>
      <c r="S7" s="12" t="s">
        <v>12</v>
      </c>
      <c r="T7" s="12" t="s">
        <v>12</v>
      </c>
      <c r="U7" s="12" t="s">
        <v>27</v>
      </c>
      <c r="V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12"/>
      <c r="R8" s="12"/>
      <c r="S8" s="12"/>
      <c r="T8" s="12"/>
      <c r="U8">
        <f>SUM(N8:T8)/40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>
        <f>SUM(C9:F9,G9,H9,I9)/40</f>
        <v>0</v>
      </c>
      <c r="L9" s="27"/>
      <c r="M9" s="10" t="str">
        <f t="shared" si="0"/>
        <v>Salman</v>
      </c>
      <c r="N9" s="12"/>
      <c r="O9" s="12"/>
      <c r="P9" s="12"/>
      <c r="Q9" s="12"/>
      <c r="R9" s="12"/>
      <c r="S9" s="12"/>
      <c r="T9" s="12"/>
      <c r="U9">
        <f>SUM(N9:T9)/40</f>
        <v>0</v>
      </c>
    </row>
    <row r="10" spans="1:26" x14ac:dyDescent="0.35">
      <c r="A10" s="27"/>
      <c r="B10" s="10" t="s">
        <v>37</v>
      </c>
      <c r="C10" s="12">
        <v>155</v>
      </c>
      <c r="D10" s="12">
        <v>70</v>
      </c>
      <c r="E10" s="12">
        <v>30</v>
      </c>
      <c r="F10" s="12"/>
      <c r="G10" s="12">
        <v>200</v>
      </c>
      <c r="H10" s="12">
        <v>100</v>
      </c>
      <c r="I10" s="12">
        <v>290</v>
      </c>
      <c r="J10">
        <f>SUM(C10:F10,G10,H10,I10)/40</f>
        <v>21.125</v>
      </c>
      <c r="K10" s="44">
        <v>8</v>
      </c>
      <c r="L10" s="27"/>
      <c r="M10" s="10" t="str">
        <f t="shared" si="0"/>
        <v>Zesahn</v>
      </c>
      <c r="N10" s="12">
        <v>155</v>
      </c>
      <c r="O10" s="12">
        <v>53</v>
      </c>
      <c r="P10" s="12">
        <v>30</v>
      </c>
      <c r="Q10" s="12">
        <v>200</v>
      </c>
      <c r="R10" s="12">
        <v>100</v>
      </c>
      <c r="S10" s="12"/>
      <c r="T10" s="12">
        <v>290</v>
      </c>
      <c r="U10">
        <f>SUM(N10:T10)/40</f>
        <v>20.7</v>
      </c>
      <c r="V10" s="44">
        <v>8</v>
      </c>
    </row>
    <row r="11" spans="1:26" x14ac:dyDescent="0.35">
      <c r="A11" s="11"/>
      <c r="B11" s="11" t="s">
        <v>31</v>
      </c>
      <c r="C11" s="12">
        <v>172</v>
      </c>
      <c r="D11" s="12">
        <v>46</v>
      </c>
      <c r="E11" s="12">
        <v>46</v>
      </c>
      <c r="F11" s="12">
        <v>0</v>
      </c>
      <c r="G11" s="12">
        <v>100</v>
      </c>
      <c r="H11" s="12">
        <v>105</v>
      </c>
      <c r="I11" s="12">
        <v>115</v>
      </c>
      <c r="J11">
        <f t="shared" ref="J11:J12" si="1">SUM(C11:F11,G11,H11,I11)/40</f>
        <v>14.6</v>
      </c>
      <c r="K11" s="44">
        <v>8</v>
      </c>
      <c r="L11" s="11"/>
      <c r="M11" s="10" t="str">
        <f t="shared" si="0"/>
        <v>Umair</v>
      </c>
      <c r="N11" s="12">
        <v>182</v>
      </c>
      <c r="O11" s="12">
        <v>46</v>
      </c>
      <c r="P11" s="12">
        <v>46</v>
      </c>
      <c r="Q11" s="12">
        <v>115</v>
      </c>
      <c r="R11" s="12">
        <v>115</v>
      </c>
      <c r="S11" s="12"/>
      <c r="T11" s="12">
        <v>130</v>
      </c>
      <c r="U11">
        <f>SUM(N11:T11)/40</f>
        <v>15.85</v>
      </c>
      <c r="V11" s="44">
        <v>9</v>
      </c>
      <c r="X11">
        <v>660</v>
      </c>
      <c r="Y11">
        <v>1780</v>
      </c>
      <c r="Z11">
        <f>Y11+X11</f>
        <v>2440</v>
      </c>
    </row>
    <row r="12" spans="1:26" x14ac:dyDescent="0.35">
      <c r="A12" s="11"/>
      <c r="B12" s="11" t="s">
        <v>38</v>
      </c>
      <c r="C12" s="12"/>
      <c r="D12" s="12">
        <v>120</v>
      </c>
      <c r="E12" s="12">
        <v>120</v>
      </c>
      <c r="F12" s="12"/>
      <c r="G12" s="12">
        <f>120+80+40</f>
        <v>240</v>
      </c>
      <c r="H12" s="12">
        <f>120+80+40</f>
        <v>240</v>
      </c>
      <c r="I12" s="12">
        <f>200+160+160+80</f>
        <v>600</v>
      </c>
      <c r="J12">
        <f t="shared" si="1"/>
        <v>33</v>
      </c>
      <c r="K12" s="44">
        <v>3</v>
      </c>
      <c r="L12" s="11"/>
      <c r="M12" s="10" t="str">
        <f t="shared" si="0"/>
        <v>Shakoor</v>
      </c>
      <c r="N12" s="12">
        <v>240</v>
      </c>
      <c r="O12" s="12">
        <v>140</v>
      </c>
      <c r="P12" s="12">
        <v>280</v>
      </c>
      <c r="Q12" s="12">
        <v>500</v>
      </c>
      <c r="R12" s="12">
        <v>320</v>
      </c>
      <c r="S12" s="12">
        <v>480</v>
      </c>
      <c r="T12" s="12">
        <v>480</v>
      </c>
      <c r="U12">
        <v>49</v>
      </c>
      <c r="V12" s="44">
        <v>6</v>
      </c>
      <c r="Z12">
        <v>240</v>
      </c>
    </row>
    <row r="13" spans="1:26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2" t="s">
        <v>24</v>
      </c>
      <c r="L13" s="11"/>
      <c r="M13" s="11">
        <f t="shared" si="0"/>
        <v>0</v>
      </c>
      <c r="N13" s="12"/>
      <c r="O13" s="12"/>
      <c r="P13" s="12"/>
      <c r="Q13" s="12"/>
      <c r="R13" s="12"/>
      <c r="S13" s="12"/>
      <c r="T13" s="12"/>
      <c r="U13" s="42" t="s">
        <v>24</v>
      </c>
      <c r="Z13">
        <v>140</v>
      </c>
    </row>
    <row r="14" spans="1:26" x14ac:dyDescent="0.35">
      <c r="A14" s="13"/>
      <c r="B14" s="10" t="s">
        <v>16</v>
      </c>
      <c r="C14" s="14">
        <f t="shared" ref="C14:I14" si="2">SUM(C8:C13)</f>
        <v>327</v>
      </c>
      <c r="D14" s="14">
        <f t="shared" si="2"/>
        <v>236</v>
      </c>
      <c r="E14" s="14">
        <f t="shared" si="2"/>
        <v>196</v>
      </c>
      <c r="F14" s="14">
        <f t="shared" si="2"/>
        <v>0</v>
      </c>
      <c r="G14" s="14">
        <f t="shared" si="2"/>
        <v>540</v>
      </c>
      <c r="H14" s="14">
        <f t="shared" si="2"/>
        <v>445</v>
      </c>
      <c r="I14" s="14">
        <f t="shared" si="2"/>
        <v>1005</v>
      </c>
      <c r="J14" s="35">
        <f>C14+D14+E14+F14+G14+H14+I14</f>
        <v>2749</v>
      </c>
      <c r="L14" s="13"/>
      <c r="M14" s="10" t="s">
        <v>16</v>
      </c>
      <c r="N14" s="14">
        <f t="shared" ref="N14:T14" si="3">SUM(N8:N13)</f>
        <v>577</v>
      </c>
      <c r="O14" s="14">
        <f t="shared" si="3"/>
        <v>239</v>
      </c>
      <c r="P14" s="14">
        <f t="shared" si="3"/>
        <v>356</v>
      </c>
      <c r="Q14" s="14">
        <f t="shared" si="3"/>
        <v>815</v>
      </c>
      <c r="R14" s="14">
        <f t="shared" si="3"/>
        <v>535</v>
      </c>
      <c r="S14" s="14">
        <f t="shared" si="3"/>
        <v>480</v>
      </c>
      <c r="T14" s="36">
        <f t="shared" si="3"/>
        <v>900</v>
      </c>
      <c r="U14" s="35" t="e">
        <f>N14+O14+P14+#REF!+Q14+R14+S14</f>
        <v>#REF!</v>
      </c>
      <c r="W14">
        <v>2440</v>
      </c>
      <c r="X14">
        <f>W14/40</f>
        <v>61</v>
      </c>
      <c r="Z14">
        <v>280</v>
      </c>
    </row>
    <row r="15" spans="1:26" x14ac:dyDescent="0.35">
      <c r="A15" s="13"/>
      <c r="B15" s="10" t="s">
        <v>22</v>
      </c>
      <c r="C15" s="13"/>
      <c r="D15" s="13">
        <f>D14/20</f>
        <v>11.8</v>
      </c>
      <c r="E15" s="13">
        <f t="shared" ref="E15:I15" si="4">E14/20</f>
        <v>9.8000000000000007</v>
      </c>
      <c r="F15" s="13">
        <f t="shared" si="4"/>
        <v>0</v>
      </c>
      <c r="G15" s="13">
        <f t="shared" si="4"/>
        <v>27</v>
      </c>
      <c r="H15" s="13">
        <f t="shared" si="4"/>
        <v>22.25</v>
      </c>
      <c r="I15" s="13">
        <f t="shared" si="4"/>
        <v>50.25</v>
      </c>
      <c r="L15" s="13"/>
      <c r="M15" s="10" t="s">
        <v>22</v>
      </c>
      <c r="N15" s="13"/>
      <c r="O15" s="13">
        <f>O14/20</f>
        <v>11.95</v>
      </c>
      <c r="P15" s="13">
        <f t="shared" ref="P15" si="5">P14/20</f>
        <v>17.8</v>
      </c>
      <c r="Q15" s="13">
        <f t="shared" ref="Q15:S15" si="6">Q14/20</f>
        <v>40.75</v>
      </c>
      <c r="R15" s="13">
        <f t="shared" si="6"/>
        <v>26.75</v>
      </c>
      <c r="S15" s="13">
        <f t="shared" si="6"/>
        <v>24</v>
      </c>
      <c r="T15" s="13"/>
      <c r="Z15">
        <v>500</v>
      </c>
    </row>
    <row r="16" spans="1:26" x14ac:dyDescent="0.35">
      <c r="A16" s="13"/>
      <c r="B16" s="10" t="s">
        <v>21</v>
      </c>
      <c r="C16" s="36">
        <f>C15+C14</f>
        <v>327</v>
      </c>
      <c r="D16" s="38">
        <f t="shared" ref="D16:I16" si="7">D15+D14</f>
        <v>247.8</v>
      </c>
      <c r="E16" s="38">
        <f t="shared" si="7"/>
        <v>205.8</v>
      </c>
      <c r="F16" s="38">
        <f t="shared" si="7"/>
        <v>0</v>
      </c>
      <c r="G16" s="38">
        <f t="shared" si="7"/>
        <v>567</v>
      </c>
      <c r="H16" s="38">
        <f t="shared" si="7"/>
        <v>467.25</v>
      </c>
      <c r="I16" s="38">
        <f t="shared" si="7"/>
        <v>1055.25</v>
      </c>
      <c r="J16" s="42" t="s">
        <v>25</v>
      </c>
      <c r="L16" s="13"/>
      <c r="M16" s="10" t="s">
        <v>21</v>
      </c>
      <c r="N16" s="36">
        <f>N15+N14</f>
        <v>577</v>
      </c>
      <c r="O16" s="38">
        <f t="shared" ref="O16:P16" si="8">O15+O14</f>
        <v>250.95</v>
      </c>
      <c r="P16" s="38">
        <f t="shared" si="8"/>
        <v>373.8</v>
      </c>
      <c r="Q16" s="38">
        <f t="shared" ref="Q16:S16" si="9">Q15+Q14</f>
        <v>855.75</v>
      </c>
      <c r="R16" s="38">
        <f t="shared" si="9"/>
        <v>561.75</v>
      </c>
      <c r="S16" s="38">
        <f t="shared" si="9"/>
        <v>504</v>
      </c>
      <c r="T16" s="36"/>
      <c r="U16" s="42" t="s">
        <v>25</v>
      </c>
      <c r="Z16">
        <v>320</v>
      </c>
    </row>
    <row r="17" spans="1:26" x14ac:dyDescent="0.35">
      <c r="A17" s="13"/>
      <c r="B17" s="39" t="s">
        <v>23</v>
      </c>
      <c r="C17" s="36">
        <f>C14/40</f>
        <v>8.1750000000000007</v>
      </c>
      <c r="D17" s="36">
        <f t="shared" ref="D17:I17" si="10">D14/40</f>
        <v>5.9</v>
      </c>
      <c r="E17" s="36">
        <f t="shared" si="10"/>
        <v>4.9000000000000004</v>
      </c>
      <c r="F17" s="36">
        <f t="shared" si="10"/>
        <v>0</v>
      </c>
      <c r="G17" s="36">
        <f t="shared" si="10"/>
        <v>13.5</v>
      </c>
      <c r="H17" s="36">
        <f t="shared" si="10"/>
        <v>11.125</v>
      </c>
      <c r="I17" s="36">
        <f t="shared" si="10"/>
        <v>25.125</v>
      </c>
      <c r="J17" s="35">
        <f>SUM(C17:I17)</f>
        <v>68.724999999999994</v>
      </c>
      <c r="L17" s="13"/>
      <c r="M17" s="39" t="s">
        <v>23</v>
      </c>
      <c r="N17" s="36">
        <f>N14/40</f>
        <v>14.425000000000001</v>
      </c>
      <c r="O17" s="36">
        <f t="shared" ref="O17:P17" si="11">O14/40</f>
        <v>5.9749999999999996</v>
      </c>
      <c r="P17" s="36">
        <f t="shared" si="11"/>
        <v>8.9</v>
      </c>
      <c r="Q17" s="36">
        <f t="shared" ref="Q17:S17" si="12">Q14/40</f>
        <v>20.375</v>
      </c>
      <c r="R17" s="36">
        <f t="shared" si="12"/>
        <v>13.375</v>
      </c>
      <c r="S17" s="36">
        <f t="shared" si="12"/>
        <v>12</v>
      </c>
      <c r="T17" s="36"/>
      <c r="U17" s="35">
        <f>SUM(N17:S17)</f>
        <v>75.05</v>
      </c>
      <c r="Z17">
        <v>480</v>
      </c>
    </row>
    <row r="18" spans="1:26" x14ac:dyDescent="0.35">
      <c r="C18" s="32"/>
    </row>
    <row r="19" spans="1:26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P6"/>
    <mergeCell ref="Q6:T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V19"/>
  <sheetViews>
    <sheetView zoomScaleNormal="100" workbookViewId="0">
      <selection activeCell="S9" sqref="S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</cols>
  <sheetData>
    <row r="1" spans="1:22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3"/>
    </row>
    <row r="3" spans="1:22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2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2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2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2"/>
    </row>
    <row r="7" spans="1:22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27</v>
      </c>
      <c r="V7" s="12" t="s">
        <v>26</v>
      </c>
    </row>
    <row r="8" spans="1:22" x14ac:dyDescent="0.35">
      <c r="A8" s="27"/>
      <c r="B8" s="10" t="s">
        <v>17</v>
      </c>
      <c r="C8" s="12">
        <v>142</v>
      </c>
      <c r="D8" s="12">
        <v>12</v>
      </c>
      <c r="E8" s="12"/>
      <c r="F8" s="12"/>
      <c r="G8" s="12">
        <v>30</v>
      </c>
      <c r="H8" s="12">
        <v>25</v>
      </c>
      <c r="I8" s="12">
        <v>60</v>
      </c>
      <c r="J8">
        <f>SUM(C8:F8,G8,H8,I8)/40</f>
        <v>6.7249999999999996</v>
      </c>
      <c r="K8" s="44">
        <v>9</v>
      </c>
      <c r="L8" s="27"/>
      <c r="M8" s="10" t="str">
        <f>B8</f>
        <v>Furqan</v>
      </c>
      <c r="N8" s="12">
        <v>142</v>
      </c>
      <c r="O8" s="12">
        <v>12</v>
      </c>
      <c r="P8" s="12">
        <v>0</v>
      </c>
      <c r="Q8" s="12">
        <v>0</v>
      </c>
      <c r="R8" s="12">
        <v>30</v>
      </c>
      <c r="S8" s="12">
        <v>25</v>
      </c>
      <c r="T8" s="12">
        <v>60</v>
      </c>
      <c r="U8">
        <f>SUM(N8:T8)/40</f>
        <v>6.7249999999999996</v>
      </c>
      <c r="V8" s="44">
        <v>9</v>
      </c>
    </row>
    <row r="9" spans="1:22" x14ac:dyDescent="0.35">
      <c r="A9" s="27"/>
      <c r="B9" s="10" t="s">
        <v>14</v>
      </c>
      <c r="C9" s="12">
        <v>175</v>
      </c>
      <c r="D9" s="12">
        <v>45</v>
      </c>
      <c r="E9" s="12"/>
      <c r="F9" s="12"/>
      <c r="G9" s="12">
        <v>77</v>
      </c>
      <c r="H9" s="12">
        <v>16</v>
      </c>
      <c r="I9" s="12">
        <v>127</v>
      </c>
      <c r="J9">
        <f>SUM(C9:F9,G9,H9,I9)/40</f>
        <v>11</v>
      </c>
      <c r="K9" s="44">
        <v>7</v>
      </c>
      <c r="L9" s="27"/>
      <c r="M9" s="10" t="str">
        <f>B9</f>
        <v>Salman</v>
      </c>
      <c r="N9" s="12">
        <v>174</v>
      </c>
      <c r="O9" s="12">
        <v>41</v>
      </c>
      <c r="P9" s="12">
        <v>0</v>
      </c>
      <c r="Q9" s="12">
        <v>0</v>
      </c>
      <c r="R9" s="12">
        <v>57</v>
      </c>
      <c r="S9" s="12">
        <v>16</v>
      </c>
      <c r="T9" s="12">
        <v>104</v>
      </c>
      <c r="U9">
        <f t="shared" ref="U9:U12" si="0">SUM(N9:T9)/40</f>
        <v>9.8000000000000007</v>
      </c>
      <c r="V9" s="44">
        <v>6</v>
      </c>
    </row>
    <row r="10" spans="1:22" x14ac:dyDescent="0.35">
      <c r="A10" s="27"/>
      <c r="B10" s="10" t="s">
        <v>37</v>
      </c>
      <c r="C10" s="12">
        <v>90</v>
      </c>
      <c r="D10" s="12">
        <v>120</v>
      </c>
      <c r="E10" s="12">
        <v>80</v>
      </c>
      <c r="F10" s="12"/>
      <c r="G10" s="12">
        <v>70</v>
      </c>
      <c r="H10" s="12">
        <v>60</v>
      </c>
      <c r="I10" s="12">
        <v>170</v>
      </c>
      <c r="J10">
        <f>SUM(C10:F10,G10,H10,I10)/40</f>
        <v>14.75</v>
      </c>
      <c r="K10" s="44">
        <v>14</v>
      </c>
      <c r="L10" s="27"/>
      <c r="M10" s="10" t="str">
        <f>B10</f>
        <v>Zesahn</v>
      </c>
      <c r="N10" s="12">
        <v>80</v>
      </c>
      <c r="O10" s="12">
        <v>120</v>
      </c>
      <c r="P10" s="12">
        <v>80</v>
      </c>
      <c r="Q10" s="12"/>
      <c r="R10" s="12">
        <v>70</v>
      </c>
      <c r="S10" s="12">
        <v>60</v>
      </c>
      <c r="T10" s="12">
        <v>170</v>
      </c>
      <c r="U10">
        <f t="shared" si="0"/>
        <v>14.5</v>
      </c>
      <c r="V10" s="44">
        <v>14</v>
      </c>
    </row>
    <row r="11" spans="1:22" x14ac:dyDescent="0.35">
      <c r="A11" s="11"/>
      <c r="B11" s="11" t="s">
        <v>31</v>
      </c>
      <c r="C11" s="12">
        <v>308</v>
      </c>
      <c r="D11" s="12">
        <v>46</v>
      </c>
      <c r="E11" s="12">
        <v>46</v>
      </c>
      <c r="F11" s="12">
        <v>0</v>
      </c>
      <c r="G11" s="12">
        <v>20</v>
      </c>
      <c r="H11" s="12">
        <v>20</v>
      </c>
      <c r="I11" s="12">
        <v>40</v>
      </c>
      <c r="J11">
        <f>SUM(C11:F11,G11,H11,I11)/40</f>
        <v>12</v>
      </c>
      <c r="K11" s="41">
        <v>14</v>
      </c>
      <c r="L11" s="11"/>
      <c r="M11" s="10" t="str">
        <f>B11</f>
        <v>Umair</v>
      </c>
      <c r="N11" s="12">
        <v>307</v>
      </c>
      <c r="O11" s="12">
        <v>46</v>
      </c>
      <c r="P11" s="12">
        <v>46</v>
      </c>
      <c r="Q11" s="12">
        <v>0</v>
      </c>
      <c r="R11" s="12">
        <v>20</v>
      </c>
      <c r="S11" s="12">
        <v>0</v>
      </c>
      <c r="T11" s="12">
        <v>40</v>
      </c>
      <c r="U11">
        <f t="shared" si="0"/>
        <v>11.475</v>
      </c>
      <c r="V11" s="44">
        <v>14</v>
      </c>
    </row>
    <row r="12" spans="1:22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">
        <v>32</v>
      </c>
      <c r="N12" s="12"/>
      <c r="O12" s="12">
        <v>120</v>
      </c>
      <c r="P12" s="12"/>
      <c r="Q12" s="12"/>
      <c r="R12" s="12">
        <v>360</v>
      </c>
      <c r="S12" s="12">
        <v>600</v>
      </c>
      <c r="T12" s="12">
        <v>320</v>
      </c>
      <c r="U12">
        <f t="shared" si="0"/>
        <v>35</v>
      </c>
      <c r="V12" s="44">
        <v>1</v>
      </c>
    </row>
    <row r="13" spans="1:22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12"/>
      <c r="R13" s="12"/>
      <c r="S13" s="12"/>
      <c r="T13" s="12"/>
    </row>
    <row r="14" spans="1:22" x14ac:dyDescent="0.35">
      <c r="A14" s="13"/>
      <c r="B14" s="10"/>
      <c r="C14" s="36">
        <f t="shared" ref="C14:I14" si="1">SUM(C8:C13)</f>
        <v>715</v>
      </c>
      <c r="D14" s="36">
        <f t="shared" si="1"/>
        <v>223</v>
      </c>
      <c r="E14" s="36">
        <f t="shared" si="1"/>
        <v>126</v>
      </c>
      <c r="F14" s="36">
        <f t="shared" si="1"/>
        <v>0</v>
      </c>
      <c r="G14" s="36">
        <f t="shared" si="1"/>
        <v>197</v>
      </c>
      <c r="H14" s="36">
        <f t="shared" si="1"/>
        <v>121</v>
      </c>
      <c r="I14" s="36">
        <f t="shared" si="1"/>
        <v>397</v>
      </c>
      <c r="J14" s="35">
        <f>C14+D14+E14+F14+G14+H14+I14</f>
        <v>1779</v>
      </c>
      <c r="L14" s="13"/>
      <c r="M14" s="10"/>
      <c r="N14" s="36">
        <f t="shared" ref="N14:S14" si="2">SUM(N8:N13)</f>
        <v>703</v>
      </c>
      <c r="O14" s="36">
        <f t="shared" si="2"/>
        <v>339</v>
      </c>
      <c r="P14" s="36">
        <f t="shared" si="2"/>
        <v>126</v>
      </c>
      <c r="Q14" s="36">
        <f t="shared" si="2"/>
        <v>0</v>
      </c>
      <c r="R14" s="36">
        <f t="shared" si="2"/>
        <v>537</v>
      </c>
      <c r="S14" s="36">
        <f t="shared" si="2"/>
        <v>701</v>
      </c>
      <c r="T14" s="36"/>
      <c r="U14" s="60" t="e">
        <f>N14+O14+P14+#REF!+R14+S14+#REF!</f>
        <v>#REF!</v>
      </c>
    </row>
    <row r="15" spans="1:22" x14ac:dyDescent="0.35">
      <c r="A15" s="13"/>
      <c r="B15" s="10" t="s">
        <v>22</v>
      </c>
      <c r="C15" s="13"/>
      <c r="D15" s="13">
        <f>D14/20</f>
        <v>11.15</v>
      </c>
      <c r="E15" s="13">
        <f t="shared" ref="E15:I15" si="3">E14/20</f>
        <v>6.3</v>
      </c>
      <c r="F15" s="13">
        <f t="shared" si="3"/>
        <v>0</v>
      </c>
      <c r="G15" s="13">
        <f t="shared" si="3"/>
        <v>9.85</v>
      </c>
      <c r="H15" s="13">
        <f t="shared" si="3"/>
        <v>6.05</v>
      </c>
      <c r="I15" s="13">
        <f t="shared" si="3"/>
        <v>19.850000000000001</v>
      </c>
      <c r="L15" s="13"/>
      <c r="M15" s="10" t="s">
        <v>22</v>
      </c>
      <c r="N15" s="13"/>
      <c r="O15" s="13">
        <f>O14/20</f>
        <v>16.95</v>
      </c>
      <c r="P15" s="13">
        <f t="shared" ref="P15" si="4">P14/20</f>
        <v>6.3</v>
      </c>
      <c r="Q15" s="13"/>
      <c r="R15" s="13">
        <f t="shared" ref="R15:S15" si="5">R14/20</f>
        <v>26.85</v>
      </c>
      <c r="S15" s="13">
        <f t="shared" si="5"/>
        <v>35.049999999999997</v>
      </c>
      <c r="T15" s="13"/>
    </row>
    <row r="16" spans="1:22" x14ac:dyDescent="0.35">
      <c r="A16" s="13"/>
      <c r="B16" s="10" t="s">
        <v>21</v>
      </c>
      <c r="C16" s="36">
        <f>C15+C14</f>
        <v>715</v>
      </c>
      <c r="D16" s="36">
        <f t="shared" ref="D16:I16" si="6">D15+D14</f>
        <v>234.15</v>
      </c>
      <c r="E16" s="36">
        <f t="shared" si="6"/>
        <v>132.30000000000001</v>
      </c>
      <c r="F16" s="36">
        <f t="shared" si="6"/>
        <v>0</v>
      </c>
      <c r="G16" s="36">
        <f t="shared" si="6"/>
        <v>206.85</v>
      </c>
      <c r="H16" s="36">
        <f t="shared" si="6"/>
        <v>127.05</v>
      </c>
      <c r="I16" s="36">
        <f t="shared" si="6"/>
        <v>416.85</v>
      </c>
      <c r="L16" s="13"/>
      <c r="M16" s="10" t="s">
        <v>21</v>
      </c>
      <c r="N16" s="36">
        <f>N15+N14</f>
        <v>703</v>
      </c>
      <c r="O16" s="36">
        <f t="shared" ref="O16:P16" si="7">O15+O14</f>
        <v>355.95</v>
      </c>
      <c r="P16" s="36">
        <f t="shared" si="7"/>
        <v>132.30000000000001</v>
      </c>
      <c r="Q16" s="36"/>
      <c r="R16" s="36">
        <f t="shared" ref="R16:S16" si="8">R15+R14</f>
        <v>563.85</v>
      </c>
      <c r="S16" s="36">
        <f t="shared" si="8"/>
        <v>736.05</v>
      </c>
      <c r="T16" s="36"/>
    </row>
    <row r="17" spans="1:21" x14ac:dyDescent="0.35">
      <c r="A17" s="13"/>
      <c r="B17" s="39" t="s">
        <v>23</v>
      </c>
      <c r="C17" s="36">
        <f>C14/40</f>
        <v>17.875</v>
      </c>
      <c r="D17" s="36">
        <f t="shared" ref="D17:I17" si="9">D14/40</f>
        <v>5.5750000000000002</v>
      </c>
      <c r="E17" s="36">
        <f t="shared" si="9"/>
        <v>3.15</v>
      </c>
      <c r="F17" s="36">
        <f t="shared" si="9"/>
        <v>0</v>
      </c>
      <c r="G17" s="36">
        <f t="shared" si="9"/>
        <v>4.9249999999999998</v>
      </c>
      <c r="H17" s="36">
        <f t="shared" si="9"/>
        <v>3.0249999999999999</v>
      </c>
      <c r="I17" s="36">
        <f t="shared" si="9"/>
        <v>9.9250000000000007</v>
      </c>
      <c r="J17" s="35">
        <f>SUM(C17:I17)</f>
        <v>44.474999999999994</v>
      </c>
      <c r="L17" s="13"/>
      <c r="M17" s="39" t="s">
        <v>23</v>
      </c>
      <c r="N17" s="36">
        <f>N14/40</f>
        <v>17.574999999999999</v>
      </c>
      <c r="O17" s="36">
        <f t="shared" ref="O17:P17" si="10">O14/40</f>
        <v>8.4749999999999996</v>
      </c>
      <c r="P17" s="36">
        <f t="shared" si="10"/>
        <v>3.15</v>
      </c>
      <c r="Q17" s="36"/>
      <c r="R17" s="36">
        <f t="shared" ref="R17:S17" si="11">R14/40</f>
        <v>13.425000000000001</v>
      </c>
      <c r="S17" s="36">
        <f t="shared" si="11"/>
        <v>17.524999999999999</v>
      </c>
      <c r="T17" s="36"/>
      <c r="U17" s="35">
        <f>SUM(N17:S17)</f>
        <v>60.15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W19"/>
  <sheetViews>
    <sheetView zoomScaleNormal="100" workbookViewId="0">
      <selection activeCell="V16" sqref="V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4.26953125" bestFit="1" customWidth="1"/>
    <col min="16" max="16" width="3.5429687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40</v>
      </c>
      <c r="D8" s="12">
        <v>40</v>
      </c>
      <c r="E8" s="12">
        <v>40</v>
      </c>
      <c r="F8" s="12">
        <v>0</v>
      </c>
      <c r="G8" s="12">
        <v>86</v>
      </c>
      <c r="H8" s="12">
        <v>92</v>
      </c>
      <c r="I8" s="12">
        <v>142</v>
      </c>
      <c r="J8">
        <f>SUM(C8:F8,G8,H8,I8)/40</f>
        <v>11</v>
      </c>
      <c r="K8" s="44">
        <v>6</v>
      </c>
      <c r="L8" s="27"/>
      <c r="M8" s="10" t="str">
        <f>B8</f>
        <v>Furqan</v>
      </c>
      <c r="N8" s="12">
        <v>40</v>
      </c>
      <c r="O8" s="12">
        <v>39</v>
      </c>
      <c r="P8" s="12">
        <v>40</v>
      </c>
      <c r="Q8" s="28">
        <v>0</v>
      </c>
      <c r="R8" s="12">
        <v>86</v>
      </c>
      <c r="S8" s="12">
        <v>92</v>
      </c>
      <c r="T8" s="12"/>
      <c r="U8" s="28">
        <v>142</v>
      </c>
      <c r="V8">
        <f>SUM(N8:U8)/40</f>
        <v>10.975</v>
      </c>
      <c r="W8" s="44">
        <v>6</v>
      </c>
    </row>
    <row r="9" spans="1:23" x14ac:dyDescent="0.35">
      <c r="A9" s="27"/>
      <c r="B9" s="10" t="s">
        <v>14</v>
      </c>
      <c r="C9" s="12">
        <v>102</v>
      </c>
      <c r="D9" s="12">
        <v>112</v>
      </c>
      <c r="E9" s="12">
        <v>106</v>
      </c>
      <c r="F9" s="12">
        <v>0</v>
      </c>
      <c r="G9" s="12">
        <v>92</v>
      </c>
      <c r="H9" s="12">
        <v>96</v>
      </c>
      <c r="I9" s="12">
        <v>82</v>
      </c>
      <c r="J9">
        <f>SUM(C9:F9,G9,H9,I9)/40</f>
        <v>14.75</v>
      </c>
      <c r="K9" s="44">
        <v>6</v>
      </c>
      <c r="L9" s="27"/>
      <c r="M9" s="10" t="str">
        <f>B9</f>
        <v>Salman</v>
      </c>
      <c r="N9" s="12">
        <v>102</v>
      </c>
      <c r="O9" s="12">
        <v>112</v>
      </c>
      <c r="P9" s="12">
        <v>106</v>
      </c>
      <c r="Q9" s="28">
        <v>0</v>
      </c>
      <c r="R9" s="12">
        <v>92</v>
      </c>
      <c r="S9" s="12">
        <v>96</v>
      </c>
      <c r="T9" s="12"/>
      <c r="U9" s="28">
        <v>82</v>
      </c>
      <c r="V9">
        <f t="shared" ref="V9:V12" si="0">SUM(N9:U9)/40</f>
        <v>14.75</v>
      </c>
      <c r="W9" s="44">
        <v>6</v>
      </c>
    </row>
    <row r="10" spans="1:23" x14ac:dyDescent="0.35">
      <c r="A10" s="27"/>
      <c r="B10" s="10" t="s">
        <v>37</v>
      </c>
      <c r="C10" s="12">
        <v>242</v>
      </c>
      <c r="D10" s="12">
        <v>35</v>
      </c>
      <c r="E10" s="12">
        <v>35</v>
      </c>
      <c r="F10" s="12"/>
      <c r="G10" s="12">
        <v>23</v>
      </c>
      <c r="H10" s="12">
        <v>11</v>
      </c>
      <c r="I10" s="12">
        <v>6</v>
      </c>
      <c r="J10">
        <f>SUM(C10:F10,G10,H10,I10)/40</f>
        <v>8.8000000000000007</v>
      </c>
      <c r="K10" s="44">
        <v>12</v>
      </c>
      <c r="L10" s="27"/>
      <c r="M10" s="10" t="str">
        <f>B10</f>
        <v>Zesahn</v>
      </c>
      <c r="N10" s="12">
        <v>162</v>
      </c>
      <c r="O10" s="12">
        <v>35</v>
      </c>
      <c r="P10" s="12">
        <v>35</v>
      </c>
      <c r="Q10" s="28">
        <v>0</v>
      </c>
      <c r="R10" s="12">
        <v>13</v>
      </c>
      <c r="S10" s="12">
        <v>11</v>
      </c>
      <c r="T10" s="12"/>
      <c r="U10" s="28">
        <v>6</v>
      </c>
      <c r="V10">
        <f t="shared" si="0"/>
        <v>6.55</v>
      </c>
      <c r="W10" s="44">
        <v>10</v>
      </c>
    </row>
    <row r="11" spans="1:23" x14ac:dyDescent="0.35">
      <c r="A11" s="11"/>
      <c r="B11" s="11" t="s">
        <v>31</v>
      </c>
      <c r="C11" s="12">
        <v>72</v>
      </c>
      <c r="D11" s="12">
        <v>20</v>
      </c>
      <c r="E11" s="12">
        <v>20</v>
      </c>
      <c r="F11" s="12">
        <v>0</v>
      </c>
      <c r="G11" s="12">
        <v>44</v>
      </c>
      <c r="H11" s="12">
        <v>34</v>
      </c>
      <c r="I11" s="12">
        <v>24</v>
      </c>
      <c r="J11">
        <f>SUM(C11:F11,G11,H11,I11)/40</f>
        <v>5.35</v>
      </c>
      <c r="K11" s="44">
        <v>8</v>
      </c>
      <c r="L11" s="11"/>
      <c r="M11" s="10" t="str">
        <f>B11</f>
        <v>Umair</v>
      </c>
      <c r="N11" s="12">
        <v>72</v>
      </c>
      <c r="O11" s="12">
        <v>20</v>
      </c>
      <c r="P11" s="12">
        <v>20</v>
      </c>
      <c r="Q11" s="28">
        <v>0</v>
      </c>
      <c r="R11" s="12">
        <v>44</v>
      </c>
      <c r="S11" s="12">
        <v>34</v>
      </c>
      <c r="T11" s="12"/>
      <c r="U11" s="28">
        <v>24</v>
      </c>
      <c r="V11">
        <f t="shared" si="0"/>
        <v>5.35</v>
      </c>
      <c r="W11" s="44">
        <v>8</v>
      </c>
    </row>
    <row r="12" spans="1:23" x14ac:dyDescent="0.35">
      <c r="A12" s="11"/>
      <c r="B12" s="11" t="s">
        <v>32</v>
      </c>
      <c r="C12" s="12"/>
      <c r="D12" s="12">
        <v>1000</v>
      </c>
      <c r="E12" s="12">
        <v>1000</v>
      </c>
      <c r="F12" s="12"/>
      <c r="G12" s="12">
        <v>1000</v>
      </c>
      <c r="H12" s="12">
        <v>1000</v>
      </c>
      <c r="I12" s="12">
        <v>1000</v>
      </c>
      <c r="J12">
        <f>SUM(C12:F12,G12,H12,I12)/40</f>
        <v>125</v>
      </c>
      <c r="K12" s="44">
        <v>1</v>
      </c>
      <c r="L12" s="11"/>
      <c r="M12" s="10" t="str">
        <f>B12</f>
        <v xml:space="preserve">Shakoor </v>
      </c>
      <c r="N12" s="12"/>
      <c r="O12" s="12">
        <v>1000</v>
      </c>
      <c r="P12" s="12">
        <v>1000</v>
      </c>
      <c r="Q12" s="28"/>
      <c r="R12" s="12">
        <v>1000</v>
      </c>
      <c r="S12" s="12">
        <v>880</v>
      </c>
      <c r="T12" s="12"/>
      <c r="U12" s="28">
        <v>1000</v>
      </c>
      <c r="V12">
        <f t="shared" si="0"/>
        <v>122</v>
      </c>
      <c r="W12" s="44">
        <v>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U13" s="28"/>
      <c r="W13" t="s">
        <v>28</v>
      </c>
    </row>
    <row r="14" spans="1:23" x14ac:dyDescent="0.35">
      <c r="A14" s="13"/>
      <c r="B14" s="10"/>
      <c r="C14" s="14">
        <f t="shared" ref="C14:I14" si="1">SUM(C8:C13)</f>
        <v>456</v>
      </c>
      <c r="D14" s="14">
        <f t="shared" si="1"/>
        <v>1207</v>
      </c>
      <c r="E14" s="14">
        <f t="shared" si="1"/>
        <v>1201</v>
      </c>
      <c r="F14" s="14">
        <f t="shared" si="1"/>
        <v>0</v>
      </c>
      <c r="G14" s="14">
        <f t="shared" si="1"/>
        <v>1245</v>
      </c>
      <c r="H14" s="14">
        <f t="shared" si="1"/>
        <v>1233</v>
      </c>
      <c r="I14" s="14">
        <f t="shared" si="1"/>
        <v>1254</v>
      </c>
      <c r="J14" s="35">
        <f>C14+D14+E14+F14+G14+H14+I14</f>
        <v>6596</v>
      </c>
      <c r="L14" s="13"/>
      <c r="M14" s="10"/>
      <c r="N14" s="14">
        <f t="shared" ref="N14:U14" si="2">SUM(N8:N13)</f>
        <v>376</v>
      </c>
      <c r="O14" s="14">
        <f t="shared" si="2"/>
        <v>1206</v>
      </c>
      <c r="P14" s="14">
        <f t="shared" si="2"/>
        <v>1201</v>
      </c>
      <c r="Q14" s="14">
        <f t="shared" si="2"/>
        <v>0</v>
      </c>
      <c r="R14" s="14">
        <f t="shared" si="2"/>
        <v>1235</v>
      </c>
      <c r="S14" s="14">
        <f t="shared" si="2"/>
        <v>1113</v>
      </c>
      <c r="T14" s="14">
        <f t="shared" si="2"/>
        <v>0</v>
      </c>
      <c r="U14" s="14">
        <f t="shared" si="2"/>
        <v>1254</v>
      </c>
      <c r="V14" s="35">
        <f>SUM(N14:U14)</f>
        <v>6385</v>
      </c>
    </row>
    <row r="15" spans="1:23" x14ac:dyDescent="0.35">
      <c r="A15" s="13"/>
      <c r="B15" s="10" t="s">
        <v>22</v>
      </c>
      <c r="C15" s="13"/>
      <c r="D15" s="13">
        <f>D14/20</f>
        <v>60.35</v>
      </c>
      <c r="E15" s="13">
        <f t="shared" ref="E15:I15" si="3">E14/20</f>
        <v>60.05</v>
      </c>
      <c r="F15" s="13">
        <f t="shared" si="3"/>
        <v>0</v>
      </c>
      <c r="G15" s="13">
        <f t="shared" si="3"/>
        <v>62.25</v>
      </c>
      <c r="H15" s="13">
        <f t="shared" si="3"/>
        <v>61.65</v>
      </c>
      <c r="I15" s="13">
        <f t="shared" si="3"/>
        <v>62.7</v>
      </c>
      <c r="L15" s="13"/>
      <c r="M15" s="10" t="s">
        <v>22</v>
      </c>
      <c r="N15" s="13"/>
      <c r="O15" s="13">
        <f>O14/20</f>
        <v>60.3</v>
      </c>
      <c r="P15" s="13">
        <f t="shared" ref="P15" si="4">P14/20</f>
        <v>60.05</v>
      </c>
      <c r="Q15" s="13"/>
      <c r="R15" s="13">
        <f t="shared" ref="R15:T15" si="5">R14/20</f>
        <v>61.75</v>
      </c>
      <c r="S15" s="13">
        <f t="shared" si="5"/>
        <v>55.65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456</v>
      </c>
      <c r="D16" s="36">
        <f t="shared" ref="D16:I16" si="6">D15+D14</f>
        <v>1267.3499999999999</v>
      </c>
      <c r="E16" s="36">
        <f t="shared" si="6"/>
        <v>1261.05</v>
      </c>
      <c r="F16" s="36">
        <f t="shared" si="6"/>
        <v>0</v>
      </c>
      <c r="G16" s="36">
        <f t="shared" si="6"/>
        <v>1307.25</v>
      </c>
      <c r="H16" s="36">
        <f t="shared" si="6"/>
        <v>1294.6500000000001</v>
      </c>
      <c r="I16" s="36">
        <f t="shared" si="6"/>
        <v>1316.7</v>
      </c>
      <c r="L16" s="13"/>
      <c r="M16" s="10" t="s">
        <v>21</v>
      </c>
      <c r="N16" s="36">
        <f>N15+N14</f>
        <v>376</v>
      </c>
      <c r="O16" s="36">
        <f t="shared" ref="O16:P16" si="7">O15+O14</f>
        <v>1266.3</v>
      </c>
      <c r="P16" s="36">
        <f t="shared" si="7"/>
        <v>1261.05</v>
      </c>
      <c r="Q16" s="36"/>
      <c r="R16" s="36">
        <f t="shared" ref="R16:T16" si="8">R15+R14</f>
        <v>1296.75</v>
      </c>
      <c r="S16" s="36">
        <f t="shared" si="8"/>
        <v>1168.6500000000001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11.4</v>
      </c>
      <c r="D17" s="36">
        <f t="shared" ref="D17:I17" si="9">D14/40</f>
        <v>30.175000000000001</v>
      </c>
      <c r="E17" s="36">
        <f t="shared" si="9"/>
        <v>30.024999999999999</v>
      </c>
      <c r="F17" s="36">
        <f t="shared" si="9"/>
        <v>0</v>
      </c>
      <c r="G17" s="36">
        <f t="shared" si="9"/>
        <v>31.125</v>
      </c>
      <c r="H17" s="36">
        <f t="shared" si="9"/>
        <v>30.824999999999999</v>
      </c>
      <c r="I17" s="36">
        <f t="shared" si="9"/>
        <v>31.35</v>
      </c>
      <c r="J17" s="35">
        <f>SUM(C17:I17)</f>
        <v>164.89999999999998</v>
      </c>
      <c r="L17" s="13"/>
      <c r="M17" s="39" t="s">
        <v>23</v>
      </c>
      <c r="N17" s="36">
        <f>N14/40</f>
        <v>9.4</v>
      </c>
      <c r="O17" s="36">
        <f t="shared" ref="O17:P17" si="10">O14/40</f>
        <v>30.15</v>
      </c>
      <c r="P17" s="36">
        <f t="shared" si="10"/>
        <v>30.024999999999999</v>
      </c>
      <c r="Q17" s="36"/>
      <c r="R17" s="36">
        <f t="shared" ref="R17:T17" si="11">R14/40</f>
        <v>30.875</v>
      </c>
      <c r="S17" s="36">
        <f t="shared" si="11"/>
        <v>27.824999999999999</v>
      </c>
      <c r="T17" s="36">
        <f t="shared" si="11"/>
        <v>0</v>
      </c>
      <c r="U17" s="36"/>
      <c r="V17" s="35">
        <f>SUM(N17:T17)</f>
        <v>128.27499999999998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W19"/>
  <sheetViews>
    <sheetView zoomScaleNormal="100" workbookViewId="0">
      <selection activeCell="Y8" sqref="Y8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12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40</v>
      </c>
      <c r="D8" s="12">
        <v>40</v>
      </c>
      <c r="E8" s="12">
        <v>0</v>
      </c>
      <c r="F8" s="12">
        <v>0</v>
      </c>
      <c r="G8" s="12">
        <v>135</v>
      </c>
      <c r="H8" s="12">
        <v>70</v>
      </c>
      <c r="I8" s="12">
        <v>75</v>
      </c>
      <c r="J8">
        <f>SUM(C8:I8)/40</f>
        <v>9</v>
      </c>
      <c r="K8" s="44">
        <v>5</v>
      </c>
      <c r="L8" s="27"/>
      <c r="M8" s="10" t="str">
        <f>B8</f>
        <v>Furqan</v>
      </c>
      <c r="N8" s="12">
        <v>40</v>
      </c>
      <c r="O8" s="12">
        <v>40</v>
      </c>
      <c r="P8" s="12">
        <v>0</v>
      </c>
      <c r="Q8" s="28">
        <v>0</v>
      </c>
      <c r="R8" s="12">
        <v>95</v>
      </c>
      <c r="S8" s="12">
        <v>0</v>
      </c>
      <c r="T8" s="12"/>
      <c r="U8" s="28">
        <v>35</v>
      </c>
      <c r="V8">
        <f>SUM(N8:U8)/40</f>
        <v>5.25</v>
      </c>
      <c r="W8" s="44">
        <v>4</v>
      </c>
    </row>
    <row r="9" spans="1:23" x14ac:dyDescent="0.35">
      <c r="A9" s="27"/>
      <c r="B9" s="10" t="s">
        <v>14</v>
      </c>
      <c r="C9" s="12"/>
      <c r="D9" s="12">
        <v>60</v>
      </c>
      <c r="E9" s="12">
        <v>20</v>
      </c>
      <c r="F9" s="12">
        <v>0</v>
      </c>
      <c r="G9" s="12">
        <v>122</v>
      </c>
      <c r="H9" s="12">
        <v>101</v>
      </c>
      <c r="I9" s="12">
        <v>97</v>
      </c>
      <c r="J9">
        <f t="shared" ref="J9:J12" si="0">SUM(C9:I9)/40</f>
        <v>10</v>
      </c>
      <c r="K9" s="44">
        <v>8</v>
      </c>
      <c r="L9" s="27"/>
      <c r="M9" s="10" t="str">
        <f>B9</f>
        <v>Salman</v>
      </c>
      <c r="N9" s="12"/>
      <c r="O9" s="12">
        <v>60</v>
      </c>
      <c r="P9" s="12">
        <v>20</v>
      </c>
      <c r="Q9" s="28">
        <v>0</v>
      </c>
      <c r="R9" s="12">
        <v>109</v>
      </c>
      <c r="S9" s="12">
        <v>0</v>
      </c>
      <c r="T9" s="12"/>
      <c r="U9" s="28">
        <v>83</v>
      </c>
      <c r="V9">
        <f t="shared" ref="V9:V12" si="1">SUM(N9:U9)/40</f>
        <v>6.8</v>
      </c>
      <c r="W9" s="44">
        <v>7</v>
      </c>
    </row>
    <row r="10" spans="1:23" x14ac:dyDescent="0.35">
      <c r="A10" s="27"/>
      <c r="B10" s="10" t="s">
        <v>37</v>
      </c>
      <c r="C10" s="12">
        <v>150</v>
      </c>
      <c r="D10" s="12">
        <v>0</v>
      </c>
      <c r="E10" s="12">
        <v>40</v>
      </c>
      <c r="F10" s="12">
        <v>0</v>
      </c>
      <c r="G10" s="12">
        <v>76</v>
      </c>
      <c r="H10" s="12">
        <v>86</v>
      </c>
      <c r="I10" s="12">
        <v>96</v>
      </c>
      <c r="J10">
        <f t="shared" si="0"/>
        <v>11.2</v>
      </c>
      <c r="K10" s="44">
        <v>12</v>
      </c>
      <c r="L10" s="27"/>
      <c r="M10" s="10" t="str">
        <f>B10</f>
        <v>Zesahn</v>
      </c>
      <c r="N10" s="12">
        <v>20</v>
      </c>
      <c r="O10" s="12">
        <v>0</v>
      </c>
      <c r="P10" s="12">
        <v>40</v>
      </c>
      <c r="Q10" s="28">
        <v>0</v>
      </c>
      <c r="R10" s="12">
        <v>76</v>
      </c>
      <c r="S10" s="12">
        <v>0</v>
      </c>
      <c r="T10" s="12"/>
      <c r="U10" s="28">
        <v>86</v>
      </c>
      <c r="V10">
        <f t="shared" si="1"/>
        <v>5.55</v>
      </c>
      <c r="W10" s="44">
        <v>8</v>
      </c>
    </row>
    <row r="11" spans="1:23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>
        <f t="shared" si="0"/>
        <v>0</v>
      </c>
      <c r="L11" s="11"/>
      <c r="M11" s="10" t="str">
        <f>B11</f>
        <v>Umair</v>
      </c>
      <c r="N11" s="12"/>
      <c r="O11" s="12"/>
      <c r="P11" s="12"/>
      <c r="Q11" s="28"/>
      <c r="R11" s="12"/>
      <c r="S11" s="12"/>
      <c r="T11" s="12"/>
      <c r="U11" s="28"/>
      <c r="V11">
        <f t="shared" si="1"/>
        <v>0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 t="shared" si="0"/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2">SUM(C8:C13)</f>
        <v>190</v>
      </c>
      <c r="D14" s="14">
        <f t="shared" si="2"/>
        <v>100</v>
      </c>
      <c r="E14" s="14">
        <f t="shared" si="2"/>
        <v>60</v>
      </c>
      <c r="F14" s="14">
        <f t="shared" si="2"/>
        <v>0</v>
      </c>
      <c r="G14" s="14">
        <f t="shared" si="2"/>
        <v>333</v>
      </c>
      <c r="H14" s="14">
        <f t="shared" si="2"/>
        <v>257</v>
      </c>
      <c r="I14" s="14">
        <f t="shared" si="2"/>
        <v>268</v>
      </c>
      <c r="J14" s="35">
        <f>C14+D14+E14+F14+G14+H14+I14</f>
        <v>1208</v>
      </c>
      <c r="L14" s="13"/>
      <c r="M14" s="10"/>
      <c r="N14" s="14">
        <f t="shared" ref="N14:U14" si="3">SUM(N8:N13)</f>
        <v>60</v>
      </c>
      <c r="O14" s="14">
        <f t="shared" si="3"/>
        <v>100</v>
      </c>
      <c r="P14" s="14">
        <f t="shared" si="3"/>
        <v>60</v>
      </c>
      <c r="Q14" s="14">
        <f t="shared" si="3"/>
        <v>0</v>
      </c>
      <c r="R14" s="14">
        <f t="shared" si="3"/>
        <v>280</v>
      </c>
      <c r="S14" s="14">
        <f t="shared" si="3"/>
        <v>0</v>
      </c>
      <c r="T14" s="14">
        <f t="shared" si="3"/>
        <v>0</v>
      </c>
      <c r="U14" s="14">
        <f t="shared" si="3"/>
        <v>204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5</v>
      </c>
      <c r="E15" s="13">
        <f t="shared" ref="E15:I15" si="4">E14/20</f>
        <v>3</v>
      </c>
      <c r="F15" s="13">
        <f t="shared" si="4"/>
        <v>0</v>
      </c>
      <c r="G15" s="13">
        <f t="shared" si="4"/>
        <v>16.649999999999999</v>
      </c>
      <c r="H15" s="13">
        <f t="shared" si="4"/>
        <v>12.85</v>
      </c>
      <c r="I15" s="13">
        <f t="shared" si="4"/>
        <v>13.4</v>
      </c>
      <c r="L15" s="13"/>
      <c r="M15" s="10" t="s">
        <v>22</v>
      </c>
      <c r="N15" s="13"/>
      <c r="O15" s="13">
        <f>O14/20</f>
        <v>5</v>
      </c>
      <c r="P15" s="13">
        <f t="shared" ref="P15" si="5">P14/20</f>
        <v>3</v>
      </c>
      <c r="Q15" s="13"/>
      <c r="R15" s="13">
        <f t="shared" ref="R15:T15" si="6">R14/20</f>
        <v>14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190</v>
      </c>
      <c r="D16" s="36">
        <f t="shared" ref="D16:I16" si="7">D15+D14</f>
        <v>105</v>
      </c>
      <c r="E16" s="36">
        <f t="shared" si="7"/>
        <v>63</v>
      </c>
      <c r="F16" s="36">
        <f t="shared" si="7"/>
        <v>0</v>
      </c>
      <c r="G16" s="36">
        <f t="shared" si="7"/>
        <v>349.65</v>
      </c>
      <c r="H16" s="36">
        <f t="shared" si="7"/>
        <v>269.85000000000002</v>
      </c>
      <c r="I16" s="36">
        <f t="shared" si="7"/>
        <v>281.39999999999998</v>
      </c>
      <c r="L16" s="13"/>
      <c r="M16" s="10" t="s">
        <v>21</v>
      </c>
      <c r="N16" s="36">
        <f>N15+N14</f>
        <v>60</v>
      </c>
      <c r="O16" s="36">
        <f t="shared" ref="O16:P16" si="8">O15+O14</f>
        <v>105</v>
      </c>
      <c r="P16" s="36">
        <f t="shared" si="8"/>
        <v>63</v>
      </c>
      <c r="Q16" s="36"/>
      <c r="R16" s="36">
        <f t="shared" ref="R16:T16" si="9">R15+R14</f>
        <v>294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4.75</v>
      </c>
      <c r="D17" s="36">
        <f t="shared" ref="D17:I17" si="10">D14/40</f>
        <v>2.5</v>
      </c>
      <c r="E17" s="36">
        <f t="shared" si="10"/>
        <v>1.5</v>
      </c>
      <c r="F17" s="36">
        <f t="shared" si="10"/>
        <v>0</v>
      </c>
      <c r="G17" s="36">
        <f t="shared" si="10"/>
        <v>8.3249999999999993</v>
      </c>
      <c r="H17" s="36">
        <f t="shared" si="10"/>
        <v>6.4249999999999998</v>
      </c>
      <c r="I17" s="36">
        <f t="shared" si="10"/>
        <v>6.7</v>
      </c>
      <c r="J17" s="35">
        <f>SUM(C17:I17)</f>
        <v>30.2</v>
      </c>
      <c r="L17" s="13"/>
      <c r="M17" s="39" t="s">
        <v>23</v>
      </c>
      <c r="N17" s="36">
        <f>N14/40</f>
        <v>1.5</v>
      </c>
      <c r="O17" s="36">
        <f t="shared" ref="O17:P17" si="11">O14/40</f>
        <v>2.5</v>
      </c>
      <c r="P17" s="36">
        <f t="shared" si="11"/>
        <v>1.5</v>
      </c>
      <c r="Q17" s="36"/>
      <c r="R17" s="36">
        <f t="shared" ref="R17:T17" si="12">R14/40</f>
        <v>7</v>
      </c>
      <c r="S17" s="36">
        <f t="shared" si="12"/>
        <v>0</v>
      </c>
      <c r="T17" s="36">
        <f t="shared" si="12"/>
        <v>0</v>
      </c>
      <c r="U17" s="36"/>
      <c r="V17" s="35">
        <f>SUM(N17:T17)</f>
        <v>12.5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W19"/>
  <sheetViews>
    <sheetView zoomScaleNormal="100" workbookViewId="0">
      <selection activeCell="X12" sqref="X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542968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44</v>
      </c>
      <c r="D8" s="12">
        <v>42</v>
      </c>
      <c r="E8" s="12">
        <v>42</v>
      </c>
      <c r="F8" s="12">
        <v>0</v>
      </c>
      <c r="G8" s="12">
        <v>66</v>
      </c>
      <c r="H8" s="12">
        <v>0</v>
      </c>
      <c r="I8" s="12">
        <v>66</v>
      </c>
      <c r="J8" s="12">
        <f>SUM(C8:F8,G8,H8,I8)/40</f>
        <v>6.5</v>
      </c>
      <c r="K8" s="12">
        <v>6</v>
      </c>
      <c r="L8" s="27"/>
      <c r="M8" s="10" t="str">
        <f>B8</f>
        <v>Furqan</v>
      </c>
      <c r="N8" s="12"/>
      <c r="O8" s="12">
        <v>0</v>
      </c>
      <c r="P8" s="12">
        <v>0</v>
      </c>
      <c r="Q8" s="28">
        <v>0</v>
      </c>
      <c r="R8" s="12">
        <v>60</v>
      </c>
      <c r="S8" s="12">
        <v>0</v>
      </c>
      <c r="T8" s="12"/>
      <c r="U8" s="28">
        <v>60</v>
      </c>
      <c r="V8" s="45">
        <f>SUM(N8:U8)/40</f>
        <v>3</v>
      </c>
      <c r="W8" s="59">
        <v>2</v>
      </c>
    </row>
    <row r="9" spans="1:23" x14ac:dyDescent="0.35">
      <c r="A9" s="27"/>
      <c r="B9" s="10" t="s">
        <v>14</v>
      </c>
      <c r="C9" s="12">
        <v>92</v>
      </c>
      <c r="D9" s="12">
        <v>60</v>
      </c>
      <c r="E9" s="12">
        <v>60</v>
      </c>
      <c r="F9" s="12">
        <v>0</v>
      </c>
      <c r="G9" s="12">
        <v>72</v>
      </c>
      <c r="H9" s="12">
        <v>0</v>
      </c>
      <c r="I9" s="12">
        <v>92</v>
      </c>
      <c r="J9" s="12">
        <f>SUM(C9:F9,G9,H9,I9)/40</f>
        <v>9.4</v>
      </c>
      <c r="K9" s="12">
        <v>4</v>
      </c>
      <c r="L9" s="27"/>
      <c r="M9" s="10" t="str">
        <f>B9</f>
        <v>Salman</v>
      </c>
      <c r="N9" s="12">
        <v>92</v>
      </c>
      <c r="O9" s="12">
        <v>40</v>
      </c>
      <c r="P9" s="12">
        <v>40</v>
      </c>
      <c r="Q9" s="28">
        <v>0</v>
      </c>
      <c r="R9" s="12">
        <v>72</v>
      </c>
      <c r="S9" s="12">
        <v>0</v>
      </c>
      <c r="T9" s="12"/>
      <c r="U9" s="28">
        <v>92</v>
      </c>
      <c r="V9" s="45">
        <f t="shared" ref="V9:V11" si="0">SUM(N9:U9)/40</f>
        <v>8.4</v>
      </c>
      <c r="W9" s="59">
        <v>4</v>
      </c>
    </row>
    <row r="10" spans="1:23" x14ac:dyDescent="0.35">
      <c r="A10" s="27"/>
      <c r="B10" s="10" t="s">
        <v>37</v>
      </c>
      <c r="C10" s="12">
        <v>222</v>
      </c>
      <c r="D10" s="12">
        <v>90</v>
      </c>
      <c r="E10" s="12">
        <v>90</v>
      </c>
      <c r="F10" s="12"/>
      <c r="G10" s="12">
        <v>152</v>
      </c>
      <c r="H10" s="12">
        <v>0</v>
      </c>
      <c r="I10" s="12">
        <v>160</v>
      </c>
      <c r="J10" s="12">
        <f>SUM(C10:F10,G10,H10,I10)/40</f>
        <v>17.850000000000001</v>
      </c>
      <c r="K10" s="12">
        <v>20</v>
      </c>
      <c r="L10" s="27"/>
      <c r="M10" s="10" t="str">
        <f>B10</f>
        <v>Zesahn</v>
      </c>
      <c r="N10" s="12">
        <v>222</v>
      </c>
      <c r="O10" s="12">
        <v>90</v>
      </c>
      <c r="P10" s="12">
        <v>90</v>
      </c>
      <c r="Q10" s="28">
        <v>0</v>
      </c>
      <c r="R10" s="12">
        <v>152</v>
      </c>
      <c r="S10" s="12">
        <v>0</v>
      </c>
      <c r="T10" s="12"/>
      <c r="U10" s="28">
        <v>160</v>
      </c>
      <c r="V10" s="45">
        <f t="shared" si="0"/>
        <v>17.850000000000001</v>
      </c>
      <c r="W10" s="59">
        <v>20</v>
      </c>
    </row>
    <row r="11" spans="1:23" x14ac:dyDescent="0.35">
      <c r="A11" s="11"/>
      <c r="B11" s="11" t="s">
        <v>31</v>
      </c>
      <c r="C11" s="12">
        <v>460</v>
      </c>
      <c r="D11" s="12">
        <v>40</v>
      </c>
      <c r="E11" s="12">
        <v>40</v>
      </c>
      <c r="F11" s="12">
        <v>0</v>
      </c>
      <c r="G11" s="12">
        <v>146</v>
      </c>
      <c r="H11" s="12">
        <v>0</v>
      </c>
      <c r="I11" s="12">
        <v>100</v>
      </c>
      <c r="J11" s="12">
        <f>SUM(C11:F11,G11,H11,I11)/40</f>
        <v>19.649999999999999</v>
      </c>
      <c r="K11" s="12">
        <v>11</v>
      </c>
      <c r="L11" s="11"/>
      <c r="M11" s="10" t="str">
        <f>B11</f>
        <v>Umair</v>
      </c>
      <c r="N11" s="12">
        <v>460</v>
      </c>
      <c r="O11" s="12">
        <v>0</v>
      </c>
      <c r="P11" s="12">
        <v>0</v>
      </c>
      <c r="Q11" s="28">
        <v>0</v>
      </c>
      <c r="R11" s="12">
        <v>86</v>
      </c>
      <c r="S11" s="12">
        <v>0</v>
      </c>
      <c r="T11" s="12"/>
      <c r="U11" s="28">
        <v>80</v>
      </c>
      <c r="V11" s="45">
        <f t="shared" si="0"/>
        <v>15.65</v>
      </c>
      <c r="W11" s="41">
        <v>11</v>
      </c>
    </row>
    <row r="12" spans="1:23" x14ac:dyDescent="0.35">
      <c r="A12" s="11"/>
      <c r="B12" s="11" t="s">
        <v>32</v>
      </c>
      <c r="C12" s="12"/>
      <c r="D12" s="12">
        <v>960</v>
      </c>
      <c r="E12" s="12">
        <v>1480</v>
      </c>
      <c r="F12" s="12">
        <v>0</v>
      </c>
      <c r="G12" s="12">
        <v>1240</v>
      </c>
      <c r="H12" s="12">
        <v>1320</v>
      </c>
      <c r="I12" s="12">
        <v>2080</v>
      </c>
      <c r="J12" s="12">
        <f>SUM(C12:F12,G12,H12,I12)/40</f>
        <v>177</v>
      </c>
      <c r="K12" s="12">
        <v>11</v>
      </c>
      <c r="L12" s="11"/>
      <c r="M12" s="10" t="str">
        <f>B12</f>
        <v xml:space="preserve">Shakoor </v>
      </c>
      <c r="N12" s="12"/>
      <c r="O12" s="12"/>
      <c r="P12" s="12"/>
      <c r="Q12" s="28"/>
      <c r="R12" s="12"/>
      <c r="S12" s="12"/>
      <c r="T12" s="12"/>
      <c r="U12" s="28"/>
      <c r="V12" s="45">
        <v>71</v>
      </c>
      <c r="W12" s="41">
        <v>5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0"/>
      <c r="K13" s="40"/>
      <c r="L13" s="11"/>
      <c r="M13" s="11"/>
      <c r="N13" s="12"/>
      <c r="O13" s="12"/>
      <c r="P13" s="12"/>
      <c r="Q13" s="28"/>
      <c r="R13" s="12"/>
      <c r="S13" s="12"/>
      <c r="T13" s="12"/>
      <c r="U13" s="28"/>
      <c r="V13" s="40"/>
    </row>
    <row r="14" spans="1:23" x14ac:dyDescent="0.35">
      <c r="A14" s="13"/>
      <c r="B14" s="10"/>
      <c r="C14" s="14">
        <f t="shared" ref="C14:I14" si="1">SUM(C8:C13)</f>
        <v>818</v>
      </c>
      <c r="D14" s="14">
        <f t="shared" si="1"/>
        <v>1192</v>
      </c>
      <c r="E14" s="14">
        <f t="shared" si="1"/>
        <v>1712</v>
      </c>
      <c r="F14" s="14">
        <v>1960</v>
      </c>
      <c r="G14" s="14">
        <f t="shared" si="1"/>
        <v>1676</v>
      </c>
      <c r="H14" s="14">
        <f t="shared" si="1"/>
        <v>1320</v>
      </c>
      <c r="I14" s="14">
        <f t="shared" si="1"/>
        <v>2498</v>
      </c>
      <c r="J14" s="35">
        <f>C14+D14+E14+F14+G14+H14+I14</f>
        <v>11176</v>
      </c>
      <c r="L14" s="13"/>
      <c r="M14" s="10"/>
      <c r="N14" s="14">
        <f t="shared" ref="N14:U14" si="2">SUM(N8:N13)</f>
        <v>774</v>
      </c>
      <c r="O14" s="14">
        <f t="shared" si="2"/>
        <v>130</v>
      </c>
      <c r="P14" s="14">
        <f t="shared" si="2"/>
        <v>130</v>
      </c>
      <c r="Q14" s="14">
        <f t="shared" si="2"/>
        <v>0</v>
      </c>
      <c r="R14" s="14">
        <f t="shared" si="2"/>
        <v>370</v>
      </c>
      <c r="S14" s="14">
        <f t="shared" si="2"/>
        <v>0</v>
      </c>
      <c r="T14" s="14">
        <f t="shared" si="2"/>
        <v>0</v>
      </c>
      <c r="U14" s="14">
        <f t="shared" si="2"/>
        <v>392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59.6</v>
      </c>
      <c r="E15" s="13">
        <f t="shared" ref="E15:I15" si="3">E14/20</f>
        <v>85.6</v>
      </c>
      <c r="F15" s="13">
        <f t="shared" si="3"/>
        <v>98</v>
      </c>
      <c r="G15" s="13">
        <f t="shared" si="3"/>
        <v>83.8</v>
      </c>
      <c r="H15" s="13">
        <f t="shared" si="3"/>
        <v>66</v>
      </c>
      <c r="I15" s="13">
        <f t="shared" si="3"/>
        <v>124.9</v>
      </c>
      <c r="L15" s="13"/>
      <c r="M15" s="10" t="s">
        <v>22</v>
      </c>
      <c r="N15" s="13"/>
      <c r="O15" s="13">
        <f>O14/20</f>
        <v>6.5</v>
      </c>
      <c r="P15" s="13">
        <f t="shared" ref="P15" si="4">P14/20</f>
        <v>6.5</v>
      </c>
      <c r="Q15" s="13"/>
      <c r="R15" s="13">
        <f t="shared" ref="R15:T15" si="5">R14/20</f>
        <v>18.5</v>
      </c>
      <c r="S15" s="13">
        <f t="shared" si="5"/>
        <v>0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818</v>
      </c>
      <c r="D16" s="36">
        <f t="shared" ref="D16:I16" si="6">D15+D14</f>
        <v>1251.5999999999999</v>
      </c>
      <c r="E16" s="36">
        <f t="shared" si="6"/>
        <v>1797.6</v>
      </c>
      <c r="F16" s="36">
        <f t="shared" si="6"/>
        <v>2058</v>
      </c>
      <c r="G16" s="36">
        <f t="shared" si="6"/>
        <v>1759.8</v>
      </c>
      <c r="H16" s="36">
        <f t="shared" si="6"/>
        <v>1386</v>
      </c>
      <c r="I16" s="36">
        <f t="shared" si="6"/>
        <v>2622.9</v>
      </c>
      <c r="L16" s="13"/>
      <c r="M16" s="10" t="s">
        <v>21</v>
      </c>
      <c r="N16" s="36">
        <f>N15+N14</f>
        <v>774</v>
      </c>
      <c r="O16" s="36">
        <f t="shared" ref="O16:P16" si="7">O15+O14</f>
        <v>136.5</v>
      </c>
      <c r="P16" s="36">
        <f t="shared" si="7"/>
        <v>136.5</v>
      </c>
      <c r="Q16" s="36"/>
      <c r="R16" s="36">
        <f t="shared" ref="R16:T16" si="8">R15+R14</f>
        <v>388.5</v>
      </c>
      <c r="S16" s="36">
        <f t="shared" si="8"/>
        <v>0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20.45</v>
      </c>
      <c r="D17" s="36">
        <f t="shared" ref="D17:I17" si="9">D14/40</f>
        <v>29.8</v>
      </c>
      <c r="E17" s="36">
        <f t="shared" si="9"/>
        <v>42.8</v>
      </c>
      <c r="F17" s="36">
        <f t="shared" si="9"/>
        <v>49</v>
      </c>
      <c r="G17" s="36">
        <f t="shared" si="9"/>
        <v>41.9</v>
      </c>
      <c r="H17" s="36">
        <f t="shared" si="9"/>
        <v>33</v>
      </c>
      <c r="I17" s="36">
        <f t="shared" si="9"/>
        <v>62.45</v>
      </c>
      <c r="J17" s="35">
        <f>SUM(C17:I17)</f>
        <v>279.40000000000003</v>
      </c>
      <c r="L17" s="13"/>
      <c r="M17" s="39" t="s">
        <v>23</v>
      </c>
      <c r="N17" s="36">
        <f>N14/40</f>
        <v>19.350000000000001</v>
      </c>
      <c r="O17" s="36">
        <f t="shared" ref="O17:P17" si="10">O14/40</f>
        <v>3.25</v>
      </c>
      <c r="P17" s="36">
        <f t="shared" si="10"/>
        <v>3.25</v>
      </c>
      <c r="Q17" s="36"/>
      <c r="R17" s="36">
        <f t="shared" ref="R17:T17" si="11">R14/40</f>
        <v>9.25</v>
      </c>
      <c r="S17" s="36">
        <f t="shared" si="11"/>
        <v>0</v>
      </c>
      <c r="T17" s="36">
        <f t="shared" si="11"/>
        <v>0</v>
      </c>
      <c r="U17" s="36"/>
      <c r="V17" s="35">
        <f>SUM(N17:T17)</f>
        <v>35.1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W19"/>
  <sheetViews>
    <sheetView zoomScaleNormal="100" workbookViewId="0">
      <selection activeCell="R19" sqref="R19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9.5429687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76</v>
      </c>
      <c r="D8" s="12">
        <v>26</v>
      </c>
      <c r="E8" s="12">
        <v>20</v>
      </c>
      <c r="F8" s="12">
        <v>0</v>
      </c>
      <c r="G8" s="12">
        <v>38</v>
      </c>
      <c r="H8" s="12">
        <v>0</v>
      </c>
      <c r="I8" s="12">
        <v>26</v>
      </c>
      <c r="J8" s="44">
        <f>SUM(C8:I8)/40</f>
        <v>4.6500000000000004</v>
      </c>
      <c r="K8" s="44">
        <v>5</v>
      </c>
      <c r="L8" s="27"/>
      <c r="M8" s="10" t="str">
        <f>B8</f>
        <v>Furqan</v>
      </c>
      <c r="N8" s="12">
        <v>76</v>
      </c>
      <c r="O8" s="12">
        <v>26</v>
      </c>
      <c r="P8" s="12">
        <v>20</v>
      </c>
      <c r="Q8" s="28">
        <v>0</v>
      </c>
      <c r="R8" s="12">
        <v>26</v>
      </c>
      <c r="S8" s="12">
        <v>0</v>
      </c>
      <c r="T8" s="12"/>
      <c r="U8" s="28">
        <v>26</v>
      </c>
      <c r="V8">
        <f>SUM(N8:U8)/40</f>
        <v>4.3499999999999996</v>
      </c>
      <c r="W8" s="44">
        <v>4</v>
      </c>
    </row>
    <row r="9" spans="1:23" x14ac:dyDescent="0.35">
      <c r="A9" s="27"/>
      <c r="B9" s="10" t="s">
        <v>14</v>
      </c>
      <c r="C9" s="12">
        <v>155</v>
      </c>
      <c r="D9" s="12">
        <v>20</v>
      </c>
      <c r="E9" s="12">
        <v>70</v>
      </c>
      <c r="F9" s="12">
        <v>0</v>
      </c>
      <c r="G9" s="12">
        <v>70</v>
      </c>
      <c r="H9" s="12">
        <v>0</v>
      </c>
      <c r="I9" s="12">
        <v>95</v>
      </c>
      <c r="J9" s="44">
        <f t="shared" ref="J9:J12" si="0">SUM(C9:I9)/40</f>
        <v>10.25</v>
      </c>
      <c r="K9" s="44">
        <v>5</v>
      </c>
      <c r="L9" s="27"/>
      <c r="M9" s="10" t="str">
        <f>B9</f>
        <v>Salman</v>
      </c>
      <c r="N9" s="12">
        <v>155</v>
      </c>
      <c r="O9" s="12">
        <v>20</v>
      </c>
      <c r="P9" s="12">
        <v>30</v>
      </c>
      <c r="Q9" s="28">
        <v>0</v>
      </c>
      <c r="R9" s="12">
        <v>65</v>
      </c>
      <c r="S9" s="12">
        <v>0</v>
      </c>
      <c r="T9" s="12"/>
      <c r="U9" s="28">
        <v>80</v>
      </c>
      <c r="V9">
        <f t="shared" ref="V9:V12" si="1">SUM(N9:U9)/40</f>
        <v>8.75</v>
      </c>
      <c r="W9" s="44">
        <v>5</v>
      </c>
    </row>
    <row r="10" spans="1:23" x14ac:dyDescent="0.35">
      <c r="A10" s="27"/>
      <c r="B10" s="10" t="s">
        <v>37</v>
      </c>
      <c r="C10" s="12">
        <v>74</v>
      </c>
      <c r="D10" s="12">
        <v>30</v>
      </c>
      <c r="E10" s="12">
        <v>30</v>
      </c>
      <c r="F10" s="12">
        <v>0</v>
      </c>
      <c r="G10" s="12">
        <v>470</v>
      </c>
      <c r="H10" s="12">
        <v>0</v>
      </c>
      <c r="I10" s="12">
        <v>110</v>
      </c>
      <c r="J10" s="44">
        <f t="shared" si="0"/>
        <v>17.850000000000001</v>
      </c>
      <c r="K10" s="44">
        <v>14</v>
      </c>
      <c r="L10" s="27"/>
      <c r="M10" s="10" t="str">
        <f>B10</f>
        <v>Zesahn</v>
      </c>
      <c r="N10" s="12">
        <v>74</v>
      </c>
      <c r="O10" s="12">
        <v>30</v>
      </c>
      <c r="P10" s="12">
        <v>30</v>
      </c>
      <c r="Q10" s="28">
        <v>0</v>
      </c>
      <c r="R10" s="12">
        <v>470</v>
      </c>
      <c r="S10" s="12">
        <v>0</v>
      </c>
      <c r="T10" s="12"/>
      <c r="U10" s="28">
        <v>110</v>
      </c>
      <c r="V10">
        <f t="shared" si="1"/>
        <v>17.850000000000001</v>
      </c>
      <c r="W10" s="44">
        <v>14</v>
      </c>
    </row>
    <row r="11" spans="1:23" x14ac:dyDescent="0.35">
      <c r="A11" s="11"/>
      <c r="B11" s="11" t="s">
        <v>31</v>
      </c>
      <c r="C11" s="12">
        <v>180</v>
      </c>
      <c r="D11" s="12">
        <v>60</v>
      </c>
      <c r="E11" s="12">
        <v>60</v>
      </c>
      <c r="F11" s="12">
        <v>0</v>
      </c>
      <c r="G11" s="12">
        <v>90</v>
      </c>
      <c r="H11" s="12">
        <v>0</v>
      </c>
      <c r="I11" s="12">
        <v>50</v>
      </c>
      <c r="J11" s="44">
        <f t="shared" si="0"/>
        <v>11</v>
      </c>
      <c r="K11" s="44">
        <v>8</v>
      </c>
      <c r="L11" s="11"/>
      <c r="M11" s="10" t="str">
        <f>B11</f>
        <v>Umair</v>
      </c>
      <c r="N11" s="12">
        <v>60</v>
      </c>
      <c r="O11" s="12">
        <v>20</v>
      </c>
      <c r="P11" s="12">
        <v>20</v>
      </c>
      <c r="Q11" s="28">
        <v>0</v>
      </c>
      <c r="R11" s="12">
        <v>30</v>
      </c>
      <c r="S11" s="12">
        <v>0</v>
      </c>
      <c r="T11" s="12"/>
      <c r="U11" s="28">
        <v>30</v>
      </c>
      <c r="V11">
        <f t="shared" si="1"/>
        <v>4</v>
      </c>
      <c r="W11" s="44">
        <v>5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44">
        <f t="shared" si="0"/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4"/>
      <c r="L13" s="11"/>
      <c r="M13" s="11"/>
      <c r="N13" s="12"/>
      <c r="O13" s="12"/>
      <c r="P13" s="12"/>
      <c r="Q13" s="28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2">SUM(C8:C13)</f>
        <v>485</v>
      </c>
      <c r="D14" s="14">
        <f t="shared" si="2"/>
        <v>136</v>
      </c>
      <c r="E14" s="14">
        <f t="shared" si="2"/>
        <v>180</v>
      </c>
      <c r="F14" s="14">
        <f t="shared" si="2"/>
        <v>0</v>
      </c>
      <c r="G14" s="14">
        <f t="shared" si="2"/>
        <v>668</v>
      </c>
      <c r="H14" s="14">
        <f t="shared" si="2"/>
        <v>0</v>
      </c>
      <c r="I14" s="14">
        <f t="shared" si="2"/>
        <v>281</v>
      </c>
      <c r="J14" s="35">
        <f>C14+D14+E14+F14+G14+H14+I14</f>
        <v>1750</v>
      </c>
      <c r="L14" s="13"/>
      <c r="M14" s="10"/>
      <c r="N14" s="14">
        <f t="shared" ref="N14:U14" si="3">SUM(N8:N13)</f>
        <v>365</v>
      </c>
      <c r="O14" s="14">
        <f t="shared" si="3"/>
        <v>96</v>
      </c>
      <c r="P14" s="14">
        <f t="shared" si="3"/>
        <v>100</v>
      </c>
      <c r="Q14" s="14">
        <f t="shared" si="3"/>
        <v>0</v>
      </c>
      <c r="R14" s="14">
        <f t="shared" si="3"/>
        <v>591</v>
      </c>
      <c r="S14" s="14">
        <f t="shared" si="3"/>
        <v>0</v>
      </c>
      <c r="T14" s="14">
        <f t="shared" si="3"/>
        <v>0</v>
      </c>
      <c r="U14" s="14">
        <f t="shared" si="3"/>
        <v>246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6.8</v>
      </c>
      <c r="E15" s="13">
        <f t="shared" ref="E15:I15" si="4">E14/20</f>
        <v>9</v>
      </c>
      <c r="F15" s="13">
        <f t="shared" si="4"/>
        <v>0</v>
      </c>
      <c r="G15" s="13">
        <f t="shared" si="4"/>
        <v>33.4</v>
      </c>
      <c r="H15" s="13">
        <f t="shared" si="4"/>
        <v>0</v>
      </c>
      <c r="I15" s="13">
        <f t="shared" si="4"/>
        <v>14.05</v>
      </c>
      <c r="K15" t="s">
        <v>28</v>
      </c>
      <c r="L15" s="13"/>
      <c r="M15" s="10" t="s">
        <v>22</v>
      </c>
      <c r="N15" s="13"/>
      <c r="O15" s="13">
        <f>O14/20</f>
        <v>4.8</v>
      </c>
      <c r="P15" s="13">
        <f t="shared" ref="P15" si="5">P14/20</f>
        <v>5</v>
      </c>
      <c r="Q15" s="13"/>
      <c r="R15" s="13">
        <f t="shared" ref="R15:T15" si="6">R14/20</f>
        <v>29.55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485</v>
      </c>
      <c r="D16" s="36">
        <f t="shared" ref="D16:I16" si="7">D15+D14</f>
        <v>142.80000000000001</v>
      </c>
      <c r="E16" s="36">
        <f t="shared" si="7"/>
        <v>189</v>
      </c>
      <c r="F16" s="36">
        <f t="shared" si="7"/>
        <v>0</v>
      </c>
      <c r="G16" s="36">
        <f t="shared" si="7"/>
        <v>701.4</v>
      </c>
      <c r="H16" s="36">
        <f t="shared" si="7"/>
        <v>0</v>
      </c>
      <c r="I16" s="36">
        <f t="shared" si="7"/>
        <v>295.05</v>
      </c>
      <c r="L16" s="13"/>
      <c r="M16" s="10" t="s">
        <v>21</v>
      </c>
      <c r="N16" s="36">
        <f>N15+N14</f>
        <v>365</v>
      </c>
      <c r="O16" s="36">
        <f t="shared" ref="O16:P16" si="8">O15+O14</f>
        <v>100.8</v>
      </c>
      <c r="P16" s="36">
        <f t="shared" si="8"/>
        <v>105</v>
      </c>
      <c r="Q16" s="36"/>
      <c r="R16" s="36">
        <f t="shared" ref="R16:T16" si="9">R15+R14</f>
        <v>620.54999999999995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12.125</v>
      </c>
      <c r="D17" s="36">
        <f t="shared" ref="D17:I17" si="10">D14/40</f>
        <v>3.4</v>
      </c>
      <c r="E17" s="36">
        <f t="shared" si="10"/>
        <v>4.5</v>
      </c>
      <c r="F17" s="36">
        <f t="shared" si="10"/>
        <v>0</v>
      </c>
      <c r="G17" s="36">
        <f t="shared" si="10"/>
        <v>16.7</v>
      </c>
      <c r="H17" s="36">
        <f t="shared" si="10"/>
        <v>0</v>
      </c>
      <c r="I17" s="36">
        <f t="shared" si="10"/>
        <v>7.0250000000000004</v>
      </c>
      <c r="J17" s="35">
        <f>SUM(C17:I17)</f>
        <v>43.749999999999993</v>
      </c>
      <c r="L17" s="13"/>
      <c r="M17" s="39" t="s">
        <v>23</v>
      </c>
      <c r="N17" s="36">
        <f>N14/40</f>
        <v>9.125</v>
      </c>
      <c r="O17" s="36">
        <f t="shared" ref="O17:P17" si="11">O14/40</f>
        <v>2.4</v>
      </c>
      <c r="P17" s="36">
        <f t="shared" si="11"/>
        <v>2.5</v>
      </c>
      <c r="Q17" s="36"/>
      <c r="R17" s="36">
        <f t="shared" ref="R17:T17" si="12">R14/40</f>
        <v>14.775</v>
      </c>
      <c r="S17" s="36">
        <f t="shared" si="12"/>
        <v>0</v>
      </c>
      <c r="T17" s="36">
        <f t="shared" si="12"/>
        <v>0</v>
      </c>
      <c r="U17" s="36"/>
      <c r="V17" s="35">
        <f>SUM(N17:T17)</f>
        <v>28.8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X19"/>
  <sheetViews>
    <sheetView zoomScaleNormal="100" workbookViewId="0">
      <selection activeCell="R11" sqref="R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29"/>
      <c r="D8" s="29"/>
      <c r="E8" s="29"/>
      <c r="F8" s="29"/>
      <c r="G8" s="29"/>
      <c r="H8" s="29"/>
      <c r="I8" s="29"/>
      <c r="J8" s="28">
        <f>SUM(G8:I8)/20</f>
        <v>0</v>
      </c>
      <c r="K8">
        <f>SUM(C8:F8,G8,H8,I8)/40</f>
        <v>0</v>
      </c>
      <c r="L8" t="s">
        <v>29</v>
      </c>
      <c r="M8" s="27"/>
      <c r="N8" s="10" t="str">
        <f>B8</f>
        <v>Furqan</v>
      </c>
      <c r="O8" s="29"/>
      <c r="P8" s="29"/>
      <c r="Q8" s="29"/>
      <c r="R8" s="29">
        <f t="shared" ref="R8:R13" si="0">SUM(P8:Q8)/20</f>
        <v>0</v>
      </c>
      <c r="S8" s="29"/>
      <c r="T8" s="29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29"/>
      <c r="D9" s="29"/>
      <c r="E9" s="29"/>
      <c r="F9" s="29"/>
      <c r="G9" s="29"/>
      <c r="H9" s="29"/>
      <c r="I9" s="29"/>
      <c r="J9" s="28">
        <f t="shared" ref="J9:J13" si="1">SUM(G9:I9)/20</f>
        <v>0</v>
      </c>
      <c r="K9">
        <f>SUM(C9:F9,G9,H9,I9)/40</f>
        <v>0</v>
      </c>
      <c r="L9" t="s">
        <v>29</v>
      </c>
      <c r="M9" s="27"/>
      <c r="N9" s="10" t="str">
        <f>B9</f>
        <v>Salman</v>
      </c>
      <c r="O9" s="29"/>
      <c r="P9" s="29"/>
      <c r="Q9" s="29"/>
      <c r="R9" s="29">
        <f t="shared" si="0"/>
        <v>0</v>
      </c>
      <c r="S9" s="29"/>
      <c r="T9" s="29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29"/>
      <c r="D10" s="29"/>
      <c r="E10" s="29"/>
      <c r="F10" s="29"/>
      <c r="G10" s="29"/>
      <c r="H10" s="29"/>
      <c r="I10" s="29"/>
      <c r="J10" s="28">
        <f t="shared" si="1"/>
        <v>0</v>
      </c>
      <c r="K10">
        <f>SUM(C10:F10,G10,H10,I10)/40</f>
        <v>0</v>
      </c>
      <c r="L10" t="s">
        <v>29</v>
      </c>
      <c r="M10" s="27"/>
      <c r="N10" s="10" t="str">
        <f>B10</f>
        <v>Zesahn</v>
      </c>
      <c r="O10" s="29"/>
      <c r="P10" s="29"/>
      <c r="Q10" s="29"/>
      <c r="R10" s="29">
        <f t="shared" si="0"/>
        <v>0</v>
      </c>
      <c r="S10" s="29"/>
      <c r="T10" s="29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29"/>
      <c r="D11" s="29"/>
      <c r="E11" s="29"/>
      <c r="F11" s="29"/>
      <c r="G11" s="29"/>
      <c r="H11" s="29"/>
      <c r="I11" s="29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29"/>
      <c r="P11" s="29"/>
      <c r="Q11" s="29"/>
      <c r="R11" s="29">
        <f t="shared" si="0"/>
        <v>0</v>
      </c>
      <c r="S11" s="29"/>
      <c r="T11" s="29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29"/>
      <c r="D12" s="29"/>
      <c r="E12" s="29"/>
      <c r="F12" s="29"/>
      <c r="G12" s="29"/>
      <c r="H12" s="29"/>
      <c r="I12" s="29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29"/>
      <c r="P12" s="29"/>
      <c r="Q12" s="29"/>
      <c r="R12" s="29">
        <f t="shared" si="0"/>
        <v>0</v>
      </c>
      <c r="S12" s="29"/>
      <c r="T12" s="29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V19"/>
  <sheetViews>
    <sheetView zoomScaleNormal="100" workbookViewId="0">
      <selection activeCell="D10" sqref="D1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</cols>
  <sheetData>
    <row r="1" spans="1:22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3"/>
    </row>
    <row r="3" spans="1:22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2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2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2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2"/>
    </row>
    <row r="7" spans="1:22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8</v>
      </c>
      <c r="R7" s="45" t="s">
        <v>13</v>
      </c>
      <c r="S7" s="45" t="s">
        <v>7</v>
      </c>
      <c r="T7" s="45" t="s">
        <v>8</v>
      </c>
      <c r="U7" s="12" t="s">
        <v>27</v>
      </c>
      <c r="V7" s="12" t="s">
        <v>26</v>
      </c>
    </row>
    <row r="8" spans="1:22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 t="shared" ref="J8:J13" si="0">SUM(C8:F8,G8,H8,I8)/40</f>
        <v>0</v>
      </c>
      <c r="K8" s="44"/>
      <c r="L8" s="27"/>
      <c r="M8" s="10" t="str">
        <f>B8</f>
        <v>Furqan</v>
      </c>
      <c r="N8" s="28"/>
      <c r="O8" s="12"/>
      <c r="P8" s="12"/>
      <c r="Q8" s="12"/>
      <c r="R8" s="12"/>
      <c r="S8" s="12"/>
      <c r="T8" s="12"/>
      <c r="U8">
        <f t="shared" ref="U8:U9" si="1">SUM(N8:T8)/40</f>
        <v>0</v>
      </c>
    </row>
    <row r="9" spans="1:22" x14ac:dyDescent="0.35">
      <c r="A9" s="27"/>
      <c r="B9" s="10" t="s">
        <v>14</v>
      </c>
      <c r="C9" s="12">
        <v>132</v>
      </c>
      <c r="D9" s="12">
        <v>12</v>
      </c>
      <c r="E9" s="12">
        <v>12</v>
      </c>
      <c r="F9" s="12">
        <v>0</v>
      </c>
      <c r="G9" s="12">
        <v>77</v>
      </c>
      <c r="H9" s="12">
        <v>30</v>
      </c>
      <c r="I9" s="12">
        <v>77</v>
      </c>
      <c r="J9">
        <f t="shared" si="0"/>
        <v>8.5</v>
      </c>
      <c r="K9" s="44">
        <v>7</v>
      </c>
      <c r="L9" s="27"/>
      <c r="M9" s="10" t="str">
        <f>B9</f>
        <v>Salman</v>
      </c>
      <c r="N9" s="29"/>
      <c r="O9" s="29"/>
      <c r="P9" s="29"/>
      <c r="Q9" s="29"/>
      <c r="R9" s="29"/>
      <c r="S9" s="29"/>
      <c r="T9" s="29"/>
      <c r="U9">
        <f t="shared" si="1"/>
        <v>0</v>
      </c>
      <c r="V9" s="42" t="s">
        <v>43</v>
      </c>
    </row>
    <row r="10" spans="1:22" x14ac:dyDescent="0.35">
      <c r="A10" s="27"/>
      <c r="B10" s="10" t="s">
        <v>37</v>
      </c>
      <c r="C10" s="12">
        <v>202</v>
      </c>
      <c r="D10" s="12">
        <v>66</v>
      </c>
      <c r="E10" s="12">
        <v>66</v>
      </c>
      <c r="F10" s="12">
        <v>0</v>
      </c>
      <c r="G10" s="12">
        <v>126</v>
      </c>
      <c r="H10" s="12">
        <v>126</v>
      </c>
      <c r="I10" s="12">
        <v>212</v>
      </c>
      <c r="J10">
        <f t="shared" si="0"/>
        <v>19.95</v>
      </c>
      <c r="K10" s="44">
        <v>16</v>
      </c>
      <c r="L10" s="27"/>
      <c r="M10" s="10" t="str">
        <f>B10</f>
        <v>Zesahn</v>
      </c>
      <c r="N10" s="28">
        <v>202</v>
      </c>
      <c r="O10" s="12">
        <v>66</v>
      </c>
      <c r="P10" s="12">
        <v>66</v>
      </c>
      <c r="Q10" s="12">
        <v>0</v>
      </c>
      <c r="R10" s="12">
        <v>126</v>
      </c>
      <c r="S10" s="12">
        <v>126</v>
      </c>
      <c r="T10" s="12">
        <v>212</v>
      </c>
      <c r="U10">
        <f>SUM(N10:T10)/40</f>
        <v>19.95</v>
      </c>
      <c r="V10" s="44">
        <v>16</v>
      </c>
    </row>
    <row r="11" spans="1:22" x14ac:dyDescent="0.35">
      <c r="A11" s="11"/>
      <c r="B11" s="11" t="s">
        <v>31</v>
      </c>
      <c r="C11" s="12">
        <v>420</v>
      </c>
      <c r="D11" s="12">
        <v>86</v>
      </c>
      <c r="E11" s="12">
        <v>86</v>
      </c>
      <c r="F11" s="12">
        <v>0</v>
      </c>
      <c r="G11" s="12">
        <v>160</v>
      </c>
      <c r="H11" s="12">
        <v>80</v>
      </c>
      <c r="I11" s="12">
        <v>80</v>
      </c>
      <c r="J11">
        <f t="shared" si="0"/>
        <v>22.8</v>
      </c>
      <c r="K11" s="41">
        <v>10</v>
      </c>
      <c r="L11" s="11"/>
      <c r="M11" s="10" t="str">
        <f>B11</f>
        <v>Umair</v>
      </c>
      <c r="N11" s="28">
        <v>420</v>
      </c>
      <c r="O11" s="12">
        <v>80</v>
      </c>
      <c r="P11" s="12">
        <v>80</v>
      </c>
      <c r="Q11" s="12">
        <v>0</v>
      </c>
      <c r="R11" s="12">
        <v>120</v>
      </c>
      <c r="S11" s="12">
        <v>40</v>
      </c>
      <c r="T11" s="12">
        <v>40</v>
      </c>
      <c r="U11">
        <f>SUM(N11:T11)/40</f>
        <v>19.5</v>
      </c>
      <c r="V11" s="44">
        <v>10</v>
      </c>
    </row>
    <row r="12" spans="1:22" x14ac:dyDescent="0.35">
      <c r="A12" s="11"/>
      <c r="B12" s="11" t="s">
        <v>32</v>
      </c>
      <c r="C12" s="12"/>
      <c r="D12" s="12">
        <v>1189</v>
      </c>
      <c r="E12" s="12">
        <v>1395</v>
      </c>
      <c r="F12" s="12"/>
      <c r="G12" s="12">
        <v>2398</v>
      </c>
      <c r="H12" s="12">
        <v>2397</v>
      </c>
      <c r="I12" s="12">
        <v>4800</v>
      </c>
      <c r="J12">
        <f t="shared" si="0"/>
        <v>304.47500000000002</v>
      </c>
      <c r="K12" s="41">
        <v>1</v>
      </c>
      <c r="L12" s="11"/>
      <c r="M12" s="10" t="s">
        <v>38</v>
      </c>
      <c r="N12" s="28"/>
      <c r="O12" s="12">
        <f>1189+40</f>
        <v>1229</v>
      </c>
      <c r="P12" s="12">
        <f>1395+40</f>
        <v>1435</v>
      </c>
      <c r="Q12" s="12">
        <v>0</v>
      </c>
      <c r="R12" s="12">
        <f>2398+40</f>
        <v>2438</v>
      </c>
      <c r="S12" s="12">
        <v>2397</v>
      </c>
      <c r="T12" s="12">
        <f>4800+40</f>
        <v>4840</v>
      </c>
      <c r="U12">
        <f>SUM(N12:T12)/40</f>
        <v>308.47500000000002</v>
      </c>
      <c r="V12" s="44">
        <v>1</v>
      </c>
    </row>
    <row r="13" spans="1:22" x14ac:dyDescent="0.35">
      <c r="A13" s="11"/>
      <c r="B13" s="11"/>
      <c r="C13" s="12"/>
      <c r="D13" s="12"/>
      <c r="E13" s="12"/>
      <c r="F13" s="12"/>
      <c r="G13" s="12"/>
      <c r="H13" s="12"/>
      <c r="I13" s="12"/>
      <c r="J13">
        <f t="shared" si="0"/>
        <v>0</v>
      </c>
      <c r="K13" s="41"/>
      <c r="L13" s="11"/>
      <c r="M13" s="11"/>
      <c r="N13" s="12"/>
      <c r="O13" s="12"/>
      <c r="P13" s="12"/>
      <c r="Q13" s="12"/>
      <c r="R13" s="12"/>
      <c r="S13" s="12"/>
      <c r="T13" s="12"/>
      <c r="U13">
        <f>SUM(N13:T13)/40</f>
        <v>0</v>
      </c>
    </row>
    <row r="14" spans="1:22" x14ac:dyDescent="0.35">
      <c r="A14" s="13"/>
      <c r="B14" s="10"/>
      <c r="C14" s="14">
        <f t="shared" ref="C14:I14" si="2">SUM(C8:C13)</f>
        <v>754</v>
      </c>
      <c r="D14" s="14">
        <f t="shared" si="2"/>
        <v>1353</v>
      </c>
      <c r="E14" s="14">
        <f t="shared" si="2"/>
        <v>1559</v>
      </c>
      <c r="F14" s="14">
        <f t="shared" si="2"/>
        <v>0</v>
      </c>
      <c r="G14" s="14">
        <f t="shared" si="2"/>
        <v>2761</v>
      </c>
      <c r="H14" s="14">
        <f t="shared" si="2"/>
        <v>2633</v>
      </c>
      <c r="I14" s="14">
        <f t="shared" si="2"/>
        <v>5169</v>
      </c>
      <c r="J14" s="35">
        <f>C14+D14+E14+F14+G14+H14+I14</f>
        <v>14229</v>
      </c>
      <c r="L14" s="13"/>
      <c r="M14" s="10"/>
      <c r="N14" s="14">
        <f t="shared" ref="N14:T14" si="3">SUM(N8:N13)</f>
        <v>622</v>
      </c>
      <c r="O14" s="14">
        <f t="shared" si="3"/>
        <v>1375</v>
      </c>
      <c r="P14" s="14">
        <f t="shared" si="3"/>
        <v>1581</v>
      </c>
      <c r="Q14" s="14">
        <f t="shared" si="3"/>
        <v>0</v>
      </c>
      <c r="R14" s="14">
        <f t="shared" si="3"/>
        <v>2684</v>
      </c>
      <c r="S14" s="14">
        <f t="shared" si="3"/>
        <v>2563</v>
      </c>
      <c r="T14" s="14">
        <f t="shared" si="3"/>
        <v>5092</v>
      </c>
      <c r="U14" s="35" t="e">
        <f>N14+O14+P14+#REF!+R14+S14+#REF!</f>
        <v>#REF!</v>
      </c>
    </row>
    <row r="15" spans="1:22" x14ac:dyDescent="0.35">
      <c r="A15" s="13"/>
      <c r="B15" s="10" t="s">
        <v>22</v>
      </c>
      <c r="C15" s="13"/>
      <c r="D15" s="13">
        <f>D14/20</f>
        <v>67.650000000000006</v>
      </c>
      <c r="E15" s="13">
        <f t="shared" ref="E15:I15" si="4">E14/20</f>
        <v>77.95</v>
      </c>
      <c r="F15" s="13">
        <f t="shared" si="4"/>
        <v>0</v>
      </c>
      <c r="G15" s="13">
        <f t="shared" si="4"/>
        <v>138.05000000000001</v>
      </c>
      <c r="H15" s="13">
        <f t="shared" si="4"/>
        <v>131.65</v>
      </c>
      <c r="I15" s="13">
        <f t="shared" si="4"/>
        <v>258.45</v>
      </c>
      <c r="L15" s="13"/>
      <c r="M15" s="10" t="s">
        <v>22</v>
      </c>
      <c r="N15" s="13"/>
      <c r="O15" s="13">
        <f>O14/20</f>
        <v>68.75</v>
      </c>
      <c r="P15" s="13">
        <f t="shared" ref="P15" si="5">P14/20</f>
        <v>79.05</v>
      </c>
      <c r="Q15" s="13"/>
      <c r="R15" s="13">
        <f t="shared" ref="R15:S15" si="6">R14/20</f>
        <v>134.19999999999999</v>
      </c>
      <c r="S15" s="13">
        <f t="shared" si="6"/>
        <v>128.15</v>
      </c>
      <c r="T15" s="13"/>
    </row>
    <row r="16" spans="1:22" x14ac:dyDescent="0.35">
      <c r="A16" s="13"/>
      <c r="B16" s="10" t="s">
        <v>21</v>
      </c>
      <c r="C16" s="36">
        <f>C15+C14</f>
        <v>754</v>
      </c>
      <c r="D16" s="36">
        <f t="shared" ref="D16:I16" si="7">D15+D14</f>
        <v>1420.65</v>
      </c>
      <c r="E16" s="36">
        <f t="shared" si="7"/>
        <v>1636.95</v>
      </c>
      <c r="F16" s="36">
        <f t="shared" si="7"/>
        <v>0</v>
      </c>
      <c r="G16" s="36">
        <f t="shared" si="7"/>
        <v>2899.05</v>
      </c>
      <c r="H16" s="36">
        <f t="shared" si="7"/>
        <v>2764.65</v>
      </c>
      <c r="I16" s="36">
        <f t="shared" si="7"/>
        <v>5427.45</v>
      </c>
      <c r="L16" s="13"/>
      <c r="M16" s="10" t="s">
        <v>21</v>
      </c>
      <c r="N16" s="36">
        <f>N15+N14</f>
        <v>622</v>
      </c>
      <c r="O16" s="36">
        <f t="shared" ref="O16:P16" si="8">O15+O14</f>
        <v>1443.75</v>
      </c>
      <c r="P16" s="36">
        <f t="shared" si="8"/>
        <v>1660.05</v>
      </c>
      <c r="Q16" s="36"/>
      <c r="R16" s="36">
        <f t="shared" ref="R16:S16" si="9">R15+R14</f>
        <v>2818.2</v>
      </c>
      <c r="S16" s="36">
        <f t="shared" si="9"/>
        <v>2691.15</v>
      </c>
      <c r="T16" s="36"/>
    </row>
    <row r="17" spans="1:21" x14ac:dyDescent="0.35">
      <c r="A17" s="13"/>
      <c r="B17" s="39" t="s">
        <v>23</v>
      </c>
      <c r="C17" s="36">
        <f>C14/40</f>
        <v>18.850000000000001</v>
      </c>
      <c r="D17" s="36">
        <f t="shared" ref="D17:I17" si="10">D14/40</f>
        <v>33.825000000000003</v>
      </c>
      <c r="E17" s="36">
        <f t="shared" si="10"/>
        <v>38.975000000000001</v>
      </c>
      <c r="F17" s="36">
        <f t="shared" si="10"/>
        <v>0</v>
      </c>
      <c r="G17" s="36">
        <f t="shared" si="10"/>
        <v>69.025000000000006</v>
      </c>
      <c r="H17" s="36">
        <f t="shared" si="10"/>
        <v>65.825000000000003</v>
      </c>
      <c r="I17" s="36">
        <f t="shared" si="10"/>
        <v>129.22499999999999</v>
      </c>
      <c r="J17" s="35">
        <f>SUM(C17:I17)</f>
        <v>355.72500000000002</v>
      </c>
      <c r="L17" s="13"/>
      <c r="M17" s="39" t="s">
        <v>23</v>
      </c>
      <c r="N17" s="36">
        <f>N14/40</f>
        <v>15.55</v>
      </c>
      <c r="O17" s="36">
        <f t="shared" ref="O17:P17" si="11">O14/40</f>
        <v>34.375</v>
      </c>
      <c r="P17" s="36">
        <f t="shared" si="11"/>
        <v>39.524999999999999</v>
      </c>
      <c r="Q17" s="36"/>
      <c r="R17" s="36">
        <f t="shared" ref="R17:S17" si="12">R14/40</f>
        <v>67.099999999999994</v>
      </c>
      <c r="S17" s="36">
        <f t="shared" si="12"/>
        <v>64.075000000000003</v>
      </c>
      <c r="T17" s="36"/>
      <c r="U17" s="35">
        <f>SUM(N17:S17)</f>
        <v>220.625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AA19"/>
  <sheetViews>
    <sheetView zoomScaleNormal="100" workbookViewId="0">
      <selection activeCell="W10" sqref="W1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  <col min="20" max="20" width="0" hidden="1" customWidth="1"/>
  </cols>
  <sheetData>
    <row r="1" spans="1:27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7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7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7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7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7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7" x14ac:dyDescent="0.35">
      <c r="A8" s="27"/>
      <c r="B8" s="10" t="s">
        <v>17</v>
      </c>
      <c r="C8" s="28">
        <v>95</v>
      </c>
      <c r="D8" s="12">
        <v>34</v>
      </c>
      <c r="E8" s="12">
        <v>39</v>
      </c>
      <c r="F8" s="12">
        <v>0</v>
      </c>
      <c r="G8" s="12">
        <v>43</v>
      </c>
      <c r="H8" s="12">
        <v>48</v>
      </c>
      <c r="I8" s="12">
        <v>53</v>
      </c>
      <c r="J8">
        <f>SUM(C8:F8,G8,H8,I8)/40</f>
        <v>7.8</v>
      </c>
      <c r="K8" s="44">
        <v>7</v>
      </c>
      <c r="L8" s="27"/>
      <c r="M8" s="10" t="str">
        <f>B8</f>
        <v>Furqan</v>
      </c>
      <c r="N8" s="28">
        <v>95</v>
      </c>
      <c r="O8" s="12">
        <v>34</v>
      </c>
      <c r="P8" s="12">
        <v>39</v>
      </c>
      <c r="Q8" s="12">
        <v>0</v>
      </c>
      <c r="R8" s="12">
        <v>43</v>
      </c>
      <c r="S8" s="12">
        <v>48</v>
      </c>
      <c r="T8" s="12"/>
      <c r="U8" s="12">
        <v>53</v>
      </c>
      <c r="V8">
        <f>SUM(N8:U8)/40</f>
        <v>7.8</v>
      </c>
      <c r="W8" s="44">
        <v>7</v>
      </c>
      <c r="Y8" t="s">
        <v>40</v>
      </c>
      <c r="Z8" t="s">
        <v>41</v>
      </c>
      <c r="AA8" t="s">
        <v>42</v>
      </c>
    </row>
    <row r="9" spans="1:27" x14ac:dyDescent="0.35">
      <c r="A9" s="27"/>
      <c r="B9" s="10" t="s">
        <v>14</v>
      </c>
      <c r="C9" s="28">
        <v>40</v>
      </c>
      <c r="D9" s="12">
        <v>40</v>
      </c>
      <c r="E9" s="12">
        <v>40</v>
      </c>
      <c r="F9" s="12">
        <v>0</v>
      </c>
      <c r="G9" s="12">
        <v>85</v>
      </c>
      <c r="H9" s="12">
        <v>60</v>
      </c>
      <c r="I9" s="12">
        <v>135</v>
      </c>
      <c r="J9">
        <f>SUM(C9:F9,G9,H9,I9)/40</f>
        <v>10</v>
      </c>
      <c r="K9" s="44">
        <v>3</v>
      </c>
      <c r="L9" s="27"/>
      <c r="M9" s="10" t="str">
        <f>B9</f>
        <v>Salman</v>
      </c>
      <c r="N9" s="28"/>
      <c r="O9" s="12">
        <v>0</v>
      </c>
      <c r="P9" s="12">
        <v>0</v>
      </c>
      <c r="Q9" s="12">
        <v>0</v>
      </c>
      <c r="R9" s="12">
        <v>70</v>
      </c>
      <c r="S9" s="12">
        <v>50</v>
      </c>
      <c r="T9" s="12"/>
      <c r="U9" s="12">
        <v>120</v>
      </c>
      <c r="V9">
        <f t="shared" ref="V9:V13" si="0">SUM(N9:U9)/40</f>
        <v>6</v>
      </c>
      <c r="W9" s="44">
        <v>2</v>
      </c>
      <c r="Y9">
        <v>300</v>
      </c>
      <c r="Z9">
        <v>200</v>
      </c>
      <c r="AA9">
        <v>400</v>
      </c>
    </row>
    <row r="10" spans="1:27" x14ac:dyDescent="0.35">
      <c r="A10" s="27"/>
      <c r="B10" s="10" t="s">
        <v>37</v>
      </c>
      <c r="C10" s="28">
        <v>244</v>
      </c>
      <c r="D10" s="12">
        <v>40</v>
      </c>
      <c r="E10" s="12">
        <v>0</v>
      </c>
      <c r="F10" s="12">
        <v>0</v>
      </c>
      <c r="G10" s="12">
        <v>105</v>
      </c>
      <c r="H10" s="12">
        <v>60</v>
      </c>
      <c r="I10" s="12">
        <v>35</v>
      </c>
      <c r="J10">
        <f>SUM(C10:F10,G10,H10,I10)/40</f>
        <v>12.1</v>
      </c>
      <c r="K10" s="44">
        <v>11</v>
      </c>
      <c r="L10" s="27"/>
      <c r="M10" s="10" t="str">
        <f>B10</f>
        <v>Zesahn</v>
      </c>
      <c r="N10" s="28">
        <v>144</v>
      </c>
      <c r="O10" s="12">
        <v>40</v>
      </c>
      <c r="P10" s="12">
        <v>0</v>
      </c>
      <c r="Q10" s="12">
        <v>0</v>
      </c>
      <c r="R10" s="12">
        <v>95</v>
      </c>
      <c r="S10" s="12">
        <v>50</v>
      </c>
      <c r="T10" s="12"/>
      <c r="U10" s="12">
        <v>15</v>
      </c>
      <c r="V10">
        <f t="shared" si="0"/>
        <v>8.6</v>
      </c>
      <c r="W10" s="44">
        <v>11</v>
      </c>
    </row>
    <row r="11" spans="1:27" x14ac:dyDescent="0.35">
      <c r="A11" s="11"/>
      <c r="B11" s="11" t="s">
        <v>31</v>
      </c>
      <c r="C11" s="28">
        <v>262</v>
      </c>
      <c r="D11" s="12">
        <v>10</v>
      </c>
      <c r="E11" s="12">
        <v>10</v>
      </c>
      <c r="F11" s="12">
        <v>0</v>
      </c>
      <c r="G11" s="12">
        <v>20</v>
      </c>
      <c r="H11" s="12">
        <v>0</v>
      </c>
      <c r="I11" s="12">
        <v>20</v>
      </c>
      <c r="J11">
        <f>SUM(C11:F11,G11,H11,I11)/40</f>
        <v>8.0500000000000007</v>
      </c>
      <c r="K11" s="44">
        <v>8</v>
      </c>
      <c r="L11" s="11"/>
      <c r="M11" s="10" t="str">
        <f>B11</f>
        <v>Umair</v>
      </c>
      <c r="N11" s="28">
        <v>158</v>
      </c>
      <c r="O11" s="12">
        <v>10</v>
      </c>
      <c r="P11" s="12">
        <v>10</v>
      </c>
      <c r="Q11" s="12">
        <v>0</v>
      </c>
      <c r="R11" s="12">
        <v>20</v>
      </c>
      <c r="S11" s="12">
        <v>0</v>
      </c>
      <c r="T11" s="12"/>
      <c r="U11" s="12">
        <v>20</v>
      </c>
      <c r="V11">
        <f t="shared" si="0"/>
        <v>5.45</v>
      </c>
      <c r="W11" s="41">
        <v>6</v>
      </c>
    </row>
    <row r="12" spans="1:27" x14ac:dyDescent="0.35">
      <c r="A12" s="11"/>
      <c r="B12" s="11" t="s">
        <v>32</v>
      </c>
      <c r="C12" s="28"/>
      <c r="D12" s="12">
        <v>800</v>
      </c>
      <c r="E12" s="12">
        <v>1280</v>
      </c>
      <c r="F12" s="12"/>
      <c r="G12" s="12">
        <v>1040</v>
      </c>
      <c r="H12" s="12">
        <v>1280</v>
      </c>
      <c r="I12" s="12">
        <v>1520</v>
      </c>
      <c r="J12">
        <f>SUM(C12:F12,G12,H12,I12)/40</f>
        <v>148</v>
      </c>
      <c r="K12" s="44">
        <v>7</v>
      </c>
      <c r="L12" s="11"/>
      <c r="M12" s="10" t="str">
        <f>B12</f>
        <v xml:space="preserve">Shakoor </v>
      </c>
      <c r="N12" s="28"/>
      <c r="O12" s="12"/>
      <c r="P12" s="12"/>
      <c r="Q12" s="12"/>
      <c r="R12" s="12"/>
      <c r="S12" s="12"/>
      <c r="T12" s="12"/>
      <c r="U12" s="12"/>
      <c r="V12">
        <f t="shared" si="0"/>
        <v>0</v>
      </c>
    </row>
    <row r="13" spans="1:27" x14ac:dyDescent="0.35">
      <c r="A13" s="11"/>
      <c r="B13" s="11"/>
      <c r="C13" s="28"/>
      <c r="D13" s="12"/>
      <c r="E13" s="12"/>
      <c r="F13" s="12"/>
      <c r="G13" s="12"/>
      <c r="H13" s="12"/>
      <c r="I13" s="12"/>
      <c r="L13" s="11"/>
      <c r="M13" s="11"/>
      <c r="N13" s="28"/>
      <c r="O13" s="12"/>
      <c r="P13" s="12"/>
      <c r="Q13" s="12"/>
      <c r="R13" s="12"/>
      <c r="S13" s="12"/>
      <c r="T13" s="12"/>
      <c r="U13" s="12"/>
      <c r="V13">
        <f t="shared" si="0"/>
        <v>0</v>
      </c>
    </row>
    <row r="14" spans="1:27" x14ac:dyDescent="0.35">
      <c r="A14" s="13"/>
      <c r="B14" s="10"/>
      <c r="C14" s="14">
        <f t="shared" ref="C14:I14" si="1">SUM(C8:C13)</f>
        <v>641</v>
      </c>
      <c r="D14" s="14">
        <f t="shared" si="1"/>
        <v>924</v>
      </c>
      <c r="E14" s="14">
        <f t="shared" si="1"/>
        <v>1369</v>
      </c>
      <c r="F14" s="14">
        <f t="shared" si="1"/>
        <v>0</v>
      </c>
      <c r="G14" s="14">
        <f t="shared" si="1"/>
        <v>1293</v>
      </c>
      <c r="H14" s="14">
        <f t="shared" si="1"/>
        <v>1448</v>
      </c>
      <c r="I14" s="14">
        <f t="shared" si="1"/>
        <v>1763</v>
      </c>
      <c r="J14" s="35">
        <f>C14+D14+E14+F14+G14+H14+I14</f>
        <v>7438</v>
      </c>
      <c r="L14" s="13"/>
      <c r="M14" s="10"/>
      <c r="N14" s="14">
        <f t="shared" ref="N14:U14" si="2">SUM(N8:N13)</f>
        <v>397</v>
      </c>
      <c r="O14" s="14">
        <f t="shared" si="2"/>
        <v>84</v>
      </c>
      <c r="P14" s="14">
        <f t="shared" si="2"/>
        <v>49</v>
      </c>
      <c r="Q14" s="14">
        <f t="shared" si="2"/>
        <v>0</v>
      </c>
      <c r="R14" s="14">
        <f t="shared" si="2"/>
        <v>228</v>
      </c>
      <c r="S14" s="14">
        <f t="shared" si="2"/>
        <v>148</v>
      </c>
      <c r="T14" s="14">
        <f t="shared" si="2"/>
        <v>0</v>
      </c>
      <c r="U14" s="14">
        <f t="shared" si="2"/>
        <v>208</v>
      </c>
      <c r="V14" s="35" t="e">
        <f>N14+O14+P14+#REF!+R14+S14+T14</f>
        <v>#REF!</v>
      </c>
    </row>
    <row r="15" spans="1:27" x14ac:dyDescent="0.35">
      <c r="A15" s="13"/>
      <c r="B15" s="10" t="s">
        <v>22</v>
      </c>
      <c r="C15" s="13"/>
      <c r="D15" s="13">
        <f>D14/20</f>
        <v>46.2</v>
      </c>
      <c r="E15" s="13">
        <f t="shared" ref="E15:I15" si="3">E14/20</f>
        <v>68.45</v>
      </c>
      <c r="F15" s="13">
        <f t="shared" si="3"/>
        <v>0</v>
      </c>
      <c r="G15" s="13">
        <f t="shared" si="3"/>
        <v>64.650000000000006</v>
      </c>
      <c r="H15" s="13">
        <f t="shared" si="3"/>
        <v>72.400000000000006</v>
      </c>
      <c r="I15" s="13">
        <f t="shared" si="3"/>
        <v>88.15</v>
      </c>
      <c r="L15" s="13"/>
      <c r="M15" s="10" t="s">
        <v>22</v>
      </c>
      <c r="N15" s="13"/>
      <c r="O15" s="13">
        <f>O14/20</f>
        <v>4.2</v>
      </c>
      <c r="P15" s="13">
        <f t="shared" ref="P15" si="4">P14/20</f>
        <v>2.4500000000000002</v>
      </c>
      <c r="Q15" s="13"/>
      <c r="R15" s="13">
        <f t="shared" ref="R15:T15" si="5">R14/20</f>
        <v>11.4</v>
      </c>
      <c r="S15" s="13">
        <f t="shared" si="5"/>
        <v>7.4</v>
      </c>
      <c r="T15" s="13">
        <f t="shared" si="5"/>
        <v>0</v>
      </c>
      <c r="U15" s="13"/>
    </row>
    <row r="16" spans="1:27" x14ac:dyDescent="0.35">
      <c r="A16" s="13"/>
      <c r="B16" s="10" t="s">
        <v>21</v>
      </c>
      <c r="C16" s="36">
        <f>C15+C14</f>
        <v>641</v>
      </c>
      <c r="D16" s="36">
        <f t="shared" ref="D16:I16" si="6">D15+D14</f>
        <v>970.2</v>
      </c>
      <c r="E16" s="36">
        <f t="shared" si="6"/>
        <v>1437.45</v>
      </c>
      <c r="F16" s="36">
        <f t="shared" si="6"/>
        <v>0</v>
      </c>
      <c r="G16" s="36">
        <f t="shared" si="6"/>
        <v>1357.65</v>
      </c>
      <c r="H16" s="36">
        <f t="shared" si="6"/>
        <v>1520.4</v>
      </c>
      <c r="I16" s="36">
        <f t="shared" si="6"/>
        <v>1851.15</v>
      </c>
      <c r="L16" s="13"/>
      <c r="M16" s="10" t="s">
        <v>21</v>
      </c>
      <c r="N16" s="36">
        <f>N15+N14</f>
        <v>397</v>
      </c>
      <c r="O16" s="36">
        <f t="shared" ref="O16:P16" si="7">O15+O14</f>
        <v>88.2</v>
      </c>
      <c r="P16" s="36">
        <f t="shared" si="7"/>
        <v>51.45</v>
      </c>
      <c r="Q16" s="36"/>
      <c r="R16" s="36">
        <f t="shared" ref="R16:T16" si="8">R15+R14</f>
        <v>239.4</v>
      </c>
      <c r="S16" s="36">
        <f t="shared" si="8"/>
        <v>155.4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16.024999999999999</v>
      </c>
      <c r="D17" s="36">
        <f t="shared" ref="D17:I17" si="9">D14/40</f>
        <v>23.1</v>
      </c>
      <c r="E17" s="36">
        <f t="shared" si="9"/>
        <v>34.225000000000001</v>
      </c>
      <c r="F17" s="36">
        <f t="shared" si="9"/>
        <v>0</v>
      </c>
      <c r="G17" s="36">
        <f t="shared" si="9"/>
        <v>32.325000000000003</v>
      </c>
      <c r="H17" s="36">
        <f t="shared" si="9"/>
        <v>36.200000000000003</v>
      </c>
      <c r="I17" s="36">
        <f t="shared" si="9"/>
        <v>44.075000000000003</v>
      </c>
      <c r="J17" s="35">
        <f>SUM(C17:I17)</f>
        <v>185.95</v>
      </c>
      <c r="L17" s="13"/>
      <c r="M17" s="39" t="s">
        <v>23</v>
      </c>
      <c r="N17" s="36">
        <f>N14/40</f>
        <v>9.9250000000000007</v>
      </c>
      <c r="O17" s="36">
        <f t="shared" ref="O17:P17" si="10">O14/40</f>
        <v>2.1</v>
      </c>
      <c r="P17" s="36">
        <f t="shared" si="10"/>
        <v>1.2250000000000001</v>
      </c>
      <c r="Q17" s="36"/>
      <c r="R17" s="36">
        <f t="shared" ref="R17:T17" si="11">R14/40</f>
        <v>5.7</v>
      </c>
      <c r="S17" s="36">
        <f t="shared" si="11"/>
        <v>3.7</v>
      </c>
      <c r="T17" s="36">
        <f t="shared" si="11"/>
        <v>0</v>
      </c>
      <c r="U17" s="36"/>
      <c r="V17" s="35">
        <f>SUM(N17:T17)</f>
        <v>22.65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W19"/>
  <sheetViews>
    <sheetView zoomScaleNormal="100" workbookViewId="0">
      <selection activeCell="Q19" sqref="Q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3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8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28"/>
      <c r="D8" s="12"/>
      <c r="E8" s="12"/>
      <c r="F8" s="12"/>
      <c r="G8" s="12"/>
      <c r="H8" s="12"/>
      <c r="I8" s="12"/>
      <c r="J8">
        <f>SUM(C8:F8,G8,H8,I8)/40</f>
        <v>0</v>
      </c>
      <c r="K8" s="46"/>
      <c r="L8" s="27"/>
      <c r="M8" s="10" t="str">
        <f>B8</f>
        <v>Furqan</v>
      </c>
      <c r="N8" s="28"/>
      <c r="O8" s="12"/>
      <c r="P8" s="12"/>
      <c r="Q8" s="12"/>
      <c r="R8" s="12"/>
      <c r="S8" s="12"/>
      <c r="T8" s="12"/>
      <c r="U8" s="12"/>
      <c r="V8">
        <f>SUM(N8:U8)/40</f>
        <v>0</v>
      </c>
    </row>
    <row r="9" spans="1:23" x14ac:dyDescent="0.35">
      <c r="A9" s="27"/>
      <c r="B9" s="10" t="s">
        <v>14</v>
      </c>
      <c r="C9" s="28"/>
      <c r="D9" s="12"/>
      <c r="E9" s="12"/>
      <c r="F9" s="12"/>
      <c r="G9" s="12"/>
      <c r="H9" s="12"/>
      <c r="I9" s="12"/>
      <c r="J9">
        <f>SUM(C9:F9,G9,H9,I9)/40</f>
        <v>0</v>
      </c>
      <c r="K9" s="46"/>
      <c r="L9" s="27"/>
      <c r="M9" s="10" t="str">
        <f>B9</f>
        <v>Salman</v>
      </c>
      <c r="N9" s="28"/>
      <c r="O9" s="12"/>
      <c r="P9" s="12"/>
      <c r="Q9" s="12"/>
      <c r="R9" s="12"/>
      <c r="S9" s="12"/>
      <c r="T9" s="12"/>
      <c r="U9" s="12"/>
      <c r="V9">
        <f t="shared" ref="V9:V13" si="0">SUM(N9:U9)/40</f>
        <v>0</v>
      </c>
    </row>
    <row r="10" spans="1:23" x14ac:dyDescent="0.35">
      <c r="A10" s="27"/>
      <c r="B10" s="10" t="s">
        <v>37</v>
      </c>
      <c r="C10" s="28">
        <v>70</v>
      </c>
      <c r="D10" s="12">
        <v>0</v>
      </c>
      <c r="E10" s="12">
        <v>10</v>
      </c>
      <c r="F10" s="12">
        <v>0</v>
      </c>
      <c r="G10" s="12">
        <v>82</v>
      </c>
      <c r="H10" s="12">
        <v>65</v>
      </c>
      <c r="I10" s="12">
        <v>130</v>
      </c>
      <c r="J10">
        <f>SUM(C10:F10,G10,H10,I10)/40</f>
        <v>8.9250000000000007</v>
      </c>
      <c r="K10" s="46">
        <v>17</v>
      </c>
      <c r="L10" s="27"/>
      <c r="M10" s="10" t="str">
        <f>B10</f>
        <v>Zesahn</v>
      </c>
      <c r="N10" s="28">
        <v>70</v>
      </c>
      <c r="O10" s="12">
        <v>0</v>
      </c>
      <c r="P10" s="12">
        <v>10</v>
      </c>
      <c r="Q10" s="12">
        <v>0</v>
      </c>
      <c r="R10" s="12">
        <v>96</v>
      </c>
      <c r="S10" s="12">
        <v>85</v>
      </c>
      <c r="T10" s="12"/>
      <c r="U10" s="12">
        <v>130</v>
      </c>
      <c r="V10">
        <f t="shared" si="0"/>
        <v>9.7750000000000004</v>
      </c>
      <c r="W10" s="44">
        <v>16</v>
      </c>
    </row>
    <row r="11" spans="1:23" x14ac:dyDescent="0.35">
      <c r="A11" s="11"/>
      <c r="B11" s="10" t="s">
        <v>31</v>
      </c>
      <c r="C11" s="28">
        <v>212</v>
      </c>
      <c r="D11" s="12">
        <v>10</v>
      </c>
      <c r="E11" s="12">
        <v>10</v>
      </c>
      <c r="F11" s="12">
        <v>0</v>
      </c>
      <c r="G11" s="12">
        <v>38</v>
      </c>
      <c r="H11" s="12">
        <v>66</v>
      </c>
      <c r="I11" s="12">
        <v>58</v>
      </c>
      <c r="J11">
        <f>SUM(C11:F11,G11,H11,I11)/40</f>
        <v>9.85</v>
      </c>
      <c r="K11" s="46">
        <v>10</v>
      </c>
      <c r="L11" s="11"/>
      <c r="M11" s="10" t="str">
        <f>B11</f>
        <v>Umair</v>
      </c>
      <c r="N11" s="28">
        <v>126</v>
      </c>
      <c r="O11" s="12">
        <v>10</v>
      </c>
      <c r="P11" s="12">
        <v>10</v>
      </c>
      <c r="Q11" s="12">
        <v>0</v>
      </c>
      <c r="R11" s="12">
        <v>32</v>
      </c>
      <c r="S11" s="12">
        <v>60</v>
      </c>
      <c r="T11" s="12"/>
      <c r="U11" s="12">
        <v>52</v>
      </c>
      <c r="V11">
        <f t="shared" si="0"/>
        <v>7.25</v>
      </c>
      <c r="W11" s="44">
        <v>7</v>
      </c>
    </row>
    <row r="12" spans="1:23" x14ac:dyDescent="0.35">
      <c r="A12" s="11"/>
      <c r="B12" s="10" t="s">
        <v>19</v>
      </c>
      <c r="C12" s="28"/>
      <c r="D12" s="12"/>
      <c r="E12" s="12"/>
      <c r="F12" s="12"/>
      <c r="G12" s="12"/>
      <c r="H12" s="12"/>
      <c r="I12" s="12"/>
      <c r="J12">
        <f>SUM(C12:F12,G12,H12,I12)/40</f>
        <v>0</v>
      </c>
      <c r="K12" s="46"/>
      <c r="L12" s="11"/>
      <c r="M12" s="10" t="str">
        <f>B12</f>
        <v>Mubeen</v>
      </c>
      <c r="N12" s="28"/>
      <c r="O12" s="12"/>
      <c r="P12" s="12"/>
      <c r="Q12" s="12"/>
      <c r="R12" s="12"/>
      <c r="S12" s="12"/>
      <c r="T12" s="12"/>
      <c r="U12" s="12"/>
      <c r="V12">
        <f t="shared" si="0"/>
        <v>0</v>
      </c>
    </row>
    <row r="13" spans="1:23" x14ac:dyDescent="0.35">
      <c r="A13" s="11"/>
      <c r="B13" s="11"/>
      <c r="C13" s="28"/>
      <c r="D13" s="12"/>
      <c r="E13" s="12"/>
      <c r="F13" s="12"/>
      <c r="G13" s="12"/>
      <c r="H13" s="12"/>
      <c r="I13" s="12"/>
      <c r="L13" s="11"/>
      <c r="M13" s="11"/>
      <c r="N13" s="28"/>
      <c r="O13" s="12"/>
      <c r="P13" s="12"/>
      <c r="Q13" s="12"/>
      <c r="R13" s="12"/>
      <c r="S13" s="12"/>
      <c r="T13" s="12"/>
      <c r="U13" s="12"/>
      <c r="V13">
        <f t="shared" si="0"/>
        <v>0</v>
      </c>
    </row>
    <row r="14" spans="1:23" x14ac:dyDescent="0.35">
      <c r="A14" s="13"/>
      <c r="B14" s="10"/>
      <c r="C14" s="14">
        <f t="shared" ref="C14:I14" si="1">SUM(C8:C13)</f>
        <v>282</v>
      </c>
      <c r="D14" s="14">
        <f t="shared" si="1"/>
        <v>10</v>
      </c>
      <c r="E14" s="14">
        <f t="shared" si="1"/>
        <v>20</v>
      </c>
      <c r="F14" s="14">
        <f t="shared" si="1"/>
        <v>0</v>
      </c>
      <c r="G14" s="14">
        <f t="shared" si="1"/>
        <v>120</v>
      </c>
      <c r="H14" s="14">
        <f t="shared" si="1"/>
        <v>131</v>
      </c>
      <c r="I14" s="14">
        <f t="shared" si="1"/>
        <v>188</v>
      </c>
      <c r="J14" s="35">
        <f>C14+D14+E14+F14+G14+H14+I14</f>
        <v>751</v>
      </c>
      <c r="L14" s="13"/>
      <c r="M14" s="10"/>
      <c r="N14" s="14">
        <f t="shared" ref="N14:U14" si="2">SUM(N8:N13)</f>
        <v>196</v>
      </c>
      <c r="O14" s="14">
        <f t="shared" si="2"/>
        <v>10</v>
      </c>
      <c r="P14" s="14">
        <f t="shared" si="2"/>
        <v>20</v>
      </c>
      <c r="Q14" s="14">
        <f t="shared" si="2"/>
        <v>0</v>
      </c>
      <c r="R14" s="14">
        <f t="shared" si="2"/>
        <v>128</v>
      </c>
      <c r="S14" s="14">
        <f t="shared" si="2"/>
        <v>145</v>
      </c>
      <c r="T14" s="14">
        <f t="shared" si="2"/>
        <v>0</v>
      </c>
      <c r="U14" s="14">
        <f t="shared" si="2"/>
        <v>182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0.5</v>
      </c>
      <c r="E15" s="13">
        <f t="shared" ref="E15:I15" si="3">E14/20</f>
        <v>1</v>
      </c>
      <c r="F15" s="13">
        <f t="shared" si="3"/>
        <v>0</v>
      </c>
      <c r="G15" s="13">
        <f t="shared" si="3"/>
        <v>6</v>
      </c>
      <c r="H15" s="13">
        <f t="shared" si="3"/>
        <v>6.55</v>
      </c>
      <c r="I15" s="13">
        <f t="shared" si="3"/>
        <v>9.4</v>
      </c>
      <c r="L15" s="13"/>
      <c r="M15" s="10" t="s">
        <v>22</v>
      </c>
      <c r="N15" s="13"/>
      <c r="O15" s="13">
        <f>O14/20</f>
        <v>0.5</v>
      </c>
      <c r="P15" s="13">
        <f t="shared" ref="P15" si="4">P14/20</f>
        <v>1</v>
      </c>
      <c r="Q15" s="13"/>
      <c r="R15" s="13">
        <f t="shared" ref="R15:T15" si="5">R14/20</f>
        <v>6.4</v>
      </c>
      <c r="S15" s="13">
        <f t="shared" si="5"/>
        <v>7.25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282</v>
      </c>
      <c r="D16" s="36">
        <f t="shared" ref="D16:I16" si="6">D15+D14</f>
        <v>10.5</v>
      </c>
      <c r="E16" s="36">
        <f t="shared" si="6"/>
        <v>21</v>
      </c>
      <c r="F16" s="36">
        <f t="shared" si="6"/>
        <v>0</v>
      </c>
      <c r="G16" s="36">
        <f t="shared" si="6"/>
        <v>126</v>
      </c>
      <c r="H16" s="36">
        <f t="shared" si="6"/>
        <v>137.55000000000001</v>
      </c>
      <c r="I16" s="36">
        <f t="shared" si="6"/>
        <v>197.4</v>
      </c>
      <c r="L16" s="13"/>
      <c r="M16" s="10" t="s">
        <v>21</v>
      </c>
      <c r="N16" s="36">
        <f>N15+N14</f>
        <v>196</v>
      </c>
      <c r="O16" s="36">
        <f t="shared" ref="O16:P16" si="7">O15+O14</f>
        <v>10.5</v>
      </c>
      <c r="P16" s="36">
        <f t="shared" si="7"/>
        <v>21</v>
      </c>
      <c r="Q16" s="36"/>
      <c r="R16" s="36">
        <f t="shared" ref="R16:T16" si="8">R15+R14</f>
        <v>134.4</v>
      </c>
      <c r="S16" s="36">
        <f t="shared" si="8"/>
        <v>152.25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7.05</v>
      </c>
      <c r="D17" s="36">
        <f t="shared" ref="D17:I17" si="9">D14/40</f>
        <v>0.25</v>
      </c>
      <c r="E17" s="36">
        <f t="shared" si="9"/>
        <v>0.5</v>
      </c>
      <c r="F17" s="36">
        <f t="shared" si="9"/>
        <v>0</v>
      </c>
      <c r="G17" s="36">
        <f t="shared" si="9"/>
        <v>3</v>
      </c>
      <c r="H17" s="36">
        <f t="shared" si="9"/>
        <v>3.2749999999999999</v>
      </c>
      <c r="I17" s="36">
        <f t="shared" si="9"/>
        <v>4.7</v>
      </c>
      <c r="J17" s="35">
        <f>SUM(C17:I17)</f>
        <v>18.775000000000002</v>
      </c>
      <c r="L17" s="13"/>
      <c r="M17" s="39" t="s">
        <v>23</v>
      </c>
      <c r="N17" s="36">
        <f>N14/40</f>
        <v>4.9000000000000004</v>
      </c>
      <c r="O17" s="36">
        <f t="shared" ref="O17:P17" si="10">O14/40</f>
        <v>0.25</v>
      </c>
      <c r="P17" s="36">
        <f t="shared" si="10"/>
        <v>0.5</v>
      </c>
      <c r="Q17" s="36"/>
      <c r="R17" s="36">
        <f t="shared" ref="R17:T17" si="11">R14/40</f>
        <v>3.2</v>
      </c>
      <c r="S17" s="36">
        <f t="shared" si="11"/>
        <v>3.625</v>
      </c>
      <c r="T17" s="36">
        <f t="shared" si="11"/>
        <v>0</v>
      </c>
      <c r="U17" s="36"/>
      <c r="V17" s="35">
        <f>SUM(N17:T17)</f>
        <v>12.475000000000001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 M8:M12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AE25"/>
  <sheetViews>
    <sheetView zoomScaleNormal="100" workbookViewId="0">
      <selection activeCell="T19" sqref="T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5" bestFit="1" customWidth="1"/>
    <col min="21" max="21" width="0" hidden="1" customWidth="1"/>
  </cols>
  <sheetData>
    <row r="1" spans="1:3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31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31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31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31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31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31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12</v>
      </c>
      <c r="S7" s="45" t="s">
        <v>13</v>
      </c>
      <c r="T7" s="45" t="s">
        <v>7</v>
      </c>
      <c r="U7" s="12" t="s">
        <v>12</v>
      </c>
      <c r="V7" s="12" t="s">
        <v>12</v>
      </c>
      <c r="W7" s="12" t="s">
        <v>27</v>
      </c>
      <c r="X7" s="12" t="s">
        <v>26</v>
      </c>
    </row>
    <row r="8" spans="1:31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4"/>
      <c r="M8" s="27"/>
      <c r="N8" s="10" t="str">
        <f>B8</f>
        <v>Furqan</v>
      </c>
      <c r="O8" s="12"/>
      <c r="P8" s="12"/>
      <c r="Q8" s="12"/>
      <c r="R8" s="28"/>
      <c r="S8" s="12"/>
      <c r="T8" s="12"/>
      <c r="U8" s="12"/>
      <c r="V8" s="28"/>
      <c r="W8" s="47">
        <f>SUM(O8:Q8,S8,T8,U8)/40</f>
        <v>0</v>
      </c>
    </row>
    <row r="9" spans="1:31" x14ac:dyDescent="0.35">
      <c r="A9" s="27"/>
      <c r="B9" s="10" t="s">
        <v>14</v>
      </c>
      <c r="C9" s="12">
        <v>125</v>
      </c>
      <c r="D9" s="12">
        <v>61</v>
      </c>
      <c r="E9" s="12">
        <v>41</v>
      </c>
      <c r="F9" s="12">
        <v>0</v>
      </c>
      <c r="G9" s="12">
        <v>55</v>
      </c>
      <c r="H9" s="12">
        <v>30</v>
      </c>
      <c r="I9" s="12">
        <v>45</v>
      </c>
      <c r="J9" s="28">
        <f t="shared" ref="J9:J13" si="0">SUM(G9:I9)/20</f>
        <v>6.5</v>
      </c>
      <c r="K9" s="47">
        <f>SUM(C9:F9,G9,H9,I9)/40</f>
        <v>8.9250000000000007</v>
      </c>
      <c r="L9" s="44">
        <v>9</v>
      </c>
      <c r="M9" s="27"/>
      <c r="N9" s="10" t="str">
        <f>B9</f>
        <v>Salman</v>
      </c>
      <c r="O9" s="12">
        <v>85</v>
      </c>
      <c r="P9" s="12">
        <v>41</v>
      </c>
      <c r="Q9" s="12">
        <v>41</v>
      </c>
      <c r="R9" s="28">
        <v>0</v>
      </c>
      <c r="S9" s="12">
        <v>10</v>
      </c>
      <c r="T9" s="12">
        <v>10</v>
      </c>
      <c r="U9" s="12"/>
      <c r="V9" s="28">
        <v>20</v>
      </c>
      <c r="W9" s="47">
        <f>SUM(O9:V9)/40</f>
        <v>5.1749999999999998</v>
      </c>
      <c r="X9" s="44">
        <v>6</v>
      </c>
    </row>
    <row r="10" spans="1:31" x14ac:dyDescent="0.35">
      <c r="A10" s="27"/>
      <c r="B10" s="10" t="s">
        <v>37</v>
      </c>
      <c r="C10" s="12">
        <v>116</v>
      </c>
      <c r="D10" s="12"/>
      <c r="E10" s="12"/>
      <c r="F10" s="12"/>
      <c r="G10" s="12">
        <v>77</v>
      </c>
      <c r="H10" s="12">
        <v>105</v>
      </c>
      <c r="I10" s="12">
        <v>46</v>
      </c>
      <c r="J10" s="28">
        <f t="shared" si="0"/>
        <v>11.4</v>
      </c>
      <c r="K10" s="47">
        <f>SUM(C10:F10,G10,H10,I10)/40</f>
        <v>8.6</v>
      </c>
      <c r="L10" s="44">
        <v>14</v>
      </c>
      <c r="M10" s="27"/>
      <c r="N10" s="10" t="str">
        <f>B10</f>
        <v>Zesahn</v>
      </c>
      <c r="O10" s="12"/>
      <c r="P10" s="12"/>
      <c r="Q10" s="12"/>
      <c r="R10" s="28"/>
      <c r="S10" s="12"/>
      <c r="T10" s="12"/>
      <c r="U10" s="12"/>
      <c r="V10" s="28"/>
      <c r="W10" s="47">
        <f t="shared" ref="W10:W11" si="1">SUM(O10:V10)/40</f>
        <v>0</v>
      </c>
      <c r="Z10" t="s">
        <v>44</v>
      </c>
      <c r="AA10" t="s">
        <v>45</v>
      </c>
      <c r="AB10" t="s">
        <v>44</v>
      </c>
      <c r="AC10" t="s">
        <v>45</v>
      </c>
      <c r="AD10" t="s">
        <v>46</v>
      </c>
      <c r="AE10" t="s">
        <v>47</v>
      </c>
    </row>
    <row r="11" spans="1:31" x14ac:dyDescent="0.35">
      <c r="A11" s="11"/>
      <c r="B11" s="11" t="s">
        <v>31</v>
      </c>
      <c r="C11" s="12">
        <v>360</v>
      </c>
      <c r="D11" s="12">
        <v>80</v>
      </c>
      <c r="E11" s="12">
        <v>80</v>
      </c>
      <c r="F11" s="12">
        <v>0</v>
      </c>
      <c r="G11" s="12">
        <v>155</v>
      </c>
      <c r="H11" s="12">
        <v>155</v>
      </c>
      <c r="I11" s="12">
        <v>190</v>
      </c>
      <c r="J11" s="28">
        <f t="shared" si="0"/>
        <v>25</v>
      </c>
      <c r="K11" s="47">
        <f>SUM(C11:F11,G11,H11,I11)/40</f>
        <v>25.5</v>
      </c>
      <c r="L11" s="41">
        <v>7</v>
      </c>
      <c r="M11" s="11"/>
      <c r="N11" s="10" t="str">
        <f>B11</f>
        <v>Umair</v>
      </c>
      <c r="O11" s="12">
        <v>280</v>
      </c>
      <c r="P11" s="12">
        <v>80</v>
      </c>
      <c r="Q11" s="12">
        <v>80</v>
      </c>
      <c r="R11" s="28">
        <v>0</v>
      </c>
      <c r="S11" s="12">
        <v>155</v>
      </c>
      <c r="T11" s="12">
        <v>145</v>
      </c>
      <c r="U11" s="12"/>
      <c r="V11" s="28">
        <v>180</v>
      </c>
      <c r="W11" s="47">
        <f t="shared" si="1"/>
        <v>23</v>
      </c>
      <c r="X11" s="44">
        <v>5</v>
      </c>
      <c r="AB11">
        <v>12</v>
      </c>
      <c r="AC11">
        <v>12</v>
      </c>
    </row>
    <row r="12" spans="1:31" x14ac:dyDescent="0.35">
      <c r="A12" s="11"/>
      <c r="B12" s="11" t="s">
        <v>32</v>
      </c>
      <c r="C12" s="12"/>
      <c r="D12" s="12">
        <v>580</v>
      </c>
      <c r="E12" s="12">
        <v>480</v>
      </c>
      <c r="F12" s="12"/>
      <c r="G12" s="12">
        <v>350</v>
      </c>
      <c r="H12" s="12">
        <v>560</v>
      </c>
      <c r="I12" s="12">
        <v>940</v>
      </c>
      <c r="J12" s="28">
        <f t="shared" si="0"/>
        <v>92.5</v>
      </c>
      <c r="K12" s="47">
        <f>SUM(C12:F12,G12,H12,I12)/40</f>
        <v>72.75</v>
      </c>
      <c r="L12" s="41">
        <v>7</v>
      </c>
      <c r="M12" s="11"/>
      <c r="N12" s="10" t="str">
        <f>B12</f>
        <v xml:space="preserve">Shakoor </v>
      </c>
      <c r="O12" s="12"/>
      <c r="P12" s="12"/>
      <c r="Q12" s="12"/>
      <c r="R12" s="28"/>
      <c r="S12" s="12"/>
      <c r="T12" s="12"/>
      <c r="U12" s="12"/>
      <c r="V12" s="28"/>
      <c r="W12" s="47">
        <v>5</v>
      </c>
      <c r="X12">
        <v>50</v>
      </c>
      <c r="AC12">
        <v>6</v>
      </c>
      <c r="AD12">
        <v>6</v>
      </c>
    </row>
    <row r="13" spans="1:3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M13" s="11"/>
      <c r="N13" s="11"/>
      <c r="O13" s="12"/>
      <c r="P13" s="12"/>
      <c r="Q13" s="12"/>
      <c r="R13" s="28"/>
      <c r="S13" s="12"/>
      <c r="T13" s="12"/>
      <c r="U13" s="12"/>
      <c r="V13" s="28"/>
      <c r="AB13">
        <v>15</v>
      </c>
      <c r="AC13">
        <v>15</v>
      </c>
      <c r="AD13">
        <v>10</v>
      </c>
    </row>
    <row r="14" spans="1:31" x14ac:dyDescent="0.35">
      <c r="A14" s="13"/>
      <c r="B14" s="10"/>
      <c r="C14" s="14">
        <f t="shared" ref="C14:J14" si="2">SUM(C8:C13)</f>
        <v>601</v>
      </c>
      <c r="D14" s="14">
        <f t="shared" si="2"/>
        <v>721</v>
      </c>
      <c r="E14" s="14">
        <f t="shared" si="2"/>
        <v>601</v>
      </c>
      <c r="F14" s="14">
        <f t="shared" si="2"/>
        <v>0</v>
      </c>
      <c r="G14" s="14">
        <f t="shared" si="2"/>
        <v>637</v>
      </c>
      <c r="H14" s="14">
        <f t="shared" si="2"/>
        <v>850</v>
      </c>
      <c r="I14" s="14">
        <f t="shared" si="2"/>
        <v>1221</v>
      </c>
      <c r="J14" s="14">
        <f t="shared" si="2"/>
        <v>135.4</v>
      </c>
      <c r="K14" s="35">
        <f>C14+D14+E14+F14+G14+H14+I14</f>
        <v>4631</v>
      </c>
      <c r="M14" s="13"/>
      <c r="N14" s="10"/>
      <c r="O14" s="14">
        <f t="shared" ref="O14:V14" si="3">SUM(O8:O13)</f>
        <v>365</v>
      </c>
      <c r="P14" s="14">
        <f t="shared" si="3"/>
        <v>121</v>
      </c>
      <c r="Q14" s="14">
        <f t="shared" si="3"/>
        <v>121</v>
      </c>
      <c r="R14" s="14">
        <f t="shared" si="3"/>
        <v>0</v>
      </c>
      <c r="S14" s="14">
        <f t="shared" si="3"/>
        <v>165</v>
      </c>
      <c r="T14" s="14">
        <f t="shared" si="3"/>
        <v>155</v>
      </c>
      <c r="U14" s="14">
        <f t="shared" si="3"/>
        <v>0</v>
      </c>
      <c r="V14" s="14">
        <f t="shared" si="3"/>
        <v>200</v>
      </c>
      <c r="W14" s="35" t="e">
        <f>O14+P14+Q14+#REF!+S14+T14+U14</f>
        <v>#REF!</v>
      </c>
      <c r="AB14">
        <v>15</v>
      </c>
      <c r="AC14">
        <v>15</v>
      </c>
      <c r="AD14">
        <v>10</v>
      </c>
    </row>
    <row r="15" spans="1:31" x14ac:dyDescent="0.35">
      <c r="A15" s="13"/>
      <c r="B15" s="10" t="s">
        <v>22</v>
      </c>
      <c r="C15" s="13"/>
      <c r="D15" s="13">
        <f>D14/20</f>
        <v>36.049999999999997</v>
      </c>
      <c r="E15" s="13">
        <f t="shared" ref="E15:I15" si="4">E14/20</f>
        <v>30.05</v>
      </c>
      <c r="F15" s="13">
        <f t="shared" si="4"/>
        <v>0</v>
      </c>
      <c r="G15" s="13">
        <f t="shared" si="4"/>
        <v>31.85</v>
      </c>
      <c r="H15" s="13">
        <f t="shared" si="4"/>
        <v>42.5</v>
      </c>
      <c r="I15" s="13">
        <f t="shared" si="4"/>
        <v>61.05</v>
      </c>
      <c r="J15" s="13"/>
      <c r="M15" s="13"/>
      <c r="N15" s="10" t="s">
        <v>22</v>
      </c>
      <c r="O15" s="13"/>
      <c r="P15" s="13">
        <f>P14/20</f>
        <v>6.05</v>
      </c>
      <c r="Q15" s="13">
        <f t="shared" ref="Q15" si="5">Q14/20</f>
        <v>6.05</v>
      </c>
      <c r="R15" s="13"/>
      <c r="S15" s="13">
        <f t="shared" ref="S15:U15" si="6">S14/20</f>
        <v>8.25</v>
      </c>
      <c r="T15" s="13">
        <f t="shared" si="6"/>
        <v>7.75</v>
      </c>
      <c r="U15" s="13">
        <f t="shared" si="6"/>
        <v>0</v>
      </c>
      <c r="V15" s="13"/>
      <c r="AC15">
        <v>20</v>
      </c>
    </row>
    <row r="16" spans="1:31" x14ac:dyDescent="0.35">
      <c r="A16" s="13"/>
      <c r="B16" s="10" t="s">
        <v>21</v>
      </c>
      <c r="C16" s="36">
        <f>C15+C14</f>
        <v>601</v>
      </c>
      <c r="D16" s="36">
        <f t="shared" ref="D16:I16" si="7">D15+D14</f>
        <v>757.05</v>
      </c>
      <c r="E16" s="36">
        <f t="shared" si="7"/>
        <v>631.04999999999995</v>
      </c>
      <c r="F16" s="36">
        <f t="shared" si="7"/>
        <v>0</v>
      </c>
      <c r="G16" s="36">
        <f t="shared" si="7"/>
        <v>668.85</v>
      </c>
      <c r="H16" s="36">
        <f t="shared" si="7"/>
        <v>892.5</v>
      </c>
      <c r="I16" s="36">
        <f t="shared" si="7"/>
        <v>1282.05</v>
      </c>
      <c r="J16" s="36"/>
      <c r="M16" s="13"/>
      <c r="N16" s="10" t="s">
        <v>21</v>
      </c>
      <c r="O16" s="36">
        <f>O15+O14</f>
        <v>365</v>
      </c>
      <c r="P16" s="36">
        <f t="shared" ref="P16:Q16" si="8">P15+P14</f>
        <v>127.05</v>
      </c>
      <c r="Q16" s="36">
        <f t="shared" si="8"/>
        <v>127.05</v>
      </c>
      <c r="R16" s="36"/>
      <c r="S16" s="36">
        <f t="shared" ref="S16:U16" si="9">S15+S14</f>
        <v>173.25</v>
      </c>
      <c r="T16" s="36">
        <f t="shared" si="9"/>
        <v>162.75</v>
      </c>
      <c r="U16" s="36">
        <f t="shared" si="9"/>
        <v>0</v>
      </c>
      <c r="V16" s="36"/>
      <c r="AE16">
        <v>12</v>
      </c>
    </row>
    <row r="17" spans="1:31" x14ac:dyDescent="0.35">
      <c r="A17" s="13"/>
      <c r="B17" s="39" t="s">
        <v>23</v>
      </c>
      <c r="C17" s="36">
        <f>C14/40</f>
        <v>15.025</v>
      </c>
      <c r="D17" s="36">
        <f t="shared" ref="D17:I17" si="10">D14/40</f>
        <v>18.024999999999999</v>
      </c>
      <c r="E17" s="36">
        <f t="shared" si="10"/>
        <v>15.025</v>
      </c>
      <c r="F17" s="36">
        <f t="shared" si="10"/>
        <v>0</v>
      </c>
      <c r="G17" s="36">
        <f t="shared" si="10"/>
        <v>15.925000000000001</v>
      </c>
      <c r="H17" s="36">
        <f t="shared" si="10"/>
        <v>21.25</v>
      </c>
      <c r="I17" s="36">
        <f t="shared" si="10"/>
        <v>30.524999999999999</v>
      </c>
      <c r="J17" s="36"/>
      <c r="K17" s="35">
        <f>SUM(C17:I17)</f>
        <v>115.77500000000001</v>
      </c>
      <c r="M17" s="13"/>
      <c r="N17" s="39" t="s">
        <v>23</v>
      </c>
      <c r="O17" s="36">
        <f>O14/40</f>
        <v>9.125</v>
      </c>
      <c r="P17" s="36">
        <f t="shared" ref="P17:Q17" si="11">P14/40</f>
        <v>3.0249999999999999</v>
      </c>
      <c r="Q17" s="36">
        <f t="shared" si="11"/>
        <v>3.0249999999999999</v>
      </c>
      <c r="R17" s="36"/>
      <c r="S17" s="36">
        <f t="shared" ref="S17:U17" si="12">S14/40</f>
        <v>4.125</v>
      </c>
      <c r="T17" s="36">
        <f t="shared" si="12"/>
        <v>3.875</v>
      </c>
      <c r="U17" s="36">
        <f t="shared" si="12"/>
        <v>0</v>
      </c>
      <c r="V17" s="36"/>
      <c r="W17" s="35">
        <f>SUM(O17:U17)</f>
        <v>23.175000000000001</v>
      </c>
      <c r="AE17">
        <v>40</v>
      </c>
    </row>
    <row r="18" spans="1:31" x14ac:dyDescent="0.35">
      <c r="C18" s="32"/>
      <c r="AC18">
        <v>10</v>
      </c>
      <c r="AD18">
        <v>10</v>
      </c>
      <c r="AE18">
        <v>24</v>
      </c>
    </row>
    <row r="19" spans="1:3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AC19">
        <v>12</v>
      </c>
    </row>
    <row r="20" spans="1:31" x14ac:dyDescent="0.35">
      <c r="AB20">
        <v>15</v>
      </c>
      <c r="AC20">
        <v>15</v>
      </c>
      <c r="AD20">
        <v>10</v>
      </c>
    </row>
    <row r="21" spans="1:31" x14ac:dyDescent="0.35">
      <c r="AE21">
        <v>10</v>
      </c>
    </row>
    <row r="22" spans="1:31" x14ac:dyDescent="0.35">
      <c r="AE22">
        <v>10</v>
      </c>
    </row>
    <row r="23" spans="1:31" x14ac:dyDescent="0.35">
      <c r="AE23">
        <v>10</v>
      </c>
    </row>
    <row r="24" spans="1:31" x14ac:dyDescent="0.35">
      <c r="AE24">
        <v>10</v>
      </c>
    </row>
    <row r="25" spans="1:31" x14ac:dyDescent="0.35">
      <c r="AB25">
        <v>20</v>
      </c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X19"/>
  <sheetViews>
    <sheetView zoomScaleNormal="100" workbookViewId="0">
      <selection activeCell="Y8" sqref="Y8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5.36328125" bestFit="1" customWidth="1"/>
    <col min="18" max="19" width="5.81640625" bestFit="1" customWidth="1"/>
    <col min="20" max="20" width="3.90625" bestFit="1" customWidth="1"/>
    <col min="21" max="21" width="5.90625" customWidth="1"/>
    <col min="22" max="23" width="5.81640625" bestFit="1" customWidth="1"/>
  </cols>
  <sheetData>
    <row r="1" spans="1:24" ht="15" thickBot="1" x14ac:dyDescent="0.4">
      <c r="A1" s="1"/>
      <c r="B1" s="1"/>
      <c r="C1" s="1"/>
      <c r="D1" s="1"/>
      <c r="E1" s="1" t="s">
        <v>34</v>
      </c>
      <c r="F1" s="1"/>
      <c r="G1" s="1"/>
      <c r="H1" s="1"/>
      <c r="I1" s="1"/>
      <c r="J1" s="1"/>
      <c r="M1" s="1"/>
      <c r="N1" s="1"/>
      <c r="O1" s="1"/>
      <c r="P1" s="1"/>
      <c r="Q1" s="1" t="s">
        <v>34</v>
      </c>
      <c r="R1" s="1"/>
      <c r="S1" s="1"/>
      <c r="T1" s="1"/>
      <c r="U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75" t="s">
        <v>6</v>
      </c>
      <c r="P7" s="56" t="s">
        <v>13</v>
      </c>
      <c r="Q7" s="56" t="s">
        <v>11</v>
      </c>
      <c r="R7" s="56" t="s">
        <v>8</v>
      </c>
      <c r="S7" s="45" t="s">
        <v>13</v>
      </c>
      <c r="T7" s="45" t="s">
        <v>7</v>
      </c>
      <c r="U7" s="45" t="s">
        <v>12</v>
      </c>
      <c r="V7" s="12" t="s">
        <v>27</v>
      </c>
      <c r="W7" s="12" t="s">
        <v>26</v>
      </c>
      <c r="X7" s="44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8">
        <f>SUM(C8:F8,G8,H8,I8)/40</f>
        <v>0</v>
      </c>
      <c r="L8" s="45"/>
      <c r="M8" s="27"/>
      <c r="N8" s="10" t="str">
        <f>B8</f>
        <v>Furqan</v>
      </c>
      <c r="O8" s="12"/>
      <c r="P8" s="12"/>
      <c r="Q8" s="12"/>
      <c r="R8" s="28"/>
      <c r="S8" s="12"/>
      <c r="T8" s="12"/>
      <c r="U8" s="12"/>
      <c r="V8" s="48">
        <f>SUM(O8:U8)/40</f>
        <v>0</v>
      </c>
      <c r="X8" s="44"/>
    </row>
    <row r="9" spans="1:24" x14ac:dyDescent="0.35">
      <c r="A9" s="27"/>
      <c r="B9" s="10" t="s">
        <v>14</v>
      </c>
      <c r="C9" s="12">
        <v>208</v>
      </c>
      <c r="D9" s="12">
        <v>64</v>
      </c>
      <c r="E9" s="12">
        <v>24</v>
      </c>
      <c r="F9" s="12">
        <v>0</v>
      </c>
      <c r="G9" s="12">
        <v>154</v>
      </c>
      <c r="H9" s="12">
        <v>109</v>
      </c>
      <c r="I9" s="12">
        <v>101</v>
      </c>
      <c r="J9" s="28">
        <f t="shared" ref="J9:J13" si="0">SUM(G9:I9)/20</f>
        <v>18.2</v>
      </c>
      <c r="K9" s="48">
        <f>SUM(C9:F9,G9,H9,I9)/40</f>
        <v>16.5</v>
      </c>
      <c r="L9" s="45">
        <v>11</v>
      </c>
      <c r="M9" s="27"/>
      <c r="N9" s="10" t="str">
        <f>B9</f>
        <v>Salman</v>
      </c>
      <c r="O9" s="12"/>
      <c r="P9" s="12"/>
      <c r="Q9" s="12"/>
      <c r="R9" s="28"/>
      <c r="S9" s="12"/>
      <c r="T9" s="12"/>
      <c r="U9" s="12"/>
      <c r="V9" s="48">
        <f t="shared" ref="V9:V12" si="1">SUM(O9:U9)/40</f>
        <v>0</v>
      </c>
      <c r="X9" s="44" t="s">
        <v>48</v>
      </c>
    </row>
    <row r="10" spans="1:24" x14ac:dyDescent="0.35">
      <c r="A10" s="27"/>
      <c r="B10" s="10" t="s">
        <v>37</v>
      </c>
      <c r="C10" s="12">
        <v>240</v>
      </c>
      <c r="D10" s="12">
        <v>0</v>
      </c>
      <c r="E10" s="12">
        <v>0</v>
      </c>
      <c r="F10" s="12">
        <v>0</v>
      </c>
      <c r="G10" s="12">
        <v>40</v>
      </c>
      <c r="H10" s="12">
        <v>0</v>
      </c>
      <c r="I10" s="12">
        <v>120</v>
      </c>
      <c r="J10" s="28">
        <f t="shared" si="0"/>
        <v>8</v>
      </c>
      <c r="K10" s="48">
        <f>SUM(C10:F10,G10,H10,I10)/40</f>
        <v>10</v>
      </c>
      <c r="L10" s="45">
        <v>8</v>
      </c>
      <c r="M10" s="27"/>
      <c r="N10" s="10" t="str">
        <f>B10</f>
        <v>Zesahn</v>
      </c>
      <c r="O10" s="12"/>
      <c r="P10" s="12"/>
      <c r="Q10" s="12"/>
      <c r="R10" s="28"/>
      <c r="S10" s="12">
        <v>40</v>
      </c>
      <c r="T10" s="12">
        <v>0</v>
      </c>
      <c r="U10" s="12">
        <v>120</v>
      </c>
      <c r="V10" s="48">
        <f t="shared" si="1"/>
        <v>4</v>
      </c>
      <c r="W10" s="78">
        <v>7</v>
      </c>
      <c r="X10" s="44"/>
    </row>
    <row r="11" spans="1:24" x14ac:dyDescent="0.35">
      <c r="A11" s="11"/>
      <c r="B11" s="11" t="s">
        <v>31</v>
      </c>
      <c r="C11" s="12">
        <v>112</v>
      </c>
      <c r="D11" s="12">
        <v>20</v>
      </c>
      <c r="E11" s="12">
        <v>20</v>
      </c>
      <c r="F11" s="12">
        <v>0</v>
      </c>
      <c r="G11" s="12">
        <v>133</v>
      </c>
      <c r="H11" s="12">
        <v>139</v>
      </c>
      <c r="I11" s="12">
        <v>218</v>
      </c>
      <c r="J11" s="28">
        <f t="shared" si="0"/>
        <v>24.5</v>
      </c>
      <c r="K11" s="48">
        <f>SUM(C11:F11,G11,H11,I11)/40</f>
        <v>16.05</v>
      </c>
      <c r="L11" s="45">
        <v>12</v>
      </c>
      <c r="M11" s="11"/>
      <c r="N11" s="10" t="str">
        <f>B11</f>
        <v>Umair</v>
      </c>
      <c r="O11" s="12">
        <v>112</v>
      </c>
      <c r="P11" s="12">
        <v>20</v>
      </c>
      <c r="Q11" s="12">
        <v>20</v>
      </c>
      <c r="R11" s="28">
        <v>0</v>
      </c>
      <c r="S11" s="12">
        <v>93</v>
      </c>
      <c r="T11" s="12">
        <v>139</v>
      </c>
      <c r="U11" s="12">
        <v>178</v>
      </c>
      <c r="V11" s="48">
        <f t="shared" si="1"/>
        <v>14.05</v>
      </c>
      <c r="W11" s="78">
        <v>10</v>
      </c>
      <c r="X11" s="41"/>
    </row>
    <row r="12" spans="1:24" x14ac:dyDescent="0.35">
      <c r="A12" s="11"/>
      <c r="B12" s="11" t="s">
        <v>32</v>
      </c>
      <c r="C12" s="12"/>
      <c r="D12" s="12">
        <v>510</v>
      </c>
      <c r="E12" s="12">
        <v>590</v>
      </c>
      <c r="F12" s="12"/>
      <c r="G12" s="12">
        <v>510</v>
      </c>
      <c r="H12" s="12">
        <v>510</v>
      </c>
      <c r="I12" s="12">
        <v>540</v>
      </c>
      <c r="J12" s="28">
        <f t="shared" si="0"/>
        <v>78</v>
      </c>
      <c r="K12" s="48">
        <f>SUM(C12:F12,G12,H12,I12)/40</f>
        <v>66.5</v>
      </c>
      <c r="L12" s="45">
        <v>6</v>
      </c>
      <c r="M12" s="11"/>
      <c r="N12" s="10" t="str">
        <f>B12</f>
        <v xml:space="preserve">Shakoor </v>
      </c>
      <c r="O12" s="12"/>
      <c r="P12" s="12"/>
      <c r="Q12" s="12"/>
      <c r="R12" s="28"/>
      <c r="S12" s="12"/>
      <c r="T12" s="12"/>
      <c r="U12" s="12"/>
      <c r="V12" s="48">
        <f t="shared" si="1"/>
        <v>0</v>
      </c>
      <c r="X12" s="41"/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M13" s="11"/>
      <c r="N13" s="11"/>
      <c r="O13" s="12"/>
      <c r="P13" s="12"/>
      <c r="Q13" s="12"/>
      <c r="R13" s="28"/>
      <c r="S13" s="12"/>
      <c r="T13" s="12"/>
      <c r="U13" s="12"/>
    </row>
    <row r="14" spans="1:24" x14ac:dyDescent="0.35">
      <c r="A14" s="13"/>
      <c r="B14" s="10"/>
      <c r="C14" s="14">
        <f t="shared" ref="C14:J14" si="2">SUM(C8:C13)</f>
        <v>560</v>
      </c>
      <c r="D14" s="14">
        <f t="shared" si="2"/>
        <v>594</v>
      </c>
      <c r="E14" s="14">
        <f t="shared" si="2"/>
        <v>634</v>
      </c>
      <c r="F14" s="14">
        <f t="shared" si="2"/>
        <v>0</v>
      </c>
      <c r="G14" s="14">
        <f t="shared" si="2"/>
        <v>837</v>
      </c>
      <c r="H14" s="14">
        <f t="shared" si="2"/>
        <v>758</v>
      </c>
      <c r="I14" s="14">
        <f t="shared" si="2"/>
        <v>979</v>
      </c>
      <c r="J14" s="14">
        <f t="shared" si="2"/>
        <v>128.69999999999999</v>
      </c>
      <c r="K14" s="35">
        <f>C14+D14+E14+F14+G14+H14+I14</f>
        <v>4362</v>
      </c>
      <c r="M14" s="13"/>
      <c r="N14" s="10"/>
      <c r="O14" s="14">
        <f t="shared" ref="O14:U14" si="3">SUM(O8:O13)</f>
        <v>112</v>
      </c>
      <c r="P14" s="14">
        <f t="shared" si="3"/>
        <v>20</v>
      </c>
      <c r="Q14" s="14">
        <f t="shared" si="3"/>
        <v>20</v>
      </c>
      <c r="R14" s="14">
        <f t="shared" si="3"/>
        <v>0</v>
      </c>
      <c r="S14" s="14">
        <f t="shared" si="3"/>
        <v>133</v>
      </c>
      <c r="T14" s="14">
        <f t="shared" si="3"/>
        <v>139</v>
      </c>
      <c r="U14" s="14">
        <f t="shared" si="3"/>
        <v>298</v>
      </c>
      <c r="V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29.7</v>
      </c>
      <c r="E15" s="13">
        <f t="shared" ref="E15:I15" si="4">E14/20</f>
        <v>31.7</v>
      </c>
      <c r="F15" s="13">
        <f t="shared" si="4"/>
        <v>0</v>
      </c>
      <c r="G15" s="13">
        <f t="shared" si="4"/>
        <v>41.85</v>
      </c>
      <c r="H15" s="13">
        <f t="shared" si="4"/>
        <v>37.9</v>
      </c>
      <c r="I15" s="13">
        <f t="shared" si="4"/>
        <v>48.95</v>
      </c>
      <c r="J15" s="13"/>
      <c r="M15" s="13"/>
      <c r="N15" s="10" t="s">
        <v>22</v>
      </c>
      <c r="O15" s="13"/>
      <c r="P15" s="13">
        <f>P14/20</f>
        <v>1</v>
      </c>
      <c r="Q15" s="13">
        <f t="shared" ref="Q15" si="5">Q14/20</f>
        <v>1</v>
      </c>
      <c r="R15" s="13"/>
      <c r="S15" s="13">
        <f t="shared" ref="S15:U15" si="6">S14/20</f>
        <v>6.65</v>
      </c>
      <c r="T15" s="13">
        <f t="shared" si="6"/>
        <v>6.95</v>
      </c>
      <c r="U15" s="13">
        <f t="shared" si="6"/>
        <v>14.9</v>
      </c>
    </row>
    <row r="16" spans="1:24" x14ac:dyDescent="0.35">
      <c r="A16" s="13"/>
      <c r="B16" s="10" t="s">
        <v>21</v>
      </c>
      <c r="C16" s="36">
        <f>C15+C14</f>
        <v>560</v>
      </c>
      <c r="D16" s="36">
        <f t="shared" ref="D16:I16" si="7">D15+D14</f>
        <v>623.70000000000005</v>
      </c>
      <c r="E16" s="36">
        <f t="shared" si="7"/>
        <v>665.7</v>
      </c>
      <c r="F16" s="36">
        <f t="shared" si="7"/>
        <v>0</v>
      </c>
      <c r="G16" s="36">
        <f t="shared" si="7"/>
        <v>878.85</v>
      </c>
      <c r="H16" s="36">
        <f t="shared" si="7"/>
        <v>795.9</v>
      </c>
      <c r="I16" s="36">
        <f t="shared" si="7"/>
        <v>1027.95</v>
      </c>
      <c r="J16" s="36"/>
      <c r="M16" s="13"/>
      <c r="N16" s="10" t="s">
        <v>21</v>
      </c>
      <c r="O16" s="36">
        <f>O15+O14</f>
        <v>112</v>
      </c>
      <c r="P16" s="36">
        <f t="shared" ref="P16:Q16" si="8">P15+P14</f>
        <v>21</v>
      </c>
      <c r="Q16" s="36">
        <f t="shared" si="8"/>
        <v>21</v>
      </c>
      <c r="R16" s="36"/>
      <c r="S16" s="36">
        <f t="shared" ref="S16:U16" si="9">S15+S14</f>
        <v>139.65</v>
      </c>
      <c r="T16" s="36">
        <f t="shared" si="9"/>
        <v>145.94999999999999</v>
      </c>
      <c r="U16" s="36">
        <f t="shared" si="9"/>
        <v>312.89999999999998</v>
      </c>
    </row>
    <row r="17" spans="1:22" x14ac:dyDescent="0.35">
      <c r="A17" s="13"/>
      <c r="B17" s="39" t="s">
        <v>23</v>
      </c>
      <c r="C17" s="36">
        <f>C14/40</f>
        <v>14</v>
      </c>
      <c r="D17" s="36">
        <f t="shared" ref="D17:I17" si="10">D14/40</f>
        <v>14.85</v>
      </c>
      <c r="E17" s="36">
        <f t="shared" si="10"/>
        <v>15.85</v>
      </c>
      <c r="F17" s="36">
        <f t="shared" si="10"/>
        <v>0</v>
      </c>
      <c r="G17" s="36">
        <f t="shared" si="10"/>
        <v>20.925000000000001</v>
      </c>
      <c r="H17" s="36">
        <f t="shared" si="10"/>
        <v>18.95</v>
      </c>
      <c r="I17" s="36">
        <f t="shared" si="10"/>
        <v>24.475000000000001</v>
      </c>
      <c r="J17" s="36"/>
      <c r="K17" s="35">
        <f>SUM(C17:I17)</f>
        <v>109.05000000000001</v>
      </c>
      <c r="M17" s="13"/>
      <c r="N17" s="39" t="s">
        <v>23</v>
      </c>
      <c r="O17" s="36">
        <f>O14/40</f>
        <v>2.8</v>
      </c>
      <c r="P17" s="36">
        <f t="shared" ref="P17:Q17" si="11">P14/40</f>
        <v>0.5</v>
      </c>
      <c r="Q17" s="36">
        <f t="shared" si="11"/>
        <v>0.5</v>
      </c>
      <c r="R17" s="36"/>
      <c r="S17" s="36">
        <f t="shared" ref="S17:U17" si="12">S14/40</f>
        <v>3.3250000000000002</v>
      </c>
      <c r="T17" s="36">
        <f t="shared" si="12"/>
        <v>3.4750000000000001</v>
      </c>
      <c r="U17" s="36">
        <f t="shared" si="12"/>
        <v>7.45</v>
      </c>
      <c r="V17" s="35">
        <f>SUM(O17:U17)</f>
        <v>18.05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U5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W19"/>
  <sheetViews>
    <sheetView tabSelected="1" zoomScaleNormal="100" workbookViewId="0">
      <selection activeCell="Y8" sqref="Y8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75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SUM(C8:I8)/40</f>
        <v>0</v>
      </c>
      <c r="L8" s="27"/>
      <c r="M8" s="10" t="str">
        <f>B8</f>
        <v>Furqan</v>
      </c>
      <c r="N8" s="12"/>
      <c r="O8" s="12"/>
      <c r="P8" s="12"/>
      <c r="Q8" s="77"/>
      <c r="R8" s="77"/>
      <c r="S8" s="77"/>
      <c r="T8" s="77"/>
      <c r="U8" s="77"/>
      <c r="V8">
        <f>SUM(N8:U8)/40</f>
        <v>0</v>
      </c>
    </row>
    <row r="9" spans="1:23" x14ac:dyDescent="0.35">
      <c r="A9" s="27"/>
      <c r="B9" s="10" t="s">
        <v>14</v>
      </c>
      <c r="C9" s="12"/>
      <c r="D9" s="12">
        <v>40</v>
      </c>
      <c r="E9" s="12">
        <v>40</v>
      </c>
      <c r="F9" s="12">
        <v>0</v>
      </c>
      <c r="G9" s="12">
        <v>120</v>
      </c>
      <c r="H9" s="12">
        <v>120</v>
      </c>
      <c r="I9" s="12">
        <v>120</v>
      </c>
      <c r="J9">
        <f t="shared" ref="J9:J12" si="0">SUM(C9:I9)/40</f>
        <v>11</v>
      </c>
      <c r="K9" s="76">
        <v>2</v>
      </c>
      <c r="L9" s="27"/>
      <c r="M9" s="10" t="str">
        <f>B9</f>
        <v>Salman</v>
      </c>
      <c r="N9" s="12"/>
      <c r="O9" s="12"/>
      <c r="P9" s="12"/>
      <c r="Q9" s="77"/>
      <c r="R9" s="77"/>
      <c r="S9" s="77"/>
      <c r="T9" s="77"/>
      <c r="U9" s="77"/>
      <c r="V9">
        <f t="shared" ref="V9:V12" si="1">SUM(N9:U9)/40</f>
        <v>0</v>
      </c>
    </row>
    <row r="10" spans="1:23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>
        <f t="shared" si="0"/>
        <v>0</v>
      </c>
      <c r="L10" s="27"/>
      <c r="M10" s="10" t="str">
        <f>B10</f>
        <v>Zesahn</v>
      </c>
      <c r="N10" s="12"/>
      <c r="O10" s="12"/>
      <c r="P10" s="12"/>
      <c r="Q10" s="77"/>
      <c r="R10" s="77"/>
      <c r="S10" s="77"/>
      <c r="T10" s="77"/>
      <c r="U10" s="77"/>
      <c r="V10">
        <f t="shared" si="1"/>
        <v>0</v>
      </c>
    </row>
    <row r="11" spans="1:23" x14ac:dyDescent="0.35">
      <c r="A11" s="11"/>
      <c r="B11" s="11" t="s">
        <v>31</v>
      </c>
      <c r="C11" s="12">
        <v>80</v>
      </c>
      <c r="D11" s="12"/>
      <c r="E11" s="12"/>
      <c r="F11" s="12"/>
      <c r="G11" s="12">
        <v>40</v>
      </c>
      <c r="H11" s="12">
        <v>0</v>
      </c>
      <c r="I11" s="12">
        <v>40</v>
      </c>
      <c r="J11">
        <f t="shared" si="0"/>
        <v>4</v>
      </c>
      <c r="K11" s="76">
        <v>4</v>
      </c>
      <c r="L11" s="11"/>
      <c r="M11" s="10" t="str">
        <f>B11</f>
        <v>Umair</v>
      </c>
      <c r="N11" s="12"/>
      <c r="O11" s="12"/>
      <c r="P11" s="12"/>
      <c r="Q11" s="77"/>
      <c r="R11" s="77"/>
      <c r="S11" s="77"/>
      <c r="T11" s="77"/>
      <c r="U11" s="77"/>
      <c r="V11">
        <f t="shared" si="1"/>
        <v>0</v>
      </c>
    </row>
    <row r="12" spans="1:23" x14ac:dyDescent="0.35">
      <c r="A12" s="11"/>
      <c r="B12" s="11" t="s">
        <v>38</v>
      </c>
      <c r="C12" s="12">
        <v>200</v>
      </c>
      <c r="D12" s="12">
        <v>440</v>
      </c>
      <c r="E12" s="12">
        <v>400</v>
      </c>
      <c r="F12" s="12"/>
      <c r="G12" s="12">
        <v>800</v>
      </c>
      <c r="H12" s="12">
        <v>800</v>
      </c>
      <c r="I12" s="12">
        <v>760</v>
      </c>
      <c r="J12">
        <f t="shared" si="0"/>
        <v>85</v>
      </c>
      <c r="K12" s="76">
        <v>5</v>
      </c>
      <c r="L12" s="11"/>
      <c r="M12" s="10" t="str">
        <f>B12</f>
        <v>Shakoor</v>
      </c>
      <c r="N12" s="12"/>
      <c r="O12" s="12"/>
      <c r="P12" s="12"/>
      <c r="Q12" s="77"/>
      <c r="R12" s="77"/>
      <c r="S12" s="77"/>
      <c r="T12" s="77"/>
      <c r="U12" s="77"/>
      <c r="V12">
        <f t="shared" si="1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77"/>
      <c r="R13" s="77"/>
      <c r="S13" s="77"/>
      <c r="T13" s="77"/>
      <c r="U13" s="77"/>
    </row>
    <row r="14" spans="1:23" x14ac:dyDescent="0.35">
      <c r="A14" s="13"/>
      <c r="B14" s="10"/>
      <c r="C14" s="14">
        <f t="shared" ref="C14:I14" si="2">SUM(C8:C13)</f>
        <v>280</v>
      </c>
      <c r="D14" s="14">
        <f t="shared" si="2"/>
        <v>480</v>
      </c>
      <c r="E14" s="14">
        <f t="shared" si="2"/>
        <v>440</v>
      </c>
      <c r="F14" s="14">
        <f t="shared" si="2"/>
        <v>0</v>
      </c>
      <c r="G14" s="14">
        <f t="shared" si="2"/>
        <v>960</v>
      </c>
      <c r="H14" s="14">
        <f t="shared" si="2"/>
        <v>920</v>
      </c>
      <c r="I14" s="14">
        <f t="shared" si="2"/>
        <v>920</v>
      </c>
      <c r="J14" s="35">
        <f>C14+D14+E14+F14+G14+H14+I14</f>
        <v>4000</v>
      </c>
      <c r="L14" s="13"/>
      <c r="M14" s="10"/>
      <c r="N14" s="14">
        <f t="shared" ref="N14:U14" si="3">SUM(N8:N13)</f>
        <v>0</v>
      </c>
      <c r="O14" s="14">
        <f t="shared" si="3"/>
        <v>0</v>
      </c>
      <c r="P14" s="14">
        <f t="shared" si="3"/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24</v>
      </c>
      <c r="E15" s="13">
        <f t="shared" ref="E15:I15" si="4">E14/20</f>
        <v>22</v>
      </c>
      <c r="F15" s="13">
        <f t="shared" si="4"/>
        <v>0</v>
      </c>
      <c r="G15" s="13">
        <f t="shared" si="4"/>
        <v>48</v>
      </c>
      <c r="H15" s="13">
        <f t="shared" si="4"/>
        <v>46</v>
      </c>
      <c r="I15" s="13">
        <f t="shared" si="4"/>
        <v>46</v>
      </c>
      <c r="L15" s="13"/>
      <c r="M15" s="10" t="s">
        <v>22</v>
      </c>
      <c r="N15" s="13"/>
      <c r="O15" s="13">
        <f>O14/20</f>
        <v>0</v>
      </c>
      <c r="P15" s="13">
        <f t="shared" ref="P15" si="5">P14/20</f>
        <v>0</v>
      </c>
      <c r="Q15" s="13"/>
      <c r="R15" s="13">
        <f t="shared" ref="R15:T15" si="6">R14/20</f>
        <v>0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280</v>
      </c>
      <c r="D16" s="36">
        <f t="shared" ref="D16:I16" si="7">D15+D14</f>
        <v>504</v>
      </c>
      <c r="E16" s="36">
        <f t="shared" si="7"/>
        <v>462</v>
      </c>
      <c r="F16" s="36">
        <f t="shared" si="7"/>
        <v>0</v>
      </c>
      <c r="G16" s="36">
        <f t="shared" si="7"/>
        <v>1008</v>
      </c>
      <c r="H16" s="36">
        <f t="shared" si="7"/>
        <v>966</v>
      </c>
      <c r="I16" s="36">
        <f t="shared" si="7"/>
        <v>966</v>
      </c>
      <c r="L16" s="13"/>
      <c r="M16" s="10" t="s">
        <v>21</v>
      </c>
      <c r="N16" s="36">
        <f>N15+N14</f>
        <v>0</v>
      </c>
      <c r="O16" s="36">
        <f t="shared" ref="O16:P16" si="8">O15+O14</f>
        <v>0</v>
      </c>
      <c r="P16" s="36">
        <f t="shared" si="8"/>
        <v>0</v>
      </c>
      <c r="Q16" s="36"/>
      <c r="R16" s="36">
        <f t="shared" ref="R16:T16" si="9">R15+R14</f>
        <v>0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7</v>
      </c>
      <c r="D17" s="36">
        <f t="shared" ref="D17:I17" si="10">D14/40</f>
        <v>12</v>
      </c>
      <c r="E17" s="36">
        <f t="shared" si="10"/>
        <v>11</v>
      </c>
      <c r="F17" s="36">
        <f t="shared" si="10"/>
        <v>0</v>
      </c>
      <c r="G17" s="36">
        <f t="shared" si="10"/>
        <v>24</v>
      </c>
      <c r="H17" s="36">
        <f t="shared" si="10"/>
        <v>23</v>
      </c>
      <c r="I17" s="36">
        <f t="shared" si="10"/>
        <v>23</v>
      </c>
      <c r="J17" s="35">
        <f>SUM(C17:I17)</f>
        <v>100</v>
      </c>
      <c r="L17" s="13"/>
      <c r="M17" s="39" t="s">
        <v>23</v>
      </c>
      <c r="N17" s="36">
        <f>N14/40</f>
        <v>0</v>
      </c>
      <c r="O17" s="36">
        <f t="shared" ref="O17:P17" si="11">O14/40</f>
        <v>0</v>
      </c>
      <c r="P17" s="36">
        <f t="shared" si="11"/>
        <v>0</v>
      </c>
      <c r="Q17" s="36"/>
      <c r="R17" s="36">
        <f t="shared" ref="R17:T17" si="12">R14/40</f>
        <v>0</v>
      </c>
      <c r="S17" s="36">
        <f t="shared" si="12"/>
        <v>0</v>
      </c>
      <c r="T17" s="36">
        <f t="shared" si="12"/>
        <v>0</v>
      </c>
      <c r="U17" s="36"/>
      <c r="V17" s="35">
        <f>SUM(N17:T17)</f>
        <v>0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Y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90625" bestFit="1" customWidth="1"/>
    <col min="19" max="19" width="3.6328125" bestFit="1" customWidth="1"/>
    <col min="20" max="20" width="3.08984375" bestFit="1" customWidth="1"/>
    <col min="21" max="21" width="0" hidden="1" customWidth="1"/>
  </cols>
  <sheetData>
    <row r="1" spans="1:25" ht="15" thickBot="1" x14ac:dyDescent="0.4">
      <c r="A1" s="1"/>
      <c r="B1" s="1"/>
      <c r="C1" s="1"/>
      <c r="D1" s="1"/>
      <c r="E1" s="1"/>
      <c r="F1" s="46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5" ht="14.5" customHeight="1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5" ht="14.5" customHeight="1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5" ht="14.5" customHeight="1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5" ht="15" customHeight="1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5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4">
        <v>7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 t="shared" ref="W8:X12" si="1">SUM(O8:Q8,S8,T8,U8)/40</f>
        <v>0</v>
      </c>
      <c r="X8">
        <f t="shared" si="1"/>
        <v>0</v>
      </c>
      <c r="Y8" s="44">
        <v>2</v>
      </c>
    </row>
    <row r="9" spans="1:25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2">SUM(G9:I9)/20</f>
        <v>0</v>
      </c>
      <c r="K9">
        <f>SUM(C9:F9,G9,H9,I9)/40</f>
        <v>0</v>
      </c>
      <c r="L9" s="44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3">SUM(S9:U9)/20</f>
        <v>0</v>
      </c>
      <c r="W9">
        <f t="shared" si="1"/>
        <v>0</v>
      </c>
      <c r="X9">
        <f t="shared" si="1"/>
        <v>0</v>
      </c>
      <c r="Y9" s="44">
        <v>8</v>
      </c>
    </row>
    <row r="10" spans="1:25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2"/>
        <v>0</v>
      </c>
      <c r="K10">
        <f>SUM(C10:F10,G10,H10,I10)/40</f>
        <v>0</v>
      </c>
      <c r="L10" s="44">
        <v>4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3"/>
        <v>0</v>
      </c>
      <c r="W10">
        <f t="shared" si="1"/>
        <v>0</v>
      </c>
      <c r="X10">
        <f t="shared" si="1"/>
        <v>0</v>
      </c>
      <c r="Y10" s="44"/>
    </row>
    <row r="11" spans="1:25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2"/>
        <v>0</v>
      </c>
      <c r="K11">
        <f>SUM(C11:F11,G11,H11,I11)/40</f>
        <v>0</v>
      </c>
      <c r="L11" s="41">
        <v>5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3"/>
        <v>0</v>
      </c>
      <c r="W11">
        <f t="shared" si="1"/>
        <v>0</v>
      </c>
      <c r="X11">
        <f t="shared" si="1"/>
        <v>0</v>
      </c>
      <c r="Y11" s="41">
        <v>3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2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3"/>
        <v>0</v>
      </c>
      <c r="W12">
        <f t="shared" si="1"/>
        <v>0</v>
      </c>
      <c r="X12">
        <f t="shared" si="1"/>
        <v>0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2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3"/>
        <v>0</v>
      </c>
    </row>
    <row r="14" spans="1:25" x14ac:dyDescent="0.35">
      <c r="A14" s="13"/>
      <c r="B14" s="10"/>
      <c r="C14" s="14">
        <f t="shared" ref="C14:J14" si="4">SUM(C8:C13)</f>
        <v>0</v>
      </c>
      <c r="D14" s="14">
        <f t="shared" si="4"/>
        <v>0</v>
      </c>
      <c r="E14" s="14">
        <f t="shared" si="4"/>
        <v>0</v>
      </c>
      <c r="F14" s="14">
        <f t="shared" si="4"/>
        <v>0</v>
      </c>
      <c r="G14" s="14">
        <f t="shared" si="4"/>
        <v>0</v>
      </c>
      <c r="H14" s="14">
        <f t="shared" si="4"/>
        <v>0</v>
      </c>
      <c r="I14" s="14">
        <f t="shared" si="4"/>
        <v>0</v>
      </c>
      <c r="J14" s="14">
        <f t="shared" si="4"/>
        <v>0</v>
      </c>
      <c r="K14" s="35">
        <f>C14+D14+E14+F14+G14+H14+I14</f>
        <v>0</v>
      </c>
      <c r="M14" s="13"/>
      <c r="N14" s="10"/>
      <c r="O14" s="14">
        <f t="shared" ref="O14:V14" si="5">SUM(O8:O13)</f>
        <v>0</v>
      </c>
      <c r="P14" s="14">
        <f t="shared" si="5"/>
        <v>0</v>
      </c>
      <c r="Q14" s="14">
        <f t="shared" si="5"/>
        <v>0</v>
      </c>
      <c r="R14" s="14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14">
        <f t="shared" si="5"/>
        <v>0</v>
      </c>
      <c r="W14" s="35" t="e">
        <f>O14+P14+Q14+#REF!+S14+T14+U14</f>
        <v>#REF!</v>
      </c>
      <c r="X14" s="35" t="e">
        <f>P14+Q14+#REF!+R14+T14+U14+V14</f>
        <v>#REF!</v>
      </c>
    </row>
    <row r="15" spans="1:25" x14ac:dyDescent="0.35">
      <c r="A15" s="13"/>
      <c r="B15" s="10" t="s">
        <v>22</v>
      </c>
      <c r="C15" s="13"/>
      <c r="D15" s="13">
        <f>D14/20</f>
        <v>0</v>
      </c>
      <c r="E15" s="13">
        <f t="shared" ref="E15:I15" si="6">E14/20</f>
        <v>0</v>
      </c>
      <c r="F15" s="13">
        <f t="shared" si="6"/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7">Q14/20</f>
        <v>0</v>
      </c>
      <c r="R15" s="13"/>
      <c r="S15" s="13">
        <f t="shared" ref="S15:U15" si="8">S14/20</f>
        <v>0</v>
      </c>
      <c r="T15" s="13">
        <f t="shared" si="8"/>
        <v>0</v>
      </c>
      <c r="U15" s="13">
        <f t="shared" si="8"/>
        <v>0</v>
      </c>
      <c r="V15" s="13"/>
    </row>
    <row r="16" spans="1:25" x14ac:dyDescent="0.35">
      <c r="A16" s="13"/>
      <c r="B16" s="10" t="s">
        <v>21</v>
      </c>
      <c r="C16" s="36">
        <f>C15+C14</f>
        <v>0</v>
      </c>
      <c r="D16" s="36">
        <f t="shared" ref="D16:I16" si="9">D15+D14</f>
        <v>0</v>
      </c>
      <c r="E16" s="36">
        <f t="shared" si="9"/>
        <v>0</v>
      </c>
      <c r="F16" s="36">
        <f t="shared" si="9"/>
        <v>0</v>
      </c>
      <c r="G16" s="36">
        <f t="shared" si="9"/>
        <v>0</v>
      </c>
      <c r="H16" s="36">
        <f t="shared" si="9"/>
        <v>0</v>
      </c>
      <c r="I16" s="36">
        <f t="shared" si="9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0">P15+P14</f>
        <v>0</v>
      </c>
      <c r="Q16" s="36">
        <f t="shared" si="10"/>
        <v>0</v>
      </c>
      <c r="R16" s="36"/>
      <c r="S16" s="36">
        <f t="shared" ref="S16:U16" si="11">S15+S14</f>
        <v>0</v>
      </c>
      <c r="T16" s="36">
        <f t="shared" si="11"/>
        <v>0</v>
      </c>
      <c r="U16" s="36">
        <f t="shared" si="11"/>
        <v>0</v>
      </c>
      <c r="V16" s="36"/>
    </row>
    <row r="17" spans="1:24" x14ac:dyDescent="0.35">
      <c r="A17" s="13"/>
      <c r="B17" s="39" t="s">
        <v>23</v>
      </c>
      <c r="C17" s="36">
        <f>C14/40</f>
        <v>0</v>
      </c>
      <c r="D17" s="36">
        <f t="shared" ref="D17:I17" si="12">D14/40</f>
        <v>0</v>
      </c>
      <c r="E17" s="36">
        <f t="shared" si="12"/>
        <v>0</v>
      </c>
      <c r="F17" s="36">
        <f t="shared" si="12"/>
        <v>0</v>
      </c>
      <c r="G17" s="36">
        <f t="shared" si="12"/>
        <v>0</v>
      </c>
      <c r="H17" s="36">
        <f t="shared" si="12"/>
        <v>0</v>
      </c>
      <c r="I17" s="36">
        <f t="shared" si="12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3">P14/40</f>
        <v>0</v>
      </c>
      <c r="Q17" s="36">
        <f t="shared" si="13"/>
        <v>0</v>
      </c>
      <c r="R17" s="36"/>
      <c r="S17" s="36">
        <f t="shared" ref="S17:U17" si="14">S14/40</f>
        <v>0</v>
      </c>
      <c r="T17" s="36">
        <f t="shared" si="14"/>
        <v>0</v>
      </c>
      <c r="U17" s="36">
        <f t="shared" si="14"/>
        <v>0</v>
      </c>
      <c r="V17" s="36"/>
      <c r="W17" s="35">
        <f>SUM(O17:U17)</f>
        <v>0</v>
      </c>
      <c r="X17" s="35">
        <f>SUM(P17:V17)</f>
        <v>0</v>
      </c>
    </row>
    <row r="18" spans="1:24" x14ac:dyDescent="0.35">
      <c r="C18" s="32"/>
    </row>
    <row r="19" spans="1:24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.26953125" bestFit="1" customWidth="1"/>
    <col min="16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7">
        <v>4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7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7">
        <f>SUM(C9:F9,G9,H9,I9)/40</f>
        <v>0</v>
      </c>
      <c r="L9" s="47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7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7">
        <f>SUM(C10:F10,G10,H10,I10)/40</f>
        <v>0</v>
      </c>
      <c r="L10" s="47">
        <v>10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7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7">
        <f>SUM(C11:F11,G11,H11,I11)/40</f>
        <v>0</v>
      </c>
      <c r="L11" s="47">
        <v>20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7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7">
        <f>SUM(C12:F12,G12,H12,I12)/40</f>
        <v>0</v>
      </c>
      <c r="L12" s="47">
        <v>5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7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3.90625" bestFit="1" customWidth="1"/>
    <col min="8" max="8" width="3.6328125" bestFit="1" customWidth="1"/>
    <col min="9" max="9" width="3.089843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cp:lastPrinted>2026-07-06T12:43:28Z</cp:lastPrinted>
  <dcterms:created xsi:type="dcterms:W3CDTF">2026-06-09T05:45:07Z</dcterms:created>
  <dcterms:modified xsi:type="dcterms:W3CDTF">2026-07-24T12:37:58Z</dcterms:modified>
</cp:coreProperties>
</file>