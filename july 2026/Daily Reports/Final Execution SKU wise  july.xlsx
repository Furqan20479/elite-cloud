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077A627-056B-4DC1-84B6-413965618DDE}" xr6:coauthVersionLast="47" xr6:coauthVersionMax="47" xr10:uidLastSave="{00000000-0000-0000-0000-000000000000}"/>
  <bookViews>
    <workbookView xWindow="-110" yWindow="-110" windowWidth="19420" windowHeight="10420" tabRatio="887" firstSheet="1" activeTab="2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1" i="24" l="1"/>
  <c r="N11" i="24"/>
  <c r="J10" i="24" l="1"/>
  <c r="J11" i="24"/>
  <c r="J12" i="24"/>
  <c r="J9" i="24"/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M9" i="23"/>
  <c r="M10" i="23"/>
  <c r="M11" i="23"/>
  <c r="M12" i="23"/>
  <c r="M9" i="24"/>
  <c r="M10" i="24"/>
  <c r="M11" i="24"/>
  <c r="M12" i="24"/>
  <c r="M9" i="25"/>
  <c r="M10" i="25"/>
  <c r="M11" i="25"/>
  <c r="M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M8" i="23"/>
  <c r="M8" i="24"/>
  <c r="M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U9" i="23"/>
  <c r="U10" i="23"/>
  <c r="U11" i="23"/>
  <c r="U12" i="23"/>
  <c r="U13" i="23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Q9" i="23"/>
  <c r="Q10" i="23"/>
  <c r="Q11" i="23"/>
  <c r="Q12" i="23"/>
  <c r="Q13" i="23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T14" i="23"/>
  <c r="T15" i="23" s="1"/>
  <c r="T16" i="23" s="1"/>
  <c r="S14" i="23"/>
  <c r="S17" i="23" s="1"/>
  <c r="R14" i="23"/>
  <c r="R17" i="23" s="1"/>
  <c r="P14" i="23"/>
  <c r="P15" i="23" s="1"/>
  <c r="P16" i="23" s="1"/>
  <c r="O14" i="23"/>
  <c r="N14" i="23"/>
  <c r="N16" i="23" s="1"/>
  <c r="V12" i="23"/>
  <c r="V11" i="23"/>
  <c r="V10" i="23"/>
  <c r="V9" i="23"/>
  <c r="V8" i="23"/>
  <c r="U8" i="23"/>
  <c r="U14" i="23" s="1"/>
  <c r="Q8" i="23"/>
  <c r="Q14" i="23" s="1"/>
  <c r="T14" i="24"/>
  <c r="T17" i="24" s="1"/>
  <c r="S14" i="24"/>
  <c r="S15" i="24" s="1"/>
  <c r="S16" i="24" s="1"/>
  <c r="R14" i="24"/>
  <c r="R15" i="24" s="1"/>
  <c r="R16" i="24" s="1"/>
  <c r="P14" i="24"/>
  <c r="P17" i="24" s="1"/>
  <c r="O14" i="24"/>
  <c r="O15" i="24" s="1"/>
  <c r="O16" i="24" s="1"/>
  <c r="N14" i="24"/>
  <c r="N17" i="24" s="1"/>
  <c r="U12" i="24"/>
  <c r="U11" i="24"/>
  <c r="U10" i="24"/>
  <c r="U9" i="24"/>
  <c r="U8" i="24"/>
  <c r="T14" i="25"/>
  <c r="T15" i="25" s="1"/>
  <c r="T16" i="25" s="1"/>
  <c r="S14" i="25"/>
  <c r="S17" i="25" s="1"/>
  <c r="R14" i="25"/>
  <c r="R17" i="25" s="1"/>
  <c r="P14" i="25"/>
  <c r="P15" i="25" s="1"/>
  <c r="P16" i="25" s="1"/>
  <c r="O14" i="25"/>
  <c r="N14" i="25"/>
  <c r="N16" i="25" s="1"/>
  <c r="V12" i="25"/>
  <c r="V11" i="25"/>
  <c r="V10" i="25"/>
  <c r="V9" i="25"/>
  <c r="V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P17" i="23"/>
  <c r="P15" i="22"/>
  <c r="P16" i="22" s="1"/>
  <c r="O15" i="14"/>
  <c r="O16" i="14" s="1"/>
  <c r="Q17" i="5"/>
  <c r="V15" i="31"/>
  <c r="V16" i="31" s="1"/>
  <c r="S17" i="31"/>
  <c r="T17" i="25"/>
  <c r="U17" i="21"/>
  <c r="S17" i="26"/>
  <c r="T17" i="16"/>
  <c r="S15" i="15"/>
  <c r="S16" i="15" s="1"/>
  <c r="S17" i="14"/>
  <c r="T17" i="23"/>
  <c r="T14" i="17"/>
  <c r="U17" i="28"/>
  <c r="O17" i="11"/>
  <c r="O15" i="7"/>
  <c r="O16" i="7" s="1"/>
  <c r="S17" i="4"/>
  <c r="R17" i="29"/>
  <c r="Q14" i="25"/>
  <c r="T14" i="29"/>
  <c r="R15" i="28"/>
  <c r="R16" i="28" s="1"/>
  <c r="T14" i="31"/>
  <c r="P17" i="25"/>
  <c r="P15" i="24"/>
  <c r="P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R17" i="24"/>
  <c r="Y14" i="29"/>
  <c r="V17" i="29"/>
  <c r="U17" i="27"/>
  <c r="U14" i="13"/>
  <c r="X14" i="31"/>
  <c r="U15" i="32"/>
  <c r="U16" i="32" s="1"/>
  <c r="U14" i="25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V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V14" i="25"/>
  <c r="R15" i="23"/>
  <c r="R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R15" i="25"/>
  <c r="R16" i="25" s="1"/>
  <c r="U14" i="24"/>
  <c r="T15" i="24"/>
  <c r="T16" i="24" s="1"/>
  <c r="O17" i="23"/>
  <c r="O15" i="23"/>
  <c r="O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O17" i="25"/>
  <c r="O15" i="25"/>
  <c r="O16" i="25" s="1"/>
  <c r="Q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S15" i="25"/>
  <c r="S16" i="25" s="1"/>
  <c r="N16" i="24"/>
  <c r="O17" i="24"/>
  <c r="S17" i="24"/>
  <c r="S15" i="23"/>
  <c r="S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N17" i="25"/>
  <c r="N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V17" i="21" l="1"/>
  <c r="U17" i="24"/>
  <c r="Y17" i="4"/>
  <c r="W17" i="20"/>
  <c r="V17" i="22"/>
  <c r="W17" i="32"/>
  <c r="Y17" i="30"/>
  <c r="V17" i="18"/>
  <c r="V17" i="14"/>
  <c r="V17" i="23"/>
  <c r="W17" i="26"/>
  <c r="Y17" i="28"/>
  <c r="U17" i="7"/>
  <c r="V17" i="8"/>
  <c r="V17" i="12"/>
  <c r="W17" i="16"/>
  <c r="U17" i="11"/>
  <c r="W17" i="6"/>
  <c r="U17" i="10"/>
  <c r="V17" i="25"/>
  <c r="V17" i="15"/>
  <c r="Y17" i="29"/>
  <c r="V17" i="5"/>
  <c r="W17" i="9"/>
  <c r="V17" i="13"/>
  <c r="V17" i="19"/>
  <c r="W17" i="27"/>
  <c r="U17" i="17"/>
  <c r="Y17" i="31"/>
  <c r="V14" i="24"/>
  <c r="V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J9" i="23"/>
  <c r="J10" i="23"/>
  <c r="J11" i="23"/>
  <c r="J12" i="23"/>
  <c r="J9" i="25"/>
  <c r="J10" i="25"/>
  <c r="J11" i="25"/>
  <c r="J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J8" i="23"/>
  <c r="J8" i="24"/>
  <c r="J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I14" i="25"/>
  <c r="H14" i="25"/>
  <c r="G14" i="25"/>
  <c r="F14" i="25"/>
  <c r="E14" i="25"/>
  <c r="D14" i="25"/>
  <c r="C14" i="25"/>
  <c r="I14" i="24"/>
  <c r="H14" i="24"/>
  <c r="G14" i="24"/>
  <c r="F14" i="24"/>
  <c r="E14" i="24"/>
  <c r="D14" i="24"/>
  <c r="C14" i="24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J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J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J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J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J17" i="25"/>
  <c r="J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<sst xmlns="http://schemas.openxmlformats.org/spreadsheetml/2006/main" count="1385" uniqueCount="49">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</sst>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3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3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3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31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37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59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59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>
        <v>400</v>
      </c>
      <c r="Q12" s="12">
        <v>480</v>
      </c>
      <c r="R12" s="28"/>
      <c r="S12" s="12">
        <v>360</v>
      </c>
      <c r="T12" s="12">
        <v>360</v>
      </c>
      <c r="U12" s="12">
        <v>360</v>
      </c>
      <c r="V12" s="48">
        <f t="shared" si="1"/>
        <v>49</v>
      </c>
      <c r="W12" s="59">
        <v>4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420</v>
      </c>
      <c r="Q14" s="14">
        <f t="shared" si="3"/>
        <v>500</v>
      </c>
      <c r="R14" s="14">
        <f t="shared" si="3"/>
        <v>0</v>
      </c>
      <c r="S14" s="14">
        <f t="shared" si="3"/>
        <v>493</v>
      </c>
      <c r="T14" s="14">
        <f t="shared" si="3"/>
        <v>499</v>
      </c>
      <c r="U14" s="14">
        <f t="shared" si="3"/>
        <v>658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21</v>
      </c>
      <c r="Q15" s="13">
        <f t="shared" ref="Q15" si="5">Q14/20</f>
        <v>25</v>
      </c>
      <c r="R15" s="13"/>
      <c r="S15" s="13">
        <f t="shared" ref="S15:U15" si="6">S14/20</f>
        <v>24.65</v>
      </c>
      <c r="T15" s="13">
        <f t="shared" si="6"/>
        <v>24.95</v>
      </c>
      <c r="U15" s="13">
        <f t="shared" si="6"/>
        <v>32.9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441</v>
      </c>
      <c r="Q16" s="36">
        <f t="shared" si="8"/>
        <v>525</v>
      </c>
      <c r="R16" s="36"/>
      <c r="S16" s="36">
        <f t="shared" ref="S16:U16" si="9">S15+S14</f>
        <v>517.65</v>
      </c>
      <c r="T16" s="36">
        <f t="shared" si="9"/>
        <v>523.95000000000005</v>
      </c>
      <c r="U16" s="36">
        <f t="shared" si="9"/>
        <v>690.9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10.5</v>
      </c>
      <c r="Q17" s="36">
        <f t="shared" si="11"/>
        <v>12.5</v>
      </c>
      <c r="R17" s="36"/>
      <c r="S17" s="36">
        <f t="shared" ref="S17:U17" si="12">S14/40</f>
        <v>12.324999999999999</v>
      </c>
      <c r="T17" s="36">
        <f t="shared" si="12"/>
        <v>12.475</v>
      </c>
      <c r="U17" s="36">
        <f t="shared" si="12"/>
        <v>16.45</v>
      </c>
      <c r="V17" s="35">
        <f>SUM(O17:U17)</f>
        <v>67.05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zoomScaleNormal="100" workbookViewId="0">
      <selection activeCell="X16" sqref="X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44">
        <v>2</v>
      </c>
      <c r="L9" s="27"/>
      <c r="M9" s="10" t="str">
        <f>B9</f>
        <v>Salman</v>
      </c>
      <c r="N9" s="12"/>
      <c r="O9" s="12">
        <v>40</v>
      </c>
      <c r="P9" s="12">
        <v>40</v>
      </c>
      <c r="Q9" s="12">
        <v>0</v>
      </c>
      <c r="R9" s="12">
        <v>40</v>
      </c>
      <c r="S9" s="12">
        <v>40</v>
      </c>
      <c r="T9" s="12"/>
      <c r="U9" s="12">
        <v>40</v>
      </c>
      <c r="V9">
        <f t="shared" ref="V9:V12" si="1">SUM(N9:U9)/40</f>
        <v>5</v>
      </c>
      <c r="W9" s="44">
        <v>1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44">
        <v>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44">
        <v>5</v>
      </c>
      <c r="L12" s="11"/>
      <c r="M12" s="10" t="str">
        <f>B12</f>
        <v>Shakoor</v>
      </c>
      <c r="N12" s="12">
        <v>200</v>
      </c>
      <c r="O12" s="12">
        <v>200</v>
      </c>
      <c r="P12" s="12">
        <v>200</v>
      </c>
      <c r="Q12" s="12"/>
      <c r="R12" s="12">
        <v>320</v>
      </c>
      <c r="S12" s="12">
        <v>400</v>
      </c>
      <c r="T12" s="12"/>
      <c r="U12" s="12">
        <v>280</v>
      </c>
      <c r="V12">
        <f t="shared" si="1"/>
        <v>40</v>
      </c>
      <c r="W12" s="44">
        <v>3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200</v>
      </c>
      <c r="O14" s="14">
        <f t="shared" si="3"/>
        <v>240</v>
      </c>
      <c r="P14" s="14">
        <f t="shared" si="3"/>
        <v>240</v>
      </c>
      <c r="Q14" s="14">
        <f t="shared" si="3"/>
        <v>0</v>
      </c>
      <c r="R14" s="14">
        <f t="shared" si="3"/>
        <v>360</v>
      </c>
      <c r="S14" s="14">
        <f t="shared" si="3"/>
        <v>440</v>
      </c>
      <c r="T14" s="14">
        <f t="shared" si="3"/>
        <v>0</v>
      </c>
      <c r="U14" s="14">
        <f t="shared" si="3"/>
        <v>320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12</v>
      </c>
      <c r="P15" s="13">
        <f t="shared" ref="P15" si="5">P14/20</f>
        <v>12</v>
      </c>
      <c r="Q15" s="13"/>
      <c r="R15" s="13">
        <f t="shared" ref="R15:T15" si="6">R14/20</f>
        <v>18</v>
      </c>
      <c r="S15" s="13">
        <f t="shared" si="6"/>
        <v>22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200</v>
      </c>
      <c r="O16" s="36">
        <f t="shared" ref="O16:P16" si="8">O15+O14</f>
        <v>252</v>
      </c>
      <c r="P16" s="36">
        <f t="shared" si="8"/>
        <v>252</v>
      </c>
      <c r="Q16" s="36"/>
      <c r="R16" s="36">
        <f t="shared" ref="R16:T16" si="9">R15+R14</f>
        <v>378</v>
      </c>
      <c r="S16" s="36">
        <f t="shared" si="9"/>
        <v>462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5</v>
      </c>
      <c r="O17" s="36">
        <f t="shared" ref="O17:P17" si="11">O14/40</f>
        <v>6</v>
      </c>
      <c r="P17" s="36">
        <f t="shared" si="11"/>
        <v>6</v>
      </c>
      <c r="Q17" s="36"/>
      <c r="R17" s="36">
        <f t="shared" ref="R17:T17" si="12">R14/40</f>
        <v>9</v>
      </c>
      <c r="S17" s="36">
        <f t="shared" si="12"/>
        <v>11</v>
      </c>
      <c r="T17" s="36">
        <f t="shared" si="12"/>
        <v>0</v>
      </c>
      <c r="U17" s="36"/>
      <c r="V17" s="35">
        <f>SUM(N17:T17)</f>
        <v>37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W19"/>
  <sheetViews>
    <sheetView zoomScaleNormal="100" workbookViewId="0">
      <selection activeCell="K12" sqref="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>SUM(C10:F10,G10,H10,I10)/40</f>
        <v>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>SUM(C11:F11,G11,H11,I11)/40</f>
        <v>0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K12" s="44"/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35">
        <f>C14+D14+E14+F14+G14+H14+I14</f>
        <v>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5">
        <f>SUM(C17:I17)</f>
        <v>0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W19"/>
  <sheetViews>
    <sheetView tabSelected="1" zoomScaleNormal="100" workbookViewId="0">
      <selection activeCell="S21" sqref="S2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7.1796875" customWidth="1"/>
    <col min="17" max="17" width="5.81640625" bestFit="1" customWidth="1"/>
    <col min="18" max="18" width="4.81640625" customWidth="1"/>
    <col min="19" max="19" width="3.08984375" bestFit="1" customWidth="1"/>
    <col min="20" max="20" width="4.1796875" customWidth="1"/>
  </cols>
  <sheetData>
    <row r="1" spans="1:23" ht="15" thickBot="1" x14ac:dyDescent="0.4">
      <c r="A1" s="1"/>
      <c r="B1" s="1"/>
      <c r="C1" s="1"/>
      <c r="D1" s="1"/>
      <c r="E1" s="1"/>
      <c r="F1" s="46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12" t="s">
        <v>27</v>
      </c>
      <c r="V7" s="12" t="s">
        <v>26</v>
      </c>
      <c r="W7" s="44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K8" s="44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>
        <f>SUM(N8:P8,R8,S8,T8)/40</f>
        <v>0</v>
      </c>
      <c r="W8" s="44"/>
    </row>
    <row r="9" spans="1:23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/>
      <c r="G9" s="12">
        <v>154</v>
      </c>
      <c r="H9" s="12">
        <v>104</v>
      </c>
      <c r="I9" s="12">
        <v>106</v>
      </c>
      <c r="J9">
        <f>SUM(C9:I9)/40</f>
        <v>16.5</v>
      </c>
      <c r="K9" s="44">
        <v>11</v>
      </c>
      <c r="L9" s="27"/>
      <c r="M9" s="10" t="str">
        <f>B9</f>
        <v>Salman</v>
      </c>
      <c r="N9" s="12">
        <v>124</v>
      </c>
      <c r="O9" s="12">
        <v>64</v>
      </c>
      <c r="P9" s="12">
        <v>24</v>
      </c>
      <c r="Q9" s="28">
        <v>0</v>
      </c>
      <c r="R9" s="12">
        <v>82</v>
      </c>
      <c r="S9" s="12">
        <v>72</v>
      </c>
      <c r="T9" s="12">
        <v>42</v>
      </c>
      <c r="U9">
        <f>SUM(N9:P9,R9,S9,T9)/40</f>
        <v>10.199999999999999</v>
      </c>
      <c r="V9" s="44">
        <v>7</v>
      </c>
      <c r="W9" s="44"/>
    </row>
    <row r="10" spans="1:23" x14ac:dyDescent="0.35">
      <c r="A10" s="27"/>
      <c r="B10" s="10" t="s">
        <v>37</v>
      </c>
      <c r="C10" s="12">
        <v>240</v>
      </c>
      <c r="D10" s="12">
        <v>60</v>
      </c>
      <c r="E10" s="12">
        <v>60</v>
      </c>
      <c r="F10" s="12">
        <v>0</v>
      </c>
      <c r="G10" s="12">
        <v>50</v>
      </c>
      <c r="H10" s="12">
        <v>60</v>
      </c>
      <c r="I10" s="12">
        <v>90</v>
      </c>
      <c r="J10">
        <f t="shared" ref="J10:J12" si="0">SUM(C10:I10)/40</f>
        <v>14</v>
      </c>
      <c r="K10" s="44">
        <v>9</v>
      </c>
      <c r="L10" s="27"/>
      <c r="M10" s="10" t="str">
        <f>B10</f>
        <v>Zesahn</v>
      </c>
      <c r="N10" s="12">
        <v>160</v>
      </c>
      <c r="O10" s="12">
        <v>60</v>
      </c>
      <c r="P10" s="12">
        <v>60</v>
      </c>
      <c r="Q10" s="28">
        <v>0</v>
      </c>
      <c r="R10" s="12">
        <v>50</v>
      </c>
      <c r="S10" s="12">
        <v>60</v>
      </c>
      <c r="T10" s="12">
        <v>90</v>
      </c>
      <c r="U10">
        <f>SUM(N10:P10,R10,S10,T10)/40</f>
        <v>12</v>
      </c>
      <c r="V10" s="44">
        <v>8</v>
      </c>
      <c r="W10" s="44"/>
    </row>
    <row r="11" spans="1:23" x14ac:dyDescent="0.35">
      <c r="A11" s="11"/>
      <c r="B11" s="11" t="s">
        <v>31</v>
      </c>
      <c r="C11" s="12">
        <v>160</v>
      </c>
      <c r="D11" s="12">
        <v>12</v>
      </c>
      <c r="E11" s="12">
        <v>12</v>
      </c>
      <c r="F11" s="12">
        <v>0</v>
      </c>
      <c r="G11" s="12">
        <v>106</v>
      </c>
      <c r="H11" s="12">
        <v>96</v>
      </c>
      <c r="I11" s="12">
        <v>96</v>
      </c>
      <c r="J11">
        <f t="shared" si="0"/>
        <v>12.05</v>
      </c>
      <c r="K11" s="41">
        <v>6</v>
      </c>
      <c r="L11" s="11"/>
      <c r="M11" s="10" t="str">
        <f>B11</f>
        <v>Umair</v>
      </c>
      <c r="N11" s="12">
        <f>80+40</f>
        <v>120</v>
      </c>
      <c r="O11" s="12">
        <v>12</v>
      </c>
      <c r="P11" s="12">
        <v>12</v>
      </c>
      <c r="Q11" s="28">
        <v>0</v>
      </c>
      <c r="R11" s="12">
        <v>91</v>
      </c>
      <c r="S11" s="12">
        <v>86</v>
      </c>
      <c r="T11" s="12">
        <f>81+40</f>
        <v>121</v>
      </c>
      <c r="U11">
        <f>SUM(N11:P11,R11,S11,T11)/40</f>
        <v>11.05</v>
      </c>
      <c r="V11" s="44">
        <v>5</v>
      </c>
      <c r="W11" s="41"/>
    </row>
    <row r="12" spans="1:23" x14ac:dyDescent="0.35">
      <c r="A12" s="11"/>
      <c r="B12" s="11" t="s">
        <v>32</v>
      </c>
      <c r="C12" s="12">
        <v>360</v>
      </c>
      <c r="D12" s="12">
        <v>360</v>
      </c>
      <c r="E12" s="12">
        <v>0</v>
      </c>
      <c r="F12" s="12">
        <v>320</v>
      </c>
      <c r="G12" s="12">
        <v>400</v>
      </c>
      <c r="H12" s="12">
        <v>320</v>
      </c>
      <c r="I12" s="12"/>
      <c r="J12">
        <f t="shared" si="0"/>
        <v>44</v>
      </c>
      <c r="K12" s="41">
        <v>7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3" x14ac:dyDescent="0.35">
      <c r="A14" s="13"/>
      <c r="B14" s="10"/>
      <c r="C14" s="14">
        <f t="shared" ref="C14:I14" si="1">SUM(C8:C13)</f>
        <v>968</v>
      </c>
      <c r="D14" s="14">
        <f t="shared" si="1"/>
        <v>496</v>
      </c>
      <c r="E14" s="14">
        <f t="shared" si="1"/>
        <v>96</v>
      </c>
      <c r="F14" s="14">
        <f t="shared" si="1"/>
        <v>320</v>
      </c>
      <c r="G14" s="14">
        <f t="shared" si="1"/>
        <v>710</v>
      </c>
      <c r="H14" s="14">
        <f t="shared" si="1"/>
        <v>580</v>
      </c>
      <c r="I14" s="14">
        <f t="shared" si="1"/>
        <v>292</v>
      </c>
      <c r="J14" s="35">
        <f>C14+D14+E14+F14+G14+H14+I14</f>
        <v>3462</v>
      </c>
      <c r="L14" s="13"/>
      <c r="M14" s="10"/>
      <c r="N14" s="14">
        <f t="shared" ref="N14:T14" si="2">SUM(N8:N13)</f>
        <v>404</v>
      </c>
      <c r="O14" s="14">
        <f t="shared" si="2"/>
        <v>136</v>
      </c>
      <c r="P14" s="14">
        <f t="shared" si="2"/>
        <v>96</v>
      </c>
      <c r="Q14" s="14">
        <f t="shared" si="2"/>
        <v>0</v>
      </c>
      <c r="R14" s="14">
        <f t="shared" si="2"/>
        <v>223</v>
      </c>
      <c r="S14" s="14">
        <f t="shared" si="2"/>
        <v>218</v>
      </c>
      <c r="T14" s="14">
        <f t="shared" si="2"/>
        <v>253</v>
      </c>
      <c r="U14" s="35" t="e">
        <f>N14+O14+P14+#REF!+R14+S14+T14</f>
        <v>#REF!</v>
      </c>
      <c r="V14" s="35" t="e">
        <f>O14+P14+#REF!+Q14+S14+T14+#REF!</f>
        <v>#REF!</v>
      </c>
    </row>
    <row r="15" spans="1:23" x14ac:dyDescent="0.35">
      <c r="A15" s="13"/>
      <c r="B15" s="10" t="s">
        <v>22</v>
      </c>
      <c r="C15" s="13"/>
      <c r="D15" s="13">
        <f>D14/20</f>
        <v>24.8</v>
      </c>
      <c r="E15" s="13">
        <f t="shared" ref="E15:I15" si="3">E14/20</f>
        <v>4.8</v>
      </c>
      <c r="F15" s="13">
        <f t="shared" si="3"/>
        <v>16</v>
      </c>
      <c r="G15" s="13">
        <f t="shared" si="3"/>
        <v>35.5</v>
      </c>
      <c r="H15" s="13">
        <f t="shared" si="3"/>
        <v>29</v>
      </c>
      <c r="I15" s="13">
        <f t="shared" si="3"/>
        <v>14.6</v>
      </c>
      <c r="L15" s="13"/>
      <c r="M15" s="10" t="s">
        <v>22</v>
      </c>
      <c r="N15" s="13"/>
      <c r="O15" s="13">
        <f>O14/20</f>
        <v>6.8</v>
      </c>
      <c r="P15" s="13">
        <f t="shared" ref="P15" si="4">P14/20</f>
        <v>4.8</v>
      </c>
      <c r="Q15" s="13"/>
      <c r="R15" s="13">
        <f t="shared" ref="R15:T15" si="5">R14/20</f>
        <v>11.15</v>
      </c>
      <c r="S15" s="13">
        <f t="shared" si="5"/>
        <v>10.9</v>
      </c>
      <c r="T15" s="13">
        <f t="shared" si="5"/>
        <v>12.65</v>
      </c>
    </row>
    <row r="16" spans="1:23" x14ac:dyDescent="0.35">
      <c r="A16" s="13"/>
      <c r="B16" s="10" t="s">
        <v>21</v>
      </c>
      <c r="C16" s="36">
        <f>C15+C14</f>
        <v>968</v>
      </c>
      <c r="D16" s="36">
        <f t="shared" ref="D16:I16" si="6">D15+D14</f>
        <v>520.79999999999995</v>
      </c>
      <c r="E16" s="36">
        <f t="shared" si="6"/>
        <v>100.8</v>
      </c>
      <c r="F16" s="36">
        <f t="shared" si="6"/>
        <v>336</v>
      </c>
      <c r="G16" s="36">
        <f t="shared" si="6"/>
        <v>745.5</v>
      </c>
      <c r="H16" s="36">
        <f t="shared" si="6"/>
        <v>609</v>
      </c>
      <c r="I16" s="36">
        <f t="shared" si="6"/>
        <v>306.60000000000002</v>
      </c>
      <c r="L16" s="13"/>
      <c r="M16" s="10" t="s">
        <v>21</v>
      </c>
      <c r="N16" s="36">
        <f>N15+N14</f>
        <v>404</v>
      </c>
      <c r="O16" s="36">
        <f t="shared" ref="O16:P16" si="7">O15+O14</f>
        <v>142.80000000000001</v>
      </c>
      <c r="P16" s="36">
        <f t="shared" si="7"/>
        <v>100.8</v>
      </c>
      <c r="Q16" s="36"/>
      <c r="R16" s="36">
        <f t="shared" ref="R16:T16" si="8">R15+R14</f>
        <v>234.15</v>
      </c>
      <c r="S16" s="36">
        <f t="shared" si="8"/>
        <v>228.9</v>
      </c>
      <c r="T16" s="36">
        <f t="shared" si="8"/>
        <v>265.64999999999998</v>
      </c>
    </row>
    <row r="17" spans="1:22" x14ac:dyDescent="0.35">
      <c r="A17" s="13"/>
      <c r="B17" s="39" t="s">
        <v>23</v>
      </c>
      <c r="C17" s="36">
        <f>C14/40</f>
        <v>24.2</v>
      </c>
      <c r="D17" s="36">
        <f t="shared" ref="D17:I17" si="9">D14/40</f>
        <v>12.4</v>
      </c>
      <c r="E17" s="36">
        <f t="shared" si="9"/>
        <v>2.4</v>
      </c>
      <c r="F17" s="36">
        <f t="shared" si="9"/>
        <v>8</v>
      </c>
      <c r="G17" s="36">
        <f t="shared" si="9"/>
        <v>17.75</v>
      </c>
      <c r="H17" s="36">
        <f t="shared" si="9"/>
        <v>14.5</v>
      </c>
      <c r="I17" s="36">
        <f t="shared" si="9"/>
        <v>7.3</v>
      </c>
      <c r="J17" s="35">
        <f>SUM(C17:I17)</f>
        <v>86.55</v>
      </c>
      <c r="L17" s="13"/>
      <c r="M17" s="39" t="s">
        <v>23</v>
      </c>
      <c r="N17" s="36">
        <f>N14/40</f>
        <v>10.1</v>
      </c>
      <c r="O17" s="36">
        <f t="shared" ref="O17:P17" si="10">O14/40</f>
        <v>3.4</v>
      </c>
      <c r="P17" s="36">
        <f t="shared" si="10"/>
        <v>2.4</v>
      </c>
      <c r="Q17" s="36"/>
      <c r="R17" s="36">
        <f t="shared" ref="R17:T17" si="11">R14/40</f>
        <v>5.5750000000000002</v>
      </c>
      <c r="S17" s="36">
        <f t="shared" si="11"/>
        <v>5.45</v>
      </c>
      <c r="T17" s="36">
        <f t="shared" si="11"/>
        <v>6.3250000000000002</v>
      </c>
      <c r="U17" s="35">
        <f>SUM(N17:T17)</f>
        <v>33.25</v>
      </c>
      <c r="V17" s="35">
        <f>SUM(O17:T17)</f>
        <v>23.15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W19"/>
  <sheetViews>
    <sheetView zoomScaleNormal="100" workbookViewId="0">
      <selection activeCell="K16" sqref="K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.26953125" bestFit="1" customWidth="1"/>
    <col min="15" max="16" width="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47">
        <f>SUM(C8:F8,G8,H8,I8)/40</f>
        <v>0</v>
      </c>
      <c r="K8" s="47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 s="28"/>
      <c r="V8" s="47">
        <f>SUM(N8:P8,R8,S8,T8)/40</f>
        <v>0</v>
      </c>
    </row>
    <row r="9" spans="1:23" x14ac:dyDescent="0.35">
      <c r="A9" s="27"/>
      <c r="B9" s="10" t="s">
        <v>14</v>
      </c>
      <c r="C9" s="12">
        <v>92</v>
      </c>
      <c r="D9" s="12">
        <v>52</v>
      </c>
      <c r="E9" s="12">
        <v>12</v>
      </c>
      <c r="F9" s="12">
        <v>0</v>
      </c>
      <c r="G9" s="12">
        <v>62</v>
      </c>
      <c r="H9" s="12">
        <v>16</v>
      </c>
      <c r="I9" s="12">
        <v>60</v>
      </c>
      <c r="J9" s="47">
        <f>SUM(C9:F9,G9,H9,I9)/40</f>
        <v>7.35</v>
      </c>
      <c r="K9" s="47">
        <v>3</v>
      </c>
      <c r="L9" s="27"/>
      <c r="M9" s="10" t="str">
        <f>B9</f>
        <v>Salman</v>
      </c>
      <c r="N9" s="12"/>
      <c r="O9" s="12"/>
      <c r="P9" s="12"/>
      <c r="Q9" s="28"/>
      <c r="R9" s="12"/>
      <c r="S9" s="12"/>
      <c r="T9" s="12"/>
      <c r="U9" s="28"/>
      <c r="V9" s="47">
        <f>SUM(N9:P9,R9,S9,T9)/40</f>
        <v>0</v>
      </c>
    </row>
    <row r="10" spans="1:23" x14ac:dyDescent="0.35">
      <c r="A10" s="27"/>
      <c r="B10" s="10" t="s">
        <v>37</v>
      </c>
      <c r="C10" s="12">
        <v>80</v>
      </c>
      <c r="D10" s="12">
        <v>50</v>
      </c>
      <c r="E10" s="12">
        <v>40</v>
      </c>
      <c r="F10" s="12">
        <v>0</v>
      </c>
      <c r="G10" s="12">
        <v>95</v>
      </c>
      <c r="H10" s="12">
        <v>125</v>
      </c>
      <c r="I10" s="12">
        <v>105</v>
      </c>
      <c r="J10" s="47">
        <f>SUM(C10:F10,G10,H10,I10)/40</f>
        <v>12.375</v>
      </c>
      <c r="K10" s="47">
        <v>6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U10" s="28"/>
      <c r="V10" s="47">
        <f>SUM(N10:P10,R10,S10,T10)/40</f>
        <v>0</v>
      </c>
    </row>
    <row r="11" spans="1:23" x14ac:dyDescent="0.35">
      <c r="A11" s="11"/>
      <c r="B11" s="11" t="s">
        <v>31</v>
      </c>
      <c r="C11" s="12">
        <v>124</v>
      </c>
      <c r="D11" s="12">
        <v>40</v>
      </c>
      <c r="E11" s="12">
        <v>80</v>
      </c>
      <c r="F11" s="12">
        <v>0</v>
      </c>
      <c r="G11" s="12">
        <v>92</v>
      </c>
      <c r="H11" s="12">
        <v>92</v>
      </c>
      <c r="I11" s="12">
        <v>100</v>
      </c>
      <c r="J11" s="47">
        <f>SUM(C11:F11,G11,H11,I11)/40</f>
        <v>13.2</v>
      </c>
      <c r="K11" s="47">
        <v>5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 s="47">
        <f>SUM(N11:P11,R11,S11,T11)/40</f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7">
        <f>SUM(C12:F12,G12,H12,I12)/40</f>
        <v>0</v>
      </c>
      <c r="K12" s="47"/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 s="47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0">SUM(C8:C13)</f>
        <v>296</v>
      </c>
      <c r="D14" s="14">
        <f t="shared" si="0"/>
        <v>142</v>
      </c>
      <c r="E14" s="14">
        <f t="shared" si="0"/>
        <v>132</v>
      </c>
      <c r="F14" s="14">
        <f t="shared" si="0"/>
        <v>0</v>
      </c>
      <c r="G14" s="14">
        <f t="shared" si="0"/>
        <v>249</v>
      </c>
      <c r="H14" s="14">
        <f t="shared" si="0"/>
        <v>233</v>
      </c>
      <c r="I14" s="14">
        <f t="shared" si="0"/>
        <v>265</v>
      </c>
      <c r="J14" s="35">
        <f>C14+D14+E14+F14+G14+H14+I14</f>
        <v>1317</v>
      </c>
      <c r="L14" s="13"/>
      <c r="M14" s="10"/>
      <c r="N14" s="14">
        <f t="shared" ref="N14:U14" si="1">SUM(N8:N13)</f>
        <v>0</v>
      </c>
      <c r="O14" s="14">
        <f t="shared" si="1"/>
        <v>0</v>
      </c>
      <c r="P14" s="14">
        <f t="shared" si="1"/>
        <v>0</v>
      </c>
      <c r="Q14" s="14">
        <f t="shared" si="1"/>
        <v>0</v>
      </c>
      <c r="R14" s="14">
        <f t="shared" si="1"/>
        <v>0</v>
      </c>
      <c r="S14" s="14">
        <f t="shared" si="1"/>
        <v>0</v>
      </c>
      <c r="T14" s="14">
        <f t="shared" si="1"/>
        <v>0</v>
      </c>
      <c r="U14" s="14">
        <f t="shared" si="1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7.1</v>
      </c>
      <c r="E15" s="13">
        <f t="shared" ref="E15:I15" si="2">E14/20</f>
        <v>6.6</v>
      </c>
      <c r="F15" s="13">
        <f t="shared" si="2"/>
        <v>0</v>
      </c>
      <c r="G15" s="13">
        <f t="shared" si="2"/>
        <v>12.45</v>
      </c>
      <c r="H15" s="13">
        <f t="shared" si="2"/>
        <v>11.65</v>
      </c>
      <c r="I15" s="13">
        <f t="shared" si="2"/>
        <v>13.25</v>
      </c>
      <c r="L15" s="13"/>
      <c r="M15" s="10" t="s">
        <v>22</v>
      </c>
      <c r="N15" s="13"/>
      <c r="O15" s="13">
        <f>O14/20</f>
        <v>0</v>
      </c>
      <c r="P15" s="13">
        <f t="shared" ref="P15" si="3">P14/20</f>
        <v>0</v>
      </c>
      <c r="Q15" s="13"/>
      <c r="R15" s="13">
        <f t="shared" ref="R15:T15" si="4">R14/20</f>
        <v>0</v>
      </c>
      <c r="S15" s="13">
        <f t="shared" si="4"/>
        <v>0</v>
      </c>
      <c r="T15" s="13">
        <f t="shared" si="4"/>
        <v>0</v>
      </c>
      <c r="U15" s="13"/>
    </row>
    <row r="16" spans="1:23" x14ac:dyDescent="0.35">
      <c r="A16" s="13"/>
      <c r="B16" s="10" t="s">
        <v>21</v>
      </c>
      <c r="C16" s="36">
        <f>C15+C14</f>
        <v>296</v>
      </c>
      <c r="D16" s="36">
        <f t="shared" ref="D16:I16" si="5">D15+D14</f>
        <v>149.1</v>
      </c>
      <c r="E16" s="36">
        <f t="shared" si="5"/>
        <v>138.6</v>
      </c>
      <c r="F16" s="36">
        <f t="shared" si="5"/>
        <v>0</v>
      </c>
      <c r="G16" s="36">
        <f t="shared" si="5"/>
        <v>261.45</v>
      </c>
      <c r="H16" s="36">
        <f t="shared" si="5"/>
        <v>244.65</v>
      </c>
      <c r="I16" s="36">
        <f t="shared" si="5"/>
        <v>278.25</v>
      </c>
      <c r="L16" s="13"/>
      <c r="M16" s="10" t="s">
        <v>21</v>
      </c>
      <c r="N16" s="36">
        <f>N15+N14</f>
        <v>0</v>
      </c>
      <c r="O16" s="36">
        <f t="shared" ref="O16:P16" si="6">O15+O14</f>
        <v>0</v>
      </c>
      <c r="P16" s="36">
        <f t="shared" si="6"/>
        <v>0</v>
      </c>
      <c r="Q16" s="36"/>
      <c r="R16" s="36">
        <f t="shared" ref="R16:T16" si="7">R15+R14</f>
        <v>0</v>
      </c>
      <c r="S16" s="36">
        <f t="shared" si="7"/>
        <v>0</v>
      </c>
      <c r="T16" s="36">
        <f t="shared" si="7"/>
        <v>0</v>
      </c>
      <c r="U16" s="36"/>
    </row>
    <row r="17" spans="1:22" x14ac:dyDescent="0.35">
      <c r="A17" s="13"/>
      <c r="B17" s="39" t="s">
        <v>23</v>
      </c>
      <c r="C17" s="36">
        <f>C14/40</f>
        <v>7.4</v>
      </c>
      <c r="D17" s="36">
        <f t="shared" ref="D17:I17" si="8">D14/40</f>
        <v>3.55</v>
      </c>
      <c r="E17" s="36">
        <f t="shared" si="8"/>
        <v>3.3</v>
      </c>
      <c r="F17" s="36">
        <f t="shared" si="8"/>
        <v>0</v>
      </c>
      <c r="G17" s="36">
        <f t="shared" si="8"/>
        <v>6.2249999999999996</v>
      </c>
      <c r="H17" s="36">
        <f t="shared" si="8"/>
        <v>5.8250000000000002</v>
      </c>
      <c r="I17" s="36">
        <f t="shared" si="8"/>
        <v>6.625</v>
      </c>
      <c r="J17" s="35">
        <f>SUM(C17:I17)</f>
        <v>32.924999999999997</v>
      </c>
      <c r="L17" s="13"/>
      <c r="M17" s="39" t="s">
        <v>23</v>
      </c>
      <c r="N17" s="36">
        <f>N14/40</f>
        <v>0</v>
      </c>
      <c r="O17" s="36">
        <f t="shared" ref="O17:P17" si="9">O14/40</f>
        <v>0</v>
      </c>
      <c r="P17" s="36">
        <f t="shared" si="9"/>
        <v>0</v>
      </c>
      <c r="Q17" s="36"/>
      <c r="R17" s="36">
        <f t="shared" ref="R17:T17" si="10">R14/40</f>
        <v>0</v>
      </c>
      <c r="S17" s="36">
        <f t="shared" si="10"/>
        <v>0</v>
      </c>
      <c r="T17" s="36">
        <f t="shared" si="10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2026-07-27T12:14:03Z</dcterms:modified>
</cp:coreProperties>
</file>