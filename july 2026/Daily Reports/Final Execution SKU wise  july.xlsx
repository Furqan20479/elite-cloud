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850E780B-F4E9-490E-A6F8-E44BF88AD8E3}" xr6:coauthVersionLast="47" xr6:coauthVersionMax="47" xr10:uidLastSave="{00000000-0000-0000-0000-000000000000}"/>
  <bookViews>
    <workbookView xWindow="-110" yWindow="-110" windowWidth="19420" windowHeight="10420" tabRatio="887" activeTab="14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1" i="10" l="1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12" i="11"/>
  <c r="N9" i="12"/>
  <c r="N10" i="12"/>
  <c r="N11" i="12"/>
  <c r="N12" i="12"/>
  <c r="N9" i="13"/>
  <c r="N10" i="13"/>
  <c r="N11" i="13"/>
  <c r="N12" i="13"/>
  <c r="N9" i="14"/>
  <c r="N10" i="14"/>
  <c r="N11" i="14"/>
  <c r="N12" i="14"/>
  <c r="N9" i="15"/>
  <c r="N10" i="15"/>
  <c r="N11" i="15"/>
  <c r="N12" i="15"/>
  <c r="N9" i="16"/>
  <c r="N10" i="16"/>
  <c r="N11" i="16"/>
  <c r="N12" i="16"/>
  <c r="N9" i="17"/>
  <c r="N10" i="17"/>
  <c r="N11" i="17"/>
  <c r="N12" i="17"/>
  <c r="N9" i="18"/>
  <c r="N10" i="18"/>
  <c r="N11" i="18"/>
  <c r="N12" i="18"/>
  <c r="N9" i="19"/>
  <c r="N10" i="19"/>
  <c r="N11" i="19"/>
  <c r="N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N8" i="12"/>
  <c r="N8" i="13"/>
  <c r="N8" i="14"/>
  <c r="N8" i="15"/>
  <c r="N8" i="16"/>
  <c r="N8" i="17"/>
  <c r="N8" i="18"/>
  <c r="N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2"/>
  <c r="V10" i="12"/>
  <c r="V11" i="12"/>
  <c r="V12" i="12"/>
  <c r="V13" i="12"/>
  <c r="V9" i="13"/>
  <c r="V10" i="13"/>
  <c r="V11" i="13"/>
  <c r="V12" i="13"/>
  <c r="V13" i="13"/>
  <c r="V9" i="14"/>
  <c r="V10" i="14"/>
  <c r="V11" i="14"/>
  <c r="V12" i="14"/>
  <c r="V13" i="14"/>
  <c r="V9" i="15"/>
  <c r="V10" i="15"/>
  <c r="V11" i="15"/>
  <c r="V12" i="15"/>
  <c r="V13" i="15"/>
  <c r="V9" i="16"/>
  <c r="V10" i="16"/>
  <c r="V11" i="16"/>
  <c r="V12" i="16"/>
  <c r="V13" i="16"/>
  <c r="V9" i="17"/>
  <c r="V10" i="17"/>
  <c r="V11" i="17"/>
  <c r="V12" i="17"/>
  <c r="V13" i="17"/>
  <c r="V9" i="18"/>
  <c r="V10" i="18"/>
  <c r="V11" i="18"/>
  <c r="V12" i="18"/>
  <c r="V13" i="18"/>
  <c r="V9" i="19"/>
  <c r="V10" i="19"/>
  <c r="V11" i="19"/>
  <c r="V12" i="19"/>
  <c r="V13" i="19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2"/>
  <c r="R10" i="12"/>
  <c r="R11" i="12"/>
  <c r="R12" i="12"/>
  <c r="R13" i="12"/>
  <c r="R9" i="13"/>
  <c r="R10" i="13"/>
  <c r="R11" i="13"/>
  <c r="R12" i="13"/>
  <c r="R13" i="13"/>
  <c r="R9" i="14"/>
  <c r="R10" i="14"/>
  <c r="R11" i="14"/>
  <c r="R12" i="14"/>
  <c r="R13" i="14"/>
  <c r="R9" i="15"/>
  <c r="R10" i="15"/>
  <c r="R11" i="15"/>
  <c r="R12" i="15"/>
  <c r="R13" i="15"/>
  <c r="R9" i="16"/>
  <c r="R10" i="16"/>
  <c r="R11" i="16"/>
  <c r="R12" i="16"/>
  <c r="R13" i="16"/>
  <c r="R9" i="17"/>
  <c r="R10" i="17"/>
  <c r="R11" i="17"/>
  <c r="R12" i="17"/>
  <c r="R13" i="17"/>
  <c r="R9" i="18"/>
  <c r="R10" i="18"/>
  <c r="R11" i="18"/>
  <c r="R12" i="18"/>
  <c r="R13" i="18"/>
  <c r="R9" i="19"/>
  <c r="R10" i="19"/>
  <c r="R11" i="19"/>
  <c r="R12" i="19"/>
  <c r="R13" i="19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2"/>
  <c r="J10" i="12"/>
  <c r="J11" i="12"/>
  <c r="J12" i="12"/>
  <c r="J13" i="12"/>
  <c r="J9" i="13"/>
  <c r="J10" i="13"/>
  <c r="J11" i="13"/>
  <c r="J12" i="13"/>
  <c r="J13" i="13"/>
  <c r="J9" i="14"/>
  <c r="J10" i="14"/>
  <c r="J11" i="14"/>
  <c r="J12" i="14"/>
  <c r="J13" i="14"/>
  <c r="J9" i="15"/>
  <c r="J10" i="15"/>
  <c r="J11" i="15"/>
  <c r="J12" i="15"/>
  <c r="J13" i="15"/>
  <c r="J9" i="16"/>
  <c r="J10" i="16"/>
  <c r="J11" i="16"/>
  <c r="J12" i="16"/>
  <c r="J13" i="16"/>
  <c r="J9" i="17"/>
  <c r="J10" i="17"/>
  <c r="J11" i="17"/>
  <c r="J12" i="17"/>
  <c r="J13" i="17"/>
  <c r="J9" i="18"/>
  <c r="J10" i="18"/>
  <c r="J11" i="18"/>
  <c r="J12" i="18"/>
  <c r="J13" i="18"/>
  <c r="J9" i="19"/>
  <c r="J10" i="19"/>
  <c r="J11" i="19"/>
  <c r="J12" i="19"/>
  <c r="J13" i="19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T14" i="11"/>
  <c r="T17" i="11" s="1"/>
  <c r="S14" i="11"/>
  <c r="S17" i="11" s="1"/>
  <c r="R14" i="11"/>
  <c r="R15" i="11" s="1"/>
  <c r="R16" i="11" s="1"/>
  <c r="P14" i="11"/>
  <c r="O14" i="11"/>
  <c r="O15" i="11" s="1"/>
  <c r="O16" i="11" s="1"/>
  <c r="N14" i="11"/>
  <c r="V12" i="11"/>
  <c r="V11" i="11"/>
  <c r="V10" i="11"/>
  <c r="V9" i="11"/>
  <c r="V8" i="11"/>
  <c r="Q14" i="11"/>
  <c r="U14" i="12"/>
  <c r="U15" i="12" s="1"/>
  <c r="U16" i="12" s="1"/>
  <c r="T14" i="12"/>
  <c r="T15" i="12" s="1"/>
  <c r="T16" i="12" s="1"/>
  <c r="S14" i="12"/>
  <c r="S17" i="12" s="1"/>
  <c r="Q14" i="12"/>
  <c r="Q15" i="12" s="1"/>
  <c r="Q16" i="12" s="1"/>
  <c r="P14" i="12"/>
  <c r="P15" i="12" s="1"/>
  <c r="P16" i="12" s="1"/>
  <c r="O14" i="12"/>
  <c r="O16" i="12" s="1"/>
  <c r="W12" i="12"/>
  <c r="W11" i="12"/>
  <c r="W10" i="12"/>
  <c r="W9" i="12"/>
  <c r="W8" i="12"/>
  <c r="V8" i="12"/>
  <c r="V14" i="12" s="1"/>
  <c r="R8" i="12"/>
  <c r="U14" i="13"/>
  <c r="U17" i="13" s="1"/>
  <c r="T14" i="13"/>
  <c r="T17" i="13" s="1"/>
  <c r="S14" i="13"/>
  <c r="S15" i="13" s="1"/>
  <c r="S16" i="13" s="1"/>
  <c r="Q14" i="13"/>
  <c r="P14" i="13"/>
  <c r="P15" i="13" s="1"/>
  <c r="P16" i="13" s="1"/>
  <c r="O14" i="13"/>
  <c r="W12" i="13"/>
  <c r="W11" i="13"/>
  <c r="W10" i="13"/>
  <c r="W9" i="13"/>
  <c r="W8" i="13"/>
  <c r="V8" i="13"/>
  <c r="R8" i="13"/>
  <c r="U14" i="14"/>
  <c r="U15" i="14" s="1"/>
  <c r="U16" i="14" s="1"/>
  <c r="T14" i="14"/>
  <c r="T15" i="14" s="1"/>
  <c r="T16" i="14" s="1"/>
  <c r="S14" i="14"/>
  <c r="S17" i="14" s="1"/>
  <c r="Q14" i="14"/>
  <c r="Q15" i="14" s="1"/>
  <c r="Q16" i="14" s="1"/>
  <c r="P14" i="14"/>
  <c r="P17" i="14" s="1"/>
  <c r="O14" i="14"/>
  <c r="W12" i="14"/>
  <c r="W11" i="14"/>
  <c r="W10" i="14"/>
  <c r="W9" i="14"/>
  <c r="W8" i="14"/>
  <c r="V8" i="14"/>
  <c r="V14" i="14" s="1"/>
  <c r="R8" i="14"/>
  <c r="U14" i="15"/>
  <c r="T14" i="15"/>
  <c r="T17" i="15" s="1"/>
  <c r="S14" i="15"/>
  <c r="S17" i="15" s="1"/>
  <c r="Q14" i="15"/>
  <c r="P14" i="15"/>
  <c r="P17" i="15" s="1"/>
  <c r="O14" i="15"/>
  <c r="O17" i="15" s="1"/>
  <c r="W12" i="15"/>
  <c r="W11" i="15"/>
  <c r="W10" i="15"/>
  <c r="W9" i="15"/>
  <c r="W8" i="15"/>
  <c r="V8" i="15"/>
  <c r="R8" i="15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U14" i="17"/>
  <c r="U17" i="17" s="1"/>
  <c r="T14" i="17"/>
  <c r="T17" i="17" s="1"/>
  <c r="S14" i="17"/>
  <c r="S15" i="17" s="1"/>
  <c r="S16" i="17" s="1"/>
  <c r="Q14" i="17"/>
  <c r="P14" i="17"/>
  <c r="P17" i="17" s="1"/>
  <c r="O14" i="17"/>
  <c r="W13" i="17"/>
  <c r="W12" i="17"/>
  <c r="W11" i="17"/>
  <c r="W10" i="17"/>
  <c r="W9" i="17"/>
  <c r="W8" i="17"/>
  <c r="V8" i="17"/>
  <c r="R8" i="17"/>
  <c r="R14" i="17" s="1"/>
  <c r="S17" i="18"/>
  <c r="U14" i="18"/>
  <c r="U17" i="18" s="1"/>
  <c r="T14" i="18"/>
  <c r="T15" i="18" s="1"/>
  <c r="T16" i="18" s="1"/>
  <c r="S14" i="18"/>
  <c r="S15" i="18" s="1"/>
  <c r="S16" i="18" s="1"/>
  <c r="Q14" i="18"/>
  <c r="Q17" i="18" s="1"/>
  <c r="P14" i="18"/>
  <c r="P15" i="18" s="1"/>
  <c r="P16" i="18" s="1"/>
  <c r="O14" i="18"/>
  <c r="O17" i="18" s="1"/>
  <c r="W12" i="18"/>
  <c r="W11" i="18"/>
  <c r="W10" i="18"/>
  <c r="W9" i="18"/>
  <c r="W8" i="18"/>
  <c r="V8" i="18"/>
  <c r="V14" i="18" s="1"/>
  <c r="R8" i="18"/>
  <c r="R14" i="18" s="1"/>
  <c r="U14" i="19"/>
  <c r="U15" i="19" s="1"/>
  <c r="U16" i="19" s="1"/>
  <c r="T14" i="19"/>
  <c r="T17" i="19" s="1"/>
  <c r="S14" i="19"/>
  <c r="S17" i="19" s="1"/>
  <c r="Q14" i="19"/>
  <c r="Q15" i="19" s="1"/>
  <c r="Q16" i="19" s="1"/>
  <c r="P14" i="19"/>
  <c r="O14" i="19"/>
  <c r="O16" i="19" s="1"/>
  <c r="W12" i="19"/>
  <c r="W11" i="19"/>
  <c r="W10" i="19"/>
  <c r="W9" i="19"/>
  <c r="W8" i="19"/>
  <c r="V8" i="19"/>
  <c r="R8" i="19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P15" i="15" l="1"/>
  <c r="P16" i="15" s="1"/>
  <c r="S17" i="20"/>
  <c r="P17" i="16"/>
  <c r="Q17" i="23"/>
  <c r="Q15" i="22"/>
  <c r="Q16" i="22" s="1"/>
  <c r="P15" i="14"/>
  <c r="P16" i="14" s="1"/>
  <c r="Q17" i="5"/>
  <c r="V15" i="31"/>
  <c r="V16" i="31" s="1"/>
  <c r="S17" i="31"/>
  <c r="U17" i="25"/>
  <c r="U17" i="21"/>
  <c r="S17" i="26"/>
  <c r="T17" i="16"/>
  <c r="T15" i="15"/>
  <c r="T16" i="15" s="1"/>
  <c r="T17" i="14"/>
  <c r="U17" i="23"/>
  <c r="V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R14" i="13"/>
  <c r="R14" i="12"/>
  <c r="P17" i="12"/>
  <c r="O15" i="8"/>
  <c r="O16" i="8" s="1"/>
  <c r="R15" i="30"/>
  <c r="R16" i="30" s="1"/>
  <c r="S17" i="22"/>
  <c r="T17" i="12"/>
  <c r="V14" i="20"/>
  <c r="V14" i="15"/>
  <c r="W14" i="6"/>
  <c r="X14" i="29"/>
  <c r="W17" i="29"/>
  <c r="W15" i="30"/>
  <c r="W16" i="30" s="1"/>
  <c r="S17" i="24"/>
  <c r="Y14" i="29"/>
  <c r="V17" i="29"/>
  <c r="U17" i="27"/>
  <c r="V14" i="13"/>
  <c r="X14" i="31"/>
  <c r="U15" i="32"/>
  <c r="U16" i="32" s="1"/>
  <c r="V14" i="25"/>
  <c r="V14" i="24"/>
  <c r="V14" i="21"/>
  <c r="U15" i="20"/>
  <c r="U16" i="20" s="1"/>
  <c r="U17" i="19"/>
  <c r="S17" i="8"/>
  <c r="X14" i="28"/>
  <c r="U17" i="30"/>
  <c r="Q17" i="27"/>
  <c r="Q15" i="26"/>
  <c r="Q16" i="26" s="1"/>
  <c r="Q17" i="21"/>
  <c r="Q15" i="20"/>
  <c r="Q16" i="20" s="1"/>
  <c r="R14" i="19"/>
  <c r="R14" i="14"/>
  <c r="P17" i="13"/>
  <c r="R14" i="9"/>
  <c r="Q14" i="8"/>
  <c r="P17" i="28"/>
  <c r="Y14" i="30"/>
  <c r="Q15" i="31"/>
  <c r="Q16" i="31" s="1"/>
  <c r="W14" i="20"/>
  <c r="V14" i="11"/>
  <c r="O15" i="10"/>
  <c r="O16" i="10" s="1"/>
  <c r="P15" i="9"/>
  <c r="P16" i="9" s="1"/>
  <c r="P17" i="30"/>
  <c r="Y14" i="31"/>
  <c r="W14" i="23"/>
  <c r="R14" i="21"/>
  <c r="O17" i="20"/>
  <c r="Q17" i="19"/>
  <c r="Q15" i="18"/>
  <c r="Q16" i="18" s="1"/>
  <c r="P15" i="17"/>
  <c r="P16" i="17" s="1"/>
  <c r="W14" i="9"/>
  <c r="P15" i="6"/>
  <c r="P16" i="6" s="1"/>
  <c r="O15" i="5"/>
  <c r="O16" i="5" s="1"/>
  <c r="Q15" i="4"/>
  <c r="Q16" i="4" s="1"/>
  <c r="S15" i="21"/>
  <c r="S16" i="21" s="1"/>
  <c r="Q17" i="15"/>
  <c r="Q15" i="15"/>
  <c r="Q16" i="15" s="1"/>
  <c r="O17" i="14"/>
  <c r="W14" i="14"/>
  <c r="O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V14" i="19"/>
  <c r="W14" i="17"/>
  <c r="T15" i="17"/>
  <c r="T16" i="17" s="1"/>
  <c r="O17" i="16"/>
  <c r="W14" i="16"/>
  <c r="P17" i="27"/>
  <c r="P15" i="27"/>
  <c r="P16" i="27" s="1"/>
  <c r="P17" i="19"/>
  <c r="P15" i="19"/>
  <c r="P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W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S15" i="19"/>
  <c r="S16" i="19" s="1"/>
  <c r="W14" i="18"/>
  <c r="U15" i="18"/>
  <c r="U16" i="18" s="1"/>
  <c r="Q17" i="17"/>
  <c r="Q15" i="17"/>
  <c r="Q16" i="17" s="1"/>
  <c r="O16" i="16"/>
  <c r="R14" i="15"/>
  <c r="T15" i="13"/>
  <c r="T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T15" i="19"/>
  <c r="T16" i="19" s="1"/>
  <c r="O16" i="18"/>
  <c r="P17" i="18"/>
  <c r="T17" i="18"/>
  <c r="U15" i="17"/>
  <c r="U16" i="17" s="1"/>
  <c r="O17" i="17"/>
  <c r="S17" i="17"/>
  <c r="S15" i="16"/>
  <c r="S16" i="16" s="1"/>
  <c r="Q17" i="16"/>
  <c r="U17" i="16"/>
  <c r="U17" i="15"/>
  <c r="U15" i="15"/>
  <c r="U16" i="15" s="1"/>
  <c r="O16" i="15"/>
  <c r="Q17" i="13"/>
  <c r="Q15" i="13"/>
  <c r="Q16" i="13" s="1"/>
  <c r="O17" i="12"/>
  <c r="W14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O17" i="19"/>
  <c r="O16" i="17"/>
  <c r="P17" i="11"/>
  <c r="P15" i="11"/>
  <c r="P16" i="11" s="1"/>
  <c r="S15" i="11"/>
  <c r="S16" i="11" s="1"/>
  <c r="R15" i="10"/>
  <c r="R16" i="10" s="1"/>
  <c r="T15" i="9"/>
  <c r="T16" i="9" s="1"/>
  <c r="T17" i="6"/>
  <c r="W14" i="15"/>
  <c r="S15" i="15"/>
  <c r="S16" i="15" s="1"/>
  <c r="W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S15" i="14"/>
  <c r="S16" i="14" s="1"/>
  <c r="Q17" i="14"/>
  <c r="U17" i="14"/>
  <c r="U15" i="13"/>
  <c r="U16" i="13" s="1"/>
  <c r="O17" i="13"/>
  <c r="S17" i="13"/>
  <c r="S15" i="12"/>
  <c r="S16" i="12" s="1"/>
  <c r="Q17" i="12"/>
  <c r="U17" i="12"/>
  <c r="T15" i="11"/>
  <c r="T16" i="11" s="1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O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W17" i="18"/>
  <c r="W17" i="14"/>
  <c r="W17" i="23"/>
  <c r="W17" i="26"/>
  <c r="Y17" i="28"/>
  <c r="U17" i="7"/>
  <c r="V17" i="8"/>
  <c r="W17" i="12"/>
  <c r="W17" i="16"/>
  <c r="V17" i="11"/>
  <c r="W17" i="6"/>
  <c r="U17" i="10"/>
  <c r="W17" i="25"/>
  <c r="W17" i="15"/>
  <c r="Y17" i="29"/>
  <c r="V17" i="5"/>
  <c r="W17" i="9"/>
  <c r="W17" i="13"/>
  <c r="W17" i="19"/>
  <c r="W17" i="27"/>
  <c r="W17" i="17"/>
  <c r="Y17" i="31"/>
  <c r="X14" i="24"/>
  <c r="X17" i="24" l="1"/>
  <c r="K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K9" i="12"/>
  <c r="K10" i="12"/>
  <c r="K11" i="12"/>
  <c r="K12" i="12"/>
  <c r="K9" i="13"/>
  <c r="K10" i="13"/>
  <c r="K11" i="13"/>
  <c r="K12" i="13"/>
  <c r="K9" i="14"/>
  <c r="K10" i="14"/>
  <c r="K11" i="14"/>
  <c r="K12" i="14"/>
  <c r="K9" i="15"/>
  <c r="K10" i="15"/>
  <c r="K11" i="15"/>
  <c r="K12" i="15"/>
  <c r="K9" i="16"/>
  <c r="K10" i="16"/>
  <c r="K11" i="16"/>
  <c r="K12" i="16"/>
  <c r="K9" i="17"/>
  <c r="K10" i="17"/>
  <c r="K11" i="17"/>
  <c r="K12" i="17"/>
  <c r="K9" i="18"/>
  <c r="K10" i="18"/>
  <c r="K11" i="18"/>
  <c r="K12" i="18"/>
  <c r="K9" i="19"/>
  <c r="K10" i="19"/>
  <c r="K11" i="19"/>
  <c r="K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J14" i="19"/>
  <c r="I14" i="19"/>
  <c r="H14" i="19"/>
  <c r="G14" i="19"/>
  <c r="F14" i="19"/>
  <c r="E14" i="19"/>
  <c r="D14" i="19"/>
  <c r="C14" i="19"/>
  <c r="J14" i="18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K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K14" i="19"/>
  <c r="D15" i="19"/>
  <c r="D16" i="19" s="1"/>
  <c r="J14" i="17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J14" i="15"/>
  <c r="I14" i="15"/>
  <c r="H14" i="15"/>
  <c r="G14" i="15"/>
  <c r="F14" i="15"/>
  <c r="E14" i="15"/>
  <c r="D14" i="15"/>
  <c r="C14" i="15"/>
  <c r="J14" i="14"/>
  <c r="I14" i="14"/>
  <c r="H14" i="14"/>
  <c r="G14" i="14"/>
  <c r="F14" i="14"/>
  <c r="E14" i="14"/>
  <c r="D14" i="14"/>
  <c r="C14" i="14"/>
  <c r="J14" i="13"/>
  <c r="I14" i="13"/>
  <c r="H14" i="13"/>
  <c r="G14" i="13"/>
  <c r="G15" i="13" s="1"/>
  <c r="G16" i="13" s="1"/>
  <c r="F14" i="13"/>
  <c r="E14" i="13"/>
  <c r="D14" i="13"/>
  <c r="C14" i="13"/>
  <c r="J14" i="12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K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K17" i="22"/>
  <c r="L17" i="28"/>
  <c r="K17" i="25"/>
  <c r="K17" i="24"/>
  <c r="K17" i="21"/>
  <c r="K17" i="20"/>
  <c r="K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K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K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K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K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K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K17" i="17"/>
  <c r="K17" i="15"/>
  <c r="K17" i="14"/>
  <c r="K17" i="13"/>
  <c r="K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<sst xmlns="http://schemas.openxmlformats.org/spreadsheetml/2006/main" count="1397" uniqueCount="42">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</sst>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  <c r="AB2" t="s">
        <v>38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opLeftCell="E1"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O18" sqref="O18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39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33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Y12" sqref="Y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39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33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3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39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33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Z9" sqref="Z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39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33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41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39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33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39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33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34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39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33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40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W19"/>
  <sheetViews>
    <sheetView tabSelected="1" zoomScaleNormal="100" workbookViewId="0">
      <selection activeCell="W11" sqref="W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/>
      <c r="O8" s="12"/>
      <c r="P8" s="12"/>
      <c r="Q8" s="12"/>
      <c r="R8" s="12"/>
      <c r="S8" s="12"/>
      <c r="T8" s="12"/>
      <c r="U8" s="12"/>
      <c r="V8">
        <f>SUM(N8:P8,R8,S8,T8)/40</f>
        <v>0</v>
      </c>
    </row>
    <row r="9" spans="1:23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/>
      <c r="O9" s="12"/>
      <c r="P9" s="12"/>
      <c r="Q9" s="12"/>
      <c r="R9" s="12"/>
      <c r="S9" s="12"/>
      <c r="T9" s="12"/>
      <c r="U9" s="12"/>
      <c r="V9">
        <f>SUM(N9:P9,R9,S9,T9)/40</f>
        <v>0</v>
      </c>
    </row>
    <row r="10" spans="1:23" x14ac:dyDescent="0.35">
      <c r="A10" s="27"/>
      <c r="B10" s="10" t="s">
        <v>39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/>
      <c r="O10" s="12"/>
      <c r="P10" s="12"/>
      <c r="Q10" s="12"/>
      <c r="R10" s="12"/>
      <c r="S10" s="12"/>
      <c r="T10" s="12"/>
      <c r="U10" s="12"/>
      <c r="V10">
        <f>SUM(N10:P10,R10,S10,T10)/40</f>
        <v>0</v>
      </c>
    </row>
    <row r="11" spans="1:23" x14ac:dyDescent="0.35">
      <c r="A11" s="11"/>
      <c r="B11" s="11" t="s">
        <v>33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75">
        <v>14</v>
      </c>
      <c r="L11" s="11"/>
      <c r="M11" s="10" t="str">
        <f>B11</f>
        <v>Umair</v>
      </c>
      <c r="N11" s="12"/>
      <c r="O11" s="12"/>
      <c r="P11" s="12"/>
      <c r="Q11" s="12"/>
      <c r="R11" s="12"/>
      <c r="S11" s="12"/>
      <c r="T11" s="12"/>
      <c r="U11" s="12"/>
      <c r="V11">
        <f>SUM(N11:P11,R11,S11,T11)/40</f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12"/>
      <c r="R12" s="12"/>
      <c r="S12" s="12"/>
      <c r="T12" s="12"/>
      <c r="U12" s="12"/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  <c r="U13" s="12"/>
    </row>
    <row r="14" spans="1:23" x14ac:dyDescent="0.35">
      <c r="A14" s="13"/>
      <c r="B14" s="10"/>
      <c r="C14" s="36">
        <f t="shared" ref="C14:I14" si="0">SUM(C8:C13)</f>
        <v>715</v>
      </c>
      <c r="D14" s="36">
        <f t="shared" si="0"/>
        <v>223</v>
      </c>
      <c r="E14" s="36">
        <f t="shared" si="0"/>
        <v>126</v>
      </c>
      <c r="F14" s="36">
        <f t="shared" si="0"/>
        <v>0</v>
      </c>
      <c r="G14" s="36">
        <f t="shared" si="0"/>
        <v>197</v>
      </c>
      <c r="H14" s="36">
        <f t="shared" si="0"/>
        <v>121</v>
      </c>
      <c r="I14" s="36">
        <f t="shared" si="0"/>
        <v>397</v>
      </c>
      <c r="J14" s="35">
        <f>C14+D14+E14+F14+G14+H14+I14</f>
        <v>1779</v>
      </c>
      <c r="L14" s="13"/>
      <c r="M14" s="10"/>
      <c r="N14" s="36">
        <f t="shared" ref="N14:T14" si="1">SUM(N8:N13)</f>
        <v>0</v>
      </c>
      <c r="O14" s="36">
        <f t="shared" si="1"/>
        <v>0</v>
      </c>
      <c r="P14" s="36">
        <f t="shared" si="1"/>
        <v>0</v>
      </c>
      <c r="Q14" s="36">
        <f t="shared" si="1"/>
        <v>0</v>
      </c>
      <c r="R14" s="36">
        <f t="shared" si="1"/>
        <v>0</v>
      </c>
      <c r="S14" s="36">
        <f t="shared" si="1"/>
        <v>0</v>
      </c>
      <c r="T14" s="36">
        <f t="shared" si="1"/>
        <v>0</v>
      </c>
      <c r="U14" s="36"/>
      <c r="V14" s="60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2">E14/20</f>
        <v>6.3</v>
      </c>
      <c r="F15" s="13">
        <f t="shared" si="2"/>
        <v>0</v>
      </c>
      <c r="G15" s="13">
        <f t="shared" si="2"/>
        <v>9.85</v>
      </c>
      <c r="H15" s="13">
        <f t="shared" si="2"/>
        <v>6.05</v>
      </c>
      <c r="I15" s="13">
        <f t="shared" si="2"/>
        <v>19.850000000000001</v>
      </c>
      <c r="L15" s="13"/>
      <c r="M15" s="10" t="s">
        <v>22</v>
      </c>
      <c r="N15" s="13"/>
      <c r="O15" s="13">
        <f>O14/20</f>
        <v>0</v>
      </c>
      <c r="P15" s="13">
        <f t="shared" ref="P15" si="3">P14/20</f>
        <v>0</v>
      </c>
      <c r="Q15" s="13"/>
      <c r="R15" s="13">
        <f t="shared" ref="R15:T15" si="4">R14/20</f>
        <v>0</v>
      </c>
      <c r="S15" s="13">
        <f t="shared" si="4"/>
        <v>0</v>
      </c>
      <c r="T15" s="13">
        <f t="shared" si="4"/>
        <v>0</v>
      </c>
      <c r="U15" s="13"/>
    </row>
    <row r="16" spans="1:23" x14ac:dyDescent="0.35">
      <c r="A16" s="13"/>
      <c r="B16" s="10" t="s">
        <v>21</v>
      </c>
      <c r="C16" s="36">
        <f>C15+C14</f>
        <v>715</v>
      </c>
      <c r="D16" s="36">
        <f t="shared" ref="D16:I16" si="5">D15+D14</f>
        <v>234.15</v>
      </c>
      <c r="E16" s="36">
        <f t="shared" si="5"/>
        <v>132.30000000000001</v>
      </c>
      <c r="F16" s="36">
        <f t="shared" si="5"/>
        <v>0</v>
      </c>
      <c r="G16" s="36">
        <f t="shared" si="5"/>
        <v>206.85</v>
      </c>
      <c r="H16" s="36">
        <f t="shared" si="5"/>
        <v>127.05</v>
      </c>
      <c r="I16" s="36">
        <f t="shared" si="5"/>
        <v>416.85</v>
      </c>
      <c r="L16" s="13"/>
      <c r="M16" s="10" t="s">
        <v>21</v>
      </c>
      <c r="N16" s="36">
        <f>N15+N14</f>
        <v>0</v>
      </c>
      <c r="O16" s="36">
        <f t="shared" ref="O16:P16" si="6">O15+O14</f>
        <v>0</v>
      </c>
      <c r="P16" s="36">
        <f t="shared" si="6"/>
        <v>0</v>
      </c>
      <c r="Q16" s="36"/>
      <c r="R16" s="36">
        <f t="shared" ref="R16:T16" si="7">R15+R14</f>
        <v>0</v>
      </c>
      <c r="S16" s="36">
        <f t="shared" si="7"/>
        <v>0</v>
      </c>
      <c r="T16" s="36">
        <f t="shared" si="7"/>
        <v>0</v>
      </c>
      <c r="U16" s="36"/>
    </row>
    <row r="17" spans="1:22" x14ac:dyDescent="0.35">
      <c r="A17" s="13"/>
      <c r="B17" s="39" t="s">
        <v>23</v>
      </c>
      <c r="C17" s="36">
        <f>C14/40</f>
        <v>17.875</v>
      </c>
      <c r="D17" s="36">
        <f t="shared" ref="D17:I17" si="8">D14/40</f>
        <v>5.5750000000000002</v>
      </c>
      <c r="E17" s="36">
        <f t="shared" si="8"/>
        <v>3.15</v>
      </c>
      <c r="F17" s="36">
        <f t="shared" si="8"/>
        <v>0</v>
      </c>
      <c r="G17" s="36">
        <f t="shared" si="8"/>
        <v>4.9249999999999998</v>
      </c>
      <c r="H17" s="36">
        <f t="shared" si="8"/>
        <v>3.0249999999999999</v>
      </c>
      <c r="I17" s="36">
        <f t="shared" si="8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0</v>
      </c>
      <c r="O17" s="36">
        <f t="shared" ref="O17:P17" si="9">O14/40</f>
        <v>0</v>
      </c>
      <c r="P17" s="36">
        <f t="shared" si="9"/>
        <v>0</v>
      </c>
      <c r="Q17" s="36"/>
      <c r="R17" s="36">
        <f t="shared" ref="R17:T17" si="10">R14/40</f>
        <v>0</v>
      </c>
      <c r="S17" s="36">
        <f t="shared" si="10"/>
        <v>0</v>
      </c>
      <c r="T17" s="36">
        <f t="shared" si="10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4.26953125" bestFit="1" customWidth="1"/>
    <col min="17" max="17" width="3.5429687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5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4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4">
        <v>6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5">
        <f>SUM(C8:F8,G8,H8,I8)/40</f>
        <v>0</v>
      </c>
      <c r="L8" s="45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5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5">
        <f>SUM(C9:F9,G9,H9,I9)/40</f>
        <v>0</v>
      </c>
      <c r="L9" s="45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5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5">
        <f>SUM(C10:F10,G10,H10,I10)/40</f>
        <v>0</v>
      </c>
      <c r="L10" s="45">
        <v>17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5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0">
        <f>SUM(C11:F11,G11,H11,I11)/40</f>
        <v>0</v>
      </c>
      <c r="L11" s="40"/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0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0">
        <f>SUM(C12:F12,G12,H12,I12)/40</f>
        <v>0</v>
      </c>
      <c r="L12" s="40"/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0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K13" s="40"/>
      <c r="L13" s="40"/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  <c r="W13" s="40"/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5429687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t="s">
        <v>30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t="s">
        <v>30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L15" t="s">
        <v>28</v>
      </c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31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31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31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 t="shared" ref="K8:K13" si="0">SUM(C8:F8,G8,H8,I8)/40</f>
        <v>0</v>
      </c>
      <c r="L8" s="44" t="s">
        <v>29</v>
      </c>
      <c r="M8" s="27"/>
      <c r="N8" s="10" t="str">
        <f>B8</f>
        <v>Furqan</v>
      </c>
      <c r="O8" s="12"/>
      <c r="P8" s="12"/>
      <c r="Q8" s="12"/>
      <c r="R8" s="28">
        <f t="shared" ref="R8:R13" si="1">SUM(P8:Q8)/20</f>
        <v>0</v>
      </c>
      <c r="S8" s="12"/>
      <c r="T8" s="12"/>
      <c r="U8" s="12"/>
      <c r="V8" s="28">
        <f>SUM(S8:U8)/20</f>
        <v>0</v>
      </c>
      <c r="W8">
        <f t="shared" ref="W8:W13" si="2"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3">SUM(G9:I9)/20</f>
        <v>0</v>
      </c>
      <c r="K9">
        <f t="shared" si="0"/>
        <v>0</v>
      </c>
      <c r="L9" s="44" t="s">
        <v>29</v>
      </c>
      <c r="M9" s="27"/>
      <c r="N9" s="10" t="str">
        <f>B9</f>
        <v>Salman</v>
      </c>
      <c r="O9" s="12"/>
      <c r="P9" s="12"/>
      <c r="Q9" s="12"/>
      <c r="R9" s="28">
        <f t="shared" si="1"/>
        <v>0</v>
      </c>
      <c r="S9" s="12"/>
      <c r="T9" s="12"/>
      <c r="U9" s="12"/>
      <c r="V9" s="28">
        <f t="shared" ref="V9:V13" si="4">SUM(S9:U9)/20</f>
        <v>0</v>
      </c>
      <c r="W9">
        <f t="shared" si="2"/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3"/>
        <v>0</v>
      </c>
      <c r="K10">
        <f t="shared" si="0"/>
        <v>0</v>
      </c>
      <c r="L10" s="44" t="s">
        <v>29</v>
      </c>
      <c r="M10" s="27"/>
      <c r="N10" s="10" t="str">
        <f>B10</f>
        <v>Zesahn</v>
      </c>
      <c r="O10" s="12"/>
      <c r="P10" s="12"/>
      <c r="Q10" s="12"/>
      <c r="R10" s="28">
        <f t="shared" si="1"/>
        <v>0</v>
      </c>
      <c r="S10" s="12"/>
      <c r="T10" s="12"/>
      <c r="U10" s="12"/>
      <c r="V10" s="28">
        <f t="shared" si="4"/>
        <v>0</v>
      </c>
      <c r="W10">
        <f t="shared" si="2"/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3"/>
        <v>0</v>
      </c>
      <c r="K11">
        <f t="shared" si="0"/>
        <v>0</v>
      </c>
      <c r="L11" s="41" t="s">
        <v>29</v>
      </c>
      <c r="M11" s="11"/>
      <c r="N11" s="10" t="str">
        <f>B11</f>
        <v>Umair</v>
      </c>
      <c r="O11" s="12"/>
      <c r="P11" s="12"/>
      <c r="Q11" s="12"/>
      <c r="R11" s="28">
        <f t="shared" si="1"/>
        <v>0</v>
      </c>
      <c r="S11" s="12"/>
      <c r="T11" s="12"/>
      <c r="U11" s="12"/>
      <c r="V11" s="28">
        <f t="shared" si="4"/>
        <v>0</v>
      </c>
      <c r="W11">
        <f t="shared" si="2"/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3"/>
        <v>0</v>
      </c>
      <c r="K12">
        <f t="shared" si="0"/>
        <v>0</v>
      </c>
      <c r="L12" s="41" t="s">
        <v>29</v>
      </c>
      <c r="M12" s="11"/>
      <c r="N12" s="10" t="str">
        <f>B12</f>
        <v>Mubeen</v>
      </c>
      <c r="O12" s="12"/>
      <c r="P12" s="12"/>
      <c r="Q12" s="12"/>
      <c r="R12" s="28">
        <f t="shared" si="1"/>
        <v>0</v>
      </c>
      <c r="S12" s="12"/>
      <c r="T12" s="12"/>
      <c r="U12" s="12"/>
      <c r="V12" s="28">
        <f t="shared" si="4"/>
        <v>0</v>
      </c>
      <c r="W12">
        <f t="shared" si="2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3"/>
        <v>0</v>
      </c>
      <c r="K13">
        <f t="shared" si="0"/>
        <v>0</v>
      </c>
      <c r="L13" s="41" t="s">
        <v>29</v>
      </c>
      <c r="M13" s="11"/>
      <c r="N13" s="11"/>
      <c r="O13" s="12"/>
      <c r="P13" s="12"/>
      <c r="Q13" s="12"/>
      <c r="R13" s="28">
        <f t="shared" si="1"/>
        <v>0</v>
      </c>
      <c r="S13" s="12"/>
      <c r="T13" s="12"/>
      <c r="U13" s="12"/>
      <c r="V13" s="28">
        <f t="shared" si="4"/>
        <v>0</v>
      </c>
      <c r="W13">
        <f t="shared" si="2"/>
        <v>0</v>
      </c>
    </row>
    <row r="14" spans="1:24" x14ac:dyDescent="0.35">
      <c r="A14" s="13"/>
      <c r="B14" s="10"/>
      <c r="C14" s="14">
        <f t="shared" ref="C14:J14" si="5">SUM(C8:C13)</f>
        <v>0</v>
      </c>
      <c r="D14" s="14">
        <f t="shared" si="5"/>
        <v>0</v>
      </c>
      <c r="E14" s="14">
        <f t="shared" si="5"/>
        <v>0</v>
      </c>
      <c r="F14" s="14">
        <f t="shared" si="5"/>
        <v>0</v>
      </c>
      <c r="G14" s="14">
        <f t="shared" si="5"/>
        <v>0</v>
      </c>
      <c r="H14" s="14">
        <f t="shared" si="5"/>
        <v>0</v>
      </c>
      <c r="I14" s="14">
        <f t="shared" si="5"/>
        <v>0</v>
      </c>
      <c r="J14" s="14">
        <f t="shared" si="5"/>
        <v>0</v>
      </c>
      <c r="K14" s="35">
        <f>C14+D14+E14+F14+G14+H14+I14</f>
        <v>0</v>
      </c>
      <c r="M14" s="13"/>
      <c r="N14" s="10"/>
      <c r="O14" s="14">
        <f t="shared" ref="O14:V14" si="6">SUM(O8:O13)</f>
        <v>0</v>
      </c>
      <c r="P14" s="14">
        <f t="shared" si="6"/>
        <v>0</v>
      </c>
      <c r="Q14" s="14">
        <f t="shared" si="6"/>
        <v>0</v>
      </c>
      <c r="R14" s="14">
        <f t="shared" si="6"/>
        <v>0</v>
      </c>
      <c r="S14" s="14">
        <f t="shared" si="6"/>
        <v>0</v>
      </c>
      <c r="T14" s="14">
        <f t="shared" si="6"/>
        <v>0</v>
      </c>
      <c r="U14" s="14">
        <f t="shared" si="6"/>
        <v>0</v>
      </c>
      <c r="V14" s="14">
        <f t="shared" si="6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7">E14/20</f>
        <v>0</v>
      </c>
      <c r="F15" s="13">
        <f t="shared" si="7"/>
        <v>0</v>
      </c>
      <c r="G15" s="13">
        <f t="shared" si="7"/>
        <v>0</v>
      </c>
      <c r="H15" s="13">
        <f t="shared" si="7"/>
        <v>0</v>
      </c>
      <c r="I15" s="13">
        <f t="shared" si="7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8">Q14/20</f>
        <v>0</v>
      </c>
      <c r="R15" s="13"/>
      <c r="S15" s="13">
        <f t="shared" ref="S15:U15" si="9">S14/20</f>
        <v>0</v>
      </c>
      <c r="T15" s="13">
        <f t="shared" si="9"/>
        <v>0</v>
      </c>
      <c r="U15" s="13">
        <f t="shared" si="9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10">D15+D14</f>
        <v>0</v>
      </c>
      <c r="E16" s="36">
        <f t="shared" si="10"/>
        <v>0</v>
      </c>
      <c r="F16" s="36">
        <f t="shared" si="10"/>
        <v>0</v>
      </c>
      <c r="G16" s="36">
        <f t="shared" si="10"/>
        <v>0</v>
      </c>
      <c r="H16" s="36">
        <f t="shared" si="10"/>
        <v>0</v>
      </c>
      <c r="I16" s="36">
        <f t="shared" si="10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1">P15+P14</f>
        <v>0</v>
      </c>
      <c r="Q16" s="36">
        <f t="shared" si="11"/>
        <v>0</v>
      </c>
      <c r="R16" s="36"/>
      <c r="S16" s="36">
        <f t="shared" ref="S16:U16" si="12">S15+S14</f>
        <v>0</v>
      </c>
      <c r="T16" s="36">
        <f t="shared" si="12"/>
        <v>0</v>
      </c>
      <c r="U16" s="36">
        <f t="shared" si="12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3">D14/40</f>
        <v>0</v>
      </c>
      <c r="E17" s="36">
        <f t="shared" si="13"/>
        <v>0</v>
      </c>
      <c r="F17" s="36">
        <f t="shared" si="13"/>
        <v>0</v>
      </c>
      <c r="G17" s="36">
        <f t="shared" si="13"/>
        <v>0</v>
      </c>
      <c r="H17" s="36">
        <f t="shared" si="13"/>
        <v>0</v>
      </c>
      <c r="I17" s="36">
        <f t="shared" si="13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4">P14/40</f>
        <v>0</v>
      </c>
      <c r="Q17" s="36">
        <f t="shared" si="14"/>
        <v>0</v>
      </c>
      <c r="R17" s="36"/>
      <c r="S17" s="36">
        <f t="shared" ref="S17:U17" si="15">S14/40</f>
        <v>0</v>
      </c>
      <c r="T17" s="36">
        <f t="shared" si="15"/>
        <v>0</v>
      </c>
      <c r="U17" s="36">
        <f t="shared" si="15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6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6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6">
        <v>3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0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s="46">
        <v>8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0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s="46">
        <v>4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N8:N12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M1" s="1"/>
      <c r="N1" s="1"/>
      <c r="O1" s="1"/>
      <c r="P1" s="1"/>
      <c r="Q1" s="1" t="s">
        <v>36</v>
      </c>
      <c r="R1" s="1"/>
      <c r="S1" s="1"/>
      <c r="T1" s="1"/>
      <c r="U1" s="1"/>
      <c r="V1" s="1"/>
    </row>
    <row r="2" spans="1:25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5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2026-07-14T04:27:47Z</dcterms:modified>
</cp:coreProperties>
</file>