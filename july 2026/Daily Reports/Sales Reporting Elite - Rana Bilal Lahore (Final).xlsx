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C798EDCC-49C5-4256-8B58-ADF8FFA87759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8" i="2" l="1"/>
  <c r="H5" i="2"/>
  <c r="H4" i="2"/>
  <c r="H10" i="2" l="1"/>
  <c r="H7" i="2" l="1"/>
  <c r="H6" i="2" l="1"/>
  <c r="J19" i="2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H11" i="2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<sst xmlns="http://schemas.openxmlformats.org/spreadsheetml/2006/main" count="372" uniqueCount="77">
  <si>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</si>
  <si>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</si>
  <si>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</si>
  <si>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</si>
  <si>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</si>
  <si>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</si>
  <si>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</si>
  <si>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</si>
  <si>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</si>
  <si>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</si>
  <si>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</si>
  <si>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</si>
  <si>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</si>
  <si>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</si>
  <si>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</si>
  <si>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</si>
  <si>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</si>
  <si>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</si>
  <si>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</si>
  <si>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</si>
  <si>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</si>
  <si>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</si>
  <si>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</si>
  <si>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</si>
  <si>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</si>
  <si>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</si>
  <si>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</si>
  <si>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</si>
  <si>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</si>
  <si>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</si>
  <si>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</si>
  <si>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</si>
  <si>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</si>
  <si>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</si>
  <si>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</si>
  <si>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</si>
  <si>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</si>
  <si>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</si>
  <si>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</si>
  <si>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</si>
  <si>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</si>
  <si>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</si>
  <si>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</si>
  <si>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</si>
  <si>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</si>
  <si>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</si>
  <si>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</si>
  <si>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</si>
  <si>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</si>
  <si>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</si>
  <si>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</si>
  <si>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</si>
  <si>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</si>
  <si>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</si>
  <si>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</si>
  <si>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</si>
  <si>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</si>
  <si>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</si>
  <si>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</si>
  <si>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</si>
  <si>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</si>
  <si>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</si>
  <si>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</si>
  <si>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</si>
  <si>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</si>
  <si>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</si>
  <si>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</si>
  <si>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</si>
  <si>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</si>
  <si>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</si>
  <si>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</si>
  <si>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</si>
  <si>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</si>
  <si>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</si>
  <si>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Resignd</t>
  </si>
  <si>
    <t>Not Available</t>
  </si>
  <si>
    <t>Resigned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</si>
</sst>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workbookViewId="0">
      <selection activeCell="A12" sqref="A12"/>
    </sheetView>
  </sheetViews>
  <sheetFormatPr defaultRowHeight="14.5" x14ac:dyDescent="0.35"/>
  <cols>
    <col min="1" max="1" width="13.54296875" bestFit="1" customWidth="1"/>
    <col min="2" max="2" width="11.26953125" bestFit="1" customWidth="1"/>
    <col min="3" max="3" width="10" bestFit="1" customWidth="1"/>
    <col min="4" max="4" width="9.453125" bestFit="1" customWidth="1"/>
    <col min="5" max="5" width="17.453125" bestFit="1" customWidth="1"/>
    <col min="6" max="6" width="22.453125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8" ht="15" thickBot="1" x14ac:dyDescent="0.4">
      <c r="F2" s="94">
        <v>46231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54</v>
      </c>
      <c r="Q3" s="5" t="s">
        <v>12</v>
      </c>
      <c r="R3" s="6" t="s">
        <v>55</v>
      </c>
      <c r="S3" s="4" t="s">
        <v>56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15</v>
      </c>
      <c r="I4" s="32">
        <f t="shared" ref="I4:I31" si="0">H4/G4</f>
        <v>0.3</v>
      </c>
      <c r="J4" s="30">
        <v>40</v>
      </c>
      <c r="K4" s="31">
        <v>11</v>
      </c>
      <c r="L4" s="32">
        <f t="shared" ref="L4:L12" si="1">K4/J4</f>
        <v>0.27500000000000002</v>
      </c>
      <c r="M4" s="30">
        <f t="shared" ref="M4:N12" si="2">K4/H4</f>
        <v>0.73333333333333328</v>
      </c>
      <c r="N4" s="33">
        <f t="shared" si="2"/>
        <v>0.91666666666666674</v>
      </c>
      <c r="O4" s="30">
        <v>6</v>
      </c>
      <c r="P4" s="96">
        <v>6</v>
      </c>
      <c r="Q4" s="32">
        <f t="shared" ref="Q4:Q12" si="3">P4/O4</f>
        <v>1</v>
      </c>
      <c r="R4" s="30">
        <v>12</v>
      </c>
      <c r="S4" s="96">
        <v>12</v>
      </c>
      <c r="T4" s="32">
        <f t="shared" ref="T4:T12" si="4">S4/R4</f>
        <v>1</v>
      </c>
      <c r="U4" s="30">
        <f t="shared" ref="U4:V12" si="5">S4/P4</f>
        <v>2</v>
      </c>
      <c r="V4" s="33">
        <f t="shared" si="5"/>
        <v>1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8</v>
      </c>
      <c r="I5" s="13">
        <f t="shared" si="0"/>
        <v>0.16</v>
      </c>
      <c r="J5" s="30">
        <v>30</v>
      </c>
      <c r="K5" s="12">
        <v>9</v>
      </c>
      <c r="L5" s="13">
        <f t="shared" si="1"/>
        <v>0.3</v>
      </c>
      <c r="M5" s="11">
        <f t="shared" si="2"/>
        <v>1.125</v>
      </c>
      <c r="N5" s="14">
        <f t="shared" si="2"/>
        <v>1.875</v>
      </c>
      <c r="O5" s="30">
        <v>4</v>
      </c>
      <c r="P5" s="97">
        <v>4</v>
      </c>
      <c r="Q5" s="13">
        <f t="shared" si="3"/>
        <v>1</v>
      </c>
      <c r="R5" s="30">
        <v>9</v>
      </c>
      <c r="S5" s="97">
        <v>9</v>
      </c>
      <c r="T5" s="13">
        <f t="shared" si="4"/>
        <v>1</v>
      </c>
      <c r="U5" s="11">
        <f t="shared" si="5"/>
        <v>2.25</v>
      </c>
      <c r="V5" s="14">
        <f t="shared" si="5"/>
        <v>1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/>
      <c r="I6" s="13">
        <f t="shared" si="0"/>
        <v>0</v>
      </c>
      <c r="J6" s="30">
        <v>25</v>
      </c>
      <c r="K6" s="12"/>
      <c r="L6" s="13">
        <f t="shared" si="1"/>
        <v>0</v>
      </c>
      <c r="M6" s="11" t="e">
        <f t="shared" si="2"/>
        <v>#DIV/0!</v>
      </c>
      <c r="N6" s="14" t="e">
        <f t="shared" si="2"/>
        <v>#DIV/0!</v>
      </c>
      <c r="O6" s="30"/>
      <c r="P6" s="97"/>
      <c r="Q6" s="13" t="e">
        <f t="shared" si="3"/>
        <v>#DIV/0!</v>
      </c>
      <c r="R6" s="30"/>
      <c r="S6" s="97"/>
      <c r="T6" s="13" t="e">
        <f t="shared" si="4"/>
        <v>#DIV/0!</v>
      </c>
      <c r="U6" s="11" t="e">
        <f t="shared" si="5"/>
        <v>#DIV/0!</v>
      </c>
      <c r="V6" s="14" t="e">
        <f t="shared" si="5"/>
        <v>#DIV/0!</v>
      </c>
      <c r="W6" s="34" t="s">
        <v>74</v>
      </c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50</v>
      </c>
      <c r="H7" s="12"/>
      <c r="I7" s="13">
        <f t="shared" si="0"/>
        <v>0</v>
      </c>
      <c r="J7" s="30">
        <v>30</v>
      </c>
      <c r="K7" s="12"/>
      <c r="L7" s="13">
        <f t="shared" si="1"/>
        <v>0</v>
      </c>
      <c r="M7" s="11" t="e">
        <f t="shared" si="2"/>
        <v>#DIV/0!</v>
      </c>
      <c r="N7" s="14" t="e">
        <f t="shared" si="2"/>
        <v>#DIV/0!</v>
      </c>
      <c r="O7" s="30"/>
      <c r="P7" s="97"/>
      <c r="Q7" s="13" t="e">
        <f t="shared" si="3"/>
        <v>#DIV/0!</v>
      </c>
      <c r="R7" s="30"/>
      <c r="S7" s="97"/>
      <c r="T7" s="13" t="e">
        <f t="shared" si="4"/>
        <v>#DIV/0!</v>
      </c>
      <c r="U7" s="11" t="e">
        <f t="shared" si="5"/>
        <v>#DIV/0!</v>
      </c>
      <c r="V7" s="14" t="e">
        <f t="shared" si="5"/>
        <v>#DIV/0!</v>
      </c>
      <c r="W7" s="34" t="s">
        <v>74</v>
      </c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50</v>
      </c>
      <c r="H8" s="12">
        <v>5</v>
      </c>
      <c r="I8" s="13">
        <f t="shared" si="0"/>
        <v>0.1</v>
      </c>
      <c r="J8" s="30">
        <v>20</v>
      </c>
      <c r="K8" s="12">
        <v>15.7</v>
      </c>
      <c r="L8" s="13">
        <f t="shared" si="1"/>
        <v>0.78499999999999992</v>
      </c>
      <c r="M8" s="11">
        <f t="shared" si="2"/>
        <v>3.1399999999999997</v>
      </c>
      <c r="N8" s="14">
        <f t="shared" si="2"/>
        <v>7.8499999999999988</v>
      </c>
      <c r="O8" s="30">
        <v>5</v>
      </c>
      <c r="P8" s="97">
        <v>4</v>
      </c>
      <c r="Q8" s="13">
        <f t="shared" si="3"/>
        <v>0.8</v>
      </c>
      <c r="R8" s="30">
        <v>13</v>
      </c>
      <c r="S8" s="97">
        <v>12.8</v>
      </c>
      <c r="T8" s="13">
        <f t="shared" si="4"/>
        <v>0.98461538461538467</v>
      </c>
      <c r="U8" s="11">
        <f t="shared" si="5"/>
        <v>3.2</v>
      </c>
      <c r="V8" s="14">
        <f t="shared" si="5"/>
        <v>1.2307692307692308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28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/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 t="s">
        <v>75</v>
      </c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30">
        <v>25</v>
      </c>
      <c r="H10" s="12">
        <v>5</v>
      </c>
      <c r="I10" s="13">
        <f t="shared" si="0"/>
        <v>0.2</v>
      </c>
      <c r="J10" s="30">
        <v>0</v>
      </c>
      <c r="K10" s="12">
        <v>50</v>
      </c>
      <c r="L10" s="13" t="e">
        <f t="shared" si="1"/>
        <v>#DIV/0!</v>
      </c>
      <c r="M10" s="11">
        <f t="shared" si="2"/>
        <v>10</v>
      </c>
      <c r="N10" s="14" t="e">
        <f t="shared" si="2"/>
        <v>#DIV/0!</v>
      </c>
      <c r="O10" s="30">
        <v>4</v>
      </c>
      <c r="P10" s="97">
        <v>4</v>
      </c>
      <c r="Q10" s="13">
        <f t="shared" si="3"/>
        <v>1</v>
      </c>
      <c r="R10" s="30">
        <v>54</v>
      </c>
      <c r="S10" s="97">
        <v>54</v>
      </c>
      <c r="T10" s="13">
        <f t="shared" si="4"/>
        <v>1</v>
      </c>
      <c r="U10" s="11">
        <f t="shared" si="5"/>
        <v>13.5</v>
      </c>
      <c r="V10" s="14">
        <f t="shared" si="5"/>
        <v>1</v>
      </c>
      <c r="W10" s="34"/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30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45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47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33</v>
      </c>
      <c r="I19" s="42">
        <f t="shared" si="0"/>
        <v>8.7999999999999995E-2</v>
      </c>
      <c r="J19" s="40">
        <f>SUM(J4:J18)</f>
        <v>385</v>
      </c>
      <c r="K19" s="41">
        <f>SUM(K4:K18)</f>
        <v>85.7</v>
      </c>
      <c r="L19" s="42">
        <f t="shared" ref="L19" si="6">K19/J19</f>
        <v>0.2225974025974026</v>
      </c>
      <c r="M19" s="40">
        <f>K19/H19</f>
        <v>2.5969696969696972</v>
      </c>
      <c r="N19" s="43" t="e">
        <f>AVERAGE(N4:N18)</f>
        <v>#DIV/0!</v>
      </c>
      <c r="O19" s="40">
        <f>SUM(O4:O18)</f>
        <v>19</v>
      </c>
      <c r="P19" s="41">
        <f>SUM(P4:P18)</f>
        <v>18</v>
      </c>
      <c r="Q19" s="42">
        <f t="shared" ref="Q19" si="7">P19/O19</f>
        <v>0.94736842105263153</v>
      </c>
      <c r="R19" s="40">
        <f>SUM(R4:R18)</f>
        <v>88</v>
      </c>
      <c r="S19" s="41">
        <f>SUM(S4:S18)</f>
        <v>87.8</v>
      </c>
      <c r="T19" s="42">
        <f t="shared" ref="T19" si="8">S19/R19</f>
        <v>0.99772727272727268</v>
      </c>
      <c r="U19" s="40">
        <f>S19/P19</f>
        <v>4.8777777777777773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35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68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36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69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70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71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72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51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73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171</v>
      </c>
      <c r="I31" s="22">
        <f t="shared" si="0"/>
        <v>5.6528925619834712E-2</v>
      </c>
      <c r="J31" s="20">
        <f>+J30+J25+J19</f>
        <v>2585</v>
      </c>
      <c r="K31" s="21">
        <f t="shared" ref="K31" si="25">+K30+K25+K19</f>
        <v>252.7</v>
      </c>
      <c r="L31" s="22">
        <f t="shared" si="9"/>
        <v>9.7756286266924564E-2</v>
      </c>
      <c r="M31" s="20">
        <f>K31/H31</f>
        <v>1.4777777777777776</v>
      </c>
      <c r="N31" s="23" t="e">
        <f>AVERAGE(N30,N19,N25)</f>
        <v>#DIV/0!</v>
      </c>
      <c r="O31" s="20">
        <f>+O30+O25+O19</f>
        <v>168</v>
      </c>
      <c r="P31" s="21">
        <f t="shared" ref="P31" si="26">+P30+P25+P19</f>
        <v>131</v>
      </c>
      <c r="Q31" s="22">
        <f t="shared" si="11"/>
        <v>0.77976190476190477</v>
      </c>
      <c r="R31" s="20">
        <f>+R30+R25+R19</f>
        <v>327</v>
      </c>
      <c r="S31" s="21">
        <f t="shared" ref="S31" si="27">+S30+S25+S19</f>
        <v>217.8</v>
      </c>
      <c r="T31" s="22">
        <f t="shared" si="12"/>
        <v>0.66605504587155961</v>
      </c>
      <c r="U31" s="20">
        <f>S31/P31</f>
        <v>1.6625954198473283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topLeftCell="A4" workbookViewId="0">
      <selection activeCell="H17" sqref="H17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2.453125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57</v>
      </c>
      <c r="B1" s="61" t="s">
        <v>58</v>
      </c>
      <c r="C1" s="61" t="s">
        <v>59</v>
      </c>
      <c r="D1" s="61" t="s">
        <v>60</v>
      </c>
    </row>
    <row r="2" spans="1:17" ht="15" thickBot="1" x14ac:dyDescent="0.4">
      <c r="A2" s="62">
        <v>27</v>
      </c>
      <c r="B2" s="24">
        <v>27</v>
      </c>
      <c r="C2" s="63">
        <f>+B2/A2</f>
        <v>1</v>
      </c>
      <c r="D2" s="62">
        <f>+A2-B2</f>
        <v>0</v>
      </c>
      <c r="F2" s="94">
        <v>46233</v>
      </c>
      <c r="G2" s="107" t="s">
        <v>40</v>
      </c>
      <c r="H2" s="108"/>
      <c r="I2" s="108"/>
      <c r="J2" s="104" t="s">
        <v>61</v>
      </c>
      <c r="K2" s="105"/>
      <c r="L2" s="105"/>
      <c r="M2" s="105"/>
      <c r="N2" s="106"/>
      <c r="O2" s="110" t="s">
        <v>41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42</v>
      </c>
      <c r="I3" s="27" t="s">
        <v>12</v>
      </c>
      <c r="J3" s="64" t="s">
        <v>43</v>
      </c>
      <c r="K3" s="65" t="s">
        <v>44</v>
      </c>
      <c r="L3" s="65" t="s">
        <v>12</v>
      </c>
      <c r="M3" s="65" t="s">
        <v>62</v>
      </c>
      <c r="N3" s="66" t="s">
        <v>63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5+9+9+11+10+9+11+8+11+8+16+14+16+20+15+10+10+16+12+20</f>
        <v>240</v>
      </c>
      <c r="I4" s="68">
        <f t="shared" ref="I4:I31" si="0">H4/G4</f>
        <v>0.4</v>
      </c>
      <c r="J4" s="30">
        <v>575</v>
      </c>
      <c r="K4" s="8">
        <v>323</v>
      </c>
      <c r="L4" s="87">
        <f t="shared" ref="L4:L29" si="1">K4/J4</f>
        <v>0.56173913043478263</v>
      </c>
      <c r="M4" s="8">
        <f t="shared" ref="M4:M6" si="2">J4-K4</f>
        <v>252</v>
      </c>
      <c r="N4" s="10" t="e">
        <f t="shared" ref="N4:N6" si="3">M4/$D$2</f>
        <v>#DIV/0!</v>
      </c>
      <c r="O4" s="69">
        <f t="shared" ref="O4:P12" si="4">K4/H4</f>
        <v>1.3458333333333334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4+8+7+17+7+3+2+5+7+14+20+10+18+15+12+1+6+8+8+15</f>
        <v>187</v>
      </c>
      <c r="I5" s="70">
        <f t="shared" si="0"/>
        <v>0.31166666666666665</v>
      </c>
      <c r="J5" s="11">
        <v>550</v>
      </c>
      <c r="K5" s="12">
        <v>173</v>
      </c>
      <c r="L5" s="71">
        <f t="shared" si="1"/>
        <v>0.31454545454545457</v>
      </c>
      <c r="M5" s="12">
        <f t="shared" si="2"/>
        <v>377</v>
      </c>
      <c r="N5" s="14" t="e">
        <f t="shared" si="3"/>
        <v>#DIV/0!</v>
      </c>
      <c r="O5" s="72">
        <f t="shared" si="4"/>
        <v>0.92513368983957223</v>
      </c>
      <c r="P5" s="14">
        <f t="shared" si="4"/>
        <v>1.0092367525522608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600</v>
      </c>
      <c r="H6" s="12">
        <f>9+1+9+2+7</f>
        <v>28</v>
      </c>
      <c r="I6" s="70">
        <f t="shared" si="0"/>
        <v>4.6666666666666669E-2</v>
      </c>
      <c r="J6" s="11">
        <v>550</v>
      </c>
      <c r="K6" s="12">
        <v>46.32</v>
      </c>
      <c r="L6" s="71">
        <f t="shared" si="1"/>
        <v>8.4218181818181817E-2</v>
      </c>
      <c r="M6" s="12">
        <f t="shared" si="2"/>
        <v>503.68</v>
      </c>
      <c r="N6" s="14" t="e">
        <f t="shared" si="3"/>
        <v>#DIV/0!</v>
      </c>
      <c r="O6" s="72">
        <f t="shared" si="4"/>
        <v>1.6542857142857144</v>
      </c>
      <c r="P6" s="14">
        <f t="shared" si="4"/>
        <v>1.8046753246753247</v>
      </c>
      <c r="Q6" s="34" t="s">
        <v>76</v>
      </c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600</v>
      </c>
      <c r="H7" s="12">
        <f>5+13+0+4+3+4+9+5+8</f>
        <v>51</v>
      </c>
      <c r="I7" s="70">
        <f t="shared" si="0"/>
        <v>8.5000000000000006E-2</v>
      </c>
      <c r="J7" s="11">
        <v>550</v>
      </c>
      <c r="K7" s="12">
        <v>67</v>
      </c>
      <c r="L7" s="71">
        <f t="shared" si="1"/>
        <v>0.12181818181818181</v>
      </c>
      <c r="M7" s="12">
        <f t="shared" ref="M7:M31" si="5">J7-K7</f>
        <v>483</v>
      </c>
      <c r="N7" s="14" t="e">
        <f t="shared" ref="N7:N31" si="6">M7/$D$2</f>
        <v>#DIV/0!</v>
      </c>
      <c r="O7" s="72">
        <f t="shared" si="4"/>
        <v>1.3137254901960784</v>
      </c>
      <c r="P7" s="14">
        <f t="shared" si="4"/>
        <v>1.4331550802139035</v>
      </c>
      <c r="Q7" s="34" t="s">
        <v>76</v>
      </c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600</v>
      </c>
      <c r="H8" s="12">
        <f>10+10+0+14+6+10+11+11+8+7+9+24+14+13+12+16+12+14+18+15+18</f>
        <v>252</v>
      </c>
      <c r="I8" s="70">
        <f t="shared" si="0"/>
        <v>0.42</v>
      </c>
      <c r="J8" s="11">
        <v>575</v>
      </c>
      <c r="K8" s="12">
        <v>359</v>
      </c>
      <c r="L8" s="71">
        <f t="shared" si="1"/>
        <v>0.62434782608695649</v>
      </c>
      <c r="M8" s="12">
        <f t="shared" si="5"/>
        <v>216</v>
      </c>
      <c r="N8" s="14" t="e">
        <f t="shared" si="6"/>
        <v>#DIV/0!</v>
      </c>
      <c r="O8" s="72">
        <f t="shared" si="4"/>
        <v>1.4246031746031746</v>
      </c>
      <c r="P8" s="14">
        <f t="shared" si="4"/>
        <v>1.4865424430641823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28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 t="e">
        <f t="shared" si="6"/>
        <v>#DIV/0!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11">
        <v>200</v>
      </c>
      <c r="H10" s="12">
        <f>4+7+3+3+3+6+5+6+6+7+2+8+16+7+3+4+8</f>
        <v>98</v>
      </c>
      <c r="I10" s="70">
        <f t="shared" si="0"/>
        <v>0.49</v>
      </c>
      <c r="J10" s="11">
        <v>4620</v>
      </c>
      <c r="K10" s="12">
        <v>1891</v>
      </c>
      <c r="L10" s="71">
        <f t="shared" si="1"/>
        <v>0.40930735930735929</v>
      </c>
      <c r="M10" s="12">
        <f t="shared" si="5"/>
        <v>2729</v>
      </c>
      <c r="N10" s="14" t="e">
        <f t="shared" si="6"/>
        <v>#DIV/0!</v>
      </c>
      <c r="O10" s="72">
        <f t="shared" si="4"/>
        <v>19.295918367346939</v>
      </c>
      <c r="P10" s="14">
        <f t="shared" si="4"/>
        <v>0.83532114144359038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64</v>
      </c>
      <c r="G11" s="11">
        <v>600</v>
      </c>
      <c r="H11" s="12">
        <f>12+0</f>
        <v>12</v>
      </c>
      <c r="I11" s="70">
        <f t="shared" si="0"/>
        <v>0.02</v>
      </c>
      <c r="J11" s="11">
        <v>650</v>
      </c>
      <c r="K11" s="12">
        <v>0</v>
      </c>
      <c r="L11" s="71">
        <f t="shared" si="1"/>
        <v>0</v>
      </c>
      <c r="M11" s="12">
        <f t="shared" si="5"/>
        <v>650</v>
      </c>
      <c r="N11" s="14" t="e">
        <f t="shared" si="6"/>
        <v>#DIV/0!</v>
      </c>
      <c r="O11" s="72">
        <f t="shared" si="4"/>
        <v>0</v>
      </c>
      <c r="P11" s="14">
        <f t="shared" si="4"/>
        <v>0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12">
        <v>28</v>
      </c>
      <c r="I12" s="70">
        <f t="shared" si="0"/>
        <v>4.6666666666666669E-2</v>
      </c>
      <c r="J12" s="11">
        <v>550</v>
      </c>
      <c r="K12" s="12">
        <v>0</v>
      </c>
      <c r="L12" s="71">
        <f t="shared" si="1"/>
        <v>0</v>
      </c>
      <c r="M12" s="12">
        <f t="shared" si="5"/>
        <v>550</v>
      </c>
      <c r="N12" s="14" t="e">
        <f t="shared" si="6"/>
        <v>#DIV/0!</v>
      </c>
      <c r="O12" s="72">
        <f t="shared" si="4"/>
        <v>0</v>
      </c>
      <c r="P12" s="14">
        <f t="shared" si="4"/>
        <v>0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 t="e">
        <f t="shared" ref="N13:N15" si="9">M13/$D$2</f>
        <v>#DIV/0!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70" t="e">
        <f t="shared" si="7"/>
        <v>#DIV/0!</v>
      </c>
      <c r="J14" s="11"/>
      <c r="K14" s="12"/>
      <c r="L14" s="71" t="e">
        <f t="shared" si="8"/>
        <v>#DIV/0!</v>
      </c>
      <c r="M14" s="12">
        <f t="shared" si="5"/>
        <v>0</v>
      </c>
      <c r="N14" s="14" t="e">
        <f t="shared" si="9"/>
        <v>#DIV/0!</v>
      </c>
      <c r="O14" s="72" t="e">
        <f t="shared" si="10"/>
        <v>#DIV/0!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67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 t="e">
        <f t="shared" si="9"/>
        <v>#DIV/0!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66</v>
      </c>
      <c r="G16" s="11"/>
      <c r="H16" s="12">
        <v>2</v>
      </c>
      <c r="I16" s="70" t="e">
        <f t="shared" ref="I16" si="12">H16/G16</f>
        <v>#DIV/0!</v>
      </c>
      <c r="J16" s="11">
        <v>1500</v>
      </c>
      <c r="K16" s="12">
        <v>600</v>
      </c>
      <c r="L16" s="71">
        <f t="shared" si="8"/>
        <v>0.4</v>
      </c>
      <c r="M16" s="12">
        <f t="shared" si="5"/>
        <v>900</v>
      </c>
      <c r="N16" s="14" t="e">
        <f t="shared" si="6"/>
        <v>#DIV/0!</v>
      </c>
      <c r="O16" s="72">
        <f t="shared" si="10"/>
        <v>300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70"/>
      <c r="J17" s="11"/>
      <c r="K17" s="12"/>
      <c r="L17" s="71"/>
      <c r="M17" s="12">
        <f t="shared" si="5"/>
        <v>0</v>
      </c>
      <c r="N17" s="14" t="e">
        <f t="shared" si="6"/>
        <v>#DIV/0!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73"/>
      <c r="J18" s="74"/>
      <c r="K18" s="75"/>
      <c r="L18" s="76"/>
      <c r="M18" s="75">
        <f t="shared" si="5"/>
        <v>0</v>
      </c>
      <c r="N18" s="77" t="e">
        <f t="shared" si="6"/>
        <v>#DIV/0!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898</v>
      </c>
      <c r="I19" s="79">
        <f t="shared" si="0"/>
        <v>0.17960000000000001</v>
      </c>
      <c r="J19" s="80">
        <f>SUM(J4:J18)</f>
        <v>10670</v>
      </c>
      <c r="K19" s="80">
        <f>SUM(K4:K18)</f>
        <v>3459.32</v>
      </c>
      <c r="L19" s="82">
        <f>K19/J19</f>
        <v>0.32420993439550144</v>
      </c>
      <c r="M19" s="81">
        <f t="shared" si="5"/>
        <v>7210.68</v>
      </c>
      <c r="N19" s="83" t="e">
        <f t="shared" si="6"/>
        <v>#DIV/0!</v>
      </c>
      <c r="O19" s="84">
        <f>K19/H19</f>
        <v>3.852249443207127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33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 t="e">
        <f t="shared" si="6"/>
        <v>#DIV/0!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34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 t="e">
        <f t="shared" si="6"/>
        <v>#DIV/0!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35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 t="e">
        <f t="shared" si="6"/>
        <v>#DIV/0!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36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 t="e">
        <f t="shared" si="6"/>
        <v>#DIV/0!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50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 t="e">
        <f t="shared" si="6"/>
        <v>#DIV/0!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 t="e">
        <f t="shared" si="6"/>
        <v>#DIV/0!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 t="e">
        <f t="shared" si="6"/>
        <v>#DIV/0!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 t="e">
        <f t="shared" si="6"/>
        <v>#DIV/0!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 t="e">
        <f t="shared" si="6"/>
        <v>#DIV/0!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 t="e">
        <f t="shared" si="6"/>
        <v>#DIV/0!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 t="e">
        <f t="shared" si="6"/>
        <v>#DIV/0!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1099</v>
      </c>
      <c r="I31" s="88">
        <f t="shared" si="0"/>
        <v>0.20165137614678899</v>
      </c>
      <c r="J31" s="89">
        <f t="shared" si="17"/>
        <v>15670</v>
      </c>
      <c r="K31" s="90">
        <f t="shared" si="17"/>
        <v>3738.32</v>
      </c>
      <c r="L31" s="91">
        <f>K31/J31</f>
        <v>0.23856541161455011</v>
      </c>
      <c r="M31" s="90">
        <f t="shared" si="5"/>
        <v>11931.68</v>
      </c>
      <c r="N31" s="92" t="e">
        <f t="shared" si="6"/>
        <v>#DIV/0!</v>
      </c>
      <c r="O31" s="93">
        <f>K31/H31</f>
        <v>3.4015650591446773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2026-07-31T12:47:33Z</dcterms:modified>
</cp:coreProperties>
</file>