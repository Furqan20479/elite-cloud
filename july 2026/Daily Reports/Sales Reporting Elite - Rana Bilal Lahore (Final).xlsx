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5F87CF09-DA40-4BD9-AA09-5D52EF506927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8" i="2"/>
  <c r="H7" i="2"/>
  <c r="H5" i="2"/>
  <c r="H4" i="2"/>
  <c r="H6" i="2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K11" i="2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<sst xmlns="http://schemas.openxmlformats.org/spreadsheetml/2006/main" count="369" uniqueCount="76">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</sst>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workbookViewId="0">
      <selection activeCell="N14" sqref="N14"/>
    </sheetView>
  </sheetViews>
  <sheetFormatPr defaultRowHeight="14.5" x14ac:dyDescent="0.35"/>
  <cols>
    <col min="1" max="1" width="13.54296875" bestFit="1" customWidth="1"/>
    <col min="2" max="2" width="14.7265625" hidden="1" customWidth="1"/>
    <col min="3" max="3" width="15.26953125" hidden="1" customWidth="1"/>
    <col min="4" max="4" width="18.26953125" hidden="1" customWidth="1"/>
    <col min="5" max="5" width="23.7265625" hidden="1" customWidth="1"/>
    <col min="6" max="6" width="22.4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</cols>
  <sheetData>
    <row r="1" spans="1:23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3" ht="15" thickBot="1" x14ac:dyDescent="0.4">
      <c r="F2" s="94">
        <v>46220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3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3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14</v>
      </c>
      <c r="I4" s="32">
        <f t="shared" ref="I4:I31" si="0">H4/G4</f>
        <v>0.28000000000000003</v>
      </c>
      <c r="J4" s="30">
        <v>40</v>
      </c>
      <c r="K4" s="31">
        <v>17.850000000000001</v>
      </c>
      <c r="L4" s="32">
        <f t="shared" ref="L4:L12" si="1">K4/J4</f>
        <v>0.44625000000000004</v>
      </c>
      <c r="M4" s="30">
        <f t="shared" ref="M4:N12" si="2">K4/H4</f>
        <v>1.2750000000000001</v>
      </c>
      <c r="N4" s="33">
        <f t="shared" si="2"/>
        <v>1.59375</v>
      </c>
      <c r="O4" s="30">
        <v>20</v>
      </c>
      <c r="P4" s="96">
        <v>20</v>
      </c>
      <c r="Q4" s="32">
        <f t="shared" ref="Q4:Q12" si="3">P4/O4</f>
        <v>1</v>
      </c>
      <c r="R4" s="30">
        <v>17.850000000000001</v>
      </c>
      <c r="S4" s="96">
        <v>17.850000000000001</v>
      </c>
      <c r="T4" s="32">
        <f t="shared" ref="T4:T12" si="4">S4/R4</f>
        <v>1</v>
      </c>
      <c r="U4" s="30">
        <f t="shared" ref="U4:V12" si="5">S4/P4</f>
        <v>0.89250000000000007</v>
      </c>
      <c r="V4" s="33">
        <f t="shared" si="5"/>
        <v>1</v>
      </c>
      <c r="W4" s="34"/>
    </row>
    <row r="5" spans="1:23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5</v>
      </c>
      <c r="I5" s="13">
        <f t="shared" si="0"/>
        <v>0.1</v>
      </c>
      <c r="J5" s="30">
        <v>30</v>
      </c>
      <c r="K5" s="12">
        <v>10.25</v>
      </c>
      <c r="L5" s="13">
        <f t="shared" si="1"/>
        <v>0.34166666666666667</v>
      </c>
      <c r="M5" s="11">
        <f t="shared" si="2"/>
        <v>2.0499999999999998</v>
      </c>
      <c r="N5" s="14">
        <f t="shared" si="2"/>
        <v>3.4166666666666665</v>
      </c>
      <c r="O5" s="30">
        <v>4</v>
      </c>
      <c r="P5" s="97">
        <v>4</v>
      </c>
      <c r="Q5" s="13">
        <f t="shared" si="3"/>
        <v>1</v>
      </c>
      <c r="R5" s="30">
        <v>9.4</v>
      </c>
      <c r="S5" s="97">
        <v>8.4</v>
      </c>
      <c r="T5" s="13">
        <f t="shared" si="4"/>
        <v>0.8936170212765957</v>
      </c>
      <c r="U5" s="11">
        <f t="shared" si="5"/>
        <v>2.1</v>
      </c>
      <c r="V5" s="14">
        <f t="shared" si="5"/>
        <v>0.8936170212765957</v>
      </c>
      <c r="W5" s="34"/>
    </row>
    <row r="6" spans="1:23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3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>
        <v>5</v>
      </c>
      <c r="I7" s="13">
        <f t="shared" si="0"/>
        <v>0.1</v>
      </c>
      <c r="J7" s="30">
        <v>30</v>
      </c>
      <c r="K7" s="12">
        <v>5</v>
      </c>
      <c r="L7" s="13">
        <f t="shared" si="1"/>
        <v>0.16666666666666666</v>
      </c>
      <c r="M7" s="11">
        <f t="shared" si="2"/>
        <v>1</v>
      </c>
      <c r="N7" s="14">
        <f t="shared" si="2"/>
        <v>1.6666666666666665</v>
      </c>
      <c r="O7" s="30">
        <v>6</v>
      </c>
      <c r="P7" s="97">
        <v>2</v>
      </c>
      <c r="Q7" s="13">
        <f t="shared" si="3"/>
        <v>0.33333333333333331</v>
      </c>
      <c r="R7" s="30">
        <v>6.5</v>
      </c>
      <c r="S7" s="97">
        <v>3</v>
      </c>
      <c r="T7" s="13">
        <f t="shared" si="4"/>
        <v>0.46153846153846156</v>
      </c>
      <c r="U7" s="11">
        <f t="shared" si="5"/>
        <v>1.5</v>
      </c>
      <c r="V7" s="14">
        <f t="shared" si="5"/>
        <v>1.3846153846153848</v>
      </c>
      <c r="W7" s="34"/>
    </row>
    <row r="8" spans="1:23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8</v>
      </c>
      <c r="I8" s="13">
        <f t="shared" si="0"/>
        <v>0.16</v>
      </c>
      <c r="J8" s="30">
        <v>20</v>
      </c>
      <c r="K8" s="12">
        <v>11</v>
      </c>
      <c r="L8" s="13">
        <f t="shared" si="1"/>
        <v>0.55000000000000004</v>
      </c>
      <c r="M8" s="11">
        <f t="shared" si="2"/>
        <v>1.375</v>
      </c>
      <c r="N8" s="14">
        <f t="shared" si="2"/>
        <v>3.4375</v>
      </c>
      <c r="O8" s="30">
        <v>11</v>
      </c>
      <c r="P8" s="97">
        <v>11</v>
      </c>
      <c r="Q8" s="13">
        <f t="shared" si="3"/>
        <v>1</v>
      </c>
      <c r="R8" s="30">
        <v>19.649999999999999</v>
      </c>
      <c r="S8" s="97">
        <v>15.65</v>
      </c>
      <c r="T8" s="13">
        <f t="shared" si="4"/>
        <v>0.79643765903307895</v>
      </c>
      <c r="U8" s="11">
        <f t="shared" si="5"/>
        <v>1.4227272727272728</v>
      </c>
      <c r="V8" s="14">
        <f t="shared" si="5"/>
        <v>0.79643765903307895</v>
      </c>
      <c r="W8" s="34"/>
    </row>
    <row r="9" spans="1:23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3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/>
      <c r="I10" s="13">
        <f t="shared" si="0"/>
        <v>0</v>
      </c>
      <c r="J10" s="30">
        <v>0</v>
      </c>
      <c r="K10" s="12"/>
      <c r="L10" s="13" t="e">
        <f t="shared" si="1"/>
        <v>#DIV/0!</v>
      </c>
      <c r="M10" s="11" t="e">
        <f t="shared" si="2"/>
        <v>#DIV/0!</v>
      </c>
      <c r="N10" s="14" t="e">
        <f t="shared" si="2"/>
        <v>#DIV/0!</v>
      </c>
      <c r="O10" s="30">
        <v>11</v>
      </c>
      <c r="P10" s="97">
        <v>5</v>
      </c>
      <c r="Q10" s="13">
        <f t="shared" si="3"/>
        <v>0.45454545454545453</v>
      </c>
      <c r="R10" s="30">
        <v>177</v>
      </c>
      <c r="S10" s="97">
        <v>71</v>
      </c>
      <c r="T10" s="13">
        <f t="shared" si="4"/>
        <v>0.40112994350282488</v>
      </c>
      <c r="U10" s="11">
        <f t="shared" si="5"/>
        <v>14.2</v>
      </c>
      <c r="V10" s="14">
        <f t="shared" si="5"/>
        <v>0.88248587570621473</v>
      </c>
      <c r="W10" s="34"/>
    </row>
    <row r="11" spans="1:23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</row>
    <row r="12" spans="1:23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</row>
    <row r="13" spans="1:23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</row>
    <row r="14" spans="1:23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</row>
    <row r="15" spans="1:23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</row>
    <row r="16" spans="1:23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</row>
    <row r="17" spans="1:23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</row>
    <row r="18" spans="1:23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</row>
    <row r="19" spans="1:23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32</v>
      </c>
      <c r="I19" s="42">
        <f t="shared" si="0"/>
        <v>8.533333333333333E-2</v>
      </c>
      <c r="J19" s="40">
        <f>SUM(J4:J18)</f>
        <v>385</v>
      </c>
      <c r="K19" s="41">
        <f>SUM(K4:K18)</f>
        <v>44.1</v>
      </c>
      <c r="L19" s="42">
        <f t="shared" ref="L19" si="6">K19/J19</f>
        <v>0.11454545454545455</v>
      </c>
      <c r="M19" s="40">
        <f>K19/H19</f>
        <v>1.378125</v>
      </c>
      <c r="N19" s="43" t="e">
        <f>AVERAGE(N4:N18)</f>
        <v>#DIV/0!</v>
      </c>
      <c r="O19" s="40">
        <f>SUM(O4:O18)</f>
        <v>52</v>
      </c>
      <c r="P19" s="41">
        <f>SUM(P4:P18)</f>
        <v>42</v>
      </c>
      <c r="Q19" s="42">
        <f t="shared" ref="Q19" si="7">P19/O19</f>
        <v>0.80769230769230771</v>
      </c>
      <c r="R19" s="40">
        <f>SUM(R4:R18)</f>
        <v>230.4</v>
      </c>
      <c r="S19" s="41">
        <f>SUM(S4:S18)</f>
        <v>115.9</v>
      </c>
      <c r="T19" s="42">
        <f t="shared" ref="T19" si="8">S19/R19</f>
        <v>0.50303819444444442</v>
      </c>
      <c r="U19" s="40">
        <f>S19/P19</f>
        <v>2.7595238095238095</v>
      </c>
      <c r="V19" s="43" t="e">
        <f>AVERAGE(V4:V18)</f>
        <v>#DIV/0!</v>
      </c>
      <c r="W19" s="44"/>
    </row>
    <row r="20" spans="1:23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</row>
    <row r="21" spans="1:23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</row>
    <row r="22" spans="1:23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</row>
    <row r="23" spans="1:23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</row>
    <row r="24" spans="1:23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3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3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3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3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3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3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3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170</v>
      </c>
      <c r="I31" s="22">
        <f t="shared" si="0"/>
        <v>5.6198347107438019E-2</v>
      </c>
      <c r="J31" s="20">
        <f>+J30+J25+J19</f>
        <v>2585</v>
      </c>
      <c r="K31" s="21">
        <f t="shared" ref="K31" si="25">+K30+K25+K19</f>
        <v>211.1</v>
      </c>
      <c r="L31" s="22">
        <f t="shared" si="9"/>
        <v>8.1663442940038689E-2</v>
      </c>
      <c r="M31" s="20">
        <f>K31/H31</f>
        <v>1.2417647058823529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155</v>
      </c>
      <c r="Q31" s="22">
        <f t="shared" si="11"/>
        <v>0.77114427860696522</v>
      </c>
      <c r="R31" s="20">
        <f>+R30+R25+R19</f>
        <v>469.4</v>
      </c>
      <c r="S31" s="21">
        <f t="shared" ref="S31" si="27">+S30+S25+S19</f>
        <v>245.9</v>
      </c>
      <c r="T31" s="22">
        <f t="shared" si="12"/>
        <v>0.52386024712398815</v>
      </c>
      <c r="U31" s="20">
        <f>S31/P31</f>
        <v>1.5864516129032258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C1" workbookViewId="0">
      <selection activeCell="K15" sqref="K15"/>
    </sheetView>
  </sheetViews>
  <sheetFormatPr defaultRowHeight="14.5" x14ac:dyDescent="0.35"/>
  <cols>
    <col min="1" max="1" width="13.54296875" bestFit="1" customWidth="1"/>
    <col min="2" max="2" width="14.7265625" customWidth="1"/>
    <col min="3" max="3" width="15.26953125" customWidth="1"/>
    <col min="4" max="4" width="18.26953125" customWidth="1"/>
    <col min="5" max="5" width="23.7265625" customWidth="1"/>
    <col min="6" max="6" width="22.453125" bestFit="1" customWidth="1"/>
    <col min="7" max="7" width="6.26953125" style="24" customWidth="1"/>
    <col min="8" max="8" width="10.54296875" customWidth="1"/>
    <col min="9" max="9" width="5.54296875" customWidth="1"/>
    <col min="10" max="10" width="8.1796875" bestFit="1" customWidth="1"/>
    <col min="11" max="11" width="9.26953125" bestFit="1" customWidth="1"/>
    <col min="12" max="12" width="7.7265625" bestFit="1" customWidth="1"/>
    <col min="13" max="14" width="7.7265625" customWidth="1"/>
    <col min="15" max="15" width="5.26953125" customWidth="1"/>
    <col min="17" max="17" width="8.5429687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17</v>
      </c>
      <c r="C2" s="63">
        <f>+B2/A2</f>
        <v>0.62962962962962965</v>
      </c>
      <c r="D2" s="62">
        <f>+A2-B2</f>
        <v>10</v>
      </c>
      <c r="F2" s="94">
        <v>46220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5+9+9+11+10+9+11+8+11+8+16</f>
        <v>107</v>
      </c>
      <c r="I4" s="68">
        <f t="shared" ref="I4:I31" si="0">H4/G4</f>
        <v>0.17833333333333334</v>
      </c>
      <c r="J4" s="30">
        <v>575</v>
      </c>
      <c r="K4" s="8">
        <v>220</v>
      </c>
      <c r="L4" s="87">
        <f t="shared" ref="L4:L29" si="1">K4/J4</f>
        <v>0.38260869565217392</v>
      </c>
      <c r="M4" s="8">
        <f t="shared" ref="M4:M6" si="2">J4-K4</f>
        <v>355</v>
      </c>
      <c r="N4" s="10">
        <f t="shared" ref="N4:N6" si="3">M4/$D$2</f>
        <v>35.5</v>
      </c>
      <c r="O4" s="69">
        <f t="shared" ref="O4:P12" si="4">K4/H4</f>
        <v>2.05607476635514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</f>
        <v>94</v>
      </c>
      <c r="I5" s="70">
        <f t="shared" si="0"/>
        <v>0.15666666666666668</v>
      </c>
      <c r="J5" s="11">
        <v>550</v>
      </c>
      <c r="K5" s="12">
        <v>111</v>
      </c>
      <c r="L5" s="71">
        <f t="shared" si="1"/>
        <v>0.20181818181818181</v>
      </c>
      <c r="M5" s="12">
        <f t="shared" si="2"/>
        <v>439</v>
      </c>
      <c r="N5" s="14">
        <f t="shared" si="3"/>
        <v>43.9</v>
      </c>
      <c r="O5" s="72">
        <f t="shared" si="4"/>
        <v>1.1808510638297873</v>
      </c>
      <c r="P5" s="14">
        <f t="shared" si="4"/>
        <v>1.288201160541586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46.32</v>
      </c>
      <c r="L6" s="71">
        <f t="shared" si="1"/>
        <v>8.4218181818181817E-2</v>
      </c>
      <c r="M6" s="12">
        <f t="shared" si="2"/>
        <v>503.68</v>
      </c>
      <c r="N6" s="14">
        <f t="shared" si="3"/>
        <v>50.368000000000002</v>
      </c>
      <c r="O6" s="72">
        <f t="shared" si="4"/>
        <v>1.6542857142857144</v>
      </c>
      <c r="P6" s="14">
        <f t="shared" si="4"/>
        <v>1.8046753246753247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</f>
        <v>38</v>
      </c>
      <c r="I7" s="70">
        <f t="shared" si="0"/>
        <v>6.3333333333333339E-2</v>
      </c>
      <c r="J7" s="11">
        <v>550</v>
      </c>
      <c r="K7" s="12">
        <v>55</v>
      </c>
      <c r="L7" s="71">
        <f t="shared" si="1"/>
        <v>0.1</v>
      </c>
      <c r="M7" s="12">
        <f t="shared" ref="M7:M31" si="5">J7-K7</f>
        <v>495</v>
      </c>
      <c r="N7" s="14">
        <f t="shared" ref="N7:N31" si="6">M7/$D$2</f>
        <v>49.5</v>
      </c>
      <c r="O7" s="72">
        <f t="shared" si="4"/>
        <v>1.4473684210526316</v>
      </c>
      <c r="P7" s="14">
        <f t="shared" si="4"/>
        <v>1.5789473684210527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</f>
        <v>120</v>
      </c>
      <c r="I8" s="70">
        <f t="shared" si="0"/>
        <v>0.2</v>
      </c>
      <c r="J8" s="11">
        <v>575</v>
      </c>
      <c r="K8" s="12">
        <v>236</v>
      </c>
      <c r="L8" s="71">
        <f t="shared" si="1"/>
        <v>0.41043478260869565</v>
      </c>
      <c r="M8" s="12">
        <f t="shared" si="5"/>
        <v>339</v>
      </c>
      <c r="N8" s="14">
        <f t="shared" si="6"/>
        <v>33.9</v>
      </c>
      <c r="O8" s="72">
        <f t="shared" si="4"/>
        <v>1.9666666666666666</v>
      </c>
      <c r="P8" s="14">
        <f t="shared" si="4"/>
        <v>2.052173913043478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55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</f>
        <v>43</v>
      </c>
      <c r="I10" s="70">
        <f t="shared" si="0"/>
        <v>0.215</v>
      </c>
      <c r="J10" s="11">
        <v>4620</v>
      </c>
      <c r="K10" s="12">
        <v>735</v>
      </c>
      <c r="L10" s="71">
        <f t="shared" si="1"/>
        <v>0.15909090909090909</v>
      </c>
      <c r="M10" s="12">
        <f t="shared" si="5"/>
        <v>3885</v>
      </c>
      <c r="N10" s="14">
        <f t="shared" si="6"/>
        <v>388.5</v>
      </c>
      <c r="O10" s="72">
        <f t="shared" si="4"/>
        <v>17.093023255813954</v>
      </c>
      <c r="P10" s="14">
        <f t="shared" si="4"/>
        <v>0.7399577167019028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f>18+0</f>
        <v>18</v>
      </c>
      <c r="L11" s="71">
        <f t="shared" si="1"/>
        <v>2.7692307692307693E-2</v>
      </c>
      <c r="M11" s="12">
        <f t="shared" si="5"/>
        <v>632</v>
      </c>
      <c r="N11" s="14">
        <f t="shared" si="6"/>
        <v>63.2</v>
      </c>
      <c r="O11" s="72">
        <f t="shared" si="4"/>
        <v>1.5</v>
      </c>
      <c r="P11" s="14">
        <f t="shared" si="4"/>
        <v>1.3846153846153846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19</v>
      </c>
      <c r="L12" s="71">
        <f t="shared" si="1"/>
        <v>3.4545454545454546E-2</v>
      </c>
      <c r="M12" s="12">
        <f t="shared" si="5"/>
        <v>531</v>
      </c>
      <c r="N12" s="14">
        <f t="shared" si="6"/>
        <v>53.1</v>
      </c>
      <c r="O12" s="72">
        <f t="shared" si="4"/>
        <v>0.6785714285714286</v>
      </c>
      <c r="P12" s="14">
        <f t="shared" si="4"/>
        <v>0.74025974025974028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1</v>
      </c>
      <c r="I16" s="70" t="e">
        <f t="shared" ref="I16" si="12">H16/G16</f>
        <v>#DIV/0!</v>
      </c>
      <c r="J16" s="11">
        <v>1500</v>
      </c>
      <c r="K16" s="12">
        <v>300</v>
      </c>
      <c r="L16" s="71">
        <f t="shared" si="8"/>
        <v>0.2</v>
      </c>
      <c r="M16" s="12">
        <f t="shared" si="5"/>
        <v>1200</v>
      </c>
      <c r="N16" s="14">
        <f t="shared" si="6"/>
        <v>120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471</v>
      </c>
      <c r="I19" s="79">
        <f t="shared" si="0"/>
        <v>9.4200000000000006E-2</v>
      </c>
      <c r="J19" s="80">
        <f>SUM(J4:J18)</f>
        <v>10670</v>
      </c>
      <c r="K19" s="80">
        <f>SUM(K4:K18)</f>
        <v>1740.32</v>
      </c>
      <c r="L19" s="82">
        <f>K19/J19</f>
        <v>0.16310402999062792</v>
      </c>
      <c r="M19" s="81">
        <f t="shared" si="5"/>
        <v>8929.68</v>
      </c>
      <c r="N19" s="83">
        <f t="shared" si="6"/>
        <v>892.96800000000007</v>
      </c>
      <c r="O19" s="84">
        <f>K19/H19</f>
        <v>3.6949469214437367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46.5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46.7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46.4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47.3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48.4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235.3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61.6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56.6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57.4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61.2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236.8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672</v>
      </c>
      <c r="I31" s="88">
        <f t="shared" si="0"/>
        <v>0.12330275229357798</v>
      </c>
      <c r="J31" s="89">
        <f t="shared" si="17"/>
        <v>15670</v>
      </c>
      <c r="K31" s="90">
        <f t="shared" si="17"/>
        <v>2019.32</v>
      </c>
      <c r="L31" s="91">
        <f>K31/J31</f>
        <v>0.12886534779834077</v>
      </c>
      <c r="M31" s="90">
        <f t="shared" si="5"/>
        <v>13650.68</v>
      </c>
      <c r="N31" s="92">
        <f t="shared" si="6"/>
        <v>1365.068</v>
      </c>
      <c r="O31" s="93">
        <f>K31/H31</f>
        <v>3.0049404761904759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2026-07-18T04:55:46Z</dcterms:modified>
</cp:coreProperties>
</file>