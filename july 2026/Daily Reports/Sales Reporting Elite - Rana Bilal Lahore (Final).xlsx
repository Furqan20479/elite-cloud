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84277FEB-788F-4790-8AF0-CE2E17CCD28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8" i="2"/>
  <c r="H5" i="2"/>
  <c r="H4" i="2"/>
  <c r="H7" i="2" l="1"/>
  <c r="H6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K11" i="2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<sst xmlns="http://schemas.openxmlformats.org/spreadsheetml/2006/main" count="372" uniqueCount="79">
  <si>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</si>
  <si>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</si>
  <si>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</si>
  <si>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</si>
  <si>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</si>
  <si>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</si>
  <si>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</si>
  <si>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</si>
  <si>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</si>
  <si>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</si>
  <si>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</si>
  <si>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</si>
  <si>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</si>
  <si>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</si>
  <si>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</si>
  <si>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</si>
  <si>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</si>
  <si>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</si>
  <si>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</si>
  <si>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</si>
  <si>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</si>
  <si>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</si>
  <si>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</si>
  <si>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</si>
  <si>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</si>
  <si>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</si>
  <si>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</si>
  <si>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</si>
  <si>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</si>
  <si>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</si>
  <si>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</si>
  <si>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</si>
  <si>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</si>
  <si>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</si>
  <si>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</si>
  <si>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</si>
  <si>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</si>
  <si>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</si>
  <si>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</si>
  <si>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</si>
  <si>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</si>
  <si>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</si>
  <si>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</si>
  <si>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</si>
  <si>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</si>
  <si>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</si>
  <si>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</si>
  <si>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</si>
  <si>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</si>
  <si>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</si>
  <si>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</si>
  <si>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</si>
  <si>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</si>
  <si>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</si>
  <si>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</si>
  <si>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</si>
  <si>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</si>
  <si>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</si>
  <si>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</si>
  <si>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</si>
  <si>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</si>
  <si>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</si>
  <si>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</si>
  <si>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</si>
  <si>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</si>
  <si>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</si>
  <si>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</si>
  <si>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</si>
  <si>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</si>
  <si>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</si>
  <si>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</si>
  <si>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</si>
  <si>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</si>
  <si>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</si>
  <si>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</si>
  <si>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</si>
  <si>
    <t>Resigned</t>
  </si>
  <si>
    <t xml:space="preserve">Leave 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</si>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</sst>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G1" workbookViewId="0">
      <selection activeCell="Q13" sqref="Q13"/>
    </sheetView>
  </sheetViews>
  <sheetFormatPr defaultRowHeight="14.5" x14ac:dyDescent="0.35"/>
  <cols>
    <col min="1" max="1" width="13.54296875" bestFit="1" customWidth="1"/>
    <col min="2" max="2" width="14.7265625" hidden="1" customWidth="1"/>
    <col min="3" max="3" width="15.26953125" hidden="1" customWidth="1"/>
    <col min="4" max="4" width="18.26953125" hidden="1" customWidth="1"/>
    <col min="5" max="5" width="23.7265625" hidden="1" customWidth="1"/>
    <col min="6" max="6" width="22.4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46223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11</v>
      </c>
      <c r="I4" s="32">
        <f t="shared" ref="I4:I31" si="0">H4/G4</f>
        <v>0.22</v>
      </c>
      <c r="J4" s="30">
        <v>40</v>
      </c>
      <c r="K4" s="31">
        <v>12</v>
      </c>
      <c r="L4" s="32">
        <f t="shared" ref="L4:L12" si="1">K4/J4</f>
        <v>0.3</v>
      </c>
      <c r="M4" s="30">
        <f t="shared" ref="M4:N12" si="2">K4/H4</f>
        <v>1.0909090909090908</v>
      </c>
      <c r="N4" s="33">
        <f t="shared" si="2"/>
        <v>1.3636363636363635</v>
      </c>
      <c r="O4" s="30">
        <v>16</v>
      </c>
      <c r="P4" s="96">
        <v>16</v>
      </c>
      <c r="Q4" s="32">
        <f t="shared" ref="Q4:Q12" si="3">P4/O4</f>
        <v>1</v>
      </c>
      <c r="R4" s="30">
        <v>19.95</v>
      </c>
      <c r="S4" s="96">
        <v>19.95</v>
      </c>
      <c r="T4" s="32">
        <f t="shared" ref="T4:T12" si="4">S4/R4</f>
        <v>1</v>
      </c>
      <c r="U4" s="30">
        <f t="shared" ref="U4:V12" si="5">S4/P4</f>
        <v>1.246875</v>
      </c>
      <c r="V4" s="33">
        <f t="shared" si="5"/>
        <v>1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3</v>
      </c>
      <c r="I5" s="13">
        <f t="shared" si="0"/>
        <v>0.06</v>
      </c>
      <c r="J5" s="30">
        <v>30</v>
      </c>
      <c r="K5" s="12">
        <v>10</v>
      </c>
      <c r="L5" s="13">
        <f t="shared" si="1"/>
        <v>0.33333333333333331</v>
      </c>
      <c r="M5" s="11">
        <f t="shared" si="2"/>
        <v>3.3333333333333335</v>
      </c>
      <c r="N5" s="14">
        <f t="shared" si="2"/>
        <v>5.5555555555555554</v>
      </c>
      <c r="O5" s="30">
        <v>7</v>
      </c>
      <c r="P5" s="97">
        <v>0</v>
      </c>
      <c r="Q5" s="13">
        <f t="shared" si="3"/>
        <v>0</v>
      </c>
      <c r="R5" s="30">
        <v>8.5</v>
      </c>
      <c r="S5" s="97">
        <v>0</v>
      </c>
      <c r="T5" s="13">
        <f t="shared" si="4"/>
        <v>0</v>
      </c>
      <c r="U5" s="11" t="e">
        <f t="shared" si="5"/>
        <v>#DIV/0!</v>
      </c>
      <c r="V5" s="14" t="e">
        <f t="shared" si="5"/>
        <v>#DIV/0!</v>
      </c>
      <c r="W5" s="34" t="s">
        <v>78</v>
      </c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>
        <v>7</v>
      </c>
      <c r="I7" s="13">
        <f t="shared" si="0"/>
        <v>0.14000000000000001</v>
      </c>
      <c r="J7" s="30">
        <v>30</v>
      </c>
      <c r="K7" s="12">
        <v>8</v>
      </c>
      <c r="L7" s="13">
        <f t="shared" si="1"/>
        <v>0.26666666666666666</v>
      </c>
      <c r="M7" s="11">
        <f t="shared" si="2"/>
        <v>1.1428571428571428</v>
      </c>
      <c r="N7" s="14">
        <f t="shared" si="2"/>
        <v>1.9047619047619047</v>
      </c>
      <c r="O7" s="30"/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 t="s">
        <v>77</v>
      </c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8</v>
      </c>
      <c r="I8" s="13">
        <f t="shared" si="0"/>
        <v>0.16</v>
      </c>
      <c r="J8" s="30">
        <v>20</v>
      </c>
      <c r="K8" s="12">
        <v>8</v>
      </c>
      <c r="L8" s="13">
        <f t="shared" si="1"/>
        <v>0.4</v>
      </c>
      <c r="M8" s="11">
        <f t="shared" si="2"/>
        <v>1</v>
      </c>
      <c r="N8" s="14">
        <f t="shared" si="2"/>
        <v>2.5</v>
      </c>
      <c r="O8" s="30">
        <v>10</v>
      </c>
      <c r="P8" s="97">
        <v>9</v>
      </c>
      <c r="Q8" s="13">
        <f t="shared" si="3"/>
        <v>0.9</v>
      </c>
      <c r="R8" s="30">
        <v>20</v>
      </c>
      <c r="S8" s="97">
        <v>20</v>
      </c>
      <c r="T8" s="13">
        <f t="shared" si="4"/>
        <v>1</v>
      </c>
      <c r="U8" s="11">
        <f t="shared" si="5"/>
        <v>2.2222222222222223</v>
      </c>
      <c r="V8" s="14">
        <f t="shared" si="5"/>
        <v>1.1111111111111112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7</v>
      </c>
      <c r="I10" s="13">
        <f t="shared" si="0"/>
        <v>0.28000000000000003</v>
      </c>
      <c r="J10" s="30">
        <v>0</v>
      </c>
      <c r="K10" s="12">
        <v>148</v>
      </c>
      <c r="L10" s="13" t="e">
        <f t="shared" si="1"/>
        <v>#DIV/0!</v>
      </c>
      <c r="M10" s="11">
        <f t="shared" si="2"/>
        <v>21.142857142857142</v>
      </c>
      <c r="N10" s="14" t="e">
        <f t="shared" si="2"/>
        <v>#DIV/0!</v>
      </c>
      <c r="O10" s="30">
        <v>2</v>
      </c>
      <c r="P10" s="97">
        <v>2</v>
      </c>
      <c r="Q10" s="13">
        <f t="shared" si="3"/>
        <v>1</v>
      </c>
      <c r="R10" s="30">
        <v>309</v>
      </c>
      <c r="S10" s="97">
        <v>309</v>
      </c>
      <c r="T10" s="13">
        <f t="shared" si="4"/>
        <v>1</v>
      </c>
      <c r="U10" s="11">
        <f t="shared" si="5"/>
        <v>154.5</v>
      </c>
      <c r="V10" s="14">
        <f t="shared" si="5"/>
        <v>1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36</v>
      </c>
      <c r="I19" s="42">
        <f t="shared" si="0"/>
        <v>9.6000000000000002E-2</v>
      </c>
      <c r="J19" s="40">
        <f>SUM(J4:J18)</f>
        <v>385</v>
      </c>
      <c r="K19" s="41">
        <f>SUM(K4:K18)</f>
        <v>186</v>
      </c>
      <c r="L19" s="42">
        <f t="shared" ref="L19" si="6">K19/J19</f>
        <v>0.48311688311688311</v>
      </c>
      <c r="M19" s="40">
        <f>K19/H19</f>
        <v>5.166666666666667</v>
      </c>
      <c r="N19" s="43" t="e">
        <f>AVERAGE(N4:N18)</f>
        <v>#DIV/0!</v>
      </c>
      <c r="O19" s="40">
        <f>SUM(O4:O18)</f>
        <v>35</v>
      </c>
      <c r="P19" s="41">
        <f>SUM(P4:P18)</f>
        <v>27</v>
      </c>
      <c r="Q19" s="42">
        <f t="shared" ref="Q19" si="7">P19/O19</f>
        <v>0.77142857142857146</v>
      </c>
      <c r="R19" s="40">
        <f>SUM(R4:R18)</f>
        <v>357.45</v>
      </c>
      <c r="S19" s="41">
        <f>SUM(S4:S18)</f>
        <v>348.95</v>
      </c>
      <c r="T19" s="42">
        <f t="shared" ref="T19" si="8">S19/R19</f>
        <v>0.97622045041264516</v>
      </c>
      <c r="U19" s="40">
        <f>S19/P19</f>
        <v>12.924074074074074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174</v>
      </c>
      <c r="I31" s="22">
        <f t="shared" si="0"/>
        <v>5.7520661157024797E-2</v>
      </c>
      <c r="J31" s="20">
        <f>+J30+J25+J19</f>
        <v>2585</v>
      </c>
      <c r="K31" s="21">
        <f t="shared" ref="K31" si="25">+K30+K25+K19</f>
        <v>353</v>
      </c>
      <c r="L31" s="22">
        <f t="shared" si="9"/>
        <v>0.13655705996131529</v>
      </c>
      <c r="M31" s="20">
        <f>K31/H31</f>
        <v>2.0287356321839081</v>
      </c>
      <c r="N31" s="23" t="e">
        <f>AVERAGE(N30,N19,N25)</f>
        <v>#DIV/0!</v>
      </c>
      <c r="O31" s="20">
        <f>+O30+O25+O19</f>
        <v>184</v>
      </c>
      <c r="P31" s="21">
        <f t="shared" ref="P31" si="26">+P30+P25+P19</f>
        <v>140</v>
      </c>
      <c r="Q31" s="22">
        <f t="shared" si="11"/>
        <v>0.76086956521739135</v>
      </c>
      <c r="R31" s="20">
        <f>+R30+R25+R19</f>
        <v>596.45000000000005</v>
      </c>
      <c r="S31" s="21">
        <f t="shared" ref="S31" si="27">+S30+S25+S19</f>
        <v>478.95</v>
      </c>
      <c r="T31" s="22">
        <f t="shared" si="12"/>
        <v>0.80300108978120543</v>
      </c>
      <c r="U31" s="20">
        <f>S31/P31</f>
        <v>3.4210714285714285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D1" workbookViewId="0">
      <selection activeCell="R10" sqref="R10"/>
    </sheetView>
  </sheetViews>
  <sheetFormatPr defaultRowHeight="14.5" x14ac:dyDescent="0.35"/>
  <cols>
    <col min="1" max="1" width="13.54296875" bestFit="1" customWidth="1"/>
    <col min="2" max="2" width="14.7265625" customWidth="1"/>
    <col min="3" max="3" width="15.26953125" customWidth="1"/>
    <col min="4" max="4" width="18.26953125" customWidth="1"/>
    <col min="5" max="5" width="23.7265625" customWidth="1"/>
    <col min="6" max="6" width="22.453125" bestFit="1" customWidth="1"/>
    <col min="7" max="7" width="6.26953125" style="24" customWidth="1"/>
    <col min="8" max="8" width="10.54296875" customWidth="1"/>
    <col min="9" max="9" width="5.54296875" customWidth="1"/>
    <col min="10" max="10" width="8.1796875" bestFit="1" customWidth="1"/>
    <col min="11" max="11" width="9.26953125" bestFit="1" customWidth="1"/>
    <col min="12" max="12" width="7.7265625" bestFit="1" customWidth="1"/>
    <col min="13" max="14" width="7.7265625" customWidth="1"/>
    <col min="15" max="15" width="5.26953125" customWidth="1"/>
    <col min="17" max="17" width="8.5429687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20</v>
      </c>
      <c r="C2" s="63">
        <f>+B2/A2</f>
        <v>0.7407407407407407</v>
      </c>
      <c r="D2" s="62">
        <f>+A2-B2</f>
        <v>7</v>
      </c>
      <c r="F2" s="94">
        <v>46223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5+9+9+11+10+9+11+8+11+8+16+14+16</f>
        <v>137</v>
      </c>
      <c r="I4" s="68">
        <f t="shared" ref="I4:I31" si="0">H4/G4</f>
        <v>0.22833333333333333</v>
      </c>
      <c r="J4" s="30">
        <v>575</v>
      </c>
      <c r="K4" s="8">
        <v>258</v>
      </c>
      <c r="L4" s="87">
        <f t="shared" ref="L4:L29" si="1">K4/J4</f>
        <v>0.44869565217391305</v>
      </c>
      <c r="M4" s="8">
        <f t="shared" ref="M4:M6" si="2">J4-K4</f>
        <v>317</v>
      </c>
      <c r="N4" s="10">
        <f t="shared" ref="N4:N6" si="3">M4/$D$2</f>
        <v>45.285714285714285</v>
      </c>
      <c r="O4" s="69">
        <f t="shared" ref="O4:P12" si="4">K4/H4</f>
        <v>1.8832116788321167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4+8+7+17+7+3+2+5+7+14+20+10</f>
        <v>104</v>
      </c>
      <c r="I5" s="70">
        <f t="shared" si="0"/>
        <v>0.17333333333333334</v>
      </c>
      <c r="J5" s="11">
        <v>550</v>
      </c>
      <c r="K5" s="12">
        <v>120</v>
      </c>
      <c r="L5" s="71">
        <f t="shared" si="1"/>
        <v>0.21818181818181817</v>
      </c>
      <c r="M5" s="12">
        <f t="shared" si="2"/>
        <v>430</v>
      </c>
      <c r="N5" s="14">
        <f t="shared" si="3"/>
        <v>61.428571428571431</v>
      </c>
      <c r="O5" s="72">
        <f t="shared" si="4"/>
        <v>1.1538461538461537</v>
      </c>
      <c r="P5" s="14">
        <f t="shared" si="4"/>
        <v>1.2587412587412585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v>46.32</v>
      </c>
      <c r="L6" s="71">
        <f t="shared" si="1"/>
        <v>8.4218181818181817E-2</v>
      </c>
      <c r="M6" s="12">
        <f t="shared" si="2"/>
        <v>503.68</v>
      </c>
      <c r="N6" s="14">
        <f t="shared" si="3"/>
        <v>71.954285714285717</v>
      </c>
      <c r="O6" s="72">
        <f t="shared" si="4"/>
        <v>1.6542857142857144</v>
      </c>
      <c r="P6" s="14">
        <f t="shared" si="4"/>
        <v>1.8046753246753247</v>
      </c>
      <c r="Q6" s="34" t="s">
        <v>76</v>
      </c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5+13+0+4+3+4+9+5</f>
        <v>43</v>
      </c>
      <c r="I7" s="70">
        <f t="shared" si="0"/>
        <v>7.166666666666667E-2</v>
      </c>
      <c r="J7" s="11">
        <v>550</v>
      </c>
      <c r="K7" s="12">
        <v>59.3</v>
      </c>
      <c r="L7" s="71">
        <f t="shared" si="1"/>
        <v>0.10781818181818181</v>
      </c>
      <c r="M7" s="12">
        <f t="shared" ref="M7:M31" si="5">J7-K7</f>
        <v>490.7</v>
      </c>
      <c r="N7" s="14">
        <f t="shared" ref="N7:N31" si="6">M7/$D$2</f>
        <v>70.099999999999994</v>
      </c>
      <c r="O7" s="72">
        <f t="shared" si="4"/>
        <v>1.3790697674418604</v>
      </c>
      <c r="P7" s="14">
        <f t="shared" si="4"/>
        <v>1.5044397463002113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10+10+0+14+6+10+11+11+8+7+9+24+14+13</f>
        <v>147</v>
      </c>
      <c r="I8" s="70">
        <f t="shared" si="0"/>
        <v>0.245</v>
      </c>
      <c r="J8" s="11">
        <v>575</v>
      </c>
      <c r="K8" s="12">
        <v>260</v>
      </c>
      <c r="L8" s="71">
        <f t="shared" si="1"/>
        <v>0.45217391304347826</v>
      </c>
      <c r="M8" s="12">
        <f t="shared" si="5"/>
        <v>315</v>
      </c>
      <c r="N8" s="14">
        <f t="shared" si="6"/>
        <v>45</v>
      </c>
      <c r="O8" s="72">
        <f t="shared" si="4"/>
        <v>1.7687074829931972</v>
      </c>
      <c r="P8" s="14">
        <f t="shared" si="4"/>
        <v>1.8456078083407277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78.571428571428569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4+7+3+3+3+6+5+6+6+7+2</f>
        <v>52</v>
      </c>
      <c r="I10" s="70">
        <f t="shared" si="0"/>
        <v>0.26</v>
      </c>
      <c r="J10" s="11">
        <v>4620</v>
      </c>
      <c r="K10" s="12">
        <v>1103</v>
      </c>
      <c r="L10" s="71">
        <f t="shared" si="1"/>
        <v>0.23874458874458873</v>
      </c>
      <c r="M10" s="12">
        <f t="shared" si="5"/>
        <v>3517</v>
      </c>
      <c r="N10" s="14">
        <f t="shared" si="6"/>
        <v>502.42857142857144</v>
      </c>
      <c r="O10" s="72">
        <f t="shared" si="4"/>
        <v>21.21153846153846</v>
      </c>
      <c r="P10" s="14">
        <f t="shared" si="4"/>
        <v>0.91824841824841819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650</v>
      </c>
      <c r="K11" s="12">
        <f>18+0</f>
        <v>18</v>
      </c>
      <c r="L11" s="71">
        <f t="shared" si="1"/>
        <v>2.7692307692307693E-2</v>
      </c>
      <c r="M11" s="12">
        <f t="shared" si="5"/>
        <v>632</v>
      </c>
      <c r="N11" s="14">
        <f t="shared" si="6"/>
        <v>90.285714285714292</v>
      </c>
      <c r="O11" s="72">
        <f t="shared" si="4"/>
        <v>1.5</v>
      </c>
      <c r="P11" s="14">
        <f t="shared" si="4"/>
        <v>1.3846153846153846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550</v>
      </c>
      <c r="K12" s="12">
        <v>19</v>
      </c>
      <c r="L12" s="71">
        <f t="shared" si="1"/>
        <v>3.4545454545454546E-2</v>
      </c>
      <c r="M12" s="12">
        <f t="shared" si="5"/>
        <v>531</v>
      </c>
      <c r="N12" s="14">
        <f t="shared" si="6"/>
        <v>75.857142857142861</v>
      </c>
      <c r="O12" s="72">
        <f t="shared" si="4"/>
        <v>0.6785714285714286</v>
      </c>
      <c r="P12" s="14">
        <f t="shared" si="4"/>
        <v>0.74025974025974028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1</v>
      </c>
      <c r="I16" s="70" t="e">
        <f t="shared" ref="I16" si="12">H16/G16</f>
        <v>#DIV/0!</v>
      </c>
      <c r="J16" s="11">
        <v>1500</v>
      </c>
      <c r="K16" s="12">
        <v>300</v>
      </c>
      <c r="L16" s="71">
        <f t="shared" si="8"/>
        <v>0.2</v>
      </c>
      <c r="M16" s="12">
        <f t="shared" si="5"/>
        <v>1200</v>
      </c>
      <c r="N16" s="14">
        <f t="shared" si="6"/>
        <v>171.42857142857142</v>
      </c>
      <c r="O16" s="72">
        <f t="shared" si="10"/>
        <v>300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552</v>
      </c>
      <c r="I19" s="79">
        <f t="shared" si="0"/>
        <v>0.1104</v>
      </c>
      <c r="J19" s="80">
        <f>SUM(J4:J18)</f>
        <v>10670</v>
      </c>
      <c r="K19" s="80">
        <f>SUM(K4:K18)</f>
        <v>2183.62</v>
      </c>
      <c r="L19" s="82">
        <f>K19/J19</f>
        <v>0.20465042174320525</v>
      </c>
      <c r="M19" s="81">
        <f t="shared" si="5"/>
        <v>8486.380000000001</v>
      </c>
      <c r="N19" s="83">
        <f t="shared" si="6"/>
        <v>1212.3400000000001</v>
      </c>
      <c r="O19" s="84">
        <f>K19/H19</f>
        <v>3.9558333333333331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66.428571428571431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66.714285714285708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66.285714285714292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67.571428571428569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69.142857142857139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336.14285714285717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88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80.857142857142861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82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87.428571428571431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338.28571428571428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753</v>
      </c>
      <c r="I31" s="88">
        <f t="shared" si="0"/>
        <v>0.13816513761467891</v>
      </c>
      <c r="J31" s="89">
        <f t="shared" si="17"/>
        <v>15670</v>
      </c>
      <c r="K31" s="90">
        <f t="shared" si="17"/>
        <v>2462.62</v>
      </c>
      <c r="L31" s="91">
        <f>K31/J31</f>
        <v>0.15715507338864071</v>
      </c>
      <c r="M31" s="90">
        <f t="shared" si="5"/>
        <v>13207.380000000001</v>
      </c>
      <c r="N31" s="92">
        <f t="shared" si="6"/>
        <v>1886.7685714285715</v>
      </c>
      <c r="O31" s="93">
        <f>K31/H31</f>
        <v>3.2704116865869852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2026-07-21T05:13:23Z</dcterms:modified>
</cp:coreProperties>
</file>