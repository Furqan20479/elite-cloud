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E34C0ABB-B836-49EE-A899-93E508F87C8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" i="2" l="1"/>
  <c r="H7" i="2"/>
  <c r="H5" i="2"/>
  <c r="H4" i="2"/>
  <c r="H10" i="2" l="1"/>
  <c r="H6" i="2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K11" i="2"/>
  <c r="H11" i="2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<sst xmlns="http://schemas.openxmlformats.org/spreadsheetml/2006/main" count="370" uniqueCount="77">
  <si>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</si>
  <si>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</si>
  <si>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</si>
  <si>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</si>
  <si>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</si>
  <si>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</si>
  <si>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</si>
  <si>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</si>
  <si>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</si>
  <si>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</si>
  <si>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</si>
  <si>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</si>
  <si>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</si>
  <si>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</si>
  <si>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</si>
  <si>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</si>
  <si>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</si>
  <si>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</si>
  <si>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</si>
  <si>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</si>
  <si>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</si>
  <si>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</si>
  <si>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</si>
  <si>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</si>
  <si>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</si>
  <si>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</si>
  <si>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</si>
  <si>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</si>
  <si>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</si>
  <si>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</si>
  <si>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</si>
  <si>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</si>
  <si>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</si>
  <si>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</si>
  <si>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</si>
  <si>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</si>
  <si>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</si>
  <si>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</si>
  <si>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</si>
  <si>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</si>
  <si>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</si>
  <si>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</si>
  <si>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</si>
  <si>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</si>
  <si>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</si>
  <si>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</si>
  <si>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</si>
  <si>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</si>
  <si>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</si>
  <si>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</si>
  <si>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</si>
  <si>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</si>
  <si>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</si>
  <si>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</si>
  <si>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</si>
  <si>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</si>
  <si>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</si>
  <si>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</si>
  <si>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</si>
  <si>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</si>
  <si>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</si>
  <si>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</si>
  <si>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</si>
  <si>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</si>
  <si>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</si>
  <si>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</si>
  <si>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</si>
  <si>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</si>
  <si>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</si>
  <si>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</si>
  <si>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</si>
  <si>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</si>
  <si>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</si>
  <si>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</si>
  <si>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Resignd</t>
  </si>
  <si>
    <t>Not Available</t>
  </si>
  <si>
    <t>Resigned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</si>
</sst>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abSelected="1" topLeftCell="F1" workbookViewId="0">
      <selection activeCell="S14" sqref="S14"/>
    </sheetView>
  </sheetViews>
  <sheetFormatPr defaultRowHeight="14.5" x14ac:dyDescent="0.35"/>
  <cols>
    <col min="1" max="1" width="13.54296875" bestFit="1" customWidth="1"/>
    <col min="2" max="2" width="14.7265625" hidden="1" customWidth="1"/>
    <col min="3" max="3" width="15.26953125" hidden="1" customWidth="1"/>
    <col min="4" max="4" width="18.26953125" hidden="1" customWidth="1"/>
    <col min="5" max="5" width="23.7265625" hidden="1" customWidth="1"/>
    <col min="6" max="6" width="22.4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46221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16</v>
      </c>
      <c r="I4" s="32">
        <f t="shared" ref="I4:I31" si="0">H4/G4</f>
        <v>0.32</v>
      </c>
      <c r="J4" s="30">
        <v>40</v>
      </c>
      <c r="K4" s="31">
        <v>20</v>
      </c>
      <c r="L4" s="32">
        <f t="shared" ref="L4:L12" si="1">K4/J4</f>
        <v>0.5</v>
      </c>
      <c r="M4" s="30">
        <f t="shared" ref="M4:N12" si="2">K4/H4</f>
        <v>1.25</v>
      </c>
      <c r="N4" s="33">
        <f t="shared" si="2"/>
        <v>1.5625</v>
      </c>
      <c r="O4" s="30">
        <v>16</v>
      </c>
      <c r="P4" s="96">
        <v>14</v>
      </c>
      <c r="Q4" s="32">
        <f t="shared" ref="Q4:Q12" si="3">P4/O4</f>
        <v>0.875</v>
      </c>
      <c r="R4" s="30">
        <v>17.850000000000001</v>
      </c>
      <c r="S4" s="96">
        <v>18</v>
      </c>
      <c r="T4" s="32">
        <f t="shared" ref="T4:T12" si="4">S4/R4</f>
        <v>1.0084033613445378</v>
      </c>
      <c r="U4" s="30">
        <f t="shared" ref="U4:V12" si="5">S4/P4</f>
        <v>1.2857142857142858</v>
      </c>
      <c r="V4" s="33">
        <f t="shared" si="5"/>
        <v>1.1524609843937574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7</v>
      </c>
      <c r="I5" s="13">
        <f t="shared" si="0"/>
        <v>0.14000000000000001</v>
      </c>
      <c r="J5" s="30">
        <v>30</v>
      </c>
      <c r="K5" s="12">
        <v>9</v>
      </c>
      <c r="L5" s="13">
        <f t="shared" si="1"/>
        <v>0.3</v>
      </c>
      <c r="M5" s="11">
        <f t="shared" si="2"/>
        <v>1.2857142857142858</v>
      </c>
      <c r="N5" s="14">
        <f t="shared" si="2"/>
        <v>2.1428571428571428</v>
      </c>
      <c r="O5" s="30">
        <v>5</v>
      </c>
      <c r="P5" s="97">
        <v>5</v>
      </c>
      <c r="Q5" s="13">
        <f t="shared" si="3"/>
        <v>1</v>
      </c>
      <c r="R5" s="30">
        <v>10</v>
      </c>
      <c r="S5" s="97">
        <v>9</v>
      </c>
      <c r="T5" s="13">
        <f t="shared" si="4"/>
        <v>0.9</v>
      </c>
      <c r="U5" s="11">
        <f t="shared" si="5"/>
        <v>1.8</v>
      </c>
      <c r="V5" s="14">
        <f t="shared" si="5"/>
        <v>0.9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/>
      <c r="P6" s="97"/>
      <c r="Q6" s="13" t="e">
        <f t="shared" si="3"/>
        <v>#DIV/0!</v>
      </c>
      <c r="R6" s="30"/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74</v>
      </c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>
        <v>0</v>
      </c>
      <c r="I7" s="13">
        <f t="shared" si="0"/>
        <v>0</v>
      </c>
      <c r="J7" s="30">
        <v>30</v>
      </c>
      <c r="K7" s="12">
        <v>0</v>
      </c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>
        <v>5</v>
      </c>
      <c r="P7" s="97">
        <v>4</v>
      </c>
      <c r="Q7" s="13">
        <f t="shared" si="3"/>
        <v>0.8</v>
      </c>
      <c r="R7" s="30">
        <v>4</v>
      </c>
      <c r="S7" s="97">
        <v>4</v>
      </c>
      <c r="T7" s="13">
        <f t="shared" si="4"/>
        <v>1</v>
      </c>
      <c r="U7" s="11">
        <f t="shared" si="5"/>
        <v>1</v>
      </c>
      <c r="V7" s="14">
        <f t="shared" si="5"/>
        <v>1.25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10</v>
      </c>
      <c r="I8" s="13">
        <f t="shared" si="0"/>
        <v>0.2</v>
      </c>
      <c r="J8" s="30">
        <v>20</v>
      </c>
      <c r="K8" s="12">
        <v>23</v>
      </c>
      <c r="L8" s="13">
        <f t="shared" si="1"/>
        <v>1.1499999999999999</v>
      </c>
      <c r="M8" s="11">
        <f t="shared" si="2"/>
        <v>2.2999999999999998</v>
      </c>
      <c r="N8" s="14">
        <f t="shared" si="2"/>
        <v>5.7499999999999991</v>
      </c>
      <c r="O8" s="30">
        <v>8</v>
      </c>
      <c r="P8" s="97">
        <v>5</v>
      </c>
      <c r="Q8" s="13">
        <f t="shared" si="3"/>
        <v>0.625</v>
      </c>
      <c r="R8" s="30">
        <v>8</v>
      </c>
      <c r="S8" s="97">
        <v>5</v>
      </c>
      <c r="T8" s="13">
        <f t="shared" si="4"/>
        <v>0.625</v>
      </c>
      <c r="U8" s="11">
        <f t="shared" si="5"/>
        <v>1</v>
      </c>
      <c r="V8" s="14">
        <f t="shared" si="5"/>
        <v>1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 t="s">
        <v>75</v>
      </c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14</v>
      </c>
      <c r="I10" s="13">
        <f t="shared" si="0"/>
        <v>0.56000000000000005</v>
      </c>
      <c r="J10" s="30">
        <v>0</v>
      </c>
      <c r="K10" s="12">
        <v>619</v>
      </c>
      <c r="L10" s="13" t="e">
        <f t="shared" si="1"/>
        <v>#DIV/0!</v>
      </c>
      <c r="M10" s="11">
        <f t="shared" si="2"/>
        <v>44.214285714285715</v>
      </c>
      <c r="N10" s="14" t="e">
        <f t="shared" si="2"/>
        <v>#DIV/0!</v>
      </c>
      <c r="O10" s="30">
        <v>9</v>
      </c>
      <c r="P10" s="97">
        <v>7</v>
      </c>
      <c r="Q10" s="13">
        <f t="shared" si="3"/>
        <v>0.77777777777777779</v>
      </c>
      <c r="R10" s="30">
        <v>71</v>
      </c>
      <c r="S10" s="97">
        <v>58</v>
      </c>
      <c r="T10" s="13">
        <f t="shared" si="4"/>
        <v>0.81690140845070425</v>
      </c>
      <c r="U10" s="11">
        <f t="shared" si="5"/>
        <v>8.2857142857142865</v>
      </c>
      <c r="V10" s="14">
        <f t="shared" si="5"/>
        <v>1.0503018108651911</v>
      </c>
      <c r="W10" s="34"/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47</v>
      </c>
      <c r="I19" s="42">
        <f t="shared" si="0"/>
        <v>0.12533333333333332</v>
      </c>
      <c r="J19" s="40">
        <f>SUM(J4:J18)</f>
        <v>385</v>
      </c>
      <c r="K19" s="41">
        <f>SUM(K4:K18)</f>
        <v>671</v>
      </c>
      <c r="L19" s="42">
        <f t="shared" ref="L19" si="6">K19/J19</f>
        <v>1.7428571428571429</v>
      </c>
      <c r="M19" s="40">
        <f>K19/H19</f>
        <v>14.276595744680851</v>
      </c>
      <c r="N19" s="43" t="e">
        <f>AVERAGE(N4:N18)</f>
        <v>#DIV/0!</v>
      </c>
      <c r="O19" s="40">
        <f>SUM(O4:O18)</f>
        <v>43</v>
      </c>
      <c r="P19" s="41">
        <f>SUM(P4:P18)</f>
        <v>35</v>
      </c>
      <c r="Q19" s="42">
        <f t="shared" ref="Q19" si="7">P19/O19</f>
        <v>0.81395348837209303</v>
      </c>
      <c r="R19" s="40">
        <f>SUM(R4:R18)</f>
        <v>110.85</v>
      </c>
      <c r="S19" s="41">
        <f>SUM(S4:S18)</f>
        <v>94</v>
      </c>
      <c r="T19" s="42">
        <f t="shared" ref="T19" si="8">S19/R19</f>
        <v>0.84799278304014436</v>
      </c>
      <c r="U19" s="40">
        <f>S19/P19</f>
        <v>2.6857142857142855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185</v>
      </c>
      <c r="I31" s="22">
        <f t="shared" si="0"/>
        <v>6.1157024793388429E-2</v>
      </c>
      <c r="J31" s="20">
        <f>+J30+J25+J19</f>
        <v>2585</v>
      </c>
      <c r="K31" s="21">
        <f t="shared" ref="K31" si="25">+K30+K25+K19</f>
        <v>838</v>
      </c>
      <c r="L31" s="22">
        <f t="shared" si="9"/>
        <v>0.32417794970986458</v>
      </c>
      <c r="M31" s="20">
        <f>K31/H31</f>
        <v>4.5297297297297296</v>
      </c>
      <c r="N31" s="23" t="e">
        <f>AVERAGE(N30,N19,N25)</f>
        <v>#DIV/0!</v>
      </c>
      <c r="O31" s="20">
        <f>+O30+O25+O19</f>
        <v>192</v>
      </c>
      <c r="P31" s="21">
        <f t="shared" ref="P31" si="26">+P30+P25+P19</f>
        <v>148</v>
      </c>
      <c r="Q31" s="22">
        <f t="shared" si="11"/>
        <v>0.77083333333333337</v>
      </c>
      <c r="R31" s="20">
        <f>+R30+R25+R19</f>
        <v>349.85</v>
      </c>
      <c r="S31" s="21">
        <f t="shared" ref="S31" si="27">+S30+S25+S19</f>
        <v>224</v>
      </c>
      <c r="T31" s="22">
        <f t="shared" si="12"/>
        <v>0.64027440331570673</v>
      </c>
      <c r="U31" s="20">
        <f>S31/P31</f>
        <v>1.5135135135135136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workbookViewId="0">
      <selection activeCell="E1" sqref="E1"/>
    </sheetView>
  </sheetViews>
  <sheetFormatPr defaultRowHeight="14.5" x14ac:dyDescent="0.35"/>
  <cols>
    <col min="1" max="1" width="13.54296875" bestFit="1" customWidth="1"/>
    <col min="2" max="2" width="14.7265625" customWidth="1"/>
    <col min="3" max="3" width="15.26953125" customWidth="1"/>
    <col min="4" max="4" width="18.26953125" customWidth="1"/>
    <col min="5" max="5" width="23.7265625" customWidth="1"/>
    <col min="6" max="6" width="22.453125" bestFit="1" customWidth="1"/>
    <col min="7" max="7" width="6.26953125" style="24" customWidth="1"/>
    <col min="8" max="8" width="10.54296875" customWidth="1"/>
    <col min="9" max="9" width="5.54296875" customWidth="1"/>
    <col min="10" max="10" width="8.1796875" bestFit="1" customWidth="1"/>
    <col min="11" max="11" width="9.26953125" bestFit="1" customWidth="1"/>
    <col min="12" max="12" width="7.7265625" bestFit="1" customWidth="1"/>
    <col min="13" max="14" width="7.7265625" customWidth="1"/>
    <col min="15" max="15" width="5.26953125" customWidth="1"/>
    <col min="17" max="17" width="8.5429687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18</v>
      </c>
      <c r="C2" s="63">
        <f>+B2/A2</f>
        <v>0.66666666666666663</v>
      </c>
      <c r="D2" s="62">
        <f>+A2-B2</f>
        <v>9</v>
      </c>
      <c r="F2" s="94">
        <v>46221</v>
      </c>
      <c r="G2" s="107" t="s">
        <v>40</v>
      </c>
      <c r="H2" s="108"/>
      <c r="I2" s="108"/>
      <c r="J2" s="104" t="s">
        <v>61</v>
      </c>
      <c r="K2" s="105"/>
      <c r="L2" s="105"/>
      <c r="M2" s="105"/>
      <c r="N2" s="106"/>
      <c r="O2" s="110" t="s">
        <v>41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5+9+9+11+10+9+11+8+11+8+16+14</f>
        <v>121</v>
      </c>
      <c r="I4" s="68">
        <f t="shared" ref="I4:I31" si="0">H4/G4</f>
        <v>0.20166666666666666</v>
      </c>
      <c r="J4" s="30">
        <v>575</v>
      </c>
      <c r="K4" s="8">
        <v>238.45</v>
      </c>
      <c r="L4" s="87">
        <f t="shared" ref="L4:L29" si="1">K4/J4</f>
        <v>0.41469565217391302</v>
      </c>
      <c r="M4" s="8">
        <f t="shared" ref="M4:M6" si="2">J4-K4</f>
        <v>336.55</v>
      </c>
      <c r="N4" s="10">
        <f t="shared" ref="N4:N6" si="3">M4/$D$2</f>
        <v>37.394444444444446</v>
      </c>
      <c r="O4" s="69">
        <f t="shared" ref="O4:P12" si="4">K4/H4</f>
        <v>1.9706611570247934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4+8+7+17+7+3+2+5+7+14+20+10</f>
        <v>104</v>
      </c>
      <c r="I5" s="70">
        <f t="shared" si="0"/>
        <v>0.17333333333333334</v>
      </c>
      <c r="J5" s="11">
        <v>550</v>
      </c>
      <c r="K5" s="12">
        <v>120.25</v>
      </c>
      <c r="L5" s="71">
        <f t="shared" si="1"/>
        <v>0.21863636363636363</v>
      </c>
      <c r="M5" s="12">
        <f t="shared" si="2"/>
        <v>429.75</v>
      </c>
      <c r="N5" s="14">
        <f t="shared" si="3"/>
        <v>47.75</v>
      </c>
      <c r="O5" s="72">
        <f t="shared" si="4"/>
        <v>1.15625</v>
      </c>
      <c r="P5" s="14">
        <f t="shared" si="4"/>
        <v>1.2613636363636362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9+1+9+2+7</f>
        <v>28</v>
      </c>
      <c r="I6" s="70">
        <f t="shared" si="0"/>
        <v>4.6666666666666669E-2</v>
      </c>
      <c r="J6" s="11">
        <v>550</v>
      </c>
      <c r="K6" s="12">
        <v>46.32</v>
      </c>
      <c r="L6" s="71">
        <f t="shared" si="1"/>
        <v>8.4218181818181817E-2</v>
      </c>
      <c r="M6" s="12">
        <f t="shared" si="2"/>
        <v>503.68</v>
      </c>
      <c r="N6" s="14">
        <f t="shared" si="3"/>
        <v>55.964444444444446</v>
      </c>
      <c r="O6" s="72">
        <f t="shared" si="4"/>
        <v>1.6542857142857144</v>
      </c>
      <c r="P6" s="14">
        <f t="shared" si="4"/>
        <v>1.8046753246753247</v>
      </c>
      <c r="Q6" s="34" t="s">
        <v>76</v>
      </c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5+13+0+4+3+4+9+5</f>
        <v>43</v>
      </c>
      <c r="I7" s="70">
        <f t="shared" si="0"/>
        <v>7.166666666666667E-2</v>
      </c>
      <c r="J7" s="11">
        <v>550</v>
      </c>
      <c r="K7" s="12">
        <v>59.3</v>
      </c>
      <c r="L7" s="71">
        <f t="shared" si="1"/>
        <v>0.10781818181818181</v>
      </c>
      <c r="M7" s="12">
        <f t="shared" ref="M7:M31" si="5">J7-K7</f>
        <v>490.7</v>
      </c>
      <c r="N7" s="14">
        <f t="shared" ref="N7:N31" si="6">M7/$D$2</f>
        <v>54.522222222222219</v>
      </c>
      <c r="O7" s="72">
        <f t="shared" si="4"/>
        <v>1.3790697674418604</v>
      </c>
      <c r="P7" s="14">
        <f t="shared" si="4"/>
        <v>1.5044397463002113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10+10+0+14+6+10+11+11+8+7+9+24+14</f>
        <v>134</v>
      </c>
      <c r="I8" s="70">
        <f t="shared" si="0"/>
        <v>0.22333333333333333</v>
      </c>
      <c r="J8" s="11">
        <v>575</v>
      </c>
      <c r="K8" s="12">
        <v>240.6</v>
      </c>
      <c r="L8" s="71">
        <f t="shared" si="1"/>
        <v>0.41843478260869565</v>
      </c>
      <c r="M8" s="12">
        <f t="shared" si="5"/>
        <v>334.4</v>
      </c>
      <c r="N8" s="14">
        <f t="shared" si="6"/>
        <v>37.155555555555551</v>
      </c>
      <c r="O8" s="72">
        <f t="shared" si="4"/>
        <v>1.7955223880597015</v>
      </c>
      <c r="P8" s="14">
        <f t="shared" si="4"/>
        <v>1.873588578844906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61.111111111111114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4+7+3+3+3+6+5+6+6</f>
        <v>43</v>
      </c>
      <c r="I10" s="70">
        <f t="shared" si="0"/>
        <v>0.215</v>
      </c>
      <c r="J10" s="11">
        <v>4620</v>
      </c>
      <c r="K10" s="12">
        <v>735</v>
      </c>
      <c r="L10" s="71">
        <f t="shared" si="1"/>
        <v>0.15909090909090909</v>
      </c>
      <c r="M10" s="12">
        <f t="shared" si="5"/>
        <v>3885</v>
      </c>
      <c r="N10" s="14">
        <f t="shared" si="6"/>
        <v>431.66666666666669</v>
      </c>
      <c r="O10" s="72">
        <f t="shared" si="4"/>
        <v>17.093023255813954</v>
      </c>
      <c r="P10" s="14">
        <f t="shared" si="4"/>
        <v>0.7399577167019028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f>12+0</f>
        <v>12</v>
      </c>
      <c r="I11" s="70">
        <f t="shared" si="0"/>
        <v>0.02</v>
      </c>
      <c r="J11" s="11">
        <v>650</v>
      </c>
      <c r="K11" s="12">
        <f>18+0</f>
        <v>18</v>
      </c>
      <c r="L11" s="71">
        <f t="shared" si="1"/>
        <v>2.7692307692307693E-2</v>
      </c>
      <c r="M11" s="12">
        <f t="shared" si="5"/>
        <v>632</v>
      </c>
      <c r="N11" s="14">
        <f t="shared" si="6"/>
        <v>70.222222222222229</v>
      </c>
      <c r="O11" s="72">
        <f t="shared" si="4"/>
        <v>1.5</v>
      </c>
      <c r="P11" s="14">
        <f t="shared" si="4"/>
        <v>1.3846153846153846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28</v>
      </c>
      <c r="I12" s="70">
        <f t="shared" si="0"/>
        <v>4.6666666666666669E-2</v>
      </c>
      <c r="J12" s="11">
        <v>550</v>
      </c>
      <c r="K12" s="12">
        <v>19</v>
      </c>
      <c r="L12" s="71">
        <f t="shared" si="1"/>
        <v>3.4545454545454546E-2</v>
      </c>
      <c r="M12" s="12">
        <f t="shared" si="5"/>
        <v>531</v>
      </c>
      <c r="N12" s="14">
        <f t="shared" si="6"/>
        <v>59</v>
      </c>
      <c r="O12" s="72">
        <f t="shared" si="4"/>
        <v>0.6785714285714286</v>
      </c>
      <c r="P12" s="14">
        <f t="shared" si="4"/>
        <v>0.74025974025974028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>
        <f t="shared" si="9"/>
        <v>0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1</v>
      </c>
      <c r="I16" s="70" t="e">
        <f t="shared" ref="I16" si="12">H16/G16</f>
        <v>#DIV/0!</v>
      </c>
      <c r="J16" s="11">
        <v>1500</v>
      </c>
      <c r="K16" s="12">
        <v>300</v>
      </c>
      <c r="L16" s="71">
        <f t="shared" si="8"/>
        <v>0.2</v>
      </c>
      <c r="M16" s="12">
        <f t="shared" si="5"/>
        <v>1200</v>
      </c>
      <c r="N16" s="14">
        <f t="shared" si="6"/>
        <v>133.33333333333334</v>
      </c>
      <c r="O16" s="72">
        <f t="shared" si="10"/>
        <v>300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514</v>
      </c>
      <c r="I19" s="79">
        <f t="shared" si="0"/>
        <v>0.1028</v>
      </c>
      <c r="J19" s="80">
        <f>SUM(J4:J18)</f>
        <v>10670</v>
      </c>
      <c r="K19" s="80">
        <f>SUM(K4:K18)</f>
        <v>1776.92</v>
      </c>
      <c r="L19" s="82">
        <f>K19/J19</f>
        <v>0.16653420805998126</v>
      </c>
      <c r="M19" s="81">
        <f t="shared" si="5"/>
        <v>8893.08</v>
      </c>
      <c r="N19" s="83">
        <f t="shared" si="6"/>
        <v>988.12</v>
      </c>
      <c r="O19" s="84">
        <f>K19/H19</f>
        <v>3.4570428015564203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51.666666666666664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51.888888888888886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51.555555555555557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52.555555555555557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53.777777777777779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261.44444444444446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68.444444444444443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62.888888888888886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63.777777777777779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68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263.11111111111109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715</v>
      </c>
      <c r="I31" s="88">
        <f t="shared" si="0"/>
        <v>0.13119266055045872</v>
      </c>
      <c r="J31" s="89">
        <f t="shared" si="17"/>
        <v>15670</v>
      </c>
      <c r="K31" s="90">
        <f t="shared" si="17"/>
        <v>2055.92</v>
      </c>
      <c r="L31" s="91">
        <f>K31/J31</f>
        <v>0.13120102105934908</v>
      </c>
      <c r="M31" s="90">
        <f t="shared" si="5"/>
        <v>13614.08</v>
      </c>
      <c r="N31" s="92">
        <f t="shared" si="6"/>
        <v>1512.6755555555555</v>
      </c>
      <c r="O31" s="93">
        <f>K31/H31</f>
        <v>2.8754125874125873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2026-07-20T05:55:38Z</dcterms:modified>
</cp:coreProperties>
</file>