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16779AE0-E33B-4DAA-B56B-0D0D7EFC4EEA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0" i="2" l="1"/>
  <c r="H8" i="2"/>
  <c r="H4" i="2"/>
  <c r="H5" i="2"/>
  <c r="H7" i="2"/>
  <c r="H6" i="2"/>
  <c r="J19" i="2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K11" i="2"/>
  <c r="H11" i="2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<sst xmlns="http://schemas.openxmlformats.org/spreadsheetml/2006/main" count="369" uniqueCount="76">
  <si>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</si>
  <si>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</si>
  <si>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</si>
  <si>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</si>
  <si>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</si>
  <si>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</si>
  <si>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</si>
  <si>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</si>
  <si>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</si>
  <si>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</si>
  <si>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</si>
  <si>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</si>
  <si>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</si>
  <si>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</si>
  <si>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</si>
  <si>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</si>
  <si>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</si>
  <si>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</si>
  <si>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</si>
  <si>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</si>
  <si>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</si>
  <si>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</si>
  <si>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</si>
  <si>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</si>
  <si>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</si>
  <si>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Mobeen Butt</t>
  </si>
  <si>
    <t>Furqan Ali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</si>
  <si>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</si>
  <si>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</si>
  <si>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</si>
  <si>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</si>
  <si>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</si>
  <si>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</si>
  <si>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</si>
  <si>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</si>
  <si>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</si>
  <si>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</si>
  <si>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</si>
  <si>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</si>
  <si>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</si>
  <si>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</si>
  <si>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</si>
  <si>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</si>
  <si>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</si>
  <si>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</si>
  <si>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</si>
  <si>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</si>
  <si>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</si>
  <si>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</si>
  <si>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</si>
  <si>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</si>
  <si>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</si>
  <si>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</si>
  <si>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</si>
  <si>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</si>
  <si>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</si>
  <si>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</si>
  <si>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</si>
  <si>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</si>
  <si>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</si>
  <si>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</si>
  <si>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</si>
  <si>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</si>
  <si>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</si>
  <si>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</si>
  <si>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</si>
  <si>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</si>
  <si>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</si>
  <si>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</si>
  <si>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</si>
  <si>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</si>
  <si>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</si>
  <si>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</si>
  <si>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</si>
  <si>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Resignd</t>
  </si>
  <si>
    <t>Not 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</si>
</sst>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1"/>
  <sheetViews>
    <sheetView workbookViewId="0">
      <selection activeCell="F3" sqref="F3"/>
    </sheetView>
  </sheetViews>
  <sheetFormatPr defaultRowHeight="14.5" x14ac:dyDescent="0.35"/>
  <cols>
    <col min="1" max="1" width="13.54296875" bestFit="1" customWidth="1"/>
    <col min="2" max="2" width="14.7265625" hidden="1" customWidth="1"/>
    <col min="3" max="3" width="15.26953125" hidden="1" customWidth="1"/>
    <col min="4" max="4" width="18.26953125" hidden="1" customWidth="1"/>
    <col min="5" max="5" width="23.7265625" hidden="1" customWidth="1"/>
    <col min="6" max="6" width="22.45312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</cols>
  <sheetData>
    <row r="1" spans="1:23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3" ht="15" thickBot="1" x14ac:dyDescent="0.4">
      <c r="F2" s="94">
        <v>46218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3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54</v>
      </c>
      <c r="Q3" s="5" t="s">
        <v>12</v>
      </c>
      <c r="R3" s="6" t="s">
        <v>55</v>
      </c>
      <c r="S3" s="4" t="s">
        <v>56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3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12</v>
      </c>
      <c r="I4" s="32">
        <f t="shared" ref="I4:I31" si="0">H4/G4</f>
        <v>0.24</v>
      </c>
      <c r="J4" s="30">
        <v>40</v>
      </c>
      <c r="K4" s="31">
        <v>11.2</v>
      </c>
      <c r="L4" s="32">
        <f t="shared" ref="L4:L12" si="1">K4/J4</f>
        <v>0.27999999999999997</v>
      </c>
      <c r="M4" s="30">
        <f t="shared" ref="M4:N12" si="2">K4/H4</f>
        <v>0.93333333333333324</v>
      </c>
      <c r="N4" s="33">
        <f t="shared" si="2"/>
        <v>1.1666666666666665</v>
      </c>
      <c r="O4" s="30">
        <v>12</v>
      </c>
      <c r="P4" s="96">
        <v>10</v>
      </c>
      <c r="Q4" s="32">
        <f t="shared" ref="Q4:Q12" si="3">P4/O4</f>
        <v>0.83333333333333337</v>
      </c>
      <c r="R4" s="30">
        <v>7</v>
      </c>
      <c r="S4" s="96">
        <v>6.55</v>
      </c>
      <c r="T4" s="32">
        <f t="shared" ref="T4:T12" si="4">S4/R4</f>
        <v>0.93571428571428572</v>
      </c>
      <c r="U4" s="30">
        <f t="shared" ref="U4:V12" si="5">S4/P4</f>
        <v>0.65500000000000003</v>
      </c>
      <c r="V4" s="33">
        <f t="shared" si="5"/>
        <v>1.1228571428571428</v>
      </c>
      <c r="W4" s="34"/>
    </row>
    <row r="5" spans="1:23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8</v>
      </c>
      <c r="I5" s="13">
        <f t="shared" si="0"/>
        <v>0.16</v>
      </c>
      <c r="J5" s="30">
        <v>30</v>
      </c>
      <c r="K5" s="12">
        <v>10</v>
      </c>
      <c r="L5" s="13">
        <f t="shared" si="1"/>
        <v>0.33333333333333331</v>
      </c>
      <c r="M5" s="11">
        <f t="shared" si="2"/>
        <v>1.25</v>
      </c>
      <c r="N5" s="14">
        <f t="shared" si="2"/>
        <v>2.083333333333333</v>
      </c>
      <c r="O5" s="30">
        <v>6</v>
      </c>
      <c r="P5" s="97">
        <v>6</v>
      </c>
      <c r="Q5" s="13">
        <f t="shared" si="3"/>
        <v>1</v>
      </c>
      <c r="R5" s="30">
        <v>14.75</v>
      </c>
      <c r="S5" s="97">
        <v>14.75</v>
      </c>
      <c r="T5" s="13">
        <f t="shared" si="4"/>
        <v>1</v>
      </c>
      <c r="U5" s="11">
        <f t="shared" si="5"/>
        <v>2.4583333333333335</v>
      </c>
      <c r="V5" s="14">
        <f t="shared" si="5"/>
        <v>1</v>
      </c>
      <c r="W5" s="34"/>
    </row>
    <row r="6" spans="1:23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>
        <v>5</v>
      </c>
      <c r="I6" s="13">
        <f t="shared" si="0"/>
        <v>0.1</v>
      </c>
      <c r="J6" s="30">
        <v>25</v>
      </c>
      <c r="K6" s="12">
        <v>9</v>
      </c>
      <c r="L6" s="13">
        <f t="shared" si="1"/>
        <v>0.36</v>
      </c>
      <c r="M6" s="11">
        <f t="shared" si="2"/>
        <v>1.8</v>
      </c>
      <c r="N6" s="14">
        <f t="shared" si="2"/>
        <v>3.5999999999999996</v>
      </c>
      <c r="O6" s="30"/>
      <c r="P6" s="97"/>
      <c r="Q6" s="13" t="e">
        <f t="shared" si="3"/>
        <v>#DIV/0!</v>
      </c>
      <c r="R6" s="30"/>
      <c r="S6" s="97"/>
      <c r="T6" s="13" t="e">
        <f t="shared" si="4"/>
        <v>#DIV/0!</v>
      </c>
      <c r="U6" s="11" t="e">
        <f t="shared" si="5"/>
        <v>#DIV/0!</v>
      </c>
      <c r="V6" s="14" t="e">
        <f t="shared" si="5"/>
        <v>#DIV/0!</v>
      </c>
      <c r="W6" s="34" t="s">
        <v>74</v>
      </c>
    </row>
    <row r="7" spans="1:23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50</v>
      </c>
      <c r="H7" s="12"/>
      <c r="I7" s="13">
        <f t="shared" si="0"/>
        <v>0</v>
      </c>
      <c r="J7" s="30">
        <v>30</v>
      </c>
      <c r="K7" s="12"/>
      <c r="L7" s="13">
        <f t="shared" si="1"/>
        <v>0</v>
      </c>
      <c r="M7" s="11" t="e">
        <f t="shared" si="2"/>
        <v>#DIV/0!</v>
      </c>
      <c r="N7" s="14" t="e">
        <f t="shared" si="2"/>
        <v>#DIV/0!</v>
      </c>
      <c r="O7" s="30">
        <v>6</v>
      </c>
      <c r="P7" s="97">
        <v>6</v>
      </c>
      <c r="Q7" s="13">
        <f t="shared" si="3"/>
        <v>1</v>
      </c>
      <c r="R7" s="30">
        <v>10.97</v>
      </c>
      <c r="S7" s="97">
        <v>10.97</v>
      </c>
      <c r="T7" s="13">
        <f t="shared" si="4"/>
        <v>1</v>
      </c>
      <c r="U7" s="11">
        <f t="shared" si="5"/>
        <v>1.8283333333333334</v>
      </c>
      <c r="V7" s="14">
        <f t="shared" si="5"/>
        <v>1</v>
      </c>
      <c r="W7" s="34"/>
    </row>
    <row r="8" spans="1:23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50</v>
      </c>
      <c r="H8" s="12"/>
      <c r="I8" s="13">
        <f t="shared" si="0"/>
        <v>0</v>
      </c>
      <c r="J8" s="30">
        <v>20</v>
      </c>
      <c r="K8" s="12"/>
      <c r="L8" s="13">
        <f t="shared" si="1"/>
        <v>0</v>
      </c>
      <c r="M8" s="11" t="e">
        <f t="shared" si="2"/>
        <v>#DIV/0!</v>
      </c>
      <c r="N8" s="14" t="e">
        <f t="shared" si="2"/>
        <v>#DIV/0!</v>
      </c>
      <c r="O8" s="30">
        <v>8</v>
      </c>
      <c r="P8" s="97">
        <v>8</v>
      </c>
      <c r="Q8" s="13">
        <f t="shared" si="3"/>
        <v>1</v>
      </c>
      <c r="R8" s="30">
        <v>5.35</v>
      </c>
      <c r="S8" s="97">
        <v>5.35</v>
      </c>
      <c r="T8" s="13">
        <f t="shared" si="4"/>
        <v>1</v>
      </c>
      <c r="U8" s="11">
        <f t="shared" si="5"/>
        <v>0.66874999999999996</v>
      </c>
      <c r="V8" s="14">
        <f t="shared" si="5"/>
        <v>1</v>
      </c>
      <c r="W8" s="34"/>
    </row>
    <row r="9" spans="1:23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28</v>
      </c>
      <c r="G9" s="30">
        <v>0</v>
      </c>
      <c r="H9" s="12"/>
      <c r="I9" s="13" t="e">
        <f t="shared" si="0"/>
        <v>#DIV/0!</v>
      </c>
      <c r="J9" s="30">
        <v>20</v>
      </c>
      <c r="K9" s="12"/>
      <c r="L9" s="13">
        <f t="shared" si="1"/>
        <v>0</v>
      </c>
      <c r="M9" s="11" t="e">
        <f t="shared" si="2"/>
        <v>#DIV/0!</v>
      </c>
      <c r="N9" s="14" t="e">
        <f t="shared" si="2"/>
        <v>#DIV/0!</v>
      </c>
      <c r="O9" s="30"/>
      <c r="P9" s="97"/>
      <c r="Q9" s="13" t="e">
        <f t="shared" si="3"/>
        <v>#DIV/0!</v>
      </c>
      <c r="R9" s="30"/>
      <c r="S9" s="97"/>
      <c r="T9" s="13" t="e">
        <f t="shared" si="4"/>
        <v>#DIV/0!</v>
      </c>
      <c r="U9" s="11" t="e">
        <f t="shared" si="5"/>
        <v>#DIV/0!</v>
      </c>
      <c r="V9" s="14" t="e">
        <f t="shared" si="5"/>
        <v>#DIV/0!</v>
      </c>
      <c r="W9" s="34" t="s">
        <v>75</v>
      </c>
    </row>
    <row r="10" spans="1:23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30">
        <v>25</v>
      </c>
      <c r="H10" s="12">
        <v>1</v>
      </c>
      <c r="I10" s="13">
        <f t="shared" si="0"/>
        <v>0.04</v>
      </c>
      <c r="J10" s="30">
        <v>0</v>
      </c>
      <c r="K10" s="12">
        <v>4</v>
      </c>
      <c r="L10" s="13" t="e">
        <f t="shared" si="1"/>
        <v>#DIV/0!</v>
      </c>
      <c r="M10" s="11">
        <f t="shared" si="2"/>
        <v>4</v>
      </c>
      <c r="N10" s="14" t="e">
        <f t="shared" si="2"/>
        <v>#DIV/0!</v>
      </c>
      <c r="O10" s="30">
        <v>1</v>
      </c>
      <c r="P10" s="97">
        <v>1</v>
      </c>
      <c r="Q10" s="13">
        <f t="shared" si="3"/>
        <v>1</v>
      </c>
      <c r="R10" s="30">
        <v>122</v>
      </c>
      <c r="S10" s="97">
        <v>125</v>
      </c>
      <c r="T10" s="13">
        <f t="shared" si="4"/>
        <v>1.0245901639344261</v>
      </c>
      <c r="U10" s="11">
        <f t="shared" si="5"/>
        <v>125</v>
      </c>
      <c r="V10" s="14">
        <f t="shared" si="5"/>
        <v>1.0245901639344261</v>
      </c>
      <c r="W10" s="34"/>
    </row>
    <row r="11" spans="1:23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30</v>
      </c>
      <c r="G11" s="30">
        <v>50</v>
      </c>
      <c r="H11" s="12"/>
      <c r="I11" s="13">
        <f t="shared" si="0"/>
        <v>0</v>
      </c>
      <c r="J11" s="30">
        <v>200</v>
      </c>
      <c r="K11" s="12"/>
      <c r="L11" s="13">
        <f t="shared" si="1"/>
        <v>0</v>
      </c>
      <c r="M11" s="11" t="e">
        <f t="shared" si="2"/>
        <v>#DIV/0!</v>
      </c>
      <c r="N11" s="14" t="e">
        <f t="shared" si="2"/>
        <v>#DIV/0!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</row>
    <row r="12" spans="1:23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30">
        <v>50</v>
      </c>
      <c r="H12" s="12">
        <v>14</v>
      </c>
      <c r="I12" s="13">
        <f t="shared" si="0"/>
        <v>0.28000000000000003</v>
      </c>
      <c r="J12" s="30">
        <v>20</v>
      </c>
      <c r="K12" s="12">
        <v>7</v>
      </c>
      <c r="L12" s="13">
        <f t="shared" si="1"/>
        <v>0.35</v>
      </c>
      <c r="M12" s="11">
        <f t="shared" si="2"/>
        <v>0.5</v>
      </c>
      <c r="N12" s="14">
        <f t="shared" si="2"/>
        <v>1.2499999999999998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</row>
    <row r="13" spans="1:23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45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</row>
    <row r="14" spans="1:23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</row>
    <row r="15" spans="1:23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47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</row>
    <row r="16" spans="1:23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</row>
    <row r="17" spans="1:23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</row>
    <row r="18" spans="1:23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</row>
    <row r="19" spans="1:23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40</v>
      </c>
      <c r="I19" s="42">
        <f t="shared" si="0"/>
        <v>0.10666666666666667</v>
      </c>
      <c r="J19" s="40">
        <f>SUM(J4:J18)</f>
        <v>385</v>
      </c>
      <c r="K19" s="41">
        <f>SUM(K4:K18)</f>
        <v>41.2</v>
      </c>
      <c r="L19" s="42">
        <f t="shared" ref="L19" si="6">K19/J19</f>
        <v>0.10701298701298702</v>
      </c>
      <c r="M19" s="40">
        <f>K19/H19</f>
        <v>1.03</v>
      </c>
      <c r="N19" s="43" t="e">
        <f>AVERAGE(N4:N18)</f>
        <v>#DIV/0!</v>
      </c>
      <c r="O19" s="40">
        <f>SUM(O4:O18)</f>
        <v>33</v>
      </c>
      <c r="P19" s="41">
        <f>SUM(P4:P18)</f>
        <v>31</v>
      </c>
      <c r="Q19" s="42">
        <f t="shared" ref="Q19" si="7">P19/O19</f>
        <v>0.93939393939393945</v>
      </c>
      <c r="R19" s="40">
        <f>SUM(R4:R18)</f>
        <v>160.07</v>
      </c>
      <c r="S19" s="41">
        <f>SUM(S4:S18)</f>
        <v>162.62</v>
      </c>
      <c r="T19" s="42">
        <f t="shared" ref="T19" si="8">S19/R19</f>
        <v>1.0159305303929531</v>
      </c>
      <c r="U19" s="40">
        <f>S19/P19</f>
        <v>5.2458064516129035</v>
      </c>
      <c r="V19" s="43" t="e">
        <f>AVERAGE(V4:V18)</f>
        <v>#DIV/0!</v>
      </c>
      <c r="W19" s="44"/>
    </row>
    <row r="20" spans="1:23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35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</row>
    <row r="21" spans="1:23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68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</row>
    <row r="22" spans="1:23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36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</row>
    <row r="23" spans="1:23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69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</row>
    <row r="24" spans="1:23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70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3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3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71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3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72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3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51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3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73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3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3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178</v>
      </c>
      <c r="I31" s="22">
        <f t="shared" si="0"/>
        <v>5.8842975206611567E-2</v>
      </c>
      <c r="J31" s="20">
        <f>+J30+J25+J19</f>
        <v>2585</v>
      </c>
      <c r="K31" s="21">
        <f t="shared" ref="K31" si="25">+K30+K25+K19</f>
        <v>208.2</v>
      </c>
      <c r="L31" s="22">
        <f t="shared" si="9"/>
        <v>8.0541586073500968E-2</v>
      </c>
      <c r="M31" s="20">
        <f>K31/H31</f>
        <v>1.1696629213483145</v>
      </c>
      <c r="N31" s="23" t="e">
        <f>AVERAGE(N30,N19,N25)</f>
        <v>#DIV/0!</v>
      </c>
      <c r="O31" s="20">
        <f>+O30+O25+O19</f>
        <v>182</v>
      </c>
      <c r="P31" s="21">
        <f t="shared" ref="P31" si="26">+P30+P25+P19</f>
        <v>144</v>
      </c>
      <c r="Q31" s="22">
        <f t="shared" si="11"/>
        <v>0.79120879120879117</v>
      </c>
      <c r="R31" s="20">
        <f>+R30+R25+R19</f>
        <v>399.07</v>
      </c>
      <c r="S31" s="21">
        <f t="shared" ref="S31" si="27">+S30+S25+S19</f>
        <v>292.62</v>
      </c>
      <c r="T31" s="22">
        <f t="shared" si="12"/>
        <v>0.73325481745057264</v>
      </c>
      <c r="U31" s="20">
        <f>S31/P31</f>
        <v>2.0320833333333335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workbookViewId="0">
      <selection activeCell="H14" sqref="H14"/>
    </sheetView>
  </sheetViews>
  <sheetFormatPr defaultRowHeight="14.5" x14ac:dyDescent="0.35"/>
  <cols>
    <col min="1" max="1" width="13.54296875" bestFit="1" customWidth="1"/>
    <col min="2" max="2" width="14.7265625" customWidth="1"/>
    <col min="3" max="3" width="15.26953125" customWidth="1"/>
    <col min="4" max="4" width="18.26953125" customWidth="1"/>
    <col min="5" max="5" width="23.7265625" customWidth="1"/>
    <col min="6" max="6" width="22.453125" bestFit="1" customWidth="1"/>
    <col min="7" max="7" width="6.26953125" style="24" customWidth="1"/>
    <col min="8" max="8" width="10.54296875" customWidth="1"/>
    <col min="9" max="9" width="5.54296875" customWidth="1"/>
    <col min="10" max="10" width="8.1796875" bestFit="1" customWidth="1"/>
    <col min="11" max="11" width="9.26953125" bestFit="1" customWidth="1"/>
    <col min="12" max="12" width="7.7265625" bestFit="1" customWidth="1"/>
    <col min="13" max="14" width="7.7265625" customWidth="1"/>
    <col min="15" max="15" width="5.26953125" customWidth="1"/>
    <col min="17" max="17" width="8.54296875" bestFit="1" customWidth="1"/>
  </cols>
  <sheetData>
    <row r="1" spans="1:17" ht="15" thickBot="1" x14ac:dyDescent="0.4">
      <c r="A1" s="61" t="s">
        <v>57</v>
      </c>
      <c r="B1" s="61" t="s">
        <v>58</v>
      </c>
      <c r="C1" s="61" t="s">
        <v>59</v>
      </c>
      <c r="D1" s="61" t="s">
        <v>60</v>
      </c>
    </row>
    <row r="2" spans="1:17" ht="15" thickBot="1" x14ac:dyDescent="0.4">
      <c r="A2" s="62">
        <v>27</v>
      </c>
      <c r="B2" s="24">
        <v>15</v>
      </c>
      <c r="C2" s="63">
        <f>+B2/A2</f>
        <v>0.55555555555555558</v>
      </c>
      <c r="D2" s="62">
        <f>+A2-B2</f>
        <v>12</v>
      </c>
      <c r="F2" s="94">
        <v>46218</v>
      </c>
      <c r="G2" s="107" t="s">
        <v>40</v>
      </c>
      <c r="H2" s="108"/>
      <c r="I2" s="108"/>
      <c r="J2" s="104" t="s">
        <v>61</v>
      </c>
      <c r="K2" s="105"/>
      <c r="L2" s="105"/>
      <c r="M2" s="105"/>
      <c r="N2" s="106"/>
      <c r="O2" s="110" t="s">
        <v>41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42</v>
      </c>
      <c r="I3" s="27" t="s">
        <v>12</v>
      </c>
      <c r="J3" s="64" t="s">
        <v>43</v>
      </c>
      <c r="K3" s="65" t="s">
        <v>44</v>
      </c>
      <c r="L3" s="65" t="s">
        <v>12</v>
      </c>
      <c r="M3" s="65" t="s">
        <v>62</v>
      </c>
      <c r="N3" s="66" t="s">
        <v>63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5+9+9+11+10+9+11+8+11+8</f>
        <v>91</v>
      </c>
      <c r="I4" s="68">
        <f t="shared" ref="I4:I31" si="0">H4/G4</f>
        <v>0.15166666666666667</v>
      </c>
      <c r="J4" s="30">
        <v>575</v>
      </c>
      <c r="K4" s="8">
        <v>197.2</v>
      </c>
      <c r="L4" s="87">
        <f t="shared" ref="L4:L29" si="1">K4/J4</f>
        <v>0.34295652173913044</v>
      </c>
      <c r="M4" s="8">
        <f t="shared" ref="M4:M6" si="2">J4-K4</f>
        <v>377.8</v>
      </c>
      <c r="N4" s="10">
        <f t="shared" ref="N4:N6" si="3">M4/$D$2</f>
        <v>31.483333333333334</v>
      </c>
      <c r="O4" s="69">
        <f t="shared" ref="O4:P12" si="4">K4/H4</f>
        <v>2.1670329670329669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4+8+7+17+7+3+2+5+7+14</f>
        <v>74</v>
      </c>
      <c r="I5" s="70">
        <f t="shared" si="0"/>
        <v>0.12333333333333334</v>
      </c>
      <c r="J5" s="11">
        <v>550</v>
      </c>
      <c r="K5" s="12">
        <v>96.27</v>
      </c>
      <c r="L5" s="71">
        <f t="shared" si="1"/>
        <v>0.17503636363636363</v>
      </c>
      <c r="M5" s="12">
        <f t="shared" si="2"/>
        <v>453.73</v>
      </c>
      <c r="N5" s="14">
        <f t="shared" si="3"/>
        <v>37.810833333333335</v>
      </c>
      <c r="O5" s="72">
        <f t="shared" si="4"/>
        <v>1.3009459459459458</v>
      </c>
      <c r="P5" s="14">
        <f t="shared" si="4"/>
        <v>1.419213759213759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600</v>
      </c>
      <c r="H6" s="12">
        <f>9+1+9+2+7</f>
        <v>28</v>
      </c>
      <c r="I6" s="70">
        <f t="shared" si="0"/>
        <v>4.6666666666666669E-2</v>
      </c>
      <c r="J6" s="11">
        <v>550</v>
      </c>
      <c r="K6" s="12">
        <v>46.32</v>
      </c>
      <c r="L6" s="71">
        <f t="shared" si="1"/>
        <v>8.4218181818181817E-2</v>
      </c>
      <c r="M6" s="12">
        <f t="shared" si="2"/>
        <v>503.68</v>
      </c>
      <c r="N6" s="14">
        <f t="shared" si="3"/>
        <v>41.973333333333336</v>
      </c>
      <c r="O6" s="72">
        <f t="shared" si="4"/>
        <v>1.6542857142857144</v>
      </c>
      <c r="P6" s="14">
        <f t="shared" si="4"/>
        <v>1.8046753246753247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600</v>
      </c>
      <c r="H7" s="12">
        <f>5+13+0+4+3+4</f>
        <v>29</v>
      </c>
      <c r="I7" s="70">
        <f t="shared" si="0"/>
        <v>4.8333333333333332E-2</v>
      </c>
      <c r="J7" s="11">
        <v>550</v>
      </c>
      <c r="K7" s="12">
        <v>46.77</v>
      </c>
      <c r="L7" s="71">
        <f t="shared" si="1"/>
        <v>8.5036363636363646E-2</v>
      </c>
      <c r="M7" s="12">
        <f t="shared" ref="M7:M31" si="5">J7-K7</f>
        <v>503.23</v>
      </c>
      <c r="N7" s="14">
        <f t="shared" ref="N7:N31" si="6">M7/$D$2</f>
        <v>41.935833333333335</v>
      </c>
      <c r="O7" s="72">
        <f t="shared" si="4"/>
        <v>1.6127586206896554</v>
      </c>
      <c r="P7" s="14">
        <f t="shared" si="4"/>
        <v>1.7593730407523513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600</v>
      </c>
      <c r="H8" s="12">
        <f>10+10+0+14+6+10+11+11+8+7+9</f>
        <v>96</v>
      </c>
      <c r="I8" s="70">
        <f t="shared" si="0"/>
        <v>0.16</v>
      </c>
      <c r="J8" s="11">
        <v>575</v>
      </c>
      <c r="K8" s="12">
        <v>220.95</v>
      </c>
      <c r="L8" s="71">
        <f t="shared" si="1"/>
        <v>0.38426086956521738</v>
      </c>
      <c r="M8" s="12">
        <f t="shared" si="5"/>
        <v>354.05</v>
      </c>
      <c r="N8" s="14">
        <f t="shared" si="6"/>
        <v>29.504166666666666</v>
      </c>
      <c r="O8" s="72">
        <f t="shared" si="4"/>
        <v>2.3015624999999997</v>
      </c>
      <c r="P8" s="14">
        <f t="shared" si="4"/>
        <v>2.4016304347826085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28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>
        <f t="shared" si="6"/>
        <v>45.833333333333336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11">
        <v>200</v>
      </c>
      <c r="H10" s="12">
        <f>4+7+3+3+3+6+5+6</f>
        <v>37</v>
      </c>
      <c r="I10" s="70">
        <f t="shared" si="0"/>
        <v>0.185</v>
      </c>
      <c r="J10" s="11">
        <v>4620</v>
      </c>
      <c r="K10" s="12">
        <v>663.87</v>
      </c>
      <c r="L10" s="71">
        <f t="shared" si="1"/>
        <v>0.14369480519480521</v>
      </c>
      <c r="M10" s="12">
        <f t="shared" si="5"/>
        <v>3956.13</v>
      </c>
      <c r="N10" s="14">
        <f t="shared" si="6"/>
        <v>329.67750000000001</v>
      </c>
      <c r="O10" s="72">
        <f t="shared" si="4"/>
        <v>17.942432432432433</v>
      </c>
      <c r="P10" s="14">
        <f t="shared" si="4"/>
        <v>0.77672867672867685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64</v>
      </c>
      <c r="G11" s="11">
        <v>600</v>
      </c>
      <c r="H11" s="12">
        <f>12+0</f>
        <v>12</v>
      </c>
      <c r="I11" s="70">
        <f t="shared" si="0"/>
        <v>0.02</v>
      </c>
      <c r="J11" s="11">
        <v>650</v>
      </c>
      <c r="K11" s="12">
        <f>18+0</f>
        <v>18</v>
      </c>
      <c r="L11" s="71">
        <f t="shared" si="1"/>
        <v>2.7692307692307693E-2</v>
      </c>
      <c r="M11" s="12">
        <f t="shared" si="5"/>
        <v>632</v>
      </c>
      <c r="N11" s="14">
        <f t="shared" si="6"/>
        <v>52.666666666666664</v>
      </c>
      <c r="O11" s="72">
        <f t="shared" si="4"/>
        <v>1.5</v>
      </c>
      <c r="P11" s="14">
        <f t="shared" si="4"/>
        <v>1.3846153846153846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11">
        <v>600</v>
      </c>
      <c r="H12" s="12">
        <v>28</v>
      </c>
      <c r="I12" s="70">
        <f t="shared" si="0"/>
        <v>4.6666666666666669E-2</v>
      </c>
      <c r="J12" s="11">
        <v>550</v>
      </c>
      <c r="K12" s="12">
        <v>19</v>
      </c>
      <c r="L12" s="71">
        <f t="shared" si="1"/>
        <v>3.4545454545454546E-2</v>
      </c>
      <c r="M12" s="12">
        <f t="shared" si="5"/>
        <v>531</v>
      </c>
      <c r="N12" s="14">
        <f t="shared" si="6"/>
        <v>44.25</v>
      </c>
      <c r="O12" s="72">
        <f t="shared" si="4"/>
        <v>0.6785714285714286</v>
      </c>
      <c r="P12" s="14">
        <f t="shared" si="4"/>
        <v>0.74025974025974028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>
        <f t="shared" ref="N13:N15" si="9">M13/$D$2</f>
        <v>0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70" t="e">
        <f t="shared" si="7"/>
        <v>#DIV/0!</v>
      </c>
      <c r="J14" s="11"/>
      <c r="K14" s="12"/>
      <c r="L14" s="71" t="e">
        <f t="shared" si="8"/>
        <v>#DIV/0!</v>
      </c>
      <c r="M14" s="12">
        <f t="shared" si="5"/>
        <v>0</v>
      </c>
      <c r="N14" s="14">
        <f t="shared" si="9"/>
        <v>0</v>
      </c>
      <c r="O14" s="72" t="e">
        <f t="shared" si="10"/>
        <v>#DIV/0!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67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66</v>
      </c>
      <c r="G16" s="11"/>
      <c r="H16" s="12">
        <v>1</v>
      </c>
      <c r="I16" s="70" t="e">
        <f t="shared" ref="I16" si="12">H16/G16</f>
        <v>#DIV/0!</v>
      </c>
      <c r="J16" s="11">
        <v>1500</v>
      </c>
      <c r="K16" s="12">
        <v>300</v>
      </c>
      <c r="L16" s="71">
        <f t="shared" si="8"/>
        <v>0.2</v>
      </c>
      <c r="M16" s="12">
        <f t="shared" si="5"/>
        <v>1200</v>
      </c>
      <c r="N16" s="14">
        <f t="shared" si="6"/>
        <v>100</v>
      </c>
      <c r="O16" s="72">
        <f t="shared" si="10"/>
        <v>300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5000</v>
      </c>
      <c r="H19" s="40">
        <f>SUM(H4:H18)</f>
        <v>396</v>
      </c>
      <c r="I19" s="79">
        <f t="shared" si="0"/>
        <v>7.9200000000000007E-2</v>
      </c>
      <c r="J19" s="80">
        <f>SUM(J4:J18)</f>
        <v>10670</v>
      </c>
      <c r="K19" s="80">
        <f>SUM(K4:K18)</f>
        <v>1608.38</v>
      </c>
      <c r="L19" s="82">
        <f>K19/J19</f>
        <v>0.15073851921274603</v>
      </c>
      <c r="M19" s="81">
        <f t="shared" si="5"/>
        <v>9061.619999999999</v>
      </c>
      <c r="N19" s="83">
        <f t="shared" si="6"/>
        <v>755.13499999999988</v>
      </c>
      <c r="O19" s="84">
        <f>K19/H19</f>
        <v>4.0615656565656568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33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38.75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34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38.916666666666664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35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38.666666666666664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36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39.416666666666664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50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40.333333333333336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196.08333333333334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51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51.333333333333336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52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47.166666666666664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53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47.833333333333336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28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51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197.33333333333334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597</v>
      </c>
      <c r="I31" s="88">
        <f t="shared" si="0"/>
        <v>0.10954128440366973</v>
      </c>
      <c r="J31" s="89">
        <f t="shared" si="17"/>
        <v>15670</v>
      </c>
      <c r="K31" s="90">
        <f t="shared" si="17"/>
        <v>1887.38</v>
      </c>
      <c r="L31" s="91">
        <f>K31/J31</f>
        <v>0.12044543714103383</v>
      </c>
      <c r="M31" s="90">
        <f t="shared" si="5"/>
        <v>13782.619999999999</v>
      </c>
      <c r="N31" s="92">
        <f t="shared" si="6"/>
        <v>1148.5516666666665</v>
      </c>
      <c r="O31" s="93">
        <f>K31/H31</f>
        <v>3.1614405360134006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2026-07-16T05:20:41Z</dcterms:modified>
</cp:coreProperties>
</file>