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DA562335-AB18-4C36-9E92-B27079B839B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2" l="1"/>
  <c r="H8" i="2"/>
  <c r="K7" i="2"/>
  <c r="H7" i="2"/>
  <c r="H19" i="2" s="1"/>
  <c r="K5" i="2"/>
  <c r="H5" i="2"/>
  <c r="K4" i="2"/>
  <c r="H4" i="2"/>
  <c r="K6" i="2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K10" i="2"/>
  <c r="H10" i="2"/>
  <c r="K19" i="2" l="1"/>
  <c r="L19" i="2" s="1"/>
  <c r="I19" i="2"/>
  <c r="P16" i="2"/>
  <c r="P15" i="2"/>
  <c r="P13" i="2"/>
  <c r="O9" i="1"/>
  <c r="O10" i="1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<sst xmlns="http://schemas.openxmlformats.org/spreadsheetml/2006/main" count="369" uniqueCount="76">
  <si>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</si>
  <si>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</si>
  <si>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</si>
  <si>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</si>
  <si>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</si>
  <si>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</si>
  <si>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</si>
  <si>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</si>
  <si>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</si>
  <si>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</si>
  <si>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</si>
  <si>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</si>
  <si>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</si>
  <si>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</si>
  <si>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</si>
  <si>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</si>
  <si>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</si>
  <si>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</si>
  <si>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</si>
  <si>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</si>
  <si>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</si>
  <si>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</si>
  <si>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</si>
  <si>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</si>
  <si>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</si>
  <si>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</si>
  <si>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</si>
  <si>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</si>
  <si>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</si>
  <si>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</si>
  <si>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</si>
  <si>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</si>
  <si>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</si>
  <si>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</si>
  <si>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</si>
  <si>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</si>
  <si>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</si>
  <si>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</si>
  <si>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</si>
  <si>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</si>
  <si>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</si>
  <si>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</si>
  <si>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</si>
  <si>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</si>
  <si>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</si>
  <si>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</si>
  <si>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</si>
  <si>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</si>
  <si>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</si>
  <si>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</si>
  <si>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</si>
  <si>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</si>
  <si>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</si>
  <si>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</si>
  <si>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</si>
  <si>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</si>
  <si>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</si>
  <si>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</si>
  <si>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</si>
  <si>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</si>
  <si>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</si>
  <si>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</si>
  <si>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</si>
  <si>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</si>
  <si>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</si>
  <si>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</si>
  <si>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</si>
  <si>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</si>
  <si>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</si>
  <si>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</si>
  <si>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</si>
  <si>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</si>
  <si>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</si>
  <si>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</si>
  <si>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Has Been resigned</t>
  </si>
  <si>
    <t>Saleman Issu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</si>
</sst>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topLeftCell="F1" workbookViewId="0">
      <selection activeCell="W10" sqref="W10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46212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</v>
      </c>
      <c r="I4" s="32">
        <f t="shared" ref="I4:I31" si="0">H4/G4</f>
        <v>0.02</v>
      </c>
      <c r="J4" s="30">
        <v>40</v>
      </c>
      <c r="K4" s="31">
        <v>3</v>
      </c>
      <c r="L4" s="32">
        <f t="shared" ref="L4:L12" si="1">K4/J4</f>
        <v>7.4999999999999997E-2</v>
      </c>
      <c r="M4" s="30">
        <f t="shared" ref="M4:N12" si="2">K4/H4</f>
        <v>3</v>
      </c>
      <c r="N4" s="33">
        <f t="shared" si="2"/>
        <v>3.75</v>
      </c>
      <c r="O4" s="30">
        <v>12</v>
      </c>
      <c r="P4" s="96">
        <v>8</v>
      </c>
      <c r="Q4" s="32">
        <f t="shared" ref="Q4:Q12" si="3">P4/O4</f>
        <v>0.66666666666666663</v>
      </c>
      <c r="R4" s="30">
        <v>8</v>
      </c>
      <c r="S4" s="96">
        <v>13.75</v>
      </c>
      <c r="T4" s="32">
        <f t="shared" ref="T4:T12" si="4">S4/R4</f>
        <v>1.71875</v>
      </c>
      <c r="U4" s="30">
        <f t="shared" ref="U4:V12" si="5">S4/P4</f>
        <v>1.71875</v>
      </c>
      <c r="V4" s="33">
        <f t="shared" si="5"/>
        <v>2.578125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9</v>
      </c>
      <c r="I5" s="13">
        <f t="shared" si="0"/>
        <v>0.18</v>
      </c>
      <c r="J5" s="30">
        <v>30</v>
      </c>
      <c r="K5" s="12">
        <v>8.6999999999999993</v>
      </c>
      <c r="L5" s="13">
        <f t="shared" si="1"/>
        <v>0.28999999999999998</v>
      </c>
      <c r="M5" s="11">
        <f t="shared" si="2"/>
        <v>0.96666666666666656</v>
      </c>
      <c r="N5" s="14">
        <f t="shared" si="2"/>
        <v>1.6111111111111112</v>
      </c>
      <c r="O5" s="30">
        <v>7</v>
      </c>
      <c r="P5" s="97">
        <v>5</v>
      </c>
      <c r="Q5" s="13">
        <f t="shared" si="3"/>
        <v>0.7142857142857143</v>
      </c>
      <c r="R5" s="30">
        <v>13</v>
      </c>
      <c r="S5" s="97">
        <v>6.37</v>
      </c>
      <c r="T5" s="13">
        <f t="shared" si="4"/>
        <v>0.49</v>
      </c>
      <c r="U5" s="11">
        <f t="shared" si="5"/>
        <v>1.274</v>
      </c>
      <c r="V5" s="14">
        <f t="shared" si="5"/>
        <v>0.68599999999999994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/>
      <c r="Q6" s="13">
        <f t="shared" si="3"/>
        <v>0</v>
      </c>
      <c r="R6" s="30">
        <v>0</v>
      </c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5</v>
      </c>
      <c r="P7" s="97">
        <v>0</v>
      </c>
      <c r="Q7" s="13">
        <f t="shared" si="3"/>
        <v>0</v>
      </c>
      <c r="R7" s="30">
        <v>5</v>
      </c>
      <c r="S7" s="97">
        <v>0</v>
      </c>
      <c r="T7" s="13">
        <f t="shared" si="4"/>
        <v>0</v>
      </c>
      <c r="U7" s="11" t="e">
        <f t="shared" si="5"/>
        <v>#DIV/0!</v>
      </c>
      <c r="V7" s="14" t="e">
        <f t="shared" si="5"/>
        <v>#DIV/0!</v>
      </c>
      <c r="W7" s="34" t="s">
        <v>75</v>
      </c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9</v>
      </c>
      <c r="I8" s="13">
        <f t="shared" si="0"/>
        <v>0.18</v>
      </c>
      <c r="J8" s="30">
        <v>20</v>
      </c>
      <c r="K8" s="12">
        <v>11.7</v>
      </c>
      <c r="L8" s="13">
        <f t="shared" si="1"/>
        <v>0.58499999999999996</v>
      </c>
      <c r="M8" s="11">
        <f t="shared" si="2"/>
        <v>1.2999999999999998</v>
      </c>
      <c r="N8" s="14">
        <f t="shared" si="2"/>
        <v>3.25</v>
      </c>
      <c r="O8" s="30">
        <v>15</v>
      </c>
      <c r="P8" s="97">
        <v>11</v>
      </c>
      <c r="Q8" s="13">
        <f t="shared" si="3"/>
        <v>0.73333333333333328</v>
      </c>
      <c r="R8" s="30">
        <v>15</v>
      </c>
      <c r="S8" s="97">
        <v>20.03</v>
      </c>
      <c r="T8" s="13">
        <f t="shared" si="4"/>
        <v>1.3353333333333335</v>
      </c>
      <c r="U8" s="11">
        <f t="shared" si="5"/>
        <v>1.820909090909091</v>
      </c>
      <c r="V8" s="14">
        <f t="shared" si="5"/>
        <v>1.8209090909090913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9:O10" si="6">H9</f>
        <v>0</v>
      </c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76</v>
      </c>
      <c r="L10" s="13" t="e">
        <f t="shared" si="1"/>
        <v>#DIV/0!</v>
      </c>
      <c r="M10" s="11">
        <f t="shared" si="2"/>
        <v>12.666666666666666</v>
      </c>
      <c r="N10" s="14" t="e">
        <f t="shared" si="2"/>
        <v>#DIV/0!</v>
      </c>
      <c r="O10" s="30">
        <f t="shared" si="6"/>
        <v>6</v>
      </c>
      <c r="P10" s="97">
        <v>3</v>
      </c>
      <c r="Q10" s="13">
        <f t="shared" si="3"/>
        <v>0.5</v>
      </c>
      <c r="R10" s="30"/>
      <c r="S10" s="97">
        <v>23</v>
      </c>
      <c r="T10" s="13" t="e">
        <f t="shared" si="4"/>
        <v>#DIV/0!</v>
      </c>
      <c r="U10" s="11">
        <f t="shared" si="5"/>
        <v>7.666666666666667</v>
      </c>
      <c r="V10" s="14" t="e">
        <f t="shared" si="5"/>
        <v>#DIV/0!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>
        <v>17</v>
      </c>
      <c r="I11" s="13">
        <f t="shared" si="0"/>
        <v>0.34</v>
      </c>
      <c r="J11" s="30">
        <v>200</v>
      </c>
      <c r="K11" s="12">
        <v>28</v>
      </c>
      <c r="L11" s="13">
        <f t="shared" si="1"/>
        <v>0.14000000000000001</v>
      </c>
      <c r="M11" s="11">
        <f t="shared" si="2"/>
        <v>1.6470588235294117</v>
      </c>
      <c r="N11" s="14">
        <f t="shared" si="2"/>
        <v>0.41176470588235298</v>
      </c>
      <c r="O11" s="30">
        <v>0</v>
      </c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>
        <v>3</v>
      </c>
      <c r="I12" s="13">
        <f t="shared" si="0"/>
        <v>0.06</v>
      </c>
      <c r="J12" s="30">
        <v>20</v>
      </c>
      <c r="K12" s="12">
        <v>4</v>
      </c>
      <c r="L12" s="13">
        <f t="shared" si="1"/>
        <v>0.2</v>
      </c>
      <c r="M12" s="11">
        <f t="shared" si="2"/>
        <v>1.3333333333333333</v>
      </c>
      <c r="N12" s="14">
        <f t="shared" si="2"/>
        <v>3.3333333333333335</v>
      </c>
      <c r="O12" s="30">
        <v>0</v>
      </c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45</v>
      </c>
      <c r="I19" s="42">
        <f t="shared" si="0"/>
        <v>0.12</v>
      </c>
      <c r="J19" s="40">
        <f>SUM(J4:J18)</f>
        <v>385</v>
      </c>
      <c r="K19" s="41">
        <f>SUM(K4:K18)</f>
        <v>131.4</v>
      </c>
      <c r="L19" s="42">
        <f t="shared" ref="L19" si="7">K19/J19</f>
        <v>0.34129870129870132</v>
      </c>
      <c r="M19" s="40">
        <f>K19/H19</f>
        <v>2.92</v>
      </c>
      <c r="N19" s="43" t="e">
        <f>AVERAGE(N4:N18)</f>
        <v>#DIV/0!</v>
      </c>
      <c r="O19" s="40">
        <f>SUM(O4:O18)</f>
        <v>53</v>
      </c>
      <c r="P19" s="41">
        <f>SUM(P4:P18)</f>
        <v>27</v>
      </c>
      <c r="Q19" s="42">
        <f t="shared" ref="Q19" si="8">P19/O19</f>
        <v>0.50943396226415094</v>
      </c>
      <c r="R19" s="40">
        <f>SUM(R4:R18)</f>
        <v>41</v>
      </c>
      <c r="S19" s="41">
        <f>SUM(S4:S18)</f>
        <v>63.150000000000006</v>
      </c>
      <c r="T19" s="42">
        <f t="shared" ref="T19" si="9">S19/R19</f>
        <v>1.5402439024390244</v>
      </c>
      <c r="U19" s="40">
        <f>S19/P19</f>
        <v>2.338888888888889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0">K20/J20</f>
        <v>0.42499999999999999</v>
      </c>
      <c r="M20" s="7">
        <f t="shared" ref="M20:M24" si="11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2">P20/O20</f>
        <v>0.88888888888888884</v>
      </c>
      <c r="R20" s="7">
        <v>25</v>
      </c>
      <c r="S20" s="8">
        <v>22</v>
      </c>
      <c r="T20" s="9">
        <f t="shared" ref="T20:T31" si="13">S20/R20</f>
        <v>0.88</v>
      </c>
      <c r="U20" s="7">
        <f t="shared" ref="U20:U24" si="14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0"/>
        <v>0.32500000000000001</v>
      </c>
      <c r="M21" s="11">
        <f t="shared" si="11"/>
        <v>0.65</v>
      </c>
      <c r="N21" s="14">
        <v>1</v>
      </c>
      <c r="O21" s="11">
        <v>15</v>
      </c>
      <c r="P21" s="12">
        <v>14</v>
      </c>
      <c r="Q21" s="13">
        <f t="shared" si="12"/>
        <v>0.93333333333333335</v>
      </c>
      <c r="R21" s="11">
        <v>20</v>
      </c>
      <c r="S21" s="12">
        <v>19</v>
      </c>
      <c r="T21" s="13">
        <f t="shared" si="13"/>
        <v>0.95</v>
      </c>
      <c r="U21" s="11">
        <f t="shared" si="14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0"/>
        <v>0.5</v>
      </c>
      <c r="M22" s="11">
        <f t="shared" si="11"/>
        <v>1</v>
      </c>
      <c r="N22" s="14">
        <v>1</v>
      </c>
      <c r="O22" s="11">
        <v>17</v>
      </c>
      <c r="P22" s="12">
        <v>15</v>
      </c>
      <c r="Q22" s="13">
        <f t="shared" si="12"/>
        <v>0.88235294117647056</v>
      </c>
      <c r="R22" s="11">
        <v>23</v>
      </c>
      <c r="S22" s="12">
        <v>20</v>
      </c>
      <c r="T22" s="13">
        <f t="shared" si="13"/>
        <v>0.86956521739130432</v>
      </c>
      <c r="U22" s="11">
        <f t="shared" si="14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0"/>
        <v>1.5</v>
      </c>
      <c r="M23" s="11">
        <f t="shared" si="11"/>
        <v>2.6086956521739131</v>
      </c>
      <c r="N23" s="14">
        <v>1</v>
      </c>
      <c r="O23" s="11">
        <v>17</v>
      </c>
      <c r="P23" s="12">
        <v>15</v>
      </c>
      <c r="Q23" s="13">
        <f t="shared" si="12"/>
        <v>0.88235294117647056</v>
      </c>
      <c r="R23" s="11">
        <v>21</v>
      </c>
      <c r="S23" s="12">
        <v>19</v>
      </c>
      <c r="T23" s="13">
        <f t="shared" si="13"/>
        <v>0.90476190476190477</v>
      </c>
      <c r="U23" s="11">
        <f t="shared" si="14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0"/>
        <v>0.32500000000000001</v>
      </c>
      <c r="M24" s="36">
        <f t="shared" si="11"/>
        <v>0.8666666666666667</v>
      </c>
      <c r="N24" s="39">
        <v>1</v>
      </c>
      <c r="O24" s="36">
        <v>19</v>
      </c>
      <c r="P24" s="37">
        <v>17</v>
      </c>
      <c r="Q24" s="38">
        <f t="shared" si="12"/>
        <v>0.89473684210526316</v>
      </c>
      <c r="R24" s="36">
        <v>20</v>
      </c>
      <c r="S24" s="37">
        <v>18</v>
      </c>
      <c r="T24" s="38">
        <f t="shared" si="13"/>
        <v>0.9</v>
      </c>
      <c r="U24" s="36">
        <f t="shared" si="14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5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6">SUM(K20:K24)</f>
        <v>123</v>
      </c>
      <c r="L25" s="42">
        <f t="shared" si="10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7">SUM(P20:P24)</f>
        <v>77</v>
      </c>
      <c r="Q25" s="42">
        <f t="shared" si="12"/>
        <v>0.89534883720930236</v>
      </c>
      <c r="R25" s="40">
        <f>SUM(R20:R24)</f>
        <v>109</v>
      </c>
      <c r="S25" s="41">
        <f t="shared" ref="S25" si="18">SUM(S20:S24)</f>
        <v>98</v>
      </c>
      <c r="T25" s="42">
        <f t="shared" si="13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10"/>
        <v>0.03</v>
      </c>
      <c r="M26" s="7">
        <f t="shared" ref="M26:M29" si="19">K26/H26</f>
        <v>1.6666666666666667</v>
      </c>
      <c r="N26" s="10">
        <v>0</v>
      </c>
      <c r="O26" s="7">
        <v>20</v>
      </c>
      <c r="P26" s="8">
        <v>0</v>
      </c>
      <c r="Q26" s="9">
        <f t="shared" si="12"/>
        <v>0</v>
      </c>
      <c r="R26" s="7">
        <v>47</v>
      </c>
      <c r="S26" s="8">
        <v>0</v>
      </c>
      <c r="T26" s="9">
        <f t="shared" si="13"/>
        <v>0</v>
      </c>
      <c r="U26" s="7" t="e">
        <f t="shared" ref="U26:U29" si="20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10"/>
        <v>1.6E-2</v>
      </c>
      <c r="M27" s="11">
        <f t="shared" si="19"/>
        <v>0.66666666666666663</v>
      </c>
      <c r="N27" s="14">
        <v>0</v>
      </c>
      <c r="O27" s="11">
        <v>14</v>
      </c>
      <c r="P27" s="12">
        <v>7</v>
      </c>
      <c r="Q27" s="13">
        <f t="shared" si="12"/>
        <v>0.5</v>
      </c>
      <c r="R27" s="11">
        <v>30</v>
      </c>
      <c r="S27" s="12">
        <v>7</v>
      </c>
      <c r="T27" s="13">
        <f t="shared" si="13"/>
        <v>0.23333333333333334</v>
      </c>
      <c r="U27" s="11">
        <f t="shared" si="20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10"/>
        <v>0.02</v>
      </c>
      <c r="M28" s="11">
        <f t="shared" si="19"/>
        <v>0.76923076923076927</v>
      </c>
      <c r="N28" s="14">
        <v>0</v>
      </c>
      <c r="O28" s="11">
        <v>20</v>
      </c>
      <c r="P28" s="12">
        <v>19</v>
      </c>
      <c r="Q28" s="13">
        <f t="shared" si="12"/>
        <v>0.95</v>
      </c>
      <c r="R28" s="11">
        <v>37</v>
      </c>
      <c r="S28" s="12">
        <v>13</v>
      </c>
      <c r="T28" s="13">
        <f t="shared" si="13"/>
        <v>0.35135135135135137</v>
      </c>
      <c r="U28" s="11">
        <f t="shared" si="20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10"/>
        <v>2.1999999999999999E-2</v>
      </c>
      <c r="M29" s="36">
        <f t="shared" si="19"/>
        <v>1</v>
      </c>
      <c r="N29" s="39">
        <v>0</v>
      </c>
      <c r="O29" s="36">
        <v>9</v>
      </c>
      <c r="P29" s="37">
        <v>10</v>
      </c>
      <c r="Q29" s="38">
        <f t="shared" si="12"/>
        <v>1.1111111111111112</v>
      </c>
      <c r="R29" s="36">
        <v>16</v>
      </c>
      <c r="S29" s="37">
        <v>12</v>
      </c>
      <c r="T29" s="38">
        <f t="shared" si="13"/>
        <v>0.75</v>
      </c>
      <c r="U29" s="36">
        <f t="shared" si="20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1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2">SUM(K26:K29)</f>
        <v>44</v>
      </c>
      <c r="L30" s="42">
        <f t="shared" si="10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3">SUM(P26:P29)</f>
        <v>36</v>
      </c>
      <c r="Q30" s="42">
        <f t="shared" si="12"/>
        <v>0.5714285714285714</v>
      </c>
      <c r="R30" s="40">
        <f>SUM(R26:R29)</f>
        <v>130</v>
      </c>
      <c r="S30" s="41">
        <f t="shared" ref="S30" si="24">SUM(S26:S29)</f>
        <v>32</v>
      </c>
      <c r="T30" s="42">
        <f t="shared" si="13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5">+H30+H25+H19</f>
        <v>183</v>
      </c>
      <c r="I31" s="22">
        <f t="shared" si="0"/>
        <v>6.0495867768595044E-2</v>
      </c>
      <c r="J31" s="20">
        <f>+J30+J25+J19</f>
        <v>2585</v>
      </c>
      <c r="K31" s="21">
        <f t="shared" ref="K31" si="26">+K30+K25+K19</f>
        <v>298.39999999999998</v>
      </c>
      <c r="L31" s="22">
        <f t="shared" si="10"/>
        <v>0.11543520309477756</v>
      </c>
      <c r="M31" s="20">
        <f>K31/H31</f>
        <v>1.6306010928961747</v>
      </c>
      <c r="N31" s="23" t="e">
        <f>AVERAGE(N30,N19,N25)</f>
        <v>#DIV/0!</v>
      </c>
      <c r="O31" s="20">
        <f>+O30+O25+O19</f>
        <v>202</v>
      </c>
      <c r="P31" s="21">
        <f t="shared" ref="P31" si="27">+P30+P25+P19</f>
        <v>140</v>
      </c>
      <c r="Q31" s="22">
        <f t="shared" si="12"/>
        <v>0.69306930693069302</v>
      </c>
      <c r="R31" s="20">
        <f>+R30+R25+R19</f>
        <v>280</v>
      </c>
      <c r="S31" s="21">
        <f t="shared" ref="S31" si="28">+S30+S25+S19</f>
        <v>193.15</v>
      </c>
      <c r="T31" s="22">
        <f t="shared" si="13"/>
        <v>0.68982142857142859</v>
      </c>
      <c r="U31" s="20">
        <f>S31/P31</f>
        <v>1.3796428571428572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C1" workbookViewId="0">
      <selection activeCell="H10" sqref="H10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9</v>
      </c>
      <c r="C2" s="63">
        <f>+B2/A2</f>
        <v>0.33333333333333331</v>
      </c>
      <c r="D2" s="62">
        <f>+A2-B2</f>
        <v>18</v>
      </c>
      <c r="F2" s="94">
        <v>46212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</f>
        <v>64</v>
      </c>
      <c r="I4" s="68">
        <f t="shared" ref="I4:I31" si="0">H4/G4</f>
        <v>0.10666666666666667</v>
      </c>
      <c r="J4" s="30">
        <v>575</v>
      </c>
      <c r="K4" s="8">
        <f>8.5+9+12+11+17+6+12</f>
        <v>75.5</v>
      </c>
      <c r="L4" s="87">
        <f t="shared" ref="L4:L29" si="1">K4/J4</f>
        <v>0.13130434782608696</v>
      </c>
      <c r="M4" s="8">
        <f t="shared" ref="M4:M6" si="2">J4-K4</f>
        <v>499.5</v>
      </c>
      <c r="N4" s="10">
        <f t="shared" ref="N4:N6" si="3">M4/$D$2</f>
        <v>27.75</v>
      </c>
      <c r="O4" s="69">
        <f t="shared" ref="O4:P12" si="4">K4/H4</f>
        <v>1.1796875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</f>
        <v>48</v>
      </c>
      <c r="I5" s="70">
        <f t="shared" si="0"/>
        <v>0.08</v>
      </c>
      <c r="J5" s="11">
        <v>550</v>
      </c>
      <c r="K5" s="12">
        <f>6.6+9+5+6+11+4</f>
        <v>41.6</v>
      </c>
      <c r="L5" s="71">
        <f t="shared" si="1"/>
        <v>7.563636363636364E-2</v>
      </c>
      <c r="M5" s="12">
        <f t="shared" si="2"/>
        <v>508.4</v>
      </c>
      <c r="N5" s="14">
        <f t="shared" si="3"/>
        <v>28.244444444444444</v>
      </c>
      <c r="O5" s="72">
        <f t="shared" si="4"/>
        <v>0.8666666666666667</v>
      </c>
      <c r="P5" s="14">
        <f t="shared" si="4"/>
        <v>0.94545454545454544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f>11+0+3+15+5+12</f>
        <v>46</v>
      </c>
      <c r="L6" s="71">
        <f t="shared" si="1"/>
        <v>8.3636363636363634E-2</v>
      </c>
      <c r="M6" s="12">
        <f t="shared" si="2"/>
        <v>504</v>
      </c>
      <c r="N6" s="14">
        <f t="shared" si="3"/>
        <v>28</v>
      </c>
      <c r="O6" s="72">
        <f t="shared" si="4"/>
        <v>1.6428571428571428</v>
      </c>
      <c r="P6" s="14">
        <f t="shared" si="4"/>
        <v>1.7922077922077921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</f>
        <v>29</v>
      </c>
      <c r="I7" s="70">
        <f t="shared" si="0"/>
        <v>4.8333333333333332E-2</v>
      </c>
      <c r="J7" s="11">
        <v>550</v>
      </c>
      <c r="K7" s="12">
        <f>7.1+13+0+5+1+6</f>
        <v>32.1</v>
      </c>
      <c r="L7" s="71">
        <f t="shared" si="1"/>
        <v>5.8363636363636368E-2</v>
      </c>
      <c r="M7" s="12">
        <f t="shared" ref="M7:M31" si="5">J7-K7</f>
        <v>517.9</v>
      </c>
      <c r="N7" s="14">
        <f t="shared" ref="N7:N31" si="6">M7/$D$2</f>
        <v>28.772222222222222</v>
      </c>
      <c r="O7" s="72">
        <f t="shared" si="4"/>
        <v>1.106896551724138</v>
      </c>
      <c r="P7" s="14">
        <f t="shared" si="4"/>
        <v>1.207523510971787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</f>
        <v>61</v>
      </c>
      <c r="I8" s="70">
        <f t="shared" si="0"/>
        <v>0.10166666666666667</v>
      </c>
      <c r="J8" s="11">
        <v>575</v>
      </c>
      <c r="K8" s="12">
        <f>14.1+13+0+46+23+10+12</f>
        <v>118.1</v>
      </c>
      <c r="L8" s="71">
        <f t="shared" si="1"/>
        <v>0.20539130434782607</v>
      </c>
      <c r="M8" s="12">
        <f t="shared" si="5"/>
        <v>456.9</v>
      </c>
      <c r="N8" s="14">
        <f t="shared" si="6"/>
        <v>25.383333333333333</v>
      </c>
      <c r="O8" s="72">
        <f t="shared" si="4"/>
        <v>1.9360655737704917</v>
      </c>
      <c r="P8" s="14">
        <f t="shared" si="4"/>
        <v>2.0202423378474696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30.555555555555557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</f>
        <v>17</v>
      </c>
      <c r="I10" s="70">
        <f t="shared" si="0"/>
        <v>8.5000000000000006E-2</v>
      </c>
      <c r="J10" s="11">
        <v>4620</v>
      </c>
      <c r="K10" s="12">
        <f>70+42+31+40</f>
        <v>183</v>
      </c>
      <c r="L10" s="71">
        <f t="shared" si="1"/>
        <v>3.961038961038961E-2</v>
      </c>
      <c r="M10" s="12">
        <f t="shared" si="5"/>
        <v>4437</v>
      </c>
      <c r="N10" s="14">
        <f t="shared" si="6"/>
        <v>246.5</v>
      </c>
      <c r="O10" s="72">
        <f t="shared" si="4"/>
        <v>10.764705882352942</v>
      </c>
      <c r="P10" s="14">
        <f t="shared" si="4"/>
        <v>0.46600458365164243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35.111111111111114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29.5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66.666666666666671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288</v>
      </c>
      <c r="I19" s="79">
        <f t="shared" si="0"/>
        <v>5.7599999999999998E-2</v>
      </c>
      <c r="J19" s="80">
        <f>SUM(J4:J18)</f>
        <v>10670</v>
      </c>
      <c r="K19" s="80">
        <f>SUM(K4:K18)</f>
        <v>833.3</v>
      </c>
      <c r="L19" s="82">
        <f>K19/J19</f>
        <v>7.8097469540768502E-2</v>
      </c>
      <c r="M19" s="81">
        <f t="shared" si="5"/>
        <v>9836.7000000000007</v>
      </c>
      <c r="N19" s="83">
        <f t="shared" si="6"/>
        <v>546.48333333333335</v>
      </c>
      <c r="O19" s="84">
        <f>K19/H19</f>
        <v>2.8934027777777778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25.833333333333332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25.944444444444443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25.777777777777779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26.277777777777779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26.888888888888889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130.72222222222223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34.222222222222221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31.444444444444443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31.888888888888889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34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131.55555555555554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489</v>
      </c>
      <c r="I31" s="88">
        <f t="shared" si="0"/>
        <v>8.9724770642201829E-2</v>
      </c>
      <c r="J31" s="89">
        <f t="shared" si="17"/>
        <v>15670</v>
      </c>
      <c r="K31" s="90">
        <f t="shared" si="17"/>
        <v>1112.3</v>
      </c>
      <c r="L31" s="91">
        <f>K31/J31</f>
        <v>7.0982769623484362E-2</v>
      </c>
      <c r="M31" s="90">
        <f t="shared" si="5"/>
        <v>14557.7</v>
      </c>
      <c r="N31" s="92">
        <f t="shared" si="6"/>
        <v>808.76111111111118</v>
      </c>
      <c r="O31" s="93">
        <f>K31/H31</f>
        <v>2.2746421267893662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2026-07-10T05:38:10Z</dcterms:modified>
</cp:coreProperties>
</file>