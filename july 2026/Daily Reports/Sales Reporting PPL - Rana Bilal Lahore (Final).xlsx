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56162CD1-FBDE-4357-A65D-B9AF8E5EAB0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" i="2" l="1"/>
  <c r="H10" i="2"/>
  <c r="K8" i="2"/>
  <c r="H8" i="2"/>
  <c r="K5" i="2"/>
  <c r="H5" i="2"/>
  <c r="K4" i="2"/>
  <c r="H4" i="2"/>
  <c r="K7" i="2"/>
  <c r="H7" i="2"/>
  <c r="K6" i="2"/>
  <c r="H6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O9" i="1"/>
  <c r="O10" i="1"/>
  <c r="M19" i="2" l="1"/>
  <c r="K11" i="2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<sst xmlns="http://schemas.openxmlformats.org/spreadsheetml/2006/main" count="370" uniqueCount="76">
  <si>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</si>
  <si>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</si>
  <si>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</si>
  <si>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</si>
  <si>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</si>
  <si>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</si>
  <si>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</si>
  <si>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</si>
  <si>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</si>
  <si>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</si>
  <si>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</si>
  <si>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</si>
  <si>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</si>
  <si>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</si>
  <si>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</si>
  <si>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</si>
  <si>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</si>
  <si>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</si>
  <si>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</si>
  <si>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</si>
  <si>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</si>
  <si>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</si>
  <si>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</si>
  <si>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</si>
  <si>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</si>
  <si>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</si>
  <si>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</si>
  <si>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</si>
  <si>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</si>
  <si>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</si>
  <si>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</si>
  <si>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</si>
  <si>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</si>
  <si>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</si>
  <si>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</si>
  <si>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</si>
  <si>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</si>
  <si>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</si>
  <si>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</si>
  <si>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</si>
  <si>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</si>
  <si>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</si>
  <si>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</si>
  <si>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</si>
  <si>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</si>
  <si>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</si>
  <si>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</si>
  <si>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</si>
  <si>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</si>
  <si>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</si>
  <si>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</si>
  <si>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</si>
  <si>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</si>
  <si>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</si>
  <si>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</si>
  <si>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</si>
  <si>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</si>
  <si>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</si>
  <si>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</si>
  <si>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</si>
  <si>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</si>
  <si>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</si>
  <si>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</si>
  <si>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</si>
  <si>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</si>
  <si>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</si>
  <si>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</si>
  <si>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</si>
  <si>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</si>
  <si>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</si>
  <si>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</si>
  <si>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</si>
  <si>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</si>
  <si>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</si>
  <si>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</si>
  <si>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 xml:space="preserve">Leave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</si>
</sst>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workbookViewId="0">
      <selection activeCell="K14" sqref="K14"/>
    </sheetView>
  </sheetViews>
  <sheetFormatPr defaultRowHeight="14.5" x14ac:dyDescent="0.35"/>
  <cols>
    <col min="1" max="1" width="13.54296875" bestFit="1" customWidth="1"/>
    <col min="2" max="2" width="14.7265625" hidden="1" customWidth="1"/>
    <col min="3" max="3" width="15.26953125" hidden="1" customWidth="1"/>
    <col min="4" max="4" width="18.26953125" hidden="1" customWidth="1"/>
    <col min="5" max="5" width="23.7265625" hidden="1" customWidth="1"/>
    <col min="6" max="6" width="22.179687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</cols>
  <sheetData>
    <row r="1" spans="1:23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3" ht="15" thickBot="1" x14ac:dyDescent="0.4">
      <c r="F2" s="94">
        <v>46216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14</v>
      </c>
      <c r="I4" s="32">
        <f t="shared" ref="I4:I31" si="0">H4/G4</f>
        <v>0.28000000000000003</v>
      </c>
      <c r="J4" s="30">
        <v>40</v>
      </c>
      <c r="K4" s="31">
        <v>15</v>
      </c>
      <c r="L4" s="32">
        <f t="shared" ref="L4:L12" si="1">K4/J4</f>
        <v>0.375</v>
      </c>
      <c r="M4" s="30">
        <f t="shared" ref="M4:N12" si="2">K4/H4</f>
        <v>1.0714285714285714</v>
      </c>
      <c r="N4" s="33">
        <f t="shared" si="2"/>
        <v>1.3392857142857142</v>
      </c>
      <c r="O4" s="30">
        <v>12</v>
      </c>
      <c r="P4" s="96">
        <v>8</v>
      </c>
      <c r="Q4" s="32">
        <f t="shared" ref="Q4:Q12" si="3">P4/O4</f>
        <v>0.66666666666666663</v>
      </c>
      <c r="R4" s="30">
        <v>8</v>
      </c>
      <c r="S4" s="96">
        <v>21</v>
      </c>
      <c r="T4" s="32">
        <f t="shared" ref="T4:T12" si="4">S4/R4</f>
        <v>2.625</v>
      </c>
      <c r="U4" s="30">
        <f t="shared" ref="U4:V12" si="5">S4/P4</f>
        <v>2.625</v>
      </c>
      <c r="V4" s="33">
        <f t="shared" si="5"/>
        <v>3.9375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7</v>
      </c>
      <c r="I5" s="13">
        <f t="shared" si="0"/>
        <v>0.14000000000000001</v>
      </c>
      <c r="J5" s="30">
        <v>30</v>
      </c>
      <c r="K5" s="12">
        <v>11</v>
      </c>
      <c r="L5" s="13">
        <f t="shared" si="1"/>
        <v>0.36666666666666664</v>
      </c>
      <c r="M5" s="11">
        <f t="shared" si="2"/>
        <v>1.5714285714285714</v>
      </c>
      <c r="N5" s="14">
        <f t="shared" si="2"/>
        <v>2.6190476190476186</v>
      </c>
      <c r="O5" s="30">
        <v>7</v>
      </c>
      <c r="P5" s="97"/>
      <c r="Q5" s="13">
        <f t="shared" si="3"/>
        <v>0</v>
      </c>
      <c r="R5" s="30">
        <v>13</v>
      </c>
      <c r="S5" s="97"/>
      <c r="T5" s="13">
        <f t="shared" si="4"/>
        <v>0</v>
      </c>
      <c r="U5" s="11" t="e">
        <f t="shared" si="5"/>
        <v>#DIV/0!</v>
      </c>
      <c r="V5" s="14" t="e">
        <f t="shared" si="5"/>
        <v>#DIV/0!</v>
      </c>
      <c r="W5" s="34" t="s">
        <v>75</v>
      </c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>
        <v>8</v>
      </c>
      <c r="P6" s="97"/>
      <c r="Q6" s="13">
        <f t="shared" si="3"/>
        <v>0</v>
      </c>
      <c r="R6" s="30">
        <v>0</v>
      </c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9</v>
      </c>
      <c r="I7" s="13">
        <f t="shared" si="0"/>
        <v>0.18</v>
      </c>
      <c r="J7" s="30">
        <v>30</v>
      </c>
      <c r="K7" s="12">
        <v>7</v>
      </c>
      <c r="L7" s="13">
        <f t="shared" si="1"/>
        <v>0.23333333333333334</v>
      </c>
      <c r="M7" s="11">
        <f t="shared" si="2"/>
        <v>0.77777777777777779</v>
      </c>
      <c r="N7" s="14">
        <f t="shared" si="2"/>
        <v>1.2962962962962963</v>
      </c>
      <c r="O7" s="30">
        <v>5</v>
      </c>
      <c r="P7" s="97"/>
      <c r="Q7" s="13">
        <f t="shared" si="3"/>
        <v>0</v>
      </c>
      <c r="R7" s="30">
        <v>5</v>
      </c>
      <c r="S7" s="97"/>
      <c r="T7" s="13">
        <f t="shared" si="4"/>
        <v>0</v>
      </c>
      <c r="U7" s="11" t="e">
        <f t="shared" si="5"/>
        <v>#DIV/0!</v>
      </c>
      <c r="V7" s="14" t="e">
        <f t="shared" si="5"/>
        <v>#DIV/0!</v>
      </c>
      <c r="W7" s="34" t="s">
        <v>75</v>
      </c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14</v>
      </c>
      <c r="I8" s="13">
        <f t="shared" si="0"/>
        <v>0.28000000000000003</v>
      </c>
      <c r="J8" s="30">
        <v>20</v>
      </c>
      <c r="K8" s="12">
        <v>12</v>
      </c>
      <c r="L8" s="13">
        <f t="shared" si="1"/>
        <v>0.6</v>
      </c>
      <c r="M8" s="11">
        <f t="shared" si="2"/>
        <v>0.8571428571428571</v>
      </c>
      <c r="N8" s="14">
        <f t="shared" si="2"/>
        <v>2.1428571428571428</v>
      </c>
      <c r="O8" s="30">
        <v>15</v>
      </c>
      <c r="P8" s="97">
        <v>9</v>
      </c>
      <c r="Q8" s="13">
        <f t="shared" si="3"/>
        <v>0.6</v>
      </c>
      <c r="R8" s="30">
        <v>15</v>
      </c>
      <c r="S8" s="97">
        <v>16</v>
      </c>
      <c r="T8" s="13">
        <f t="shared" si="4"/>
        <v>1.0666666666666667</v>
      </c>
      <c r="U8" s="11">
        <f t="shared" si="5"/>
        <v>1.7777777777777777</v>
      </c>
      <c r="V8" s="14">
        <f t="shared" si="5"/>
        <v>1.7777777777777779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ref="O9:O10" si="6">H9</f>
        <v>0</v>
      </c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1</v>
      </c>
      <c r="I10" s="13">
        <f t="shared" si="0"/>
        <v>0.04</v>
      </c>
      <c r="J10" s="30">
        <v>0</v>
      </c>
      <c r="K10" s="12">
        <v>35</v>
      </c>
      <c r="L10" s="13" t="e">
        <f t="shared" si="1"/>
        <v>#DIV/0!</v>
      </c>
      <c r="M10" s="11">
        <f t="shared" si="2"/>
        <v>35</v>
      </c>
      <c r="N10" s="14" t="e">
        <f t="shared" si="2"/>
        <v>#DIV/0!</v>
      </c>
      <c r="O10" s="30">
        <f t="shared" si="6"/>
        <v>1</v>
      </c>
      <c r="P10" s="97">
        <v>6</v>
      </c>
      <c r="Q10" s="13">
        <f t="shared" si="3"/>
        <v>6</v>
      </c>
      <c r="R10" s="30"/>
      <c r="S10" s="97">
        <v>49</v>
      </c>
      <c r="T10" s="13" t="e">
        <f t="shared" si="4"/>
        <v>#DIV/0!</v>
      </c>
      <c r="U10" s="11">
        <f t="shared" si="5"/>
        <v>8.1666666666666661</v>
      </c>
      <c r="V10" s="14" t="e">
        <f t="shared" si="5"/>
        <v>#DIV/0!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v>0</v>
      </c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v>0</v>
      </c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45</v>
      </c>
      <c r="I19" s="42">
        <f t="shared" si="0"/>
        <v>0.12</v>
      </c>
      <c r="J19" s="40">
        <f>SUM(J4:J18)</f>
        <v>385</v>
      </c>
      <c r="K19" s="41">
        <f>SUM(K4:K18)</f>
        <v>80</v>
      </c>
      <c r="L19" s="42">
        <f t="shared" ref="L19" si="7">K19/J19</f>
        <v>0.20779220779220781</v>
      </c>
      <c r="M19" s="40">
        <f>K19/H19</f>
        <v>1.7777777777777777</v>
      </c>
      <c r="N19" s="43" t="e">
        <f>AVERAGE(N4:N18)</f>
        <v>#DIV/0!</v>
      </c>
      <c r="O19" s="40">
        <f>SUM(O4:O18)</f>
        <v>48</v>
      </c>
      <c r="P19" s="41">
        <f>SUM(P4:P18)</f>
        <v>23</v>
      </c>
      <c r="Q19" s="42">
        <f t="shared" ref="Q19" si="8">P19/O19</f>
        <v>0.47916666666666669</v>
      </c>
      <c r="R19" s="40">
        <f>SUM(R4:R18)</f>
        <v>41</v>
      </c>
      <c r="S19" s="41">
        <f>SUM(S4:S18)</f>
        <v>86</v>
      </c>
      <c r="T19" s="42">
        <f t="shared" ref="T19" si="9">S19/R19</f>
        <v>2.0975609756097562</v>
      </c>
      <c r="U19" s="40">
        <f>S19/P19</f>
        <v>3.7391304347826089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10">K20/J20</f>
        <v>0.42499999999999999</v>
      </c>
      <c r="M20" s="7">
        <f t="shared" ref="M20:M24" si="11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2">P20/O20</f>
        <v>0.88888888888888884</v>
      </c>
      <c r="R20" s="7">
        <v>25</v>
      </c>
      <c r="S20" s="8">
        <v>22</v>
      </c>
      <c r="T20" s="9">
        <f t="shared" ref="T20:T31" si="13">S20/R20</f>
        <v>0.88</v>
      </c>
      <c r="U20" s="7">
        <f t="shared" ref="U20:U24" si="14">S20/P20</f>
        <v>1.375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10"/>
        <v>0.32500000000000001</v>
      </c>
      <c r="M21" s="11">
        <f t="shared" si="11"/>
        <v>0.65</v>
      </c>
      <c r="N21" s="14">
        <v>1</v>
      </c>
      <c r="O21" s="11">
        <v>15</v>
      </c>
      <c r="P21" s="12">
        <v>14</v>
      </c>
      <c r="Q21" s="13">
        <f t="shared" si="12"/>
        <v>0.93333333333333335</v>
      </c>
      <c r="R21" s="11">
        <v>20</v>
      </c>
      <c r="S21" s="12">
        <v>19</v>
      </c>
      <c r="T21" s="13">
        <f t="shared" si="13"/>
        <v>0.95</v>
      </c>
      <c r="U21" s="11">
        <f t="shared" si="14"/>
        <v>1.3571428571428572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10"/>
        <v>0.5</v>
      </c>
      <c r="M22" s="11">
        <f t="shared" si="11"/>
        <v>1</v>
      </c>
      <c r="N22" s="14">
        <v>1</v>
      </c>
      <c r="O22" s="11">
        <v>17</v>
      </c>
      <c r="P22" s="12">
        <v>15</v>
      </c>
      <c r="Q22" s="13">
        <f t="shared" si="12"/>
        <v>0.88235294117647056</v>
      </c>
      <c r="R22" s="11">
        <v>23</v>
      </c>
      <c r="S22" s="12">
        <v>20</v>
      </c>
      <c r="T22" s="13">
        <f t="shared" si="13"/>
        <v>0.86956521739130432</v>
      </c>
      <c r="U22" s="11">
        <f t="shared" si="14"/>
        <v>1.3333333333333333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10"/>
        <v>1.5</v>
      </c>
      <c r="M23" s="11">
        <f t="shared" si="11"/>
        <v>2.6086956521739131</v>
      </c>
      <c r="N23" s="14">
        <v>1</v>
      </c>
      <c r="O23" s="11">
        <v>17</v>
      </c>
      <c r="P23" s="12">
        <v>15</v>
      </c>
      <c r="Q23" s="13">
        <f t="shared" si="12"/>
        <v>0.88235294117647056</v>
      </c>
      <c r="R23" s="11">
        <v>21</v>
      </c>
      <c r="S23" s="12">
        <v>19</v>
      </c>
      <c r="T23" s="13">
        <f t="shared" si="13"/>
        <v>0.90476190476190477</v>
      </c>
      <c r="U23" s="11">
        <f t="shared" si="14"/>
        <v>1.2666666666666666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10"/>
        <v>0.32500000000000001</v>
      </c>
      <c r="M24" s="36">
        <f t="shared" si="11"/>
        <v>0.8666666666666667</v>
      </c>
      <c r="N24" s="39">
        <v>1</v>
      </c>
      <c r="O24" s="36">
        <v>19</v>
      </c>
      <c r="P24" s="37">
        <v>17</v>
      </c>
      <c r="Q24" s="38">
        <f t="shared" si="12"/>
        <v>0.89473684210526316</v>
      </c>
      <c r="R24" s="36">
        <v>20</v>
      </c>
      <c r="S24" s="37">
        <v>18</v>
      </c>
      <c r="T24" s="38">
        <f t="shared" si="13"/>
        <v>0.9</v>
      </c>
      <c r="U24" s="36">
        <f t="shared" si="14"/>
        <v>1.0588235294117647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5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6">SUM(K20:K24)</f>
        <v>123</v>
      </c>
      <c r="L25" s="42">
        <f t="shared" si="10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7">SUM(P20:P24)</f>
        <v>77</v>
      </c>
      <c r="Q25" s="42">
        <f t="shared" si="12"/>
        <v>0.89534883720930236</v>
      </c>
      <c r="R25" s="40">
        <f>SUM(R20:R24)</f>
        <v>109</v>
      </c>
      <c r="S25" s="41">
        <f t="shared" ref="S25" si="18">SUM(S20:S24)</f>
        <v>98</v>
      </c>
      <c r="T25" s="42">
        <f t="shared" si="13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10"/>
        <v>0.03</v>
      </c>
      <c r="M26" s="7">
        <f t="shared" ref="M26:M29" si="19">K26/H26</f>
        <v>1.6666666666666667</v>
      </c>
      <c r="N26" s="10">
        <v>0</v>
      </c>
      <c r="O26" s="7">
        <v>20</v>
      </c>
      <c r="P26" s="8">
        <v>0</v>
      </c>
      <c r="Q26" s="9">
        <f t="shared" si="12"/>
        <v>0</v>
      </c>
      <c r="R26" s="7">
        <v>47</v>
      </c>
      <c r="S26" s="8">
        <v>0</v>
      </c>
      <c r="T26" s="9">
        <f t="shared" si="13"/>
        <v>0</v>
      </c>
      <c r="U26" s="7" t="e">
        <f t="shared" ref="U26:U29" si="20">S26/P26</f>
        <v>#DIV/0!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10"/>
        <v>1.6E-2</v>
      </c>
      <c r="M27" s="11">
        <f t="shared" si="19"/>
        <v>0.66666666666666663</v>
      </c>
      <c r="N27" s="14">
        <v>0</v>
      </c>
      <c r="O27" s="11">
        <v>14</v>
      </c>
      <c r="P27" s="12">
        <v>7</v>
      </c>
      <c r="Q27" s="13">
        <f t="shared" si="12"/>
        <v>0.5</v>
      </c>
      <c r="R27" s="11">
        <v>30</v>
      </c>
      <c r="S27" s="12">
        <v>7</v>
      </c>
      <c r="T27" s="13">
        <f t="shared" si="13"/>
        <v>0.23333333333333334</v>
      </c>
      <c r="U27" s="11">
        <f t="shared" si="20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10"/>
        <v>0.02</v>
      </c>
      <c r="M28" s="11">
        <f t="shared" si="19"/>
        <v>0.76923076923076927</v>
      </c>
      <c r="N28" s="14">
        <v>0</v>
      </c>
      <c r="O28" s="11">
        <v>20</v>
      </c>
      <c r="P28" s="12">
        <v>19</v>
      </c>
      <c r="Q28" s="13">
        <f t="shared" si="12"/>
        <v>0.95</v>
      </c>
      <c r="R28" s="11">
        <v>37</v>
      </c>
      <c r="S28" s="12">
        <v>13</v>
      </c>
      <c r="T28" s="13">
        <f t="shared" si="13"/>
        <v>0.35135135135135137</v>
      </c>
      <c r="U28" s="11">
        <f t="shared" si="20"/>
        <v>0.68421052631578949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10"/>
        <v>2.1999999999999999E-2</v>
      </c>
      <c r="M29" s="36">
        <f t="shared" si="19"/>
        <v>1</v>
      </c>
      <c r="N29" s="39">
        <v>0</v>
      </c>
      <c r="O29" s="36">
        <v>9</v>
      </c>
      <c r="P29" s="37">
        <v>10</v>
      </c>
      <c r="Q29" s="38">
        <f t="shared" si="12"/>
        <v>1.1111111111111112</v>
      </c>
      <c r="R29" s="36">
        <v>16</v>
      </c>
      <c r="S29" s="37">
        <v>12</v>
      </c>
      <c r="T29" s="38">
        <f t="shared" si="13"/>
        <v>0.75</v>
      </c>
      <c r="U29" s="36">
        <f t="shared" si="20"/>
        <v>1.2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1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2">SUM(K26:K29)</f>
        <v>44</v>
      </c>
      <c r="L30" s="42">
        <f t="shared" si="10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3">SUM(P26:P29)</f>
        <v>36</v>
      </c>
      <c r="Q30" s="42">
        <f t="shared" si="12"/>
        <v>0.5714285714285714</v>
      </c>
      <c r="R30" s="40">
        <f>SUM(R26:R29)</f>
        <v>130</v>
      </c>
      <c r="S30" s="41">
        <f t="shared" ref="S30" si="24">SUM(S26:S29)</f>
        <v>32</v>
      </c>
      <c r="T30" s="42">
        <f t="shared" si="13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5">+H30+H25+H19</f>
        <v>183</v>
      </c>
      <c r="I31" s="22">
        <f t="shared" si="0"/>
        <v>6.0495867768595044E-2</v>
      </c>
      <c r="J31" s="20">
        <f>+J30+J25+J19</f>
        <v>2585</v>
      </c>
      <c r="K31" s="21">
        <f t="shared" ref="K31" si="26">+K30+K25+K19</f>
        <v>247</v>
      </c>
      <c r="L31" s="22">
        <f t="shared" si="10"/>
        <v>9.5551257253384911E-2</v>
      </c>
      <c r="M31" s="20">
        <f>K31/H31</f>
        <v>1.3497267759562841</v>
      </c>
      <c r="N31" s="23" t="e">
        <f>AVERAGE(N30,N19,N25)</f>
        <v>#DIV/0!</v>
      </c>
      <c r="O31" s="20">
        <f>+O30+O25+O19</f>
        <v>197</v>
      </c>
      <c r="P31" s="21">
        <f t="shared" ref="P31" si="27">+P30+P25+P19</f>
        <v>136</v>
      </c>
      <c r="Q31" s="22">
        <f t="shared" si="12"/>
        <v>0.69035532994923854</v>
      </c>
      <c r="R31" s="20">
        <f>+R30+R25+R19</f>
        <v>280</v>
      </c>
      <c r="S31" s="21">
        <f t="shared" ref="S31" si="28">+S30+S25+S19</f>
        <v>216</v>
      </c>
      <c r="T31" s="22">
        <f t="shared" si="13"/>
        <v>0.77142857142857146</v>
      </c>
      <c r="U31" s="20">
        <f>S31/P31</f>
        <v>1.588235294117647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workbookViewId="0">
      <selection sqref="A1:Q10"/>
    </sheetView>
  </sheetViews>
  <sheetFormatPr defaultRowHeight="14.5" x14ac:dyDescent="0.35"/>
  <cols>
    <col min="1" max="1" width="13.54296875" bestFit="1" customWidth="1"/>
    <col min="2" max="2" width="14.7265625" customWidth="1"/>
    <col min="3" max="3" width="15.26953125" customWidth="1"/>
    <col min="4" max="4" width="18.26953125" customWidth="1"/>
    <col min="5" max="5" width="23.7265625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13</v>
      </c>
      <c r="C2" s="63">
        <f>+B2/A2</f>
        <v>0.48148148148148145</v>
      </c>
      <c r="D2" s="62">
        <f>+A2-B2</f>
        <v>14</v>
      </c>
      <c r="F2" s="94">
        <v>46216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</f>
        <v>83</v>
      </c>
      <c r="I4" s="68">
        <f t="shared" ref="I4:I31" si="0">H4/G4</f>
        <v>0.13833333333333334</v>
      </c>
      <c r="J4" s="30">
        <v>575</v>
      </c>
      <c r="K4" s="8">
        <f>8.5+9+12+11+17+6+12+14+7</f>
        <v>96.5</v>
      </c>
      <c r="L4" s="87">
        <f t="shared" ref="L4:L29" si="1">K4/J4</f>
        <v>0.16782608695652174</v>
      </c>
      <c r="M4" s="8">
        <f t="shared" ref="M4:M6" si="2">J4-K4</f>
        <v>478.5</v>
      </c>
      <c r="N4" s="10">
        <f t="shared" ref="N4:N6" si="3">M4/$D$2</f>
        <v>34.178571428571431</v>
      </c>
      <c r="O4" s="69">
        <f t="shared" ref="O4:P12" si="4">K4/H4</f>
        <v>1.1626506024096386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</f>
        <v>74</v>
      </c>
      <c r="I5" s="70">
        <f t="shared" si="0"/>
        <v>0.12333333333333334</v>
      </c>
      <c r="J5" s="11">
        <v>550</v>
      </c>
      <c r="K5" s="12">
        <f>6.6+9+5+6+11+4+6+7+17</f>
        <v>71.599999999999994</v>
      </c>
      <c r="L5" s="71">
        <f t="shared" si="1"/>
        <v>0.13018181818181818</v>
      </c>
      <c r="M5" s="12">
        <f t="shared" si="2"/>
        <v>478.4</v>
      </c>
      <c r="N5" s="14">
        <f t="shared" si="3"/>
        <v>34.171428571428571</v>
      </c>
      <c r="O5" s="72">
        <f t="shared" si="4"/>
        <v>0.96756756756756745</v>
      </c>
      <c r="P5" s="14">
        <f t="shared" si="4"/>
        <v>1.0555282555282555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f>11+0+3+15+5+12</f>
        <v>46</v>
      </c>
      <c r="L6" s="71">
        <f t="shared" si="1"/>
        <v>8.3636363636363634E-2</v>
      </c>
      <c r="M6" s="12">
        <f t="shared" si="2"/>
        <v>504</v>
      </c>
      <c r="N6" s="14">
        <f t="shared" si="3"/>
        <v>36</v>
      </c>
      <c r="O6" s="72">
        <f t="shared" si="4"/>
        <v>1.6428571428571428</v>
      </c>
      <c r="P6" s="14">
        <f t="shared" si="4"/>
        <v>1.7922077922077921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</f>
        <v>29</v>
      </c>
      <c r="I7" s="70">
        <f t="shared" si="0"/>
        <v>4.8333333333333332E-2</v>
      </c>
      <c r="J7" s="11">
        <v>550</v>
      </c>
      <c r="K7" s="12">
        <f>7.1+13+0+5+1+6</f>
        <v>32.1</v>
      </c>
      <c r="L7" s="71">
        <f t="shared" si="1"/>
        <v>5.8363636363636368E-2</v>
      </c>
      <c r="M7" s="12">
        <f t="shared" ref="M7:M31" si="5">J7-K7</f>
        <v>517.9</v>
      </c>
      <c r="N7" s="14">
        <f t="shared" ref="N7:N31" si="6">M7/$D$2</f>
        <v>36.99285714285714</v>
      </c>
      <c r="O7" s="72">
        <f t="shared" si="4"/>
        <v>1.106896551724138</v>
      </c>
      <c r="P7" s="14">
        <f t="shared" si="4"/>
        <v>1.207523510971787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</f>
        <v>87</v>
      </c>
      <c r="I8" s="70">
        <f t="shared" si="0"/>
        <v>0.14499999999999999</v>
      </c>
      <c r="J8" s="11">
        <v>575</v>
      </c>
      <c r="K8" s="12">
        <f>14.1+13+0+46+23+10+12+20+11+14</f>
        <v>163.1</v>
      </c>
      <c r="L8" s="71">
        <f t="shared" si="1"/>
        <v>0.28365217391304348</v>
      </c>
      <c r="M8" s="12">
        <f t="shared" si="5"/>
        <v>411.9</v>
      </c>
      <c r="N8" s="14">
        <f t="shared" si="6"/>
        <v>29.421428571428571</v>
      </c>
      <c r="O8" s="72">
        <f t="shared" si="4"/>
        <v>1.8747126436781609</v>
      </c>
      <c r="P8" s="14">
        <f t="shared" si="4"/>
        <v>1.9562218890554723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39.285714285714285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</f>
        <v>31</v>
      </c>
      <c r="I10" s="70">
        <f t="shared" si="0"/>
        <v>0.155</v>
      </c>
      <c r="J10" s="11">
        <v>4620</v>
      </c>
      <c r="K10" s="12">
        <f>70+42+31+40+23+74+74</f>
        <v>354</v>
      </c>
      <c r="L10" s="71">
        <f t="shared" si="1"/>
        <v>7.6623376623376621E-2</v>
      </c>
      <c r="M10" s="12">
        <f t="shared" si="5"/>
        <v>4266</v>
      </c>
      <c r="N10" s="14">
        <f t="shared" si="6"/>
        <v>304.71428571428572</v>
      </c>
      <c r="O10" s="72">
        <f t="shared" si="4"/>
        <v>11.419354838709678</v>
      </c>
      <c r="P10" s="14">
        <f t="shared" si="4"/>
        <v>0.49434436531210724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f>18+0</f>
        <v>18</v>
      </c>
      <c r="L11" s="71">
        <f t="shared" si="1"/>
        <v>2.7692307692307693E-2</v>
      </c>
      <c r="M11" s="12">
        <f t="shared" si="5"/>
        <v>632</v>
      </c>
      <c r="N11" s="14">
        <f t="shared" si="6"/>
        <v>45.142857142857146</v>
      </c>
      <c r="O11" s="72">
        <f t="shared" si="4"/>
        <v>1.5</v>
      </c>
      <c r="P11" s="14">
        <f t="shared" si="4"/>
        <v>1.3846153846153846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19</v>
      </c>
      <c r="L12" s="71">
        <f t="shared" si="1"/>
        <v>3.4545454545454546E-2</v>
      </c>
      <c r="M12" s="12">
        <f t="shared" si="5"/>
        <v>531</v>
      </c>
      <c r="N12" s="14">
        <f t="shared" si="6"/>
        <v>37.928571428571431</v>
      </c>
      <c r="O12" s="72">
        <f t="shared" si="4"/>
        <v>0.6785714285714286</v>
      </c>
      <c r="P12" s="14">
        <f t="shared" si="4"/>
        <v>0.74025974025974028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1</v>
      </c>
      <c r="I16" s="70" t="e">
        <f t="shared" ref="I16" si="12">H16/G16</f>
        <v>#DIV/0!</v>
      </c>
      <c r="J16" s="11">
        <v>1500</v>
      </c>
      <c r="K16" s="12">
        <v>300</v>
      </c>
      <c r="L16" s="71">
        <f t="shared" si="8"/>
        <v>0.2</v>
      </c>
      <c r="M16" s="12">
        <f t="shared" si="5"/>
        <v>1200</v>
      </c>
      <c r="N16" s="14">
        <f t="shared" si="6"/>
        <v>85.714285714285708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373</v>
      </c>
      <c r="I19" s="79">
        <f t="shared" si="0"/>
        <v>7.46E-2</v>
      </c>
      <c r="J19" s="80">
        <f>SUM(J4:J18)</f>
        <v>10670</v>
      </c>
      <c r="K19" s="80">
        <f>SUM(K4:K18)</f>
        <v>1100.3</v>
      </c>
      <c r="L19" s="82">
        <f>K19/J19</f>
        <v>0.10312089971883785</v>
      </c>
      <c r="M19" s="81">
        <f t="shared" si="5"/>
        <v>9569.7000000000007</v>
      </c>
      <c r="N19" s="83">
        <f t="shared" si="6"/>
        <v>683.55000000000007</v>
      </c>
      <c r="O19" s="84">
        <f>K19/H19</f>
        <v>2.9498659517426273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33.214285714285715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33.357142857142854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33.142857142857146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33.785714285714285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34.571428571428569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168.07142857142858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44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40.428571428571431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41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43.714285714285715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169.14285714285714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574</v>
      </c>
      <c r="I31" s="88">
        <f t="shared" si="0"/>
        <v>0.10532110091743119</v>
      </c>
      <c r="J31" s="89">
        <f t="shared" si="17"/>
        <v>15670</v>
      </c>
      <c r="K31" s="90">
        <f t="shared" si="17"/>
        <v>1379.3</v>
      </c>
      <c r="L31" s="91">
        <f>K31/J31</f>
        <v>8.802169751116784E-2</v>
      </c>
      <c r="M31" s="90">
        <f t="shared" si="5"/>
        <v>14290.7</v>
      </c>
      <c r="N31" s="92">
        <f t="shared" si="6"/>
        <v>1020.7642857142857</v>
      </c>
      <c r="O31" s="93">
        <f>K31/H31</f>
        <v>2.4029616724738676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2026-07-14T05:18:11Z</dcterms:modified>
</cp:coreProperties>
</file>