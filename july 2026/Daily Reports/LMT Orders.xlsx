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E9FA2408-9757-4C0A-90F5-6C6B251B00A5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41" i="4" l="1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40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<sst xmlns="http://schemas.openxmlformats.org/spreadsheetml/2006/main" count="318" uniqueCount="168">
  <si>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</si>
  <si>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</si>
  <si>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</si>
  <si>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</si>
  <si>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</si>
  <si>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</si>
  <si>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</si>
  <si>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</si>
  <si>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</si>
  <si>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</si>
  <si>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</si>
  <si>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</si>
  <si>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</si>
  <si>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</si>
  <si>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</si>
  <si>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</si>
  <si>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</si>
  <si>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</si>
  <si>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</si>
  <si>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</si>
  <si>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</si>
  <si>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</si>
  <si>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</si>
  <si>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</si>
  <si>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</si>
  <si>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</si>
  <si>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</si>
  <si>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</si>
  <si>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</si>
  <si>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</si>
  <si>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</si>
  <si>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</si>
  <si>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</si>
  <si>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</si>
  <si>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</si>
  <si>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</si>
  <si>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</si>
  <si>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</si>
  <si>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</si>
  <si>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</si>
  <si>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</si>
  <si>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</si>
  <si>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</si>
  <si>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</si>
  <si>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</si>
  <si>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</si>
  <si>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</si>
  <si>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</si>
  <si>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</si>
  <si>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</si>
  <si>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</si>
  <si>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</si>
  <si>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</si>
  <si>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</si>
  <si>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</si>
  <si>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</si>
  <si>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</si>
  <si>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</si>
  <si>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</si>
  <si>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</si>
  <si>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</si>
  <si>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</si>
  <si>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</si>
  <si>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</si>
  <si>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</si>
  <si>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</si>
  <si>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</si>
  <si>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</si>
  <si>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</si>
  <si>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</si>
  <si>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</si>
  <si>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</si>
  <si>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</si>
  <si>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</si>
  <si>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</si>
  <si>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</si>
  <si>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</si>
  <si>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</si>
  <si>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</si>
  <si>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</si>
  <si>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</si>
  <si>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</si>
  <si>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</si>
  <si>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</si>
  <si>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</si>
  <si>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</si>
  <si>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</si>
  <si>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</si>
  <si>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</si>
  <si>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</si>
  <si>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</si>
  <si>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</si>
  <si>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</si>
  <si>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</si>
  <si>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</si>
  <si>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</si>
  <si>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</si>
  <si>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</si>
  <si>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</si>
  <si>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</si>
  <si>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</si>
  <si>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</si>
  <si>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</si>
  <si>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</si>
  <si>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</si>
  <si>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</si>
  <si>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</si>
  <si>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</si>
  <si>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</si>
  <si>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</si>
  <si>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</si>
  <si>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</si>
  <si>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</si>
  <si>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</si>
  <si>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</si>
  <si>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</si>
  <si>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</si>
  <si>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</si>
  <si>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</si>
  <si>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</si>
  <si>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</si>
  <si>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</si>
  <si>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</si>
  <si>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</si>
  <si>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</si>
  <si>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</si>
  <si>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</si>
  <si>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</si>
  <si>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</si>
  <si>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</si>
  <si>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</si>
  <si>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</si>
  <si>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</si>
  <si>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</si>
  <si>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</si>
  <si>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</si>
  <si>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</si>
  <si>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</si>
  <si>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</si>
  <si>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</si>
  <si>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</si>
  <si>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</si>
  <si>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</si>
  <si>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</si>
  <si>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</si>
  <si>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</si>
  <si>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</si>
  <si>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</si>
  <si>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</si>
  <si>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</si>
  <si>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</si>
  <si>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</si>
  <si>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</si>
  <si>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</si>
  <si>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</si>
  <si>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</si>
  <si>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</si>
  <si>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</si>
  <si>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</si>
  <si>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</si>
  <si>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</si>
  <si>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</si>
  <si>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</si>
  <si>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</si>
  <si>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</si>
  <si>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</si>
  <si>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</si>
  <si>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>Rainbow Shadbagh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</si>
</sst>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28" zoomScaleNormal="100" workbookViewId="0">
      <selection activeCell="L45" sqref="L4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0">
        <f ca="1">TODAY()</f>
        <v>46220</v>
      </c>
      <c r="C1" s="150"/>
      <c r="D1" s="150"/>
      <c r="E1" s="150"/>
      <c r="F1" s="15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2" t="s">
        <v>37</v>
      </c>
      <c r="B2" s="15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4"/>
      <c r="N2" s="165"/>
      <c r="O2" s="166"/>
      <c r="P2" s="167" t="s">
        <v>14</v>
      </c>
      <c r="Q2" s="16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2"/>
      <c r="B3" s="15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9" t="s">
        <v>11</v>
      </c>
      <c r="N3" s="170"/>
      <c r="O3" s="171"/>
      <c r="P3" s="71"/>
      <c r="Q3" s="72"/>
      <c r="R3" s="154" t="s">
        <v>16</v>
      </c>
      <c r="S3" s="155"/>
      <c r="T3" s="155"/>
      <c r="U3" s="156"/>
      <c r="V3" s="157" t="s">
        <v>17</v>
      </c>
      <c r="W3" s="158"/>
      <c r="X3" s="158"/>
      <c r="Y3" s="159"/>
    </row>
    <row r="4" spans="1:25" ht="15" thickBot="1" x14ac:dyDescent="0.4">
      <c r="A4" s="172"/>
      <c r="B4" s="15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141" t="s">
        <v>132</v>
      </c>
      <c r="D39" s="142"/>
      <c r="E39" s="143"/>
      <c r="F39" s="144"/>
      <c r="G39" s="145">
        <v>20</v>
      </c>
      <c r="H39" s="143">
        <v>80</v>
      </c>
      <c r="I39" s="146"/>
      <c r="J39" s="145">
        <v>20</v>
      </c>
      <c r="K39" s="143">
        <v>80</v>
      </c>
      <c r="L39" s="144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141" t="s">
        <v>138</v>
      </c>
      <c r="D40" s="142"/>
      <c r="E40" s="143"/>
      <c r="F40" s="144"/>
      <c r="G40" s="145"/>
      <c r="H40" s="143"/>
      <c r="I40" s="146"/>
      <c r="J40" s="145">
        <v>200</v>
      </c>
      <c r="K40" s="143"/>
      <c r="L40" s="144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141" t="s">
        <v>139</v>
      </c>
      <c r="D41" s="142">
        <v>160</v>
      </c>
      <c r="E41" s="143"/>
      <c r="F41" s="144"/>
      <c r="G41" s="145">
        <v>120</v>
      </c>
      <c r="H41" s="143">
        <v>120</v>
      </c>
      <c r="I41" s="146"/>
      <c r="J41" s="145">
        <v>120</v>
      </c>
      <c r="K41" s="143">
        <v>120</v>
      </c>
      <c r="L41" s="144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141" t="s">
        <v>140</v>
      </c>
      <c r="D42" s="142">
        <v>80</v>
      </c>
      <c r="E42" s="143"/>
      <c r="F42" s="144"/>
      <c r="G42" s="145"/>
      <c r="H42" s="143"/>
      <c r="I42" s="146"/>
      <c r="J42" s="145">
        <v>80</v>
      </c>
      <c r="K42" s="143">
        <v>80</v>
      </c>
      <c r="L42" s="144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141" t="s">
        <v>135</v>
      </c>
      <c r="D43" s="142"/>
      <c r="E43" s="143"/>
      <c r="F43" s="144"/>
      <c r="G43" s="145"/>
      <c r="H43" s="143"/>
      <c r="I43" s="146"/>
      <c r="J43" s="145">
        <v>40</v>
      </c>
      <c r="K43" s="143">
        <v>40</v>
      </c>
      <c r="L43" s="144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141" t="s">
        <v>144</v>
      </c>
      <c r="D44" s="142"/>
      <c r="E44" s="143"/>
      <c r="F44" s="144"/>
      <c r="G44" s="145"/>
      <c r="H44" s="143">
        <v>80</v>
      </c>
      <c r="I44" s="146"/>
      <c r="J44" s="145">
        <v>40</v>
      </c>
      <c r="K44" s="143"/>
      <c r="L44" s="144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2"/>
      <c r="J57" s="75"/>
      <c r="K57" s="75"/>
      <c r="L57" s="75"/>
      <c r="M57" s="135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0" t="s">
        <v>11</v>
      </c>
      <c r="C132" s="161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2058</v>
      </c>
      <c r="H132" s="88">
        <f t="shared" si="104"/>
        <v>2157</v>
      </c>
      <c r="I132" s="88">
        <f t="shared" si="104"/>
        <v>0</v>
      </c>
      <c r="J132" s="88">
        <f t="shared" si="104"/>
        <v>3539</v>
      </c>
      <c r="K132" s="88">
        <f t="shared" si="104"/>
        <v>3438</v>
      </c>
      <c r="L132" s="88">
        <f t="shared" si="104"/>
        <v>4078</v>
      </c>
      <c r="M132" s="48">
        <f t="shared" ref="M132:M135" si="105">SUM(D132:L132)/40</f>
        <v>442.75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210.75</v>
      </c>
      <c r="Q132" s="40">
        <f t="shared" ref="Q132:Q136" si="107">SUM(J132:L132)/20</f>
        <v>552.75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3" t="s">
        <v>73</v>
      </c>
      <c r="C136" s="174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2" t="s">
        <v>11</v>
      </c>
      <c r="C137" s="163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2058</v>
      </c>
      <c r="H137" s="89">
        <f t="shared" si="112"/>
        <v>2157</v>
      </c>
      <c r="I137" s="89">
        <f t="shared" si="112"/>
        <v>0</v>
      </c>
      <c r="J137" s="89">
        <f t="shared" si="112"/>
        <v>3539</v>
      </c>
      <c r="K137" s="89">
        <f t="shared" si="112"/>
        <v>3438</v>
      </c>
      <c r="L137" s="89">
        <f t="shared" si="112"/>
        <v>4078</v>
      </c>
      <c r="M137" s="60">
        <f t="shared" si="0"/>
        <v>442.75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425.5</v>
      </c>
      <c r="Q137" s="64">
        <f t="shared" si="113"/>
        <v>1111.5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opLeftCell="B2" zoomScale="85" zoomScaleNormal="85" workbookViewId="0">
      <selection activeCell="I12" sqref="I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7" t="s">
        <v>50</v>
      </c>
      <c r="D3" s="178"/>
      <c r="E3" s="178"/>
      <c r="F3" s="178"/>
      <c r="G3" s="179"/>
      <c r="H3" s="181" t="s">
        <v>65</v>
      </c>
      <c r="I3" s="182"/>
      <c r="K3" s="176" t="s">
        <v>69</v>
      </c>
      <c r="L3" s="176"/>
      <c r="M3" s="176"/>
      <c r="N3" s="176"/>
      <c r="O3" s="176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625</v>
      </c>
      <c r="E5" s="79">
        <v>664</v>
      </c>
      <c r="F5" s="79">
        <v>300</v>
      </c>
      <c r="G5" s="106">
        <f>SUM(D5:F5)</f>
        <v>1589</v>
      </c>
      <c r="H5" s="99"/>
      <c r="I5" s="100">
        <f>G5-H5</f>
        <v>1589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25000</v>
      </c>
      <c r="E6" s="109">
        <f>E5*40</f>
        <v>26560</v>
      </c>
      <c r="F6" s="109">
        <f>F5*40</f>
        <v>12000</v>
      </c>
      <c r="G6" s="110">
        <f>SUM(D6:F6)</f>
        <v>63560</v>
      </c>
      <c r="H6" s="101">
        <f>H5*40</f>
        <v>0</v>
      </c>
      <c r="I6" s="102">
        <f>G6-H6</f>
        <v>63560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-625</v>
      </c>
      <c r="E9" s="111">
        <f>E8-E5</f>
        <v>-664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0" t="s">
        <v>62</v>
      </c>
      <c r="D11" s="180"/>
      <c r="F11" s="180" t="s">
        <v>71</v>
      </c>
      <c r="G11" s="180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5023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200920</v>
      </c>
      <c r="S13" s="175" t="s">
        <v>153</v>
      </c>
      <c r="T13" s="175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76" t="s">
        <v>69</v>
      </c>
      <c r="E20" s="176"/>
      <c r="F20" s="176"/>
      <c r="G20" s="176"/>
      <c r="H20" s="176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41"/>
  <sheetViews>
    <sheetView tabSelected="1" zoomScale="115" zoomScaleNormal="115" workbookViewId="0">
      <pane ySplit="1" topLeftCell="A2" activePane="bottomLeft" state="frozen"/>
      <selection activeCell="C1" sqref="C1"/>
      <selection pane="bottomLeft" activeCell="F9" sqref="F9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90"/>
      <c r="H1" s="186" t="s">
        <v>37</v>
      </c>
      <c r="I1" s="186" t="s">
        <v>80</v>
      </c>
      <c r="J1" s="186" t="s">
        <v>81</v>
      </c>
      <c r="K1" s="186" t="s">
        <v>79</v>
      </c>
      <c r="L1" s="187" t="s">
        <v>159</v>
      </c>
      <c r="M1" s="187" t="s">
        <v>161</v>
      </c>
    </row>
    <row r="2" spans="1:13" x14ac:dyDescent="0.35">
      <c r="A2" s="2"/>
      <c r="B2" s="2"/>
      <c r="C2" s="2"/>
      <c r="D2" s="2"/>
      <c r="H2" s="2"/>
      <c r="I2" s="184" t="s">
        <v>98</v>
      </c>
      <c r="J2" s="184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184" t="s">
        <v>100</v>
      </c>
      <c r="J3" s="184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184" t="s">
        <v>101</v>
      </c>
      <c r="J4" s="184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184" t="s">
        <v>102</v>
      </c>
      <c r="J5" s="184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184" t="s">
        <v>103</v>
      </c>
      <c r="J6" s="184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184" t="s">
        <v>105</v>
      </c>
      <c r="J7" s="184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88"/>
      <c r="H8" s="81"/>
      <c r="I8" s="184" t="s">
        <v>106</v>
      </c>
      <c r="J8" s="184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184" t="s">
        <v>107</v>
      </c>
      <c r="J9" s="184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184" t="s">
        <v>108</v>
      </c>
      <c r="J10" s="184">
        <v>12</v>
      </c>
      <c r="K10" s="185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184" t="s">
        <v>108</v>
      </c>
      <c r="J11" s="184">
        <v>19</v>
      </c>
      <c r="K11" s="185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83" t="s">
        <v>114</v>
      </c>
      <c r="J12" s="183">
        <v>13</v>
      </c>
      <c r="K12" s="183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89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89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89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89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89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83" t="s">
        <v>143</v>
      </c>
      <c r="J33" s="183">
        <v>305</v>
      </c>
      <c r="K33" s="183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184" t="s">
        <v>108</v>
      </c>
      <c r="J36" s="184">
        <f>M36/40</f>
        <v>10</v>
      </c>
      <c r="K36" s="184" t="s">
        <v>142</v>
      </c>
      <c r="L36" s="79"/>
      <c r="M36" s="79">
        <v>400</v>
      </c>
    </row>
    <row r="37" spans="8:13" x14ac:dyDescent="0.35">
      <c r="H37" s="2" t="s">
        <v>166</v>
      </c>
      <c r="I37" s="184" t="s">
        <v>156</v>
      </c>
      <c r="J37" s="184">
        <f>M37/40</f>
        <v>14</v>
      </c>
      <c r="K37" s="184" t="s">
        <v>142</v>
      </c>
      <c r="L37" s="79"/>
      <c r="M37" s="79">
        <v>560</v>
      </c>
    </row>
    <row r="38" spans="8:13" x14ac:dyDescent="0.35">
      <c r="H38" s="2" t="s">
        <v>166</v>
      </c>
      <c r="I38" s="184" t="s">
        <v>157</v>
      </c>
      <c r="J38" s="184">
        <f>M38/40</f>
        <v>17</v>
      </c>
      <c r="K38" s="184" t="s">
        <v>142</v>
      </c>
      <c r="L38" s="79"/>
      <c r="M38" s="79">
        <v>680</v>
      </c>
    </row>
    <row r="39" spans="8:13" x14ac:dyDescent="0.35">
      <c r="H39" s="2" t="s">
        <v>166</v>
      </c>
      <c r="I39" s="184" t="s">
        <v>25</v>
      </c>
      <c r="J39" s="184">
        <f>M39/40</f>
        <v>18</v>
      </c>
      <c r="K39" s="184" t="s">
        <v>142</v>
      </c>
      <c r="L39" s="79"/>
      <c r="M39" s="79">
        <v>720</v>
      </c>
    </row>
    <row r="40" spans="8:13" x14ac:dyDescent="0.35">
      <c r="H40" s="2" t="s">
        <v>166</v>
      </c>
      <c r="I40" s="184" t="s">
        <v>128</v>
      </c>
      <c r="J40" s="184">
        <f>M40/40</f>
        <v>4</v>
      </c>
      <c r="K40" s="184" t="s">
        <v>142</v>
      </c>
      <c r="L40" s="79"/>
      <c r="M40" s="79">
        <v>160</v>
      </c>
    </row>
    <row r="41" spans="8:13" x14ac:dyDescent="0.35">
      <c r="H41" s="2" t="s">
        <v>166</v>
      </c>
      <c r="I41" s="184" t="s">
        <v>167</v>
      </c>
      <c r="J41" s="184">
        <v>12</v>
      </c>
      <c r="K41" s="184" t="s">
        <v>142</v>
      </c>
      <c r="L41" s="79"/>
      <c r="M41" s="81">
        <f>J41*40</f>
        <v>480</v>
      </c>
    </row>
  </sheetData>
  <autoFilter ref="H1:M40" xr:uid="{A43751F5-4C5F-4082-9A98-9CA12EDC5193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2026-07-17T05:43:48Z</dcterms:modified>
</cp:coreProperties>
</file>