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210EB75-6ABC-4DFD-B9B4-0CA48E16C95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<sst xmlns="http://schemas.openxmlformats.org/spreadsheetml/2006/main" count="467" uniqueCount="213">
  <si>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</si>
  <si>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</si>
  <si>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</si>
  <si>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</si>
  <si>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</si>
  <si>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</si>
  <si>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</si>
  <si>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</si>
  <si>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</si>
  <si>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</si>
  <si>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</si>
  <si>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</si>
  <si>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</si>
  <si>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</si>
  <si>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</si>
  <si>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</si>
  <si>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</si>
  <si>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</si>
  <si>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</si>
  <si>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</si>
  <si>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</si>
  <si>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</si>
  <si>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</si>
  <si>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</si>
  <si>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</si>
  <si>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</si>
  <si>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</si>
  <si>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</si>
  <si>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</si>
  <si>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</si>
  <si>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</si>
  <si>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</si>
  <si>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</si>
  <si>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</si>
  <si>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</si>
  <si>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</si>
  <si>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</si>
  <si>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</si>
  <si>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</si>
  <si>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</si>
  <si>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</si>
  <si>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</si>
  <si>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</si>
  <si>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</si>
  <si>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</si>
  <si>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</si>
  <si>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</si>
  <si>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</si>
  <si>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</si>
  <si>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</si>
  <si>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</si>
  <si>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</si>
  <si>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</si>
  <si>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</si>
  <si>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</si>
  <si>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</si>
  <si>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</si>
  <si>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</si>
  <si>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</si>
  <si>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</si>
  <si>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</si>
  <si>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</si>
  <si>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</si>
  <si>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</si>
  <si>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</si>
  <si>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</si>
  <si>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</si>
  <si>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</si>
  <si>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</si>
  <si>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</si>
  <si>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</si>
  <si>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</si>
  <si>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</si>
  <si>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</si>
  <si>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</si>
  <si>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</si>
  <si>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</si>
  <si>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</si>
  <si>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</si>
  <si>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</si>
  <si>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</si>
  <si>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</si>
  <si>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</si>
  <si>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</si>
  <si>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</si>
  <si>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</si>
  <si>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</si>
  <si>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</si>
  <si>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</si>
  <si>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</si>
  <si>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</si>
  <si>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</si>
  <si>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</si>
  <si>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</si>
  <si>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</si>
  <si>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</si>
  <si>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</si>
  <si>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</si>
  <si>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</si>
  <si>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</si>
  <si>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</si>
  <si>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</si>
  <si>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</si>
  <si>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</si>
  <si>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</si>
  <si>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</si>
  <si>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</si>
  <si>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</si>
  <si>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</si>
  <si>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</si>
  <si>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</si>
  <si>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</si>
  <si>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</si>
  <si>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</si>
  <si>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</si>
  <si>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</si>
  <si>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</si>
  <si>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</si>
  <si>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</si>
  <si>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</si>
  <si>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</si>
  <si>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</si>
  <si>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</si>
  <si>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</si>
  <si>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</si>
  <si>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</si>
  <si>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</si>
  <si>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</si>
  <si>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</si>
  <si>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</si>
  <si>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</si>
  <si>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</si>
  <si>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</si>
  <si>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</si>
  <si>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</si>
  <si>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</si>
  <si>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</si>
  <si>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</si>
  <si>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</si>
  <si>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</si>
  <si>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</si>
  <si>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</si>
  <si>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</si>
  <si>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</si>
  <si>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</si>
  <si>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</si>
  <si>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</si>
  <si>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</si>
  <si>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</si>
  <si>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</si>
  <si>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</si>
  <si>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</si>
  <si>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</si>
  <si>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</si>
  <si>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</si>
  <si>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</si>
  <si>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</si>
  <si>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</si>
  <si>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</si>
  <si>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</si>
  <si>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</si>
  <si>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</si>
  <si>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</si>
  <si>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</si>
  <si>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</si>
  <si>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</si>
  <si>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</si>
  <si>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</si>
  <si>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</si>
  <si>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</si>
  <si>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</si>
  <si>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</si>
  <si>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</si>
  <si>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</si>
  <si>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</si>
  <si>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</si>
  <si>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</si>
  <si>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</si>
  <si>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</si>
  <si>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</si>
  <si>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</si>
  <si>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</si>
  <si>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</si>
  <si>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</si>
  <si>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</si>
  <si>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</si>
  <si>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</si>
  <si>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</si>
  <si>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</si>
  <si>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</si>
  <si>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</si>
  <si>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</si>
  <si>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</si>
  <si>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</si>
  <si>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</si>
  <si>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</si>
  <si>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</si>
  <si>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</si>
  <si>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</si>
  <si>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</si>
  <si>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</si>
  <si>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</si>
  <si>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</si>
  <si>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</si>
  <si>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</si>
  <si>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</si>
  <si>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</si>
  <si>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</si>
  <si>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</si>
  <si>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</si>
  <si>
    <t>24/07/26</t>
  </si>
  <si>
    <t xml:space="preserve">Risen Shadbagh </t>
  </si>
  <si>
    <t xml:space="preserve">Rainbow Faisal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</si>
</sst>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0" fillId="0" borderId="38" xfId="0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72" zoomScaleNormal="100" workbookViewId="0">
      <selection activeCell="F88" sqref="F88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7">
        <f ca="1">TODAY()</f>
        <v>46231</v>
      </c>
      <c r="C1" s="177"/>
      <c r="D1" s="177"/>
      <c r="E1" s="177"/>
      <c r="F1" s="17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7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7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81" t="s">
        <v>16</v>
      </c>
      <c r="S3" s="182"/>
      <c r="T3" s="182"/>
      <c r="U3" s="183"/>
      <c r="V3" s="184" t="s">
        <v>17</v>
      </c>
      <c r="W3" s="185"/>
      <c r="X3" s="185"/>
      <c r="Y3" s="186"/>
    </row>
    <row r="4" spans="1:25" ht="15" thickBot="1" x14ac:dyDescent="0.4">
      <c r="A4" s="174"/>
      <c r="B4" s="18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24</v>
      </c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24</v>
      </c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24</v>
      </c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24</v>
      </c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>
        <v>25</v>
      </c>
      <c r="B79" s="47">
        <v>75</v>
      </c>
      <c r="C79" s="133" t="s">
        <v>138</v>
      </c>
      <c r="D79" s="50">
        <v>200</v>
      </c>
      <c r="E79" s="50"/>
      <c r="F79" s="50"/>
      <c r="G79" s="50">
        <v>200</v>
      </c>
      <c r="H79" s="50">
        <v>200</v>
      </c>
      <c r="I79" s="135"/>
      <c r="J79" s="50">
        <v>200</v>
      </c>
      <c r="K79" s="50">
        <v>200</v>
      </c>
      <c r="L79" s="50">
        <v>200</v>
      </c>
      <c r="M79" s="135">
        <f t="shared" si="81"/>
        <v>30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20</v>
      </c>
      <c r="Q79" s="40">
        <f t="shared" ref="Q79:Q83" si="90">SUM(J79:L79)/20</f>
        <v>30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>
        <v>25</v>
      </c>
      <c r="B80" s="47">
        <v>76</v>
      </c>
      <c r="C80" s="133" t="s">
        <v>129</v>
      </c>
      <c r="D80" s="50"/>
      <c r="E80" s="50"/>
      <c r="F80" s="50"/>
      <c r="G80" s="50"/>
      <c r="H80" s="50"/>
      <c r="I80" s="135"/>
      <c r="J80" s="50">
        <v>120</v>
      </c>
      <c r="K80" s="50">
        <v>120</v>
      </c>
      <c r="L80" s="50">
        <v>80</v>
      </c>
      <c r="M80" s="135">
        <f t="shared" si="81"/>
        <v>8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16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>
        <v>25</v>
      </c>
      <c r="B81" s="47">
        <v>77</v>
      </c>
      <c r="C81" s="133" t="s">
        <v>211</v>
      </c>
      <c r="D81" s="50"/>
      <c r="E81" s="50"/>
      <c r="F81" s="50"/>
      <c r="G81" s="50"/>
      <c r="H81" s="50"/>
      <c r="I81" s="135"/>
      <c r="J81" s="50"/>
      <c r="K81" s="50">
        <v>80</v>
      </c>
      <c r="L81" s="50"/>
      <c r="M81" s="135">
        <f t="shared" si="81"/>
        <v>2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4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>
        <v>27</v>
      </c>
      <c r="B82" s="47">
        <v>78</v>
      </c>
      <c r="C82" s="133" t="s">
        <v>118</v>
      </c>
      <c r="D82" s="50"/>
      <c r="E82" s="50"/>
      <c r="F82" s="50"/>
      <c r="G82" s="50">
        <v>40</v>
      </c>
      <c r="H82" s="50"/>
      <c r="I82" s="135"/>
      <c r="J82" s="50"/>
      <c r="K82" s="50"/>
      <c r="L82" s="50">
        <v>40</v>
      </c>
      <c r="M82" s="135">
        <f t="shared" si="81"/>
        <v>2</v>
      </c>
      <c r="N82" s="39">
        <f t="shared" si="18"/>
        <v>0</v>
      </c>
      <c r="O82" s="49">
        <f t="shared" si="1"/>
        <v>25.827600000000004</v>
      </c>
      <c r="P82" s="73">
        <f t="shared" si="89"/>
        <v>2</v>
      </c>
      <c r="Q82" s="40">
        <f t="shared" si="90"/>
        <v>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>
        <v>27</v>
      </c>
      <c r="B83" s="47">
        <v>79</v>
      </c>
      <c r="C83" s="133" t="s">
        <v>171</v>
      </c>
      <c r="D83" s="50"/>
      <c r="E83" s="50"/>
      <c r="F83" s="50"/>
      <c r="G83" s="50">
        <v>40</v>
      </c>
      <c r="H83" s="50">
        <v>40</v>
      </c>
      <c r="I83" s="135"/>
      <c r="J83" s="50">
        <v>37</v>
      </c>
      <c r="K83" s="50">
        <v>40</v>
      </c>
      <c r="L83" s="50">
        <v>79</v>
      </c>
      <c r="M83" s="135">
        <f t="shared" si="81"/>
        <v>5.9</v>
      </c>
      <c r="N83" s="39">
        <f t="shared" si="18"/>
        <v>0</v>
      </c>
      <c r="O83" s="49">
        <f t="shared" si="1"/>
        <v>25.827600000000004</v>
      </c>
      <c r="P83" s="73">
        <f t="shared" si="89"/>
        <v>4</v>
      </c>
      <c r="Q83" s="40">
        <f t="shared" si="90"/>
        <v>7.8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>
        <v>27</v>
      </c>
      <c r="B84" s="47">
        <v>80</v>
      </c>
      <c r="C84" s="133" t="s">
        <v>212</v>
      </c>
      <c r="D84" s="50"/>
      <c r="E84" s="50"/>
      <c r="F84" s="50"/>
      <c r="G84" s="50">
        <v>40</v>
      </c>
      <c r="H84" s="50"/>
      <c r="I84" s="135"/>
      <c r="J84" s="50">
        <v>40</v>
      </c>
      <c r="K84" s="50">
        <v>40</v>
      </c>
      <c r="L84" s="50">
        <v>40</v>
      </c>
      <c r="M84" s="135">
        <f t="shared" ref="M84:M131" si="96">SUM(D84:L84)/40</f>
        <v>4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2</v>
      </c>
      <c r="Q84" s="40">
        <f t="shared" ref="Q84:Q131" si="98">SUM(J84:L84)/20</f>
        <v>6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7" t="s">
        <v>11</v>
      </c>
      <c r="C132" s="188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1221.9000000000001</v>
      </c>
      <c r="Q137" s="64">
        <f t="shared" si="113"/>
        <v>3117.8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F6" sqref="F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1" t="s">
        <v>50</v>
      </c>
      <c r="D3" s="192"/>
      <c r="E3" s="192"/>
      <c r="F3" s="192"/>
      <c r="G3" s="193"/>
      <c r="H3" s="195" t="s">
        <v>65</v>
      </c>
      <c r="I3" s="196"/>
      <c r="K3" s="197" t="s">
        <v>69</v>
      </c>
      <c r="L3" s="197"/>
      <c r="M3" s="197"/>
      <c r="N3" s="197"/>
      <c r="O3" s="197"/>
      <c r="P3" s="197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841</v>
      </c>
      <c r="E5" s="79">
        <v>1393</v>
      </c>
      <c r="F5" s="79">
        <v>600</v>
      </c>
      <c r="G5" s="106">
        <f>SUM(D5:F5)</f>
        <v>2834</v>
      </c>
      <c r="H5" s="99">
        <v>10000</v>
      </c>
      <c r="I5" s="100">
        <f>G5-H5</f>
        <v>-7166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33640</v>
      </c>
      <c r="E6" s="109">
        <f>E5*40</f>
        <v>55720</v>
      </c>
      <c r="F6" s="109">
        <f>F5*40</f>
        <v>24000</v>
      </c>
      <c r="G6" s="110">
        <f>SUM(D6:F6)</f>
        <v>113360</v>
      </c>
      <c r="H6" s="101">
        <f>H5*40</f>
        <v>400000</v>
      </c>
      <c r="I6" s="102">
        <f>G6-H6</f>
        <v>-286640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-841</v>
      </c>
      <c r="E9" s="111">
        <f>E8-E5</f>
        <v>-1393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4" t="s">
        <v>62</v>
      </c>
      <c r="D11" s="194"/>
      <c r="F11" s="194" t="s">
        <v>71</v>
      </c>
      <c r="G11" s="194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6268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250720</v>
      </c>
      <c r="S13" s="189" t="s">
        <v>152</v>
      </c>
      <c r="T13" s="189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0" t="s">
        <v>69</v>
      </c>
      <c r="E20" s="190"/>
      <c r="F20" s="190"/>
      <c r="G20" s="190"/>
      <c r="H20" s="190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61" activePane="bottomLeft" state="frozen"/>
      <selection activeCell="C1" sqref="C1"/>
      <selection pane="bottomLeft" activeCell="E77" sqref="E7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H67" s="155" t="s">
        <v>210</v>
      </c>
      <c r="I67" s="163" t="s">
        <v>204</v>
      </c>
    </row>
    <row r="68" spans="8:13" x14ac:dyDescent="0.35">
      <c r="H68" s="155" t="s">
        <v>210</v>
      </c>
      <c r="I68" s="163" t="s">
        <v>205</v>
      </c>
    </row>
    <row r="69" spans="8:13" x14ac:dyDescent="0.35">
      <c r="H69" s="155" t="s">
        <v>210</v>
      </c>
      <c r="I69" s="163" t="s">
        <v>169</v>
      </c>
    </row>
    <row r="70" spans="8:13" x14ac:dyDescent="0.35">
      <c r="H70" s="155" t="s">
        <v>210</v>
      </c>
      <c r="I70" s="163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2026-07-28T05:42:17Z</dcterms:modified>
</cp:coreProperties>
</file>