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AEB8157-9FA7-4D23-9C9F-A8D2AD41DA6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<sst xmlns="http://schemas.openxmlformats.org/spreadsheetml/2006/main" count="375" uniqueCount="188">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</sst>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0" fillId="0" borderId="38" xfId="0" applyFill="1" applyBorder="1" applyAlignment="1">
      <alignment horizontal="center" vertic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40" zoomScaleNormal="100" workbookViewId="0">
      <selection activeCell="E57" sqref="E57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9">
        <f ca="1">TODAY()</f>
        <v>46223</v>
      </c>
      <c r="C1" s="159"/>
      <c r="D1" s="159"/>
      <c r="E1" s="159"/>
      <c r="F1" s="15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1" t="s">
        <v>37</v>
      </c>
      <c r="B2" s="160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3"/>
      <c r="N2" s="174"/>
      <c r="O2" s="175"/>
      <c r="P2" s="176" t="s">
        <v>14</v>
      </c>
      <c r="Q2" s="17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1"/>
      <c r="B3" s="161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8" t="s">
        <v>11</v>
      </c>
      <c r="N3" s="179"/>
      <c r="O3" s="180"/>
      <c r="P3" s="71"/>
      <c r="Q3" s="72"/>
      <c r="R3" s="163" t="s">
        <v>16</v>
      </c>
      <c r="S3" s="164"/>
      <c r="T3" s="164"/>
      <c r="U3" s="165"/>
      <c r="V3" s="166" t="s">
        <v>17</v>
      </c>
      <c r="W3" s="167"/>
      <c r="X3" s="167"/>
      <c r="Y3" s="168"/>
    </row>
    <row r="4" spans="1:25" ht="15" thickBot="1" x14ac:dyDescent="0.4">
      <c r="A4" s="181"/>
      <c r="B4" s="162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41" t="s">
        <v>25</v>
      </c>
      <c r="D46" s="142"/>
      <c r="E46" s="143"/>
      <c r="F46" s="144"/>
      <c r="G46" s="145">
        <v>160</v>
      </c>
      <c r="H46" s="143">
        <v>120</v>
      </c>
      <c r="I46" s="146"/>
      <c r="J46" s="145">
        <v>160</v>
      </c>
      <c r="K46" s="143"/>
      <c r="L46" s="144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41" t="s">
        <v>167</v>
      </c>
      <c r="D47" s="142"/>
      <c r="E47" s="143"/>
      <c r="F47" s="144"/>
      <c r="G47" s="145">
        <v>80</v>
      </c>
      <c r="H47" s="143">
        <v>80</v>
      </c>
      <c r="I47" s="146"/>
      <c r="J47" s="145">
        <v>80</v>
      </c>
      <c r="K47" s="143"/>
      <c r="L47" s="144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41" t="s">
        <v>108</v>
      </c>
      <c r="D48" s="142"/>
      <c r="E48" s="143"/>
      <c r="F48" s="144"/>
      <c r="G48" s="145">
        <v>80</v>
      </c>
      <c r="H48" s="143">
        <v>120</v>
      </c>
      <c r="I48" s="146"/>
      <c r="J48" s="145">
        <v>160</v>
      </c>
      <c r="K48" s="143"/>
      <c r="L48" s="144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41" t="s">
        <v>168</v>
      </c>
      <c r="D49" s="142"/>
      <c r="E49" s="143"/>
      <c r="F49" s="144"/>
      <c r="G49" s="145">
        <v>160</v>
      </c>
      <c r="H49" s="143">
        <v>160</v>
      </c>
      <c r="I49" s="146"/>
      <c r="J49" s="145">
        <v>120</v>
      </c>
      <c r="K49" s="143"/>
      <c r="L49" s="144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41" t="s">
        <v>169</v>
      </c>
      <c r="D50" s="142"/>
      <c r="E50" s="143"/>
      <c r="F50" s="144"/>
      <c r="G50" s="145">
        <v>120</v>
      </c>
      <c r="H50" s="143">
        <v>120</v>
      </c>
      <c r="I50" s="146"/>
      <c r="J50" s="145">
        <v>120</v>
      </c>
      <c r="K50" s="143"/>
      <c r="L50" s="144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193" t="s">
        <v>175</v>
      </c>
      <c r="D51" s="194"/>
      <c r="E51" s="195"/>
      <c r="F51" s="196"/>
      <c r="G51" s="197">
        <v>40</v>
      </c>
      <c r="H51" s="195">
        <v>40</v>
      </c>
      <c r="I51" s="56"/>
      <c r="J51" s="197">
        <v>40</v>
      </c>
      <c r="K51" s="195"/>
      <c r="L51" s="19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193" t="s">
        <v>112</v>
      </c>
      <c r="D52" s="194"/>
      <c r="E52" s="195"/>
      <c r="F52" s="196"/>
      <c r="G52" s="197">
        <v>80</v>
      </c>
      <c r="H52" s="195">
        <v>40</v>
      </c>
      <c r="I52" s="56"/>
      <c r="J52" s="197">
        <v>120</v>
      </c>
      <c r="K52" s="195"/>
      <c r="L52" s="19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193" t="s">
        <v>184</v>
      </c>
      <c r="D53" s="194"/>
      <c r="E53" s="195"/>
      <c r="F53" s="196"/>
      <c r="G53" s="197"/>
      <c r="H53" s="195">
        <v>40</v>
      </c>
      <c r="I53" s="56"/>
      <c r="J53" s="197">
        <v>80</v>
      </c>
      <c r="K53" s="195"/>
      <c r="L53" s="19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193" t="s">
        <v>185</v>
      </c>
      <c r="D54" s="194"/>
      <c r="E54" s="195"/>
      <c r="F54" s="196"/>
      <c r="G54" s="197">
        <v>80</v>
      </c>
      <c r="H54" s="195">
        <v>80</v>
      </c>
      <c r="I54" s="56"/>
      <c r="J54" s="197">
        <v>80</v>
      </c>
      <c r="K54" s="195"/>
      <c r="L54" s="19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193" t="s">
        <v>186</v>
      </c>
      <c r="D55" s="194"/>
      <c r="E55" s="195"/>
      <c r="F55" s="196"/>
      <c r="G55" s="197">
        <v>80</v>
      </c>
      <c r="H55" s="195">
        <v>80</v>
      </c>
      <c r="I55" s="56"/>
      <c r="J55" s="197">
        <v>80</v>
      </c>
      <c r="K55" s="195"/>
      <c r="L55" s="19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193" t="s">
        <v>187</v>
      </c>
      <c r="D56" s="194"/>
      <c r="E56" s="195"/>
      <c r="F56" s="196"/>
      <c r="G56" s="197">
        <v>200</v>
      </c>
      <c r="H56" s="195">
        <v>200</v>
      </c>
      <c r="I56" s="56"/>
      <c r="J56" s="197">
        <v>200</v>
      </c>
      <c r="K56" s="195"/>
      <c r="L56" s="19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193" t="s">
        <v>178</v>
      </c>
      <c r="D57" s="195"/>
      <c r="E57" s="195"/>
      <c r="F57" s="195"/>
      <c r="G57" s="195">
        <v>40</v>
      </c>
      <c r="H57" s="195">
        <v>40</v>
      </c>
      <c r="I57" s="198"/>
      <c r="J57" s="195">
        <v>40</v>
      </c>
      <c r="K57" s="195"/>
      <c r="L57" s="19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9" t="s">
        <v>11</v>
      </c>
      <c r="C132" s="170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3178</v>
      </c>
      <c r="H132" s="88">
        <f t="shared" si="104"/>
        <v>3277</v>
      </c>
      <c r="I132" s="88">
        <f t="shared" si="104"/>
        <v>0</v>
      </c>
      <c r="J132" s="88">
        <f t="shared" si="104"/>
        <v>4819</v>
      </c>
      <c r="K132" s="88">
        <f t="shared" si="104"/>
        <v>3438</v>
      </c>
      <c r="L132" s="88">
        <f t="shared" si="104"/>
        <v>5718</v>
      </c>
      <c r="M132" s="48">
        <f t="shared" ref="M132:M135" si="105">SUM(D132:L132)/40</f>
        <v>571.75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322.75</v>
      </c>
      <c r="Q132" s="40">
        <f t="shared" ref="Q132:Q136" si="107">SUM(J132:L132)/20</f>
        <v>698.75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2" t="s">
        <v>73</v>
      </c>
      <c r="C136" s="183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1" t="s">
        <v>11</v>
      </c>
      <c r="C137" s="172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3178</v>
      </c>
      <c r="H137" s="89">
        <f t="shared" si="112"/>
        <v>3277</v>
      </c>
      <c r="I137" s="89">
        <f t="shared" si="112"/>
        <v>0</v>
      </c>
      <c r="J137" s="89">
        <f t="shared" si="112"/>
        <v>4819</v>
      </c>
      <c r="K137" s="89">
        <f t="shared" si="112"/>
        <v>3438</v>
      </c>
      <c r="L137" s="89">
        <f t="shared" si="112"/>
        <v>5718</v>
      </c>
      <c r="M137" s="60">
        <f t="shared" si="0"/>
        <v>571.75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649.5</v>
      </c>
      <c r="Q137" s="64">
        <f t="shared" si="113"/>
        <v>1403.5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6" t="s">
        <v>50</v>
      </c>
      <c r="D3" s="187"/>
      <c r="E3" s="187"/>
      <c r="F3" s="187"/>
      <c r="G3" s="188"/>
      <c r="H3" s="190" t="s">
        <v>65</v>
      </c>
      <c r="I3" s="191"/>
      <c r="K3" s="185" t="s">
        <v>69</v>
      </c>
      <c r="L3" s="185"/>
      <c r="M3" s="185"/>
      <c r="N3" s="185"/>
      <c r="O3" s="185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670</v>
      </c>
      <c r="E5" s="79">
        <v>735</v>
      </c>
      <c r="F5" s="79">
        <v>300</v>
      </c>
      <c r="G5" s="106">
        <f>SUM(D5:F5)</f>
        <v>1705</v>
      </c>
      <c r="H5" s="99"/>
      <c r="I5" s="100">
        <f>G5-H5</f>
        <v>1705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26800</v>
      </c>
      <c r="E6" s="109">
        <f>E5*40</f>
        <v>29400</v>
      </c>
      <c r="F6" s="109">
        <f>F5*40</f>
        <v>12000</v>
      </c>
      <c r="G6" s="110">
        <f>SUM(D6:F6)</f>
        <v>68200</v>
      </c>
      <c r="H6" s="101">
        <f>H5*40</f>
        <v>0</v>
      </c>
      <c r="I6" s="102">
        <f>G6-H6</f>
        <v>68200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-670</v>
      </c>
      <c r="E9" s="111">
        <f>E8-E5</f>
        <v>-735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9" t="s">
        <v>62</v>
      </c>
      <c r="D11" s="189"/>
      <c r="F11" s="189" t="s">
        <v>71</v>
      </c>
      <c r="G11" s="189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5139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205560</v>
      </c>
      <c r="S13" s="184" t="s">
        <v>153</v>
      </c>
      <c r="T13" s="184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5" t="s">
        <v>69</v>
      </c>
      <c r="E20" s="185"/>
      <c r="F20" s="185"/>
      <c r="G20" s="185"/>
      <c r="H20" s="185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52"/>
  <sheetViews>
    <sheetView topLeftCell="C1" zoomScale="115" zoomScaleNormal="115" workbookViewId="0">
      <pane ySplit="1" topLeftCell="A41" activePane="bottomLeft" state="frozen"/>
      <selection activeCell="C1" sqref="C1"/>
      <selection pane="bottomLeft" activeCell="G50" sqref="G50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6"/>
      <c r="H1" s="152" t="s">
        <v>37</v>
      </c>
      <c r="I1" s="152" t="s">
        <v>80</v>
      </c>
      <c r="J1" s="152" t="s">
        <v>81</v>
      </c>
      <c r="K1" s="152" t="s">
        <v>79</v>
      </c>
      <c r="L1" s="153" t="s">
        <v>159</v>
      </c>
      <c r="M1" s="153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4"/>
      <c r="H8" s="81"/>
      <c r="I8" s="79" t="s">
        <v>106</v>
      </c>
      <c r="J8" s="79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51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51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50" t="s">
        <v>114</v>
      </c>
      <c r="J12" s="150">
        <v>13</v>
      </c>
      <c r="K12" s="150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55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55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55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55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55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50" t="s">
        <v>143</v>
      </c>
      <c r="J33" s="150">
        <v>305</v>
      </c>
      <c r="K33" s="150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7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7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7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7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7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175</v>
      </c>
      <c r="J41" s="79">
        <v>4</v>
      </c>
      <c r="K41" s="79" t="s">
        <v>99</v>
      </c>
      <c r="L41" s="79" t="s">
        <v>160</v>
      </c>
      <c r="M41" s="81">
        <f>J41*40</f>
        <v>160</v>
      </c>
    </row>
    <row r="42" spans="8:13" x14ac:dyDescent="0.35">
      <c r="H42" s="157" t="s">
        <v>174</v>
      </c>
      <c r="I42" s="158" t="s">
        <v>170</v>
      </c>
      <c r="J42" s="158">
        <v>8</v>
      </c>
      <c r="K42" s="158" t="s">
        <v>142</v>
      </c>
      <c r="L42" s="158"/>
      <c r="M42" s="158">
        <f>J42*40</f>
        <v>320</v>
      </c>
    </row>
    <row r="43" spans="8:13" x14ac:dyDescent="0.35">
      <c r="H43" s="2" t="s">
        <v>174</v>
      </c>
      <c r="I43" s="79" t="s">
        <v>171</v>
      </c>
      <c r="J43" s="79">
        <v>9</v>
      </c>
      <c r="K43" s="79" t="s">
        <v>99</v>
      </c>
      <c r="L43" s="79" t="s">
        <v>160</v>
      </c>
      <c r="M43" s="79">
        <f t="shared" ref="M43:M52" si="1">J43*40</f>
        <v>360</v>
      </c>
    </row>
    <row r="44" spans="8:13" x14ac:dyDescent="0.35">
      <c r="H44" s="157" t="s">
        <v>174</v>
      </c>
      <c r="I44" s="158" t="s">
        <v>172</v>
      </c>
      <c r="J44" s="158">
        <v>5</v>
      </c>
      <c r="K44" s="158" t="s">
        <v>142</v>
      </c>
      <c r="L44" s="158"/>
      <c r="M44" s="158">
        <f t="shared" si="1"/>
        <v>200</v>
      </c>
    </row>
    <row r="45" spans="8:13" x14ac:dyDescent="0.35">
      <c r="H45" s="2" t="s">
        <v>174</v>
      </c>
      <c r="I45" s="79" t="s">
        <v>179</v>
      </c>
      <c r="J45" s="79">
        <v>5</v>
      </c>
      <c r="K45" s="79" t="s">
        <v>99</v>
      </c>
      <c r="L45" s="79" t="s">
        <v>160</v>
      </c>
      <c r="M45" s="79">
        <f t="shared" si="1"/>
        <v>200</v>
      </c>
    </row>
    <row r="46" spans="8:13" x14ac:dyDescent="0.35">
      <c r="H46" s="2" t="s">
        <v>174</v>
      </c>
      <c r="I46" s="79" t="s">
        <v>176</v>
      </c>
      <c r="J46" s="79">
        <v>8</v>
      </c>
      <c r="K46" s="79" t="s">
        <v>99</v>
      </c>
      <c r="L46" s="79" t="s">
        <v>160</v>
      </c>
      <c r="M46" s="79">
        <f t="shared" si="1"/>
        <v>320</v>
      </c>
    </row>
    <row r="47" spans="8:13" x14ac:dyDescent="0.35">
      <c r="H47" s="2" t="s">
        <v>174</v>
      </c>
      <c r="I47" s="79" t="s">
        <v>177</v>
      </c>
      <c r="J47" s="79">
        <v>8</v>
      </c>
      <c r="K47" s="79" t="s">
        <v>99</v>
      </c>
      <c r="L47" s="79" t="s">
        <v>160</v>
      </c>
      <c r="M47" s="79">
        <f t="shared" si="1"/>
        <v>320</v>
      </c>
    </row>
    <row r="48" spans="8:13" x14ac:dyDescent="0.35">
      <c r="H48" s="2" t="s">
        <v>174</v>
      </c>
      <c r="I48" s="79" t="s">
        <v>173</v>
      </c>
      <c r="J48" s="79">
        <v>20</v>
      </c>
      <c r="K48" s="79" t="s">
        <v>99</v>
      </c>
      <c r="L48" s="79" t="s">
        <v>160</v>
      </c>
      <c r="M48" s="79">
        <f t="shared" si="1"/>
        <v>800</v>
      </c>
    </row>
    <row r="49" spans="8:13" x14ac:dyDescent="0.35">
      <c r="H49" s="2" t="s">
        <v>174</v>
      </c>
      <c r="I49" s="79" t="s">
        <v>178</v>
      </c>
      <c r="J49" s="79">
        <v>4</v>
      </c>
      <c r="K49" s="79" t="s">
        <v>99</v>
      </c>
      <c r="L49" s="79" t="s">
        <v>160</v>
      </c>
      <c r="M49" s="79">
        <f t="shared" si="1"/>
        <v>160</v>
      </c>
    </row>
    <row r="50" spans="8:13" x14ac:dyDescent="0.35">
      <c r="H50" s="2" t="s">
        <v>183</v>
      </c>
      <c r="I50" s="192" t="s">
        <v>180</v>
      </c>
      <c r="J50" s="192">
        <v>5</v>
      </c>
      <c r="K50" s="192" t="s">
        <v>142</v>
      </c>
      <c r="M50" s="192">
        <f t="shared" si="1"/>
        <v>200</v>
      </c>
    </row>
    <row r="51" spans="8:13" x14ac:dyDescent="0.35">
      <c r="H51" s="2" t="s">
        <v>183</v>
      </c>
      <c r="I51" s="192" t="s">
        <v>181</v>
      </c>
      <c r="J51" s="192">
        <v>300</v>
      </c>
      <c r="K51" s="192" t="s">
        <v>142</v>
      </c>
      <c r="M51" s="192">
        <f t="shared" si="1"/>
        <v>12000</v>
      </c>
    </row>
    <row r="52" spans="8:13" x14ac:dyDescent="0.35">
      <c r="H52" s="2" t="s">
        <v>183</v>
      </c>
      <c r="I52" s="192" t="s">
        <v>182</v>
      </c>
      <c r="J52" s="192">
        <v>305</v>
      </c>
      <c r="K52" s="192" t="s">
        <v>142</v>
      </c>
      <c r="M52" s="192">
        <f t="shared" si="1"/>
        <v>12200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2026-07-20T05:55:42Z</dcterms:modified>
</cp:coreProperties>
</file>