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A7992348-113E-45EB-A5EB-9F9BB45229D6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Z9" i="3" l="1"/>
  <c r="Z10" i="3"/>
  <c r="Z11" i="3"/>
  <c r="Z12" i="3"/>
  <c r="Z13" i="3"/>
  <c r="Z8" i="3"/>
  <c r="V13" i="3"/>
  <c r="W13" i="3"/>
  <c r="X13" i="3"/>
  <c r="Y13" i="3"/>
  <c r="U13" i="3"/>
  <c r="J30" i="3"/>
  <c r="M15" i="4" l="1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<sst xmlns="http://schemas.openxmlformats.org/spreadsheetml/2006/main" count="257" uniqueCount="157">
  <si>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</si>
  <si>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</si>
  <si>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</si>
  <si>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</si>
  <si>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</si>
  <si>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</si>
  <si>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</si>
  <si>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</si>
  <si>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</si>
  <si>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</si>
  <si>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</si>
  <si>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</si>
  <si>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</si>
  <si>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</si>
  <si>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</si>
  <si>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</si>
  <si>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</si>
  <si>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</si>
  <si>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</si>
  <si>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</si>
  <si>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</si>
  <si>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</si>
  <si>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</si>
  <si>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</si>
  <si>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</si>
  <si>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</si>
  <si>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</si>
  <si>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</si>
  <si>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</si>
  <si>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</si>
  <si>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</si>
  <si>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</si>
  <si>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</si>
  <si>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</si>
  <si>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</si>
  <si>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</si>
  <si>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</si>
  <si>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</si>
  <si>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</si>
  <si>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</si>
  <si>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</si>
  <si>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</si>
  <si>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</si>
  <si>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</si>
  <si>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</si>
  <si>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</si>
  <si>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</si>
  <si>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</si>
  <si>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</si>
  <si>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</si>
  <si>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</si>
  <si>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</si>
  <si>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</si>
  <si>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</si>
  <si>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</si>
  <si>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</si>
  <si>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</si>
  <si>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</si>
  <si>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</si>
  <si>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</si>
  <si>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</si>
  <si>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</si>
  <si>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</si>
  <si>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</si>
  <si>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</si>
  <si>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</si>
  <si>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</si>
  <si>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</si>
  <si>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</si>
  <si>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</si>
  <si>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</si>
  <si>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</si>
  <si>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</si>
  <si>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</si>
  <si>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</si>
  <si>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</si>
  <si>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</si>
  <si>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</si>
  <si>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</si>
  <si>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</si>
  <si>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</si>
  <si>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</si>
  <si>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</si>
  <si>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</si>
  <si>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</si>
  <si>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</si>
  <si>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</si>
  <si>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</si>
  <si>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</si>
  <si>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</si>
  <si>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</si>
  <si>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</si>
  <si>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</si>
  <si>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</si>
  <si>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</si>
  <si>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</si>
  <si>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</si>
  <si>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</si>
  <si>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</si>
  <si>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</si>
  <si>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</si>
  <si>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</si>
  <si>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</si>
  <si>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</si>
  <si>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</si>
  <si>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</si>
  <si>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</si>
  <si>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</si>
  <si>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</si>
  <si>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</si>
  <si>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</si>
  <si>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</si>
  <si>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</si>
  <si>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</si>
  <si>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</si>
  <si>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</si>
  <si>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</si>
  <si>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</si>
  <si>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</si>
  <si>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</si>
  <si>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</si>
  <si>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</si>
  <si>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</si>
  <si>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</si>
  <si>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</si>
  <si>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</si>
  <si>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</si>
  <si>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</si>
  <si>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</si>
  <si>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</si>
  <si>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</si>
  <si>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</si>
  <si>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</si>
  <si>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</si>
  <si>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</si>
  <si>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</si>
  <si>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</si>
  <si>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>Nagina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</si>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</sst>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82</v>
      </c>
      <c r="C24" s="130" t="s">
        <v>83</v>
      </c>
      <c r="D24" s="130"/>
      <c r="E24" s="130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28" zoomScaleNormal="100" workbookViewId="0">
      <selection activeCell="L45" sqref="L45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56">
        <f ca="1">TODAY()</f>
        <v>46218</v>
      </c>
      <c r="C1" s="156"/>
      <c r="D1" s="156"/>
      <c r="E1" s="156"/>
      <c r="F1" s="156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8" t="s">
        <v>37</v>
      </c>
      <c r="B2" s="157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0"/>
      <c r="N2" s="171"/>
      <c r="O2" s="172"/>
      <c r="P2" s="173" t="s">
        <v>14</v>
      </c>
      <c r="Q2" s="174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8"/>
      <c r="B3" s="158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5" t="s">
        <v>11</v>
      </c>
      <c r="N3" s="176"/>
      <c r="O3" s="177"/>
      <c r="P3" s="71"/>
      <c r="Q3" s="72"/>
      <c r="R3" s="160" t="s">
        <v>16</v>
      </c>
      <c r="S3" s="161"/>
      <c r="T3" s="161"/>
      <c r="U3" s="162"/>
      <c r="V3" s="163" t="s">
        <v>17</v>
      </c>
      <c r="W3" s="164"/>
      <c r="X3" s="164"/>
      <c r="Y3" s="165"/>
    </row>
    <row r="4" spans="1:25" ht="15" thickBot="1" x14ac:dyDescent="0.4">
      <c r="A4" s="178"/>
      <c r="B4" s="159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40" t="s">
        <v>85</v>
      </c>
      <c r="D5" s="141"/>
      <c r="E5" s="142"/>
      <c r="F5" s="38"/>
      <c r="G5" s="143">
        <v>40</v>
      </c>
      <c r="H5" s="142">
        <v>40</v>
      </c>
      <c r="I5" s="38"/>
      <c r="J5" s="143">
        <v>40</v>
      </c>
      <c r="K5" s="142">
        <v>40</v>
      </c>
      <c r="L5" s="14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109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110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111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106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112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105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118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119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120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125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126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122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127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128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129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130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138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145" t="s">
        <v>132</v>
      </c>
      <c r="D39" s="146"/>
      <c r="E39" s="147"/>
      <c r="F39" s="148"/>
      <c r="G39" s="149">
        <v>20</v>
      </c>
      <c r="H39" s="147">
        <v>80</v>
      </c>
      <c r="I39" s="150"/>
      <c r="J39" s="149">
        <v>20</v>
      </c>
      <c r="K39" s="147">
        <v>80</v>
      </c>
      <c r="L39" s="148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145" t="s">
        <v>139</v>
      </c>
      <c r="D40" s="146"/>
      <c r="E40" s="147"/>
      <c r="F40" s="148"/>
      <c r="G40" s="149"/>
      <c r="H40" s="147"/>
      <c r="I40" s="150"/>
      <c r="J40" s="149">
        <v>200</v>
      </c>
      <c r="K40" s="147"/>
      <c r="L40" s="148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145" t="s">
        <v>140</v>
      </c>
      <c r="D41" s="146">
        <v>160</v>
      </c>
      <c r="E41" s="147"/>
      <c r="F41" s="148"/>
      <c r="G41" s="149">
        <v>120</v>
      </c>
      <c r="H41" s="147">
        <v>120</v>
      </c>
      <c r="I41" s="150"/>
      <c r="J41" s="149">
        <v>120</v>
      </c>
      <c r="K41" s="147">
        <v>120</v>
      </c>
      <c r="L41" s="148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145" t="s">
        <v>141</v>
      </c>
      <c r="D42" s="146">
        <v>80</v>
      </c>
      <c r="E42" s="147"/>
      <c r="F42" s="148"/>
      <c r="G42" s="149"/>
      <c r="H42" s="147"/>
      <c r="I42" s="150"/>
      <c r="J42" s="149">
        <v>80</v>
      </c>
      <c r="K42" s="147">
        <v>80</v>
      </c>
      <c r="L42" s="148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145" t="s">
        <v>135</v>
      </c>
      <c r="D43" s="146"/>
      <c r="E43" s="147"/>
      <c r="F43" s="148"/>
      <c r="G43" s="149"/>
      <c r="H43" s="147"/>
      <c r="I43" s="150"/>
      <c r="J43" s="149">
        <v>40</v>
      </c>
      <c r="K43" s="147">
        <v>40</v>
      </c>
      <c r="L43" s="148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145" t="s">
        <v>145</v>
      </c>
      <c r="D44" s="146"/>
      <c r="E44" s="147"/>
      <c r="F44" s="148"/>
      <c r="G44" s="149"/>
      <c r="H44" s="147">
        <v>80</v>
      </c>
      <c r="I44" s="150"/>
      <c r="J44" s="149">
        <v>40</v>
      </c>
      <c r="K44" s="147"/>
      <c r="L44" s="148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146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66" t="s">
        <v>11</v>
      </c>
      <c r="C132" s="167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2058</v>
      </c>
      <c r="H132" s="88">
        <f t="shared" si="104"/>
        <v>2157</v>
      </c>
      <c r="I132" s="88">
        <f t="shared" si="104"/>
        <v>0</v>
      </c>
      <c r="J132" s="88">
        <f t="shared" si="104"/>
        <v>3539</v>
      </c>
      <c r="K132" s="88">
        <f t="shared" si="104"/>
        <v>3438</v>
      </c>
      <c r="L132" s="88">
        <f t="shared" si="104"/>
        <v>4078</v>
      </c>
      <c r="M132" s="48">
        <f t="shared" ref="M132:M135" si="105">SUM(D132:L132)/40</f>
        <v>442.75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210.75</v>
      </c>
      <c r="Q132" s="40">
        <f t="shared" ref="Q132:Q136" si="107">SUM(J132:L132)/20</f>
        <v>552.75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79" t="s">
        <v>73</v>
      </c>
      <c r="C136" s="180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8" t="s">
        <v>11</v>
      </c>
      <c r="C137" s="169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2058</v>
      </c>
      <c r="H137" s="89">
        <f t="shared" si="112"/>
        <v>2157</v>
      </c>
      <c r="I137" s="89">
        <f t="shared" si="112"/>
        <v>0</v>
      </c>
      <c r="J137" s="89">
        <f t="shared" si="112"/>
        <v>3539</v>
      </c>
      <c r="K137" s="89">
        <f t="shared" si="112"/>
        <v>3438</v>
      </c>
      <c r="L137" s="89">
        <f t="shared" si="112"/>
        <v>4078</v>
      </c>
      <c r="M137" s="60">
        <f t="shared" si="0"/>
        <v>442.75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425.5</v>
      </c>
      <c r="Q137" s="64">
        <f t="shared" si="113"/>
        <v>1111.5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tabSelected="1" topLeftCell="B2" zoomScale="85" zoomScaleNormal="85" workbookViewId="0">
      <selection activeCell="H11" sqref="H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83" t="s">
        <v>50</v>
      </c>
      <c r="D3" s="184"/>
      <c r="E3" s="184"/>
      <c r="F3" s="184"/>
      <c r="G3" s="185"/>
      <c r="H3" s="187" t="s">
        <v>65</v>
      </c>
      <c r="I3" s="188"/>
      <c r="K3" s="182" t="s">
        <v>69</v>
      </c>
      <c r="L3" s="182"/>
      <c r="M3" s="182"/>
      <c r="N3" s="182"/>
      <c r="O3" s="182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26" ht="32" customHeight="1" x14ac:dyDescent="0.55000000000000004">
      <c r="C5" s="105" t="s">
        <v>51</v>
      </c>
      <c r="D5" s="92">
        <v>608</v>
      </c>
      <c r="E5" s="79">
        <v>664</v>
      </c>
      <c r="F5" s="79">
        <v>300</v>
      </c>
      <c r="G5" s="106">
        <f>SUM(D5:F5)</f>
        <v>1572</v>
      </c>
      <c r="H5" s="99"/>
      <c r="I5" s="100">
        <f>G5-H5</f>
        <v>1572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24320</v>
      </c>
      <c r="E6" s="109">
        <f>E5*40</f>
        <v>26560</v>
      </c>
      <c r="F6" s="109">
        <f>F5*40</f>
        <v>12000</v>
      </c>
      <c r="G6" s="110">
        <f>SUM(D6:F6)</f>
        <v>62880</v>
      </c>
      <c r="H6" s="101">
        <f>H5*40</f>
        <v>0</v>
      </c>
      <c r="I6" s="102">
        <f>G6-H6</f>
        <v>62880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30"/>
      <c r="T6" s="130"/>
      <c r="U6" s="155">
        <v>46180</v>
      </c>
      <c r="V6" s="155">
        <v>46180</v>
      </c>
      <c r="W6" s="155">
        <v>46333</v>
      </c>
      <c r="X6" s="155">
        <v>46210</v>
      </c>
      <c r="Y6" s="155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54" t="s">
        <v>156</v>
      </c>
      <c r="T7" s="154" t="s">
        <v>155</v>
      </c>
      <c r="U7" s="77" t="s">
        <v>149</v>
      </c>
      <c r="V7" s="154" t="s">
        <v>153</v>
      </c>
      <c r="W7" s="154" t="s">
        <v>152</v>
      </c>
      <c r="X7" s="154" t="s">
        <v>152</v>
      </c>
      <c r="Y7" s="154" t="s">
        <v>152</v>
      </c>
      <c r="Z7" s="154" t="s">
        <v>154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148</v>
      </c>
      <c r="U8" s="153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-608</v>
      </c>
      <c r="E9" s="111">
        <f>E8-E5</f>
        <v>-664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53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150</v>
      </c>
      <c r="U10" s="153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86" t="s">
        <v>62</v>
      </c>
      <c r="D11" s="186"/>
      <c r="F11" s="186" t="s">
        <v>71</v>
      </c>
      <c r="G11" s="186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148</v>
      </c>
      <c r="U11" s="153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5006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151</v>
      </c>
      <c r="U12" s="153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200240</v>
      </c>
      <c r="S13" s="181" t="s">
        <v>154</v>
      </c>
      <c r="T13" s="181"/>
      <c r="U13" s="153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113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82" t="s">
        <v>69</v>
      </c>
      <c r="E20" s="182"/>
      <c r="F20" s="182"/>
      <c r="G20" s="182"/>
      <c r="H20" s="182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35"/>
  <sheetViews>
    <sheetView zoomScale="115" zoomScaleNormal="115" workbookViewId="0">
      <selection activeCell="H32" sqref="H32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80</v>
      </c>
      <c r="J1" s="128" t="s">
        <v>81</v>
      </c>
      <c r="K1" s="128" t="s">
        <v>79</v>
      </c>
    </row>
    <row r="2" spans="1:13" x14ac:dyDescent="0.35">
      <c r="A2" s="2"/>
      <c r="B2" s="2"/>
      <c r="C2" s="2"/>
      <c r="D2" s="2"/>
      <c r="I2" s="81" t="s">
        <v>98</v>
      </c>
      <c r="J2" s="81">
        <v>70</v>
      </c>
      <c r="K2" s="81" t="s">
        <v>99</v>
      </c>
      <c r="L2" t="s">
        <v>104</v>
      </c>
    </row>
    <row r="3" spans="1:13" x14ac:dyDescent="0.35">
      <c r="A3" s="2"/>
      <c r="B3" s="2"/>
      <c r="C3" s="2"/>
      <c r="D3" s="2"/>
      <c r="I3" s="139" t="s">
        <v>100</v>
      </c>
      <c r="J3" s="139">
        <v>10</v>
      </c>
      <c r="K3" s="139" t="s">
        <v>99</v>
      </c>
    </row>
    <row r="4" spans="1:13" x14ac:dyDescent="0.35">
      <c r="A4" s="2"/>
      <c r="B4" s="2"/>
      <c r="C4" s="2"/>
      <c r="D4" s="2"/>
      <c r="I4" s="139" t="s">
        <v>101</v>
      </c>
      <c r="J4" s="139">
        <v>9</v>
      </c>
      <c r="K4" s="139" t="s">
        <v>99</v>
      </c>
    </row>
    <row r="5" spans="1:13" x14ac:dyDescent="0.35">
      <c r="A5" s="2"/>
      <c r="B5" s="2"/>
      <c r="C5" s="2"/>
      <c r="D5" s="2"/>
      <c r="I5" s="139" t="s">
        <v>102</v>
      </c>
      <c r="J5" s="139">
        <v>18</v>
      </c>
      <c r="K5" s="139" t="s">
        <v>99</v>
      </c>
    </row>
    <row r="6" spans="1:13" x14ac:dyDescent="0.35">
      <c r="A6" s="2"/>
      <c r="B6" s="2"/>
      <c r="C6" s="2"/>
      <c r="D6" s="2"/>
      <c r="I6" s="139" t="s">
        <v>103</v>
      </c>
      <c r="J6" s="139">
        <v>5</v>
      </c>
      <c r="K6" s="139" t="s">
        <v>99</v>
      </c>
    </row>
    <row r="7" spans="1:13" x14ac:dyDescent="0.35">
      <c r="A7" s="2"/>
      <c r="B7" s="2"/>
      <c r="C7" s="2"/>
      <c r="D7" s="2"/>
      <c r="I7" s="81" t="s">
        <v>105</v>
      </c>
      <c r="J7" s="81">
        <v>14</v>
      </c>
      <c r="K7" s="81" t="s">
        <v>99</v>
      </c>
    </row>
    <row r="8" spans="1:13" x14ac:dyDescent="0.35">
      <c r="A8" s="2"/>
      <c r="B8" s="2"/>
      <c r="C8" s="2"/>
      <c r="D8" s="2"/>
      <c r="F8" s="81"/>
      <c r="G8" s="81"/>
      <c r="H8" s="81"/>
      <c r="I8" s="81" t="s">
        <v>106</v>
      </c>
      <c r="J8" s="81">
        <v>13</v>
      </c>
      <c r="K8" s="81" t="s">
        <v>99</v>
      </c>
      <c r="L8" s="133"/>
    </row>
    <row r="9" spans="1:13" x14ac:dyDescent="0.35">
      <c r="A9" s="2"/>
      <c r="B9" s="2"/>
      <c r="C9" s="2"/>
      <c r="D9" s="2"/>
      <c r="I9" s="81" t="s">
        <v>107</v>
      </c>
      <c r="J9" s="81">
        <v>4</v>
      </c>
      <c r="K9" s="81" t="s">
        <v>99</v>
      </c>
      <c r="L9" s="133"/>
    </row>
    <row r="10" spans="1:13" x14ac:dyDescent="0.35">
      <c r="A10" s="2"/>
      <c r="B10" s="2"/>
      <c r="C10" s="2"/>
      <c r="D10" s="2"/>
      <c r="H10" t="s">
        <v>104</v>
      </c>
      <c r="I10" s="152" t="s">
        <v>108</v>
      </c>
      <c r="J10" s="152">
        <v>12</v>
      </c>
      <c r="K10" s="152" t="s">
        <v>99</v>
      </c>
      <c r="L10" s="133"/>
    </row>
    <row r="11" spans="1:13" x14ac:dyDescent="0.35">
      <c r="A11" s="2"/>
      <c r="B11" s="2"/>
      <c r="C11" s="2"/>
      <c r="D11" s="2"/>
      <c r="H11" t="s">
        <v>104</v>
      </c>
      <c r="I11" s="152" t="s">
        <v>108</v>
      </c>
      <c r="J11" s="152">
        <v>19</v>
      </c>
      <c r="K11" s="152" t="s">
        <v>99</v>
      </c>
      <c r="L11" s="133"/>
    </row>
    <row r="12" spans="1:13" x14ac:dyDescent="0.35">
      <c r="A12" s="2"/>
      <c r="B12" s="2"/>
      <c r="C12" s="2"/>
      <c r="D12" s="2"/>
      <c r="I12" s="151" t="s">
        <v>114</v>
      </c>
      <c r="J12" s="151">
        <v>13</v>
      </c>
      <c r="K12" s="151" t="s">
        <v>115</v>
      </c>
      <c r="L12" s="133"/>
    </row>
    <row r="13" spans="1:13" x14ac:dyDescent="0.35">
      <c r="A13" s="2"/>
      <c r="B13" s="2"/>
      <c r="C13" s="2"/>
      <c r="D13" s="2"/>
      <c r="I13" s="81" t="s">
        <v>116</v>
      </c>
      <c r="J13" s="81">
        <v>5</v>
      </c>
      <c r="K13" s="139" t="s">
        <v>99</v>
      </c>
      <c r="L13" s="133"/>
      <c r="M13">
        <v>174</v>
      </c>
    </row>
    <row r="14" spans="1:13" x14ac:dyDescent="0.35">
      <c r="A14" s="2"/>
      <c r="B14" s="2"/>
      <c r="C14" s="2"/>
      <c r="D14" s="2"/>
      <c r="I14" s="81" t="s">
        <v>117</v>
      </c>
      <c r="J14" s="81">
        <v>8</v>
      </c>
      <c r="K14" s="139" t="s">
        <v>99</v>
      </c>
      <c r="L14" s="133"/>
      <c r="M14">
        <v>99</v>
      </c>
    </row>
    <row r="15" spans="1:13" x14ac:dyDescent="0.35">
      <c r="A15" s="2"/>
      <c r="B15" s="2"/>
      <c r="C15" s="2"/>
      <c r="D15" s="2"/>
      <c r="I15" s="81" t="s">
        <v>98</v>
      </c>
      <c r="J15" s="81">
        <v>10</v>
      </c>
      <c r="K15" s="139" t="s">
        <v>99</v>
      </c>
      <c r="M15">
        <f>M13+M14</f>
        <v>273</v>
      </c>
    </row>
    <row r="16" spans="1:13" x14ac:dyDescent="0.35">
      <c r="A16" s="2"/>
      <c r="B16" s="2"/>
      <c r="C16" s="2"/>
      <c r="D16" s="2"/>
      <c r="I16" s="81" t="s">
        <v>120</v>
      </c>
      <c r="J16" s="81">
        <v>5</v>
      </c>
      <c r="K16" s="139" t="s">
        <v>99</v>
      </c>
      <c r="L16" s="134"/>
    </row>
    <row r="17" spans="1:12" x14ac:dyDescent="0.35">
      <c r="A17" s="2"/>
      <c r="B17" s="2"/>
      <c r="C17" s="2"/>
      <c r="D17" s="2"/>
      <c r="I17" s="81" t="s">
        <v>121</v>
      </c>
      <c r="J17" s="81">
        <v>4</v>
      </c>
      <c r="K17" s="139" t="s">
        <v>99</v>
      </c>
    </row>
    <row r="18" spans="1:12" x14ac:dyDescent="0.35">
      <c r="A18" s="2"/>
      <c r="B18" s="2"/>
      <c r="C18" s="2"/>
      <c r="D18" s="2"/>
      <c r="I18" s="81" t="s">
        <v>122</v>
      </c>
      <c r="J18" s="81">
        <v>9</v>
      </c>
      <c r="K18" s="139" t="s">
        <v>99</v>
      </c>
    </row>
    <row r="19" spans="1:12" ht="15" thickBot="1" x14ac:dyDescent="0.4">
      <c r="A19" s="83"/>
      <c r="B19" s="83"/>
      <c r="C19" s="83"/>
      <c r="D19" s="83"/>
      <c r="I19" s="81" t="s">
        <v>123</v>
      </c>
      <c r="J19" s="81">
        <v>6</v>
      </c>
      <c r="K19" s="139" t="s">
        <v>99</v>
      </c>
    </row>
    <row r="20" spans="1:12" ht="15" thickBot="1" x14ac:dyDescent="0.4">
      <c r="A20" s="84"/>
      <c r="B20" s="85"/>
      <c r="C20" s="85"/>
      <c r="D20" s="86"/>
      <c r="I20" s="81" t="s">
        <v>124</v>
      </c>
      <c r="J20" s="81">
        <v>30</v>
      </c>
      <c r="K20" s="139" t="s">
        <v>99</v>
      </c>
    </row>
    <row r="21" spans="1:12" x14ac:dyDescent="0.35">
      <c r="I21" s="81" t="s">
        <v>25</v>
      </c>
      <c r="J21" s="81">
        <v>22</v>
      </c>
      <c r="K21" s="139" t="s">
        <v>99</v>
      </c>
    </row>
    <row r="22" spans="1:12" x14ac:dyDescent="0.35">
      <c r="I22" s="79" t="s">
        <v>98</v>
      </c>
      <c r="J22" s="81">
        <v>15</v>
      </c>
      <c r="K22" s="81" t="s">
        <v>99</v>
      </c>
      <c r="L22">
        <v>11</v>
      </c>
    </row>
    <row r="23" spans="1:12" x14ac:dyDescent="0.35">
      <c r="I23" s="79" t="s">
        <v>128</v>
      </c>
      <c r="J23" s="81">
        <v>4</v>
      </c>
      <c r="K23" s="81" t="s">
        <v>99</v>
      </c>
      <c r="L23">
        <v>11</v>
      </c>
    </row>
    <row r="24" spans="1:12" x14ac:dyDescent="0.35">
      <c r="I24" s="79" t="s">
        <v>129</v>
      </c>
      <c r="J24" s="81">
        <v>50</v>
      </c>
      <c r="K24" s="81" t="s">
        <v>99</v>
      </c>
      <c r="L24">
        <v>11</v>
      </c>
    </row>
    <row r="25" spans="1:12" x14ac:dyDescent="0.35">
      <c r="I25" s="79" t="s">
        <v>130</v>
      </c>
      <c r="J25" s="81">
        <v>5</v>
      </c>
      <c r="K25" s="81" t="s">
        <v>99</v>
      </c>
      <c r="L25">
        <v>11</v>
      </c>
    </row>
    <row r="26" spans="1:12" x14ac:dyDescent="0.35">
      <c r="I26" s="79" t="s">
        <v>137</v>
      </c>
      <c r="J26" s="81">
        <v>50</v>
      </c>
      <c r="K26" s="81" t="s">
        <v>99</v>
      </c>
    </row>
    <row r="27" spans="1:12" x14ac:dyDescent="0.35">
      <c r="I27" s="79" t="s">
        <v>131</v>
      </c>
      <c r="J27" s="79">
        <v>5</v>
      </c>
      <c r="K27" s="152" t="s">
        <v>99</v>
      </c>
    </row>
    <row r="28" spans="1:12" x14ac:dyDescent="0.35">
      <c r="I28" s="79" t="s">
        <v>132</v>
      </c>
      <c r="J28" s="79">
        <v>7</v>
      </c>
      <c r="K28" s="152" t="s">
        <v>99</v>
      </c>
    </row>
    <row r="29" spans="1:12" x14ac:dyDescent="0.35">
      <c r="I29" s="79" t="s">
        <v>133</v>
      </c>
      <c r="J29" s="79">
        <v>21</v>
      </c>
      <c r="K29" s="152" t="s">
        <v>99</v>
      </c>
    </row>
    <row r="30" spans="1:12" x14ac:dyDescent="0.35">
      <c r="I30" s="79" t="s">
        <v>134</v>
      </c>
      <c r="J30" s="79">
        <v>8</v>
      </c>
      <c r="K30" s="152" t="s">
        <v>99</v>
      </c>
    </row>
    <row r="31" spans="1:12" x14ac:dyDescent="0.35">
      <c r="I31" s="79" t="s">
        <v>135</v>
      </c>
      <c r="J31" s="79">
        <v>4</v>
      </c>
      <c r="K31" s="152" t="s">
        <v>99</v>
      </c>
    </row>
    <row r="32" spans="1:12" x14ac:dyDescent="0.35">
      <c r="I32" s="79" t="s">
        <v>136</v>
      </c>
      <c r="J32" s="79">
        <v>4</v>
      </c>
      <c r="K32" s="152" t="s">
        <v>99</v>
      </c>
    </row>
    <row r="33" spans="8:11" x14ac:dyDescent="0.35">
      <c r="H33">
        <v>14</v>
      </c>
      <c r="I33" s="79" t="s">
        <v>142</v>
      </c>
      <c r="J33" s="79">
        <v>35</v>
      </c>
      <c r="K33" s="2" t="s">
        <v>99</v>
      </c>
    </row>
    <row r="34" spans="8:11" x14ac:dyDescent="0.35">
      <c r="I34" s="79" t="s">
        <v>144</v>
      </c>
      <c r="J34" s="79">
        <v>305</v>
      </c>
      <c r="K34" s="2" t="s">
        <v>143</v>
      </c>
    </row>
    <row r="35" spans="8:11" x14ac:dyDescent="0.35">
      <c r="I35" s="79" t="s">
        <v>147</v>
      </c>
      <c r="J35" s="2">
        <v>125</v>
      </c>
      <c r="K35" s="2" t="s">
        <v>143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2026-07-15T10:53:29Z</dcterms:modified>
</cp:coreProperties>
</file>