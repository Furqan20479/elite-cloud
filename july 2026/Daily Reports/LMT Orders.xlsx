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F8784412-C76C-43D4-96D5-277BD21D0013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<sst xmlns="http://schemas.openxmlformats.org/spreadsheetml/2006/main" count="352" uniqueCount="180">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</sst>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0" fontId="0" fillId="0" borderId="30" xfId="0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37" zoomScaleNormal="100" workbookViewId="0">
      <selection activeCell="E51" sqref="E51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0">
        <f ca="1">TODAY()</f>
        <v>46221</v>
      </c>
      <c r="C1" s="170"/>
      <c r="D1" s="170"/>
      <c r="E1" s="170"/>
      <c r="F1" s="17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7" t="s">
        <v>37</v>
      </c>
      <c r="B2" s="17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9"/>
      <c r="N2" s="160"/>
      <c r="O2" s="161"/>
      <c r="P2" s="162" t="s">
        <v>14</v>
      </c>
      <c r="Q2" s="16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7"/>
      <c r="B3" s="17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4" t="s">
        <v>11</v>
      </c>
      <c r="N3" s="165"/>
      <c r="O3" s="166"/>
      <c r="P3" s="71"/>
      <c r="Q3" s="72"/>
      <c r="R3" s="174" t="s">
        <v>16</v>
      </c>
      <c r="S3" s="175"/>
      <c r="T3" s="175"/>
      <c r="U3" s="176"/>
      <c r="V3" s="177" t="s">
        <v>17</v>
      </c>
      <c r="W3" s="178"/>
      <c r="X3" s="178"/>
      <c r="Y3" s="179"/>
    </row>
    <row r="4" spans="1:25" ht="15" thickBot="1" x14ac:dyDescent="0.4">
      <c r="A4" s="167"/>
      <c r="B4" s="17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109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110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111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106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112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105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118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119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120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125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126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122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127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128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129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130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137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132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138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139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140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135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144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145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141" t="s">
        <v>25</v>
      </c>
      <c r="D46" s="142"/>
      <c r="E46" s="143"/>
      <c r="F46" s="144"/>
      <c r="G46" s="145">
        <v>160</v>
      </c>
      <c r="H46" s="143">
        <v>120</v>
      </c>
      <c r="I46" s="146"/>
      <c r="J46" s="145">
        <v>160</v>
      </c>
      <c r="K46" s="143"/>
      <c r="L46" s="144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141" t="s">
        <v>167</v>
      </c>
      <c r="D47" s="142"/>
      <c r="E47" s="143"/>
      <c r="F47" s="144"/>
      <c r="G47" s="145">
        <v>80</v>
      </c>
      <c r="H47" s="143">
        <v>80</v>
      </c>
      <c r="I47" s="146"/>
      <c r="J47" s="145">
        <v>80</v>
      </c>
      <c r="K47" s="143"/>
      <c r="L47" s="144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141" t="s">
        <v>108</v>
      </c>
      <c r="D48" s="142"/>
      <c r="E48" s="143"/>
      <c r="F48" s="144"/>
      <c r="G48" s="145">
        <v>80</v>
      </c>
      <c r="H48" s="143">
        <v>120</v>
      </c>
      <c r="I48" s="146"/>
      <c r="J48" s="145">
        <v>160</v>
      </c>
      <c r="K48" s="143"/>
      <c r="L48" s="144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141" t="s">
        <v>168</v>
      </c>
      <c r="D49" s="142"/>
      <c r="E49" s="143"/>
      <c r="F49" s="144"/>
      <c r="G49" s="145">
        <v>160</v>
      </c>
      <c r="H49" s="143">
        <v>160</v>
      </c>
      <c r="I49" s="146"/>
      <c r="J49" s="145">
        <v>120</v>
      </c>
      <c r="K49" s="143"/>
      <c r="L49" s="144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141" t="s">
        <v>169</v>
      </c>
      <c r="D50" s="142"/>
      <c r="E50" s="143"/>
      <c r="F50" s="144"/>
      <c r="G50" s="145">
        <v>120</v>
      </c>
      <c r="H50" s="143">
        <v>120</v>
      </c>
      <c r="I50" s="146"/>
      <c r="J50" s="145">
        <v>120</v>
      </c>
      <c r="K50" s="143"/>
      <c r="L50" s="144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2"/>
      <c r="J57" s="75"/>
      <c r="K57" s="75"/>
      <c r="L57" s="75"/>
      <c r="M57" s="135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2"/>
      <c r="J58" s="75"/>
      <c r="K58" s="75"/>
      <c r="L58" s="75"/>
      <c r="M58" s="135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2"/>
      <c r="J59" s="75"/>
      <c r="K59" s="75"/>
      <c r="L59" s="75"/>
      <c r="M59" s="135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2"/>
      <c r="J60" s="75"/>
      <c r="K60" s="75"/>
      <c r="L60" s="75"/>
      <c r="M60" s="135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3"/>
      <c r="D61" s="75"/>
      <c r="E61" s="75"/>
      <c r="F61" s="75"/>
      <c r="G61" s="75"/>
      <c r="H61" s="75"/>
      <c r="I61" s="132"/>
      <c r="J61" s="75"/>
      <c r="K61" s="75"/>
      <c r="L61" s="75"/>
      <c r="M61" s="135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3"/>
      <c r="D62" s="75"/>
      <c r="E62" s="75"/>
      <c r="F62" s="75"/>
      <c r="G62" s="75"/>
      <c r="H62" s="75"/>
      <c r="I62" s="132"/>
      <c r="J62" s="75"/>
      <c r="K62" s="75"/>
      <c r="L62" s="75"/>
      <c r="M62" s="135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3"/>
      <c r="D63" s="75"/>
      <c r="E63" s="75"/>
      <c r="F63" s="75"/>
      <c r="G63" s="75"/>
      <c r="H63" s="75"/>
      <c r="I63" s="132"/>
      <c r="J63" s="75"/>
      <c r="K63" s="75"/>
      <c r="L63" s="75"/>
      <c r="M63" s="135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3"/>
      <c r="D64" s="75"/>
      <c r="E64" s="75"/>
      <c r="F64" s="75"/>
      <c r="G64" s="75"/>
      <c r="H64" s="75"/>
      <c r="I64" s="132"/>
      <c r="J64" s="75"/>
      <c r="K64" s="75"/>
      <c r="L64" s="75"/>
      <c r="M64" s="135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3"/>
      <c r="D65" s="75"/>
      <c r="E65" s="75"/>
      <c r="F65" s="75"/>
      <c r="G65" s="75"/>
      <c r="H65" s="75"/>
      <c r="I65" s="132"/>
      <c r="J65" s="75"/>
      <c r="K65" s="75"/>
      <c r="L65" s="75"/>
      <c r="M65" s="135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3"/>
      <c r="D66" s="75"/>
      <c r="E66" s="75"/>
      <c r="F66" s="75"/>
      <c r="G66" s="75"/>
      <c r="H66" s="75"/>
      <c r="I66" s="132"/>
      <c r="J66" s="75"/>
      <c r="K66" s="75"/>
      <c r="L66" s="75"/>
      <c r="M66" s="135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3"/>
      <c r="D67" s="75"/>
      <c r="E67" s="75"/>
      <c r="F67" s="75"/>
      <c r="G67" s="75"/>
      <c r="H67" s="75"/>
      <c r="I67" s="132"/>
      <c r="J67" s="75"/>
      <c r="K67" s="75"/>
      <c r="L67" s="75"/>
      <c r="M67" s="135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3"/>
      <c r="D68" s="75"/>
      <c r="E68" s="75"/>
      <c r="F68" s="75"/>
      <c r="G68" s="75"/>
      <c r="H68" s="75"/>
      <c r="I68" s="132"/>
      <c r="J68" s="75"/>
      <c r="K68" s="75"/>
      <c r="L68" s="75"/>
      <c r="M68" s="135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3"/>
      <c r="D69" s="75"/>
      <c r="E69" s="75"/>
      <c r="F69" s="75"/>
      <c r="G69" s="75"/>
      <c r="H69" s="75"/>
      <c r="I69" s="132"/>
      <c r="J69" s="75"/>
      <c r="K69" s="75"/>
      <c r="L69" s="75"/>
      <c r="M69" s="135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3"/>
      <c r="D70" s="75"/>
      <c r="E70" s="75"/>
      <c r="F70" s="75"/>
      <c r="G70" s="75"/>
      <c r="H70" s="75"/>
      <c r="I70" s="132"/>
      <c r="J70" s="75"/>
      <c r="K70" s="75"/>
      <c r="L70" s="75"/>
      <c r="M70" s="135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3"/>
      <c r="D71" s="75"/>
      <c r="E71" s="75"/>
      <c r="F71" s="75"/>
      <c r="G71" s="75"/>
      <c r="H71" s="75"/>
      <c r="I71" s="132"/>
      <c r="J71" s="75"/>
      <c r="K71" s="75"/>
      <c r="L71" s="75"/>
      <c r="M71" s="135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3"/>
      <c r="D72" s="75"/>
      <c r="E72" s="75"/>
      <c r="F72" s="75"/>
      <c r="G72" s="75"/>
      <c r="H72" s="75"/>
      <c r="I72" s="132"/>
      <c r="J72" s="75"/>
      <c r="K72" s="75"/>
      <c r="L72" s="75"/>
      <c r="M72" s="135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3"/>
      <c r="D73" s="75"/>
      <c r="E73" s="75"/>
      <c r="F73" s="75"/>
      <c r="G73" s="75"/>
      <c r="H73" s="75"/>
      <c r="I73" s="132"/>
      <c r="J73" s="75"/>
      <c r="K73" s="75"/>
      <c r="L73" s="75"/>
      <c r="M73" s="135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4"/>
      <c r="D74" s="75"/>
      <c r="E74" s="75"/>
      <c r="F74" s="50"/>
      <c r="G74" s="75"/>
      <c r="H74" s="75"/>
      <c r="I74" s="132"/>
      <c r="J74" s="75"/>
      <c r="K74" s="75"/>
      <c r="L74" s="75"/>
      <c r="M74" s="135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80" t="s">
        <v>11</v>
      </c>
      <c r="C132" s="181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2658</v>
      </c>
      <c r="H132" s="88">
        <f t="shared" si="104"/>
        <v>2757</v>
      </c>
      <c r="I132" s="88">
        <f t="shared" si="104"/>
        <v>0</v>
      </c>
      <c r="J132" s="88">
        <f t="shared" si="104"/>
        <v>4179</v>
      </c>
      <c r="K132" s="88">
        <f t="shared" si="104"/>
        <v>3438</v>
      </c>
      <c r="L132" s="88">
        <f t="shared" si="104"/>
        <v>5078</v>
      </c>
      <c r="M132" s="48">
        <f t="shared" ref="M132:M135" si="105">SUM(D132:L132)/40</f>
        <v>513.75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270.75</v>
      </c>
      <c r="Q132" s="40">
        <f t="shared" ref="Q132:Q136" si="107">SUM(J132:L132)/20</f>
        <v>634.75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8" t="s">
        <v>73</v>
      </c>
      <c r="C136" s="169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7" t="s">
        <v>11</v>
      </c>
      <c r="C137" s="158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2658</v>
      </c>
      <c r="H137" s="89">
        <f t="shared" si="112"/>
        <v>2757</v>
      </c>
      <c r="I137" s="89">
        <f t="shared" si="112"/>
        <v>0</v>
      </c>
      <c r="J137" s="89">
        <f t="shared" si="112"/>
        <v>4179</v>
      </c>
      <c r="K137" s="89">
        <f t="shared" si="112"/>
        <v>3438</v>
      </c>
      <c r="L137" s="89">
        <f t="shared" si="112"/>
        <v>5078</v>
      </c>
      <c r="M137" s="60">
        <f t="shared" si="0"/>
        <v>513.75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545.5</v>
      </c>
      <c r="Q137" s="64">
        <f t="shared" si="113"/>
        <v>1275.5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4" t="s">
        <v>50</v>
      </c>
      <c r="D3" s="185"/>
      <c r="E3" s="185"/>
      <c r="F3" s="185"/>
      <c r="G3" s="186"/>
      <c r="H3" s="188" t="s">
        <v>65</v>
      </c>
      <c r="I3" s="189"/>
      <c r="K3" s="183" t="s">
        <v>69</v>
      </c>
      <c r="L3" s="183"/>
      <c r="M3" s="183"/>
      <c r="N3" s="183"/>
      <c r="O3" s="183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26" ht="32" customHeight="1" x14ac:dyDescent="0.55000000000000004">
      <c r="C5" s="105" t="s">
        <v>51</v>
      </c>
      <c r="D5" s="92">
        <v>670</v>
      </c>
      <c r="E5" s="79">
        <v>735</v>
      </c>
      <c r="F5" s="79">
        <v>300</v>
      </c>
      <c r="G5" s="106">
        <f>SUM(D5:F5)</f>
        <v>1705</v>
      </c>
      <c r="H5" s="99"/>
      <c r="I5" s="100">
        <f>G5-H5</f>
        <v>1705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26800</v>
      </c>
      <c r="E6" s="109">
        <f>E5*40</f>
        <v>29400</v>
      </c>
      <c r="F6" s="109">
        <f>F5*40</f>
        <v>12000</v>
      </c>
      <c r="G6" s="110">
        <f>SUM(D6:F6)</f>
        <v>68200</v>
      </c>
      <c r="H6" s="101">
        <f>H5*40</f>
        <v>0</v>
      </c>
      <c r="I6" s="102">
        <f>G6-H6</f>
        <v>68200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9">
        <v>46180</v>
      </c>
      <c r="V6" s="149">
        <v>46180</v>
      </c>
      <c r="W6" s="149">
        <v>46333</v>
      </c>
      <c r="X6" s="149">
        <v>46210</v>
      </c>
      <c r="Y6" s="149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8" t="s">
        <v>155</v>
      </c>
      <c r="T7" s="148" t="s">
        <v>154</v>
      </c>
      <c r="U7" s="77" t="s">
        <v>148</v>
      </c>
      <c r="V7" s="148" t="s">
        <v>152</v>
      </c>
      <c r="W7" s="148" t="s">
        <v>151</v>
      </c>
      <c r="X7" s="148" t="s">
        <v>151</v>
      </c>
      <c r="Y7" s="148" t="s">
        <v>151</v>
      </c>
      <c r="Z7" s="148" t="s">
        <v>153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147</v>
      </c>
      <c r="U8" s="147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-670</v>
      </c>
      <c r="E9" s="111">
        <f>E8-E5</f>
        <v>-735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7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149</v>
      </c>
      <c r="U10" s="147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87" t="s">
        <v>62</v>
      </c>
      <c r="D11" s="187"/>
      <c r="F11" s="187" t="s">
        <v>71</v>
      </c>
      <c r="G11" s="187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147</v>
      </c>
      <c r="U11" s="147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5139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150</v>
      </c>
      <c r="U12" s="147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205560</v>
      </c>
      <c r="S13" s="182" t="s">
        <v>153</v>
      </c>
      <c r="T13" s="182"/>
      <c r="U13" s="147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113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3" t="s">
        <v>69</v>
      </c>
      <c r="E20" s="183"/>
      <c r="F20" s="183"/>
      <c r="G20" s="183"/>
      <c r="H20" s="183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49"/>
  <sheetViews>
    <sheetView tabSelected="1" topLeftCell="C1" zoomScale="115" zoomScaleNormal="115" workbookViewId="0">
      <pane ySplit="1" topLeftCell="A41" activePane="bottomLeft" state="frozen"/>
      <selection activeCell="C1" sqref="C1"/>
      <selection pane="bottomLeft" activeCell="K51" sqref="K51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56"/>
      <c r="H1" s="152" t="s">
        <v>37</v>
      </c>
      <c r="I1" s="152" t="s">
        <v>80</v>
      </c>
      <c r="J1" s="152" t="s">
        <v>81</v>
      </c>
      <c r="K1" s="152" t="s">
        <v>79</v>
      </c>
      <c r="L1" s="153" t="s">
        <v>159</v>
      </c>
      <c r="M1" s="153" t="s">
        <v>161</v>
      </c>
    </row>
    <row r="2" spans="1:13" x14ac:dyDescent="0.35">
      <c r="A2" s="2"/>
      <c r="B2" s="2"/>
      <c r="C2" s="2"/>
      <c r="D2" s="2"/>
      <c r="H2" s="2"/>
      <c r="I2" s="79" t="s">
        <v>98</v>
      </c>
      <c r="J2" s="79">
        <v>70</v>
      </c>
      <c r="K2" s="147" t="s">
        <v>99</v>
      </c>
      <c r="L2" s="79" t="s">
        <v>160</v>
      </c>
      <c r="M2" s="79">
        <f>J2*40</f>
        <v>2800</v>
      </c>
    </row>
    <row r="3" spans="1:13" x14ac:dyDescent="0.35">
      <c r="A3" s="2"/>
      <c r="B3" s="2"/>
      <c r="C3" s="2"/>
      <c r="D3" s="2"/>
      <c r="H3" s="2"/>
      <c r="I3" s="79" t="s">
        <v>100</v>
      </c>
      <c r="J3" s="79">
        <v>10</v>
      </c>
      <c r="K3" s="147" t="s">
        <v>99</v>
      </c>
      <c r="L3" s="79" t="s">
        <v>160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2"/>
      <c r="I4" s="79" t="s">
        <v>101</v>
      </c>
      <c r="J4" s="79">
        <v>9</v>
      </c>
      <c r="K4" s="147" t="s">
        <v>99</v>
      </c>
      <c r="L4" s="79" t="s">
        <v>160</v>
      </c>
      <c r="M4" s="79">
        <f t="shared" si="0"/>
        <v>360</v>
      </c>
    </row>
    <row r="5" spans="1:13" x14ac:dyDescent="0.35">
      <c r="A5" s="2"/>
      <c r="B5" s="2"/>
      <c r="C5" s="2"/>
      <c r="D5" s="2"/>
      <c r="H5" s="2"/>
      <c r="I5" s="79" t="s">
        <v>102</v>
      </c>
      <c r="J5" s="79">
        <v>18</v>
      </c>
      <c r="K5" s="147" t="s">
        <v>99</v>
      </c>
      <c r="L5" s="79" t="s">
        <v>160</v>
      </c>
      <c r="M5" s="79">
        <f t="shared" si="0"/>
        <v>720</v>
      </c>
    </row>
    <row r="6" spans="1:13" x14ac:dyDescent="0.35">
      <c r="A6" s="2"/>
      <c r="B6" s="2"/>
      <c r="C6" s="2"/>
      <c r="D6" s="2"/>
      <c r="H6" s="2"/>
      <c r="I6" s="79" t="s">
        <v>103</v>
      </c>
      <c r="J6" s="79">
        <v>5</v>
      </c>
      <c r="K6" s="147" t="s">
        <v>99</v>
      </c>
      <c r="L6" s="79" t="s">
        <v>160</v>
      </c>
      <c r="M6" s="79">
        <f t="shared" si="0"/>
        <v>200</v>
      </c>
    </row>
    <row r="7" spans="1:13" x14ac:dyDescent="0.35">
      <c r="A7" s="2"/>
      <c r="B7" s="2"/>
      <c r="C7" s="2"/>
      <c r="D7" s="2"/>
      <c r="H7" s="2"/>
      <c r="I7" s="79" t="s">
        <v>105</v>
      </c>
      <c r="J7" s="79">
        <v>14</v>
      </c>
      <c r="K7" s="147" t="s">
        <v>99</v>
      </c>
      <c r="L7" s="79" t="s">
        <v>160</v>
      </c>
      <c r="M7" s="79">
        <f t="shared" si="0"/>
        <v>560</v>
      </c>
    </row>
    <row r="8" spans="1:13" x14ac:dyDescent="0.35">
      <c r="A8" s="2"/>
      <c r="B8" s="2"/>
      <c r="C8" s="2"/>
      <c r="D8" s="2"/>
      <c r="F8" s="81"/>
      <c r="G8" s="154"/>
      <c r="H8" s="81"/>
      <c r="I8" s="79" t="s">
        <v>106</v>
      </c>
      <c r="J8" s="79">
        <v>13</v>
      </c>
      <c r="K8" s="147" t="s">
        <v>99</v>
      </c>
      <c r="L8" s="79" t="s">
        <v>160</v>
      </c>
      <c r="M8" s="79">
        <f t="shared" si="0"/>
        <v>520</v>
      </c>
    </row>
    <row r="9" spans="1:13" x14ac:dyDescent="0.35">
      <c r="A9" s="2"/>
      <c r="B9" s="2"/>
      <c r="C9" s="2"/>
      <c r="D9" s="2"/>
      <c r="H9" s="2"/>
      <c r="I9" s="79" t="s">
        <v>107</v>
      </c>
      <c r="J9" s="79">
        <v>4</v>
      </c>
      <c r="K9" s="147" t="s">
        <v>99</v>
      </c>
      <c r="L9" s="79" t="s">
        <v>160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2" t="s">
        <v>104</v>
      </c>
      <c r="I10" s="79" t="s">
        <v>108</v>
      </c>
      <c r="J10" s="79">
        <v>12</v>
      </c>
      <c r="K10" s="151" t="s">
        <v>99</v>
      </c>
      <c r="L10" s="79" t="s">
        <v>158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2" t="s">
        <v>104</v>
      </c>
      <c r="I11" s="79" t="s">
        <v>108</v>
      </c>
      <c r="J11" s="79">
        <v>19</v>
      </c>
      <c r="K11" s="151" t="s">
        <v>99</v>
      </c>
      <c r="L11" s="79" t="s">
        <v>158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50" t="s">
        <v>114</v>
      </c>
      <c r="J12" s="150">
        <v>13</v>
      </c>
      <c r="K12" s="150" t="s">
        <v>115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2"/>
      <c r="I13" s="79" t="s">
        <v>116</v>
      </c>
      <c r="J13" s="79">
        <v>5</v>
      </c>
      <c r="K13" s="147" t="s">
        <v>99</v>
      </c>
      <c r="L13" s="79" t="s">
        <v>160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2"/>
      <c r="I14" s="79" t="s">
        <v>117</v>
      </c>
      <c r="J14" s="79">
        <v>8</v>
      </c>
      <c r="K14" s="147" t="s">
        <v>99</v>
      </c>
      <c r="L14" s="79" t="s">
        <v>160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2"/>
      <c r="I15" s="79" t="s">
        <v>98</v>
      </c>
      <c r="J15" s="79">
        <v>10</v>
      </c>
      <c r="K15" s="147" t="s">
        <v>99</v>
      </c>
      <c r="L15" s="79" t="s">
        <v>160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2"/>
      <c r="I16" s="79" t="s">
        <v>120</v>
      </c>
      <c r="J16" s="79">
        <v>5</v>
      </c>
      <c r="K16" s="147" t="s">
        <v>99</v>
      </c>
      <c r="L16" s="79" t="s">
        <v>160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2"/>
      <c r="I17" s="79" t="s">
        <v>121</v>
      </c>
      <c r="J17" s="79">
        <v>4</v>
      </c>
      <c r="K17" s="147" t="s">
        <v>99</v>
      </c>
      <c r="L17" s="79" t="s">
        <v>160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2"/>
      <c r="I18" s="79" t="s">
        <v>122</v>
      </c>
      <c r="J18" s="79">
        <v>9</v>
      </c>
      <c r="K18" s="147" t="s">
        <v>99</v>
      </c>
      <c r="L18" s="79" t="s">
        <v>160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2"/>
      <c r="I19" s="79" t="s">
        <v>123</v>
      </c>
      <c r="J19" s="79">
        <v>6</v>
      </c>
      <c r="K19" s="147" t="s">
        <v>99</v>
      </c>
      <c r="L19" s="79" t="s">
        <v>160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2"/>
      <c r="I20" s="79" t="s">
        <v>124</v>
      </c>
      <c r="J20" s="79">
        <v>30</v>
      </c>
      <c r="K20" s="147" t="s">
        <v>99</v>
      </c>
      <c r="L20" s="79" t="s">
        <v>160</v>
      </c>
      <c r="M20" s="79">
        <f t="shared" si="0"/>
        <v>1200</v>
      </c>
    </row>
    <row r="21" spans="1:13" x14ac:dyDescent="0.35">
      <c r="H21" s="2"/>
      <c r="I21" s="79" t="s">
        <v>25</v>
      </c>
      <c r="J21" s="79">
        <v>22</v>
      </c>
      <c r="K21" s="147" t="s">
        <v>99</v>
      </c>
      <c r="L21" s="79" t="s">
        <v>160</v>
      </c>
      <c r="M21" s="79">
        <f t="shared" si="0"/>
        <v>880</v>
      </c>
    </row>
    <row r="22" spans="1:13" x14ac:dyDescent="0.35">
      <c r="H22" s="155">
        <v>46333</v>
      </c>
      <c r="I22" s="79" t="s">
        <v>98</v>
      </c>
      <c r="J22" s="79">
        <v>15</v>
      </c>
      <c r="K22" s="147" t="s">
        <v>99</v>
      </c>
      <c r="L22" s="79" t="s">
        <v>160</v>
      </c>
      <c r="M22" s="79">
        <f t="shared" si="0"/>
        <v>600</v>
      </c>
    </row>
    <row r="23" spans="1:13" x14ac:dyDescent="0.35">
      <c r="H23" s="155">
        <v>46333</v>
      </c>
      <c r="I23" s="79" t="s">
        <v>128</v>
      </c>
      <c r="J23" s="79">
        <v>4</v>
      </c>
      <c r="K23" s="147" t="s">
        <v>99</v>
      </c>
      <c r="L23" s="79" t="s">
        <v>160</v>
      </c>
      <c r="M23" s="79">
        <f t="shared" si="0"/>
        <v>160</v>
      </c>
    </row>
    <row r="24" spans="1:13" x14ac:dyDescent="0.35">
      <c r="H24" s="155">
        <v>46333</v>
      </c>
      <c r="I24" s="79" t="s">
        <v>129</v>
      </c>
      <c r="J24" s="79">
        <v>50</v>
      </c>
      <c r="K24" s="147" t="s">
        <v>99</v>
      </c>
      <c r="L24" s="79" t="s">
        <v>160</v>
      </c>
      <c r="M24" s="79">
        <f t="shared" si="0"/>
        <v>2000</v>
      </c>
    </row>
    <row r="25" spans="1:13" x14ac:dyDescent="0.35">
      <c r="H25" s="155">
        <v>46333</v>
      </c>
      <c r="I25" s="79" t="s">
        <v>130</v>
      </c>
      <c r="J25" s="79">
        <v>5</v>
      </c>
      <c r="K25" s="147" t="s">
        <v>99</v>
      </c>
      <c r="L25" s="79" t="s">
        <v>160</v>
      </c>
      <c r="M25" s="79">
        <f t="shared" si="0"/>
        <v>200</v>
      </c>
    </row>
    <row r="26" spans="1:13" x14ac:dyDescent="0.35">
      <c r="H26" s="155">
        <v>46333</v>
      </c>
      <c r="I26" s="79" t="s">
        <v>162</v>
      </c>
      <c r="J26" s="79">
        <v>50</v>
      </c>
      <c r="K26" s="147" t="s">
        <v>99</v>
      </c>
      <c r="L26" s="79" t="s">
        <v>160</v>
      </c>
      <c r="M26" s="79">
        <f t="shared" si="0"/>
        <v>2000</v>
      </c>
    </row>
    <row r="27" spans="1:13" x14ac:dyDescent="0.35">
      <c r="H27" s="2" t="s">
        <v>163</v>
      </c>
      <c r="I27" s="79" t="s">
        <v>131</v>
      </c>
      <c r="J27" s="79">
        <v>5</v>
      </c>
      <c r="K27" s="147" t="s">
        <v>99</v>
      </c>
      <c r="L27" s="79" t="s">
        <v>160</v>
      </c>
      <c r="M27" s="79">
        <f t="shared" si="0"/>
        <v>200</v>
      </c>
    </row>
    <row r="28" spans="1:13" x14ac:dyDescent="0.35">
      <c r="H28" s="2" t="s">
        <v>163</v>
      </c>
      <c r="I28" s="79" t="s">
        <v>132</v>
      </c>
      <c r="J28" s="79">
        <v>7</v>
      </c>
      <c r="K28" s="147" t="s">
        <v>99</v>
      </c>
      <c r="L28" s="79" t="s">
        <v>160</v>
      </c>
      <c r="M28" s="79">
        <f t="shared" si="0"/>
        <v>280</v>
      </c>
    </row>
    <row r="29" spans="1:13" x14ac:dyDescent="0.35">
      <c r="H29" s="2" t="s">
        <v>163</v>
      </c>
      <c r="I29" s="79" t="s">
        <v>133</v>
      </c>
      <c r="J29" s="79">
        <v>21</v>
      </c>
      <c r="K29" s="147" t="s">
        <v>99</v>
      </c>
      <c r="L29" s="79" t="s">
        <v>160</v>
      </c>
      <c r="M29" s="79">
        <f t="shared" si="0"/>
        <v>840</v>
      </c>
    </row>
    <row r="30" spans="1:13" x14ac:dyDescent="0.35">
      <c r="H30" s="2" t="s">
        <v>163</v>
      </c>
      <c r="I30" s="79" t="s">
        <v>134</v>
      </c>
      <c r="J30" s="79">
        <v>8</v>
      </c>
      <c r="K30" s="147" t="s">
        <v>99</v>
      </c>
      <c r="L30" s="79" t="s">
        <v>160</v>
      </c>
      <c r="M30" s="79">
        <f t="shared" si="0"/>
        <v>320</v>
      </c>
    </row>
    <row r="31" spans="1:13" x14ac:dyDescent="0.35">
      <c r="H31" s="2" t="s">
        <v>163</v>
      </c>
      <c r="I31" s="79" t="s">
        <v>135</v>
      </c>
      <c r="J31" s="79">
        <v>4</v>
      </c>
      <c r="K31" s="147" t="s">
        <v>99</v>
      </c>
      <c r="L31" s="79" t="s">
        <v>160</v>
      </c>
      <c r="M31" s="79">
        <f t="shared" si="0"/>
        <v>160</v>
      </c>
    </row>
    <row r="32" spans="1:13" x14ac:dyDescent="0.35">
      <c r="H32" s="2" t="s">
        <v>163</v>
      </c>
      <c r="I32" s="79" t="s">
        <v>136</v>
      </c>
      <c r="J32" s="79">
        <v>4</v>
      </c>
      <c r="K32" s="147" t="s">
        <v>99</v>
      </c>
      <c r="L32" s="79" t="s">
        <v>160</v>
      </c>
      <c r="M32" s="79">
        <f t="shared" si="0"/>
        <v>160</v>
      </c>
    </row>
    <row r="33" spans="8:13" x14ac:dyDescent="0.35">
      <c r="H33" s="2" t="s">
        <v>163</v>
      </c>
      <c r="I33" s="150" t="s">
        <v>143</v>
      </c>
      <c r="J33" s="150">
        <v>305</v>
      </c>
      <c r="K33" s="150" t="s">
        <v>115</v>
      </c>
      <c r="L33" s="79"/>
      <c r="M33" s="79">
        <f t="shared" si="0"/>
        <v>12200</v>
      </c>
    </row>
    <row r="34" spans="8:13" x14ac:dyDescent="0.35">
      <c r="H34" s="2" t="s">
        <v>164</v>
      </c>
      <c r="I34" s="79" t="s">
        <v>141</v>
      </c>
      <c r="J34" s="79">
        <v>35</v>
      </c>
      <c r="K34" s="147" t="s">
        <v>99</v>
      </c>
      <c r="L34" s="79" t="s">
        <v>160</v>
      </c>
      <c r="M34" s="79">
        <f t="shared" si="0"/>
        <v>1400</v>
      </c>
    </row>
    <row r="35" spans="8:13" x14ac:dyDescent="0.35">
      <c r="H35" s="2" t="s">
        <v>165</v>
      </c>
      <c r="I35" s="79" t="s">
        <v>146</v>
      </c>
      <c r="J35" s="79">
        <v>122</v>
      </c>
      <c r="K35" s="147" t="s">
        <v>99</v>
      </c>
      <c r="L35" s="79" t="s">
        <v>160</v>
      </c>
      <c r="M35" s="79">
        <f t="shared" si="0"/>
        <v>4880</v>
      </c>
    </row>
    <row r="36" spans="8:13" x14ac:dyDescent="0.35">
      <c r="H36" s="2" t="s">
        <v>166</v>
      </c>
      <c r="I36" s="79" t="s">
        <v>108</v>
      </c>
      <c r="J36" s="79">
        <f>M36/40</f>
        <v>10</v>
      </c>
      <c r="K36" s="147" t="s">
        <v>99</v>
      </c>
      <c r="L36" s="79" t="s">
        <v>160</v>
      </c>
      <c r="M36" s="79">
        <v>400</v>
      </c>
    </row>
    <row r="37" spans="8:13" x14ac:dyDescent="0.35">
      <c r="H37" s="2" t="s">
        <v>166</v>
      </c>
      <c r="I37" s="79" t="s">
        <v>156</v>
      </c>
      <c r="J37" s="79">
        <f>M37/40</f>
        <v>14</v>
      </c>
      <c r="K37" s="147" t="s">
        <v>99</v>
      </c>
      <c r="L37" s="79" t="s">
        <v>160</v>
      </c>
      <c r="M37" s="79">
        <v>560</v>
      </c>
    </row>
    <row r="38" spans="8:13" x14ac:dyDescent="0.35">
      <c r="H38" s="2" t="s">
        <v>166</v>
      </c>
      <c r="I38" s="79" t="s">
        <v>157</v>
      </c>
      <c r="J38" s="79">
        <f>M38/40</f>
        <v>17</v>
      </c>
      <c r="K38" s="147" t="s">
        <v>99</v>
      </c>
      <c r="L38" s="79" t="s">
        <v>160</v>
      </c>
      <c r="M38" s="79">
        <v>680</v>
      </c>
    </row>
    <row r="39" spans="8:13" x14ac:dyDescent="0.35">
      <c r="H39" s="2" t="s">
        <v>166</v>
      </c>
      <c r="I39" s="79" t="s">
        <v>25</v>
      </c>
      <c r="J39" s="79">
        <f>M39/40</f>
        <v>18</v>
      </c>
      <c r="K39" s="147" t="s">
        <v>99</v>
      </c>
      <c r="L39" s="79" t="s">
        <v>160</v>
      </c>
      <c r="M39" s="79">
        <v>720</v>
      </c>
    </row>
    <row r="40" spans="8:13" x14ac:dyDescent="0.35">
      <c r="H40" s="2" t="s">
        <v>166</v>
      </c>
      <c r="I40" s="79" t="s">
        <v>101</v>
      </c>
      <c r="J40" s="79">
        <v>12</v>
      </c>
      <c r="K40" s="147" t="s">
        <v>99</v>
      </c>
      <c r="L40" s="79" t="s">
        <v>160</v>
      </c>
      <c r="M40" s="79">
        <v>160</v>
      </c>
    </row>
    <row r="41" spans="8:13" x14ac:dyDescent="0.35">
      <c r="H41" s="2" t="s">
        <v>166</v>
      </c>
      <c r="I41" s="79" t="s">
        <v>175</v>
      </c>
      <c r="J41" s="79">
        <v>4</v>
      </c>
      <c r="K41" s="79" t="s">
        <v>142</v>
      </c>
      <c r="L41" s="79"/>
      <c r="M41" s="81">
        <f>J41*40</f>
        <v>160</v>
      </c>
    </row>
    <row r="42" spans="8:13" x14ac:dyDescent="0.35">
      <c r="H42" s="2" t="s">
        <v>174</v>
      </c>
      <c r="I42" s="79" t="s">
        <v>170</v>
      </c>
      <c r="J42" s="79">
        <v>8</v>
      </c>
      <c r="K42" s="79" t="s">
        <v>142</v>
      </c>
      <c r="L42" s="2"/>
      <c r="M42" s="79">
        <f>J42*40</f>
        <v>320</v>
      </c>
    </row>
    <row r="43" spans="8:13" x14ac:dyDescent="0.35">
      <c r="H43" s="2" t="s">
        <v>174</v>
      </c>
      <c r="I43" s="79" t="s">
        <v>171</v>
      </c>
      <c r="J43" s="79">
        <v>9</v>
      </c>
      <c r="K43" s="79" t="s">
        <v>142</v>
      </c>
      <c r="L43" s="2"/>
      <c r="M43" s="79">
        <f t="shared" ref="M43:M49" si="1">J43*40</f>
        <v>360</v>
      </c>
    </row>
    <row r="44" spans="8:13" x14ac:dyDescent="0.35">
      <c r="H44" s="2" t="s">
        <v>174</v>
      </c>
      <c r="I44" s="79" t="s">
        <v>172</v>
      </c>
      <c r="J44" s="79">
        <v>5</v>
      </c>
      <c r="K44" s="79" t="s">
        <v>142</v>
      </c>
      <c r="L44" s="2"/>
      <c r="M44" s="79">
        <f t="shared" si="1"/>
        <v>200</v>
      </c>
    </row>
    <row r="45" spans="8:13" x14ac:dyDescent="0.35">
      <c r="H45" s="2" t="s">
        <v>174</v>
      </c>
      <c r="I45" s="79" t="s">
        <v>179</v>
      </c>
      <c r="J45" s="79">
        <v>5</v>
      </c>
      <c r="K45" s="79" t="s">
        <v>142</v>
      </c>
      <c r="L45" s="2"/>
      <c r="M45" s="79">
        <f t="shared" si="1"/>
        <v>200</v>
      </c>
    </row>
    <row r="46" spans="8:13" x14ac:dyDescent="0.35">
      <c r="H46" s="2" t="s">
        <v>174</v>
      </c>
      <c r="I46" s="79" t="s">
        <v>176</v>
      </c>
      <c r="J46" s="79">
        <v>8</v>
      </c>
      <c r="K46" s="79" t="s">
        <v>142</v>
      </c>
      <c r="L46" s="2"/>
      <c r="M46" s="79">
        <f t="shared" si="1"/>
        <v>320</v>
      </c>
    </row>
    <row r="47" spans="8:13" x14ac:dyDescent="0.35">
      <c r="H47" s="2" t="s">
        <v>174</v>
      </c>
      <c r="I47" s="79" t="s">
        <v>177</v>
      </c>
      <c r="J47" s="79">
        <v>8</v>
      </c>
      <c r="K47" s="79" t="s">
        <v>142</v>
      </c>
      <c r="L47" s="2"/>
      <c r="M47" s="79">
        <f t="shared" si="1"/>
        <v>320</v>
      </c>
    </row>
    <row r="48" spans="8:13" x14ac:dyDescent="0.35">
      <c r="H48" s="2" t="s">
        <v>174</v>
      </c>
      <c r="I48" s="79" t="s">
        <v>173</v>
      </c>
      <c r="J48" s="79">
        <v>20</v>
      </c>
      <c r="K48" s="79" t="s">
        <v>142</v>
      </c>
      <c r="L48" s="2"/>
      <c r="M48" s="79">
        <f t="shared" si="1"/>
        <v>800</v>
      </c>
    </row>
    <row r="49" spans="8:13" x14ac:dyDescent="0.35">
      <c r="H49" s="2" t="s">
        <v>174</v>
      </c>
      <c r="I49" s="79" t="s">
        <v>178</v>
      </c>
      <c r="J49" s="79">
        <v>4</v>
      </c>
      <c r="K49" s="79" t="s">
        <v>142</v>
      </c>
      <c r="L49" s="2"/>
      <c r="M49" s="79">
        <f t="shared" si="1"/>
        <v>160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2026-07-18T06:29:30Z</dcterms:modified>
</cp:coreProperties>
</file>