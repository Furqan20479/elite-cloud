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35B79105-161F-461B-A51E-3E2EE9BC11C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<sst xmlns="http://schemas.openxmlformats.org/spreadsheetml/2006/main" count="471" uniqueCount="214">
  <si>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</si>
  <si>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</si>
  <si>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</si>
  <si>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</si>
  <si>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</si>
  <si>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</si>
  <si>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</si>
  <si>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</si>
  <si>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</si>
  <si>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</si>
  <si>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</si>
  <si>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</si>
  <si>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</si>
  <si>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</si>
  <si>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</si>
  <si>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</si>
  <si>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</si>
  <si>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</si>
  <si>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</si>
  <si>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</si>
  <si>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</si>
  <si>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</si>
  <si>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</si>
  <si>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</si>
  <si>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</si>
  <si>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</si>
  <si>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</si>
  <si>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</si>
  <si>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</si>
  <si>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</si>
  <si>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</si>
  <si>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</si>
  <si>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</si>
  <si>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</si>
  <si>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</si>
  <si>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</si>
  <si>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</si>
  <si>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</si>
  <si>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</si>
  <si>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</si>
  <si>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</si>
  <si>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</si>
  <si>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</si>
  <si>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</si>
  <si>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</si>
  <si>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</si>
  <si>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</si>
  <si>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</si>
  <si>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</si>
  <si>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</si>
  <si>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</si>
  <si>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</si>
  <si>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</si>
  <si>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</si>
  <si>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</si>
  <si>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</si>
  <si>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</si>
  <si>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</si>
  <si>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</si>
  <si>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</si>
  <si>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</si>
  <si>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</si>
  <si>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</si>
  <si>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</si>
  <si>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</si>
  <si>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</si>
  <si>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</si>
  <si>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</si>
  <si>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</si>
  <si>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</si>
  <si>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</si>
  <si>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</si>
  <si>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</si>
  <si>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</si>
  <si>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</si>
  <si>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</si>
  <si>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</si>
  <si>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</si>
  <si>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</si>
  <si>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</si>
  <si>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</si>
  <si>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</si>
  <si>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</si>
  <si>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</si>
  <si>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</si>
  <si>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</si>
  <si>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</si>
  <si>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</si>
  <si>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</si>
  <si>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</si>
  <si>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</si>
  <si>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</si>
  <si>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</si>
  <si>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</si>
  <si>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</si>
  <si>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</si>
  <si>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</si>
  <si>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</si>
  <si>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</si>
  <si>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</si>
  <si>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</si>
  <si>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</si>
  <si>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</si>
  <si>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</si>
  <si>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</si>
  <si>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</si>
  <si>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</si>
  <si>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</si>
  <si>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</si>
  <si>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</si>
  <si>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</si>
  <si>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</si>
  <si>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</si>
  <si>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</si>
  <si>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</si>
  <si>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</si>
  <si>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</si>
  <si>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</si>
  <si>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</si>
  <si>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</si>
  <si>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</si>
  <si>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</si>
  <si>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</si>
  <si>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</si>
  <si>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</si>
  <si>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</si>
  <si>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</si>
  <si>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</si>
  <si>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</si>
  <si>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</si>
  <si>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</si>
  <si>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</si>
  <si>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</si>
  <si>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</si>
  <si>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</si>
  <si>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</si>
  <si>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</si>
  <si>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</si>
  <si>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</si>
  <si>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</si>
  <si>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</si>
  <si>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</si>
  <si>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</si>
  <si>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</si>
  <si>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</si>
  <si>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</si>
  <si>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</si>
  <si>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</si>
  <si>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</si>
  <si>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</si>
  <si>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</si>
  <si>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</si>
  <si>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</si>
  <si>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</si>
  <si>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</si>
  <si>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</si>
  <si>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</si>
  <si>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</si>
  <si>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</si>
  <si>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</si>
  <si>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</si>
  <si>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</si>
  <si>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</si>
  <si>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</si>
  <si>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</si>
  <si>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</si>
  <si>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</si>
  <si>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</si>
  <si>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</si>
  <si>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</si>
  <si>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</si>
  <si>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</si>
  <si>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</si>
  <si>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</si>
  <si>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</si>
  <si>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</si>
  <si>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</si>
  <si>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</si>
  <si>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</si>
  <si>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</si>
  <si>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</si>
  <si>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</si>
  <si>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</si>
  <si>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</si>
  <si>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</si>
  <si>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</si>
  <si>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</si>
  <si>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</si>
  <si>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</si>
  <si>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</si>
  <si>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</si>
  <si>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</si>
  <si>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</si>
  <si>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</si>
  <si>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</si>
  <si>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</si>
  <si>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</si>
  <si>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</si>
  <si>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</si>
  <si>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</si>
  <si>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</si>
  <si>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</si>
  <si>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</si>
  <si>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</si>
  <si>
    <t>Aster Store</t>
  </si>
  <si>
    <t xml:space="preserve">Raheem Pujab Society </t>
  </si>
  <si>
    <t xml:space="preserve">Usman Canvenioun </t>
  </si>
  <si>
    <t xml:space="preserve">Aster </t>
  </si>
  <si>
    <t xml:space="preserve">Raheem Store punhab Society </t>
  </si>
  <si>
    <t xml:space="preserve">Usman Canvinain </t>
  </si>
  <si>
    <t>24/07/26</t>
  </si>
  <si>
    <t xml:space="preserve">Risen Shadbagh </t>
  </si>
  <si>
    <t xml:space="preserve">Rainbow Faisal Town </t>
  </si>
  <si>
    <t>Rainbow Gujranwala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</si>
</sst>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0" fillId="0" borderId="38" xfId="0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72" zoomScaleNormal="100" workbookViewId="0">
      <selection activeCell="J86" sqref="J86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7">
        <f ca="1">TODAY()</f>
        <v>46232</v>
      </c>
      <c r="C1" s="177"/>
      <c r="D1" s="177"/>
      <c r="E1" s="177"/>
      <c r="F1" s="17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7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7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81" t="s">
        <v>16</v>
      </c>
      <c r="S3" s="182"/>
      <c r="T3" s="182"/>
      <c r="U3" s="183"/>
      <c r="V3" s="184" t="s">
        <v>17</v>
      </c>
      <c r="W3" s="185"/>
      <c r="X3" s="185"/>
      <c r="Y3" s="186"/>
    </row>
    <row r="4" spans="1:25" ht="15" thickBot="1" x14ac:dyDescent="0.4">
      <c r="A4" s="174"/>
      <c r="B4" s="18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24</v>
      </c>
      <c r="B75" s="47">
        <v>71</v>
      </c>
      <c r="C75" s="134" t="s">
        <v>207</v>
      </c>
      <c r="D75" s="75"/>
      <c r="E75" s="50"/>
      <c r="F75" s="50"/>
      <c r="G75" s="75">
        <v>80</v>
      </c>
      <c r="H75" s="75">
        <v>80</v>
      </c>
      <c r="I75" s="132"/>
      <c r="J75" s="75">
        <v>80</v>
      </c>
      <c r="K75" s="75">
        <v>80</v>
      </c>
      <c r="L75" s="75">
        <v>80</v>
      </c>
      <c r="M75" s="135">
        <f t="shared" si="81"/>
        <v>10</v>
      </c>
      <c r="N75" s="39">
        <f t="shared" si="18"/>
        <v>0</v>
      </c>
      <c r="O75" s="49">
        <f t="shared" si="1"/>
        <v>25.827600000000004</v>
      </c>
      <c r="P75" s="73">
        <f t="shared" si="82"/>
        <v>8</v>
      </c>
      <c r="Q75" s="40">
        <f t="shared" si="83"/>
        <v>12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24</v>
      </c>
      <c r="B76" s="47">
        <v>72</v>
      </c>
      <c r="C76" s="134" t="s">
        <v>208</v>
      </c>
      <c r="D76" s="75"/>
      <c r="E76" s="50"/>
      <c r="F76" s="50"/>
      <c r="G76" s="75">
        <v>200</v>
      </c>
      <c r="H76" s="75">
        <v>200</v>
      </c>
      <c r="I76" s="132"/>
      <c r="J76" s="75">
        <v>200</v>
      </c>
      <c r="K76" s="75">
        <v>200</v>
      </c>
      <c r="L76" s="75">
        <v>200</v>
      </c>
      <c r="M76" s="135">
        <f t="shared" si="81"/>
        <v>25</v>
      </c>
      <c r="N76" s="39">
        <f t="shared" si="18"/>
        <v>0</v>
      </c>
      <c r="O76" s="49">
        <f t="shared" si="1"/>
        <v>25.827600000000004</v>
      </c>
      <c r="P76" s="73">
        <f t="shared" si="82"/>
        <v>20</v>
      </c>
      <c r="Q76" s="40">
        <f t="shared" si="83"/>
        <v>30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24</v>
      </c>
      <c r="B77" s="47">
        <v>73</v>
      </c>
      <c r="C77" s="134" t="s">
        <v>169</v>
      </c>
      <c r="D77" s="75"/>
      <c r="E77" s="50"/>
      <c r="F77" s="50"/>
      <c r="G77" s="50">
        <v>80</v>
      </c>
      <c r="H77" s="50">
        <v>160</v>
      </c>
      <c r="I77" s="135"/>
      <c r="J77" s="50">
        <v>40</v>
      </c>
      <c r="K77" s="50">
        <v>40</v>
      </c>
      <c r="L77" s="50">
        <v>40</v>
      </c>
      <c r="M77" s="135">
        <f t="shared" si="81"/>
        <v>9</v>
      </c>
      <c r="N77" s="39">
        <f t="shared" si="18"/>
        <v>0</v>
      </c>
      <c r="O77" s="49">
        <f t="shared" si="1"/>
        <v>25.827600000000004</v>
      </c>
      <c r="P77" s="73">
        <f t="shared" si="82"/>
        <v>12</v>
      </c>
      <c r="Q77" s="40">
        <f t="shared" si="83"/>
        <v>6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24</v>
      </c>
      <c r="B78" s="47">
        <v>74</v>
      </c>
      <c r="C78" s="134" t="s">
        <v>209</v>
      </c>
      <c r="D78" s="75"/>
      <c r="E78" s="50"/>
      <c r="F78" s="50"/>
      <c r="G78" s="50">
        <v>40</v>
      </c>
      <c r="H78" s="50">
        <v>40</v>
      </c>
      <c r="I78" s="135"/>
      <c r="J78" s="50">
        <v>40</v>
      </c>
      <c r="K78" s="50">
        <v>40</v>
      </c>
      <c r="L78" s="50">
        <v>40</v>
      </c>
      <c r="M78" s="135">
        <f t="shared" si="81"/>
        <v>5</v>
      </c>
      <c r="N78" s="39">
        <f t="shared" si="18"/>
        <v>0</v>
      </c>
      <c r="O78" s="49">
        <f t="shared" si="1"/>
        <v>25.827600000000004</v>
      </c>
      <c r="P78" s="73">
        <f t="shared" si="82"/>
        <v>4</v>
      </c>
      <c r="Q78" s="40">
        <f t="shared" si="83"/>
        <v>6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>
        <v>25</v>
      </c>
      <c r="B79" s="47">
        <v>75</v>
      </c>
      <c r="C79" s="133" t="s">
        <v>138</v>
      </c>
      <c r="D79" s="50">
        <v>200</v>
      </c>
      <c r="E79" s="50"/>
      <c r="F79" s="50"/>
      <c r="G79" s="50">
        <v>200</v>
      </c>
      <c r="H79" s="50">
        <v>200</v>
      </c>
      <c r="I79" s="135"/>
      <c r="J79" s="50">
        <v>200</v>
      </c>
      <c r="K79" s="50">
        <v>200</v>
      </c>
      <c r="L79" s="50">
        <v>200</v>
      </c>
      <c r="M79" s="135">
        <f t="shared" si="81"/>
        <v>30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20</v>
      </c>
      <c r="Q79" s="40">
        <f t="shared" ref="Q79:Q83" si="90">SUM(J79:L79)/20</f>
        <v>30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>
        <v>25</v>
      </c>
      <c r="B80" s="47">
        <v>76</v>
      </c>
      <c r="C80" s="133" t="s">
        <v>129</v>
      </c>
      <c r="D80" s="50"/>
      <c r="E80" s="50"/>
      <c r="F80" s="50"/>
      <c r="G80" s="50"/>
      <c r="H80" s="50"/>
      <c r="I80" s="135"/>
      <c r="J80" s="50">
        <v>120</v>
      </c>
      <c r="K80" s="50">
        <v>120</v>
      </c>
      <c r="L80" s="50">
        <v>80</v>
      </c>
      <c r="M80" s="135">
        <f t="shared" si="81"/>
        <v>8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16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>
        <v>25</v>
      </c>
      <c r="B81" s="47">
        <v>77</v>
      </c>
      <c r="C81" s="133" t="s">
        <v>211</v>
      </c>
      <c r="D81" s="50"/>
      <c r="E81" s="50"/>
      <c r="F81" s="50"/>
      <c r="G81" s="50"/>
      <c r="H81" s="50"/>
      <c r="I81" s="135"/>
      <c r="J81" s="50"/>
      <c r="K81" s="50">
        <v>80</v>
      </c>
      <c r="L81" s="50"/>
      <c r="M81" s="135">
        <f t="shared" si="81"/>
        <v>2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4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>
        <v>27</v>
      </c>
      <c r="B82" s="47">
        <v>78</v>
      </c>
      <c r="C82" s="133" t="s">
        <v>118</v>
      </c>
      <c r="D82" s="50"/>
      <c r="E82" s="50"/>
      <c r="F82" s="50"/>
      <c r="G82" s="50">
        <v>40</v>
      </c>
      <c r="H82" s="50"/>
      <c r="I82" s="135"/>
      <c r="J82" s="50"/>
      <c r="K82" s="50"/>
      <c r="L82" s="50">
        <v>40</v>
      </c>
      <c r="M82" s="135">
        <f t="shared" si="81"/>
        <v>2</v>
      </c>
      <c r="N82" s="39">
        <f t="shared" si="18"/>
        <v>0</v>
      </c>
      <c r="O82" s="49">
        <f t="shared" si="1"/>
        <v>25.827600000000004</v>
      </c>
      <c r="P82" s="73">
        <f t="shared" si="89"/>
        <v>2</v>
      </c>
      <c r="Q82" s="40">
        <f t="shared" si="90"/>
        <v>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>
        <v>27</v>
      </c>
      <c r="B83" s="47">
        <v>79</v>
      </c>
      <c r="C83" s="133" t="s">
        <v>171</v>
      </c>
      <c r="D83" s="50"/>
      <c r="E83" s="50"/>
      <c r="F83" s="50"/>
      <c r="G83" s="50">
        <v>40</v>
      </c>
      <c r="H83" s="50">
        <v>40</v>
      </c>
      <c r="I83" s="135"/>
      <c r="J83" s="50">
        <v>37</v>
      </c>
      <c r="K83" s="50">
        <v>40</v>
      </c>
      <c r="L83" s="50">
        <v>79</v>
      </c>
      <c r="M83" s="135">
        <f t="shared" si="81"/>
        <v>5.9</v>
      </c>
      <c r="N83" s="39">
        <f t="shared" si="18"/>
        <v>0</v>
      </c>
      <c r="O83" s="49">
        <f t="shared" si="1"/>
        <v>25.827600000000004</v>
      </c>
      <c r="P83" s="73">
        <f t="shared" si="89"/>
        <v>4</v>
      </c>
      <c r="Q83" s="40">
        <f t="shared" si="90"/>
        <v>7.8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>
        <v>27</v>
      </c>
      <c r="B84" s="47">
        <v>80</v>
      </c>
      <c r="C84" s="133" t="s">
        <v>212</v>
      </c>
      <c r="D84" s="50"/>
      <c r="E84" s="50"/>
      <c r="F84" s="50"/>
      <c r="G84" s="50">
        <v>40</v>
      </c>
      <c r="H84" s="50"/>
      <c r="I84" s="135"/>
      <c r="J84" s="50">
        <v>40</v>
      </c>
      <c r="K84" s="50">
        <v>40</v>
      </c>
      <c r="L84" s="50">
        <v>40</v>
      </c>
      <c r="M84" s="135">
        <f t="shared" ref="M84:M131" si="96">SUM(D84:L84)/40</f>
        <v>4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2</v>
      </c>
      <c r="Q84" s="40">
        <f t="shared" ref="Q84:Q131" si="98">SUM(J84:L84)/20</f>
        <v>6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>
        <v>28</v>
      </c>
      <c r="B85" s="47">
        <v>81</v>
      </c>
      <c r="C85" s="133" t="s">
        <v>107</v>
      </c>
      <c r="D85" s="50"/>
      <c r="E85" s="50"/>
      <c r="F85" s="50"/>
      <c r="G85" s="50">
        <v>40</v>
      </c>
      <c r="H85" s="50">
        <v>40</v>
      </c>
      <c r="I85" s="135"/>
      <c r="J85" s="50">
        <v>40</v>
      </c>
      <c r="K85" s="50">
        <v>200</v>
      </c>
      <c r="L85" s="50">
        <v>120</v>
      </c>
      <c r="M85" s="135">
        <f t="shared" si="96"/>
        <v>11</v>
      </c>
      <c r="N85" s="39">
        <f t="shared" si="18"/>
        <v>0</v>
      </c>
      <c r="O85" s="49">
        <f t="shared" si="1"/>
        <v>25.827600000000004</v>
      </c>
      <c r="P85" s="73">
        <f t="shared" si="97"/>
        <v>4</v>
      </c>
      <c r="Q85" s="40">
        <f t="shared" si="98"/>
        <v>18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>
        <v>28</v>
      </c>
      <c r="B86" s="47">
        <v>82</v>
      </c>
      <c r="C86" s="133" t="s">
        <v>213</v>
      </c>
      <c r="D86" s="50"/>
      <c r="E86" s="50"/>
      <c r="F86" s="50"/>
      <c r="G86" s="50"/>
      <c r="H86" s="50">
        <v>40</v>
      </c>
      <c r="I86" s="135"/>
      <c r="J86" s="50">
        <v>80</v>
      </c>
      <c r="K86" s="50">
        <v>80</v>
      </c>
      <c r="L86" s="50">
        <v>40</v>
      </c>
      <c r="M86" s="135">
        <f t="shared" si="96"/>
        <v>6</v>
      </c>
      <c r="N86" s="39">
        <f t="shared" si="18"/>
        <v>0</v>
      </c>
      <c r="O86" s="49">
        <f t="shared" si="1"/>
        <v>25.827600000000004</v>
      </c>
      <c r="P86" s="73">
        <f t="shared" si="97"/>
        <v>2</v>
      </c>
      <c r="Q86" s="40">
        <f t="shared" si="98"/>
        <v>10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>
        <v>28</v>
      </c>
      <c r="B87" s="47">
        <v>83</v>
      </c>
      <c r="C87" s="133" t="s">
        <v>167</v>
      </c>
      <c r="D87" s="50"/>
      <c r="E87" s="50"/>
      <c r="F87" s="50"/>
      <c r="G87" s="50">
        <v>200</v>
      </c>
      <c r="H87" s="50">
        <v>200</v>
      </c>
      <c r="I87" s="135"/>
      <c r="J87" s="50">
        <v>120</v>
      </c>
      <c r="K87" s="50">
        <v>40</v>
      </c>
      <c r="L87" s="50"/>
      <c r="M87" s="135">
        <f t="shared" si="96"/>
        <v>14</v>
      </c>
      <c r="N87" s="39">
        <f t="shared" si="18"/>
        <v>0</v>
      </c>
      <c r="O87" s="49">
        <f t="shared" si="1"/>
        <v>25.827600000000004</v>
      </c>
      <c r="P87" s="73">
        <f t="shared" si="97"/>
        <v>20</v>
      </c>
      <c r="Q87" s="40">
        <f t="shared" si="98"/>
        <v>8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>
        <v>28</v>
      </c>
      <c r="B88" s="47">
        <v>84</v>
      </c>
      <c r="C88" s="133" t="s">
        <v>105</v>
      </c>
      <c r="D88" s="50"/>
      <c r="E88" s="50"/>
      <c r="F88" s="50"/>
      <c r="G88" s="50">
        <v>80</v>
      </c>
      <c r="H88" s="50">
        <v>40</v>
      </c>
      <c r="I88" s="135"/>
      <c r="J88" s="50">
        <v>240</v>
      </c>
      <c r="K88" s="50">
        <v>240</v>
      </c>
      <c r="L88" s="50">
        <v>320</v>
      </c>
      <c r="M88" s="135">
        <f t="shared" si="96"/>
        <v>23</v>
      </c>
      <c r="N88" s="39">
        <f t="shared" si="18"/>
        <v>0</v>
      </c>
      <c r="O88" s="49">
        <f t="shared" si="1"/>
        <v>25.827600000000004</v>
      </c>
      <c r="P88" s="73">
        <f t="shared" si="97"/>
        <v>6</v>
      </c>
      <c r="Q88" s="40">
        <f t="shared" si="98"/>
        <v>40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87" t="s">
        <v>11</v>
      </c>
      <c r="C132" s="188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1253.9000000000001</v>
      </c>
      <c r="Q137" s="64">
        <f t="shared" si="113"/>
        <v>3193.8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1" t="s">
        <v>50</v>
      </c>
      <c r="D3" s="192"/>
      <c r="E3" s="192"/>
      <c r="F3" s="192"/>
      <c r="G3" s="193"/>
      <c r="H3" s="195" t="s">
        <v>65</v>
      </c>
      <c r="I3" s="196"/>
      <c r="K3" s="197" t="s">
        <v>69</v>
      </c>
      <c r="L3" s="197"/>
      <c r="M3" s="197"/>
      <c r="N3" s="197"/>
      <c r="O3" s="197"/>
      <c r="P3" s="197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908</v>
      </c>
      <c r="E5" s="79">
        <v>1459</v>
      </c>
      <c r="F5" s="79">
        <v>600</v>
      </c>
      <c r="G5" s="106">
        <f>SUM(D5:F5)</f>
        <v>2967</v>
      </c>
      <c r="H5" s="99">
        <v>10000</v>
      </c>
      <c r="I5" s="100">
        <f>G5-H5</f>
        <v>-7033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36320</v>
      </c>
      <c r="E6" s="109">
        <f>E5*40</f>
        <v>58360</v>
      </c>
      <c r="F6" s="109">
        <f>F5*40</f>
        <v>24000</v>
      </c>
      <c r="G6" s="110">
        <f>SUM(D6:F6)</f>
        <v>118680</v>
      </c>
      <c r="H6" s="101">
        <f>H5*40</f>
        <v>400000</v>
      </c>
      <c r="I6" s="102">
        <f>G6-H6</f>
        <v>-281320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-908</v>
      </c>
      <c r="E9" s="111">
        <f>E8-E5</f>
        <v>-1459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4" t="s">
        <v>62</v>
      </c>
      <c r="D11" s="194"/>
      <c r="F11" s="194" t="s">
        <v>71</v>
      </c>
      <c r="G11" s="194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6401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256040</v>
      </c>
      <c r="S13" s="189" t="s">
        <v>152</v>
      </c>
      <c r="T13" s="189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90" t="s">
        <v>69</v>
      </c>
      <c r="E20" s="190"/>
      <c r="F20" s="190"/>
      <c r="G20" s="190"/>
      <c r="H20" s="190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70"/>
  <sheetViews>
    <sheetView topLeftCell="C1" zoomScale="115" zoomScaleNormal="115" workbookViewId="0">
      <pane ySplit="1" topLeftCell="A67" activePane="bottomLeft" state="frozen"/>
      <selection activeCell="C1" sqref="C1"/>
      <selection pane="bottomLeft" activeCell="E77" sqref="E7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  <row r="67" spans="8:13" x14ac:dyDescent="0.35">
      <c r="H67" s="155" t="s">
        <v>210</v>
      </c>
      <c r="I67" s="163" t="s">
        <v>204</v>
      </c>
    </row>
    <row r="68" spans="8:13" x14ac:dyDescent="0.35">
      <c r="H68" s="155" t="s">
        <v>210</v>
      </c>
      <c r="I68" s="163" t="s">
        <v>205</v>
      </c>
    </row>
    <row r="69" spans="8:13" x14ac:dyDescent="0.35">
      <c r="H69" s="155" t="s">
        <v>210</v>
      </c>
      <c r="I69" s="163" t="s">
        <v>169</v>
      </c>
    </row>
    <row r="70" spans="8:13" x14ac:dyDescent="0.35">
      <c r="H70" s="155" t="s">
        <v>210</v>
      </c>
      <c r="I70" s="163" t="s">
        <v>206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2026-07-29T11:16:20Z</dcterms:modified>
</cp:coreProperties>
</file>