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0EC50090-65EC-42A0-8615-4D6E515AA35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61" i="4" l="1"/>
  <c r="M62" i="4"/>
  <c r="M63" i="4"/>
  <c r="M64" i="4"/>
  <c r="M65" i="4"/>
  <c r="M66" i="4"/>
  <c r="M60" i="4"/>
  <c r="M56" i="4" l="1"/>
  <c r="M57" i="4"/>
  <c r="M58" i="4"/>
  <c r="M59" i="4"/>
  <c r="M55" i="4"/>
  <c r="M54" i="4"/>
  <c r="M53" i="4"/>
  <c r="M52" i="4" l="1"/>
  <c r="M51" i="4"/>
  <c r="M50" i="4"/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<sst xmlns="http://schemas.openxmlformats.org/spreadsheetml/2006/main" count="461" uniqueCount="211">
  <si>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</si>
  <si>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</si>
  <si>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</si>
  <si>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</si>
  <si>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</si>
  <si>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</si>
  <si>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</si>
  <si>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</si>
  <si>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</si>
  <si>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</si>
  <si>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</si>
  <si>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</si>
  <si>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</si>
  <si>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</si>
  <si>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</si>
  <si>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</si>
  <si>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</si>
  <si>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</si>
  <si>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</si>
  <si>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</si>
  <si>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</si>
  <si>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</si>
  <si>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</si>
  <si>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</si>
  <si>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</si>
  <si>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</si>
  <si>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</si>
  <si>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</si>
  <si>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</si>
  <si>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</si>
  <si>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</si>
  <si>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</si>
  <si>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</si>
  <si>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</si>
  <si>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</si>
  <si>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</si>
  <si>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</si>
  <si>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</si>
  <si>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</si>
  <si>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</si>
  <si>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</si>
  <si>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</si>
  <si>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</si>
  <si>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</si>
  <si>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</si>
  <si>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</si>
  <si>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</si>
  <si>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</si>
  <si>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</si>
  <si>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</si>
  <si>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</si>
  <si>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</si>
  <si>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</si>
  <si>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</si>
  <si>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</si>
  <si>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</si>
  <si>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</si>
  <si>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</si>
  <si>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</si>
  <si>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</si>
  <si>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</si>
  <si>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</si>
  <si>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</si>
  <si>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</si>
  <si>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</si>
  <si>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</si>
  <si>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</si>
  <si>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</si>
  <si>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</si>
  <si>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</si>
  <si>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</si>
  <si>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</si>
  <si>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</si>
  <si>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</si>
  <si>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</si>
  <si>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</si>
  <si>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</si>
  <si>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</si>
  <si>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</si>
  <si>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</si>
  <si>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</si>
  <si>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</si>
  <si>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</si>
  <si>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</si>
  <si>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</si>
  <si>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</si>
  <si>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</si>
  <si>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</si>
  <si>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</si>
  <si>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</si>
  <si>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</si>
  <si>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</si>
  <si>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</si>
  <si>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</si>
  <si>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</si>
  <si>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</si>
  <si>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</si>
  <si>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</si>
  <si>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</si>
  <si>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</si>
  <si>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</si>
  <si>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</si>
  <si>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</si>
  <si>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</si>
  <si>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</si>
  <si>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</si>
  <si>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</si>
  <si>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</si>
  <si>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</si>
  <si>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</si>
  <si>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</si>
  <si>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</si>
  <si>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</si>
  <si>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</si>
  <si>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</si>
  <si>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</si>
  <si>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</si>
  <si>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</si>
  <si>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</si>
  <si>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</si>
  <si>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</si>
  <si>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</si>
  <si>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</si>
  <si>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</si>
  <si>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</si>
  <si>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</si>
  <si>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</si>
  <si>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</si>
  <si>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</si>
  <si>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</si>
  <si>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</si>
  <si>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</si>
  <si>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</si>
  <si>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</si>
  <si>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</si>
  <si>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</si>
  <si>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</si>
  <si>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</si>
  <si>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</si>
  <si>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</si>
  <si>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</si>
  <si>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</si>
  <si>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</si>
  <si>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</si>
  <si>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</si>
  <si>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</si>
  <si>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</si>
  <si>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</si>
  <si>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</si>
  <si>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</si>
  <si>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</si>
  <si>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</si>
  <si>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</si>
  <si>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</si>
  <si>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</si>
  <si>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</si>
  <si>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</si>
  <si>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</si>
  <si>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</si>
  <si>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</si>
  <si>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</si>
  <si>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</si>
  <si>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</si>
  <si>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</si>
  <si>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</si>
  <si>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</si>
  <si>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</si>
  <si>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</si>
  <si>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</si>
  <si>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</si>
  <si>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</si>
  <si>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</si>
  <si>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Swera Punjab Society </t>
  </si>
  <si>
    <t>18/07/2026</t>
  </si>
  <si>
    <t xml:space="preserve">Jalal Sons Johar Town </t>
  </si>
  <si>
    <t xml:space="preserve">Askari  Punjab Society </t>
  </si>
  <si>
    <t>Rubaika Velencia</t>
  </si>
  <si>
    <t xml:space="preserve">Euro NFC </t>
  </si>
  <si>
    <t>Raja Sab Wapda Town</t>
  </si>
  <si>
    <t xml:space="preserve">Jalal Sons Askari X </t>
  </si>
  <si>
    <t xml:space="preserve">Nabeel Traders </t>
  </si>
  <si>
    <t xml:space="preserve">Zubaida Traders </t>
  </si>
  <si>
    <t>20/07/2026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</si>
  <si>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</si>
  <si>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</si>
  <si>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</si>
  <si>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</si>
  <si>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Zubaida Traders Al Fateh </t>
  </si>
  <si>
    <t>21/07/26</t>
  </si>
  <si>
    <t>Rainbow Barki Road</t>
  </si>
  <si>
    <t>Risen Askari 11</t>
  </si>
  <si>
    <t>Rainbow Defence Road</t>
  </si>
  <si>
    <t>Euro K-2</t>
  </si>
  <si>
    <t>Euro D-2</t>
  </si>
  <si>
    <t xml:space="preserve">MTD Sale </t>
  </si>
  <si>
    <t xml:space="preserve">Rainbow C &amp; C Barki Road </t>
  </si>
  <si>
    <t xml:space="preserve">Gourmet Food Badami Bagh </t>
  </si>
  <si>
    <t>Gourmet Food Kareem Park</t>
  </si>
  <si>
    <t xml:space="preserve">HA Mart </t>
  </si>
  <si>
    <t>Naqshbandi Indocaion free</t>
  </si>
  <si>
    <t>Naqshbandi Multan Road</t>
  </si>
  <si>
    <t xml:space="preserve">Raheem Store Iqbal Town </t>
  </si>
  <si>
    <t>Risen Sabzazar</t>
  </si>
  <si>
    <t>23/07/26</t>
  </si>
  <si>
    <t>Aster Store</t>
  </si>
  <si>
    <t xml:space="preserve">Raheem Pujab Society </t>
  </si>
  <si>
    <t xml:space="preserve">Usman Canvenioun </t>
  </si>
  <si>
    <t xml:space="preserve">Aster </t>
  </si>
  <si>
    <t xml:space="preserve">Raheem Store punhab Society </t>
  </si>
  <si>
    <t xml:space="preserve">Usman Canvinain </t>
  </si>
  <si>
    <t>24/07/26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</si>
</sst>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  <xf numFmtId="0" fontId="0" fillId="8" borderId="0" xfId="0" applyFill="1"/>
    <xf numFmtId="0" fontId="0" fillId="8" borderId="35" xfId="0" applyFill="1" applyBorder="1"/>
    <xf numFmtId="14" fontId="0" fillId="0" borderId="1" xfId="0" applyNumberFormat="1" applyBorder="1"/>
    <xf numFmtId="0" fontId="0" fillId="3" borderId="38" xfId="0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3" borderId="57" xfId="0" applyFont="1" applyFill="1" applyBorder="1" applyAlignment="1">
      <alignment horizontal="left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5" fillId="3" borderId="33" xfId="0" applyFont="1" applyFill="1" applyBorder="1"/>
    <xf numFmtId="0" fontId="0" fillId="0" borderId="38" xfId="0" applyBorder="1"/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60" zoomScaleNormal="100" workbookViewId="0">
      <selection activeCell="J75" sqref="J75:L78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77">
        <f ca="1">TODAY()</f>
        <v>46228</v>
      </c>
      <c r="C1" s="177"/>
      <c r="D1" s="177"/>
      <c r="E1" s="177"/>
      <c r="F1" s="17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4" t="s">
        <v>37</v>
      </c>
      <c r="B2" s="178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6"/>
      <c r="N2" s="167"/>
      <c r="O2" s="168"/>
      <c r="P2" s="169" t="s">
        <v>14</v>
      </c>
      <c r="Q2" s="170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4"/>
      <c r="B3" s="179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1" t="s">
        <v>11</v>
      </c>
      <c r="N3" s="172"/>
      <c r="O3" s="173"/>
      <c r="P3" s="71"/>
      <c r="Q3" s="72"/>
      <c r="R3" s="181" t="s">
        <v>16</v>
      </c>
      <c r="S3" s="182"/>
      <c r="T3" s="182"/>
      <c r="U3" s="183"/>
      <c r="V3" s="184" t="s">
        <v>17</v>
      </c>
      <c r="W3" s="185"/>
      <c r="X3" s="185"/>
      <c r="Y3" s="186"/>
    </row>
    <row r="4" spans="1:25" ht="15" thickBot="1" x14ac:dyDescent="0.4">
      <c r="A4" s="174"/>
      <c r="B4" s="180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108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109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110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105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111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104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117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118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119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124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125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121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126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127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128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129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136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131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137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138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139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134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143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144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57" t="s">
        <v>25</v>
      </c>
      <c r="D46" s="74"/>
      <c r="E46" s="75"/>
      <c r="F46" s="76"/>
      <c r="G46" s="50">
        <v>160</v>
      </c>
      <c r="H46" s="75">
        <v>120</v>
      </c>
      <c r="I46" s="49"/>
      <c r="J46" s="50">
        <v>160</v>
      </c>
      <c r="K46" s="75"/>
      <c r="L46" s="76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57" t="s">
        <v>166</v>
      </c>
      <c r="D47" s="74"/>
      <c r="E47" s="75"/>
      <c r="F47" s="76"/>
      <c r="G47" s="50">
        <v>80</v>
      </c>
      <c r="H47" s="75">
        <v>80</v>
      </c>
      <c r="I47" s="49"/>
      <c r="J47" s="50">
        <v>80</v>
      </c>
      <c r="K47" s="75"/>
      <c r="L47" s="76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57" t="s">
        <v>107</v>
      </c>
      <c r="D48" s="74"/>
      <c r="E48" s="75"/>
      <c r="F48" s="76"/>
      <c r="G48" s="50">
        <v>80</v>
      </c>
      <c r="H48" s="75">
        <v>120</v>
      </c>
      <c r="I48" s="49"/>
      <c r="J48" s="50">
        <v>160</v>
      </c>
      <c r="K48" s="75"/>
      <c r="L48" s="76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57" t="s">
        <v>167</v>
      </c>
      <c r="D49" s="74"/>
      <c r="E49" s="75"/>
      <c r="F49" s="76"/>
      <c r="G49" s="50">
        <v>160</v>
      </c>
      <c r="H49" s="75">
        <v>160</v>
      </c>
      <c r="I49" s="49"/>
      <c r="J49" s="50">
        <v>120</v>
      </c>
      <c r="K49" s="75"/>
      <c r="L49" s="76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57" t="s">
        <v>168</v>
      </c>
      <c r="D50" s="74"/>
      <c r="E50" s="75"/>
      <c r="F50" s="76"/>
      <c r="G50" s="50">
        <v>120</v>
      </c>
      <c r="H50" s="75">
        <v>120</v>
      </c>
      <c r="I50" s="49"/>
      <c r="J50" s="50">
        <v>120</v>
      </c>
      <c r="K50" s="75"/>
      <c r="L50" s="76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18</v>
      </c>
      <c r="B51" s="47">
        <v>47</v>
      </c>
      <c r="C51" s="57" t="s">
        <v>174</v>
      </c>
      <c r="D51" s="74"/>
      <c r="E51" s="75"/>
      <c r="F51" s="76"/>
      <c r="G51" s="50">
        <v>40</v>
      </c>
      <c r="H51" s="75">
        <v>40</v>
      </c>
      <c r="I51" s="49"/>
      <c r="J51" s="50">
        <v>40</v>
      </c>
      <c r="K51" s="75"/>
      <c r="L51" s="76">
        <v>40</v>
      </c>
      <c r="M51" s="48">
        <f t="shared" si="76"/>
        <v>4</v>
      </c>
      <c r="N51" s="39">
        <f t="shared" si="18"/>
        <v>0</v>
      </c>
      <c r="O51" s="49">
        <f t="shared" si="1"/>
        <v>25.827600000000004</v>
      </c>
      <c r="P51" s="73">
        <f t="shared" si="77"/>
        <v>4</v>
      </c>
      <c r="Q51" s="40">
        <f t="shared" si="78"/>
        <v>4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18</v>
      </c>
      <c r="B52" s="47">
        <v>48</v>
      </c>
      <c r="C52" s="57" t="s">
        <v>111</v>
      </c>
      <c r="D52" s="74"/>
      <c r="E52" s="75"/>
      <c r="F52" s="76"/>
      <c r="G52" s="50">
        <v>80</v>
      </c>
      <c r="H52" s="75">
        <v>40</v>
      </c>
      <c r="I52" s="49"/>
      <c r="J52" s="50">
        <v>120</v>
      </c>
      <c r="K52" s="75"/>
      <c r="L52" s="76">
        <v>120</v>
      </c>
      <c r="M52" s="48">
        <f t="shared" si="76"/>
        <v>9</v>
      </c>
      <c r="N52" s="39">
        <f t="shared" si="18"/>
        <v>0</v>
      </c>
      <c r="O52" s="49">
        <f t="shared" si="1"/>
        <v>25.827600000000004</v>
      </c>
      <c r="P52" s="73">
        <f t="shared" si="77"/>
        <v>6</v>
      </c>
      <c r="Q52" s="40">
        <f t="shared" si="78"/>
        <v>12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18</v>
      </c>
      <c r="B53" s="47">
        <v>49</v>
      </c>
      <c r="C53" s="57" t="s">
        <v>183</v>
      </c>
      <c r="D53" s="74"/>
      <c r="E53" s="75"/>
      <c r="F53" s="76"/>
      <c r="G53" s="50"/>
      <c r="H53" s="75">
        <v>40</v>
      </c>
      <c r="I53" s="49"/>
      <c r="J53" s="50">
        <v>80</v>
      </c>
      <c r="K53" s="75"/>
      <c r="L53" s="76">
        <v>80</v>
      </c>
      <c r="M53" s="48">
        <f t="shared" si="76"/>
        <v>5</v>
      </c>
      <c r="N53" s="39">
        <f t="shared" si="18"/>
        <v>0</v>
      </c>
      <c r="O53" s="49">
        <f t="shared" si="1"/>
        <v>25.827600000000004</v>
      </c>
      <c r="P53" s="73">
        <f t="shared" si="77"/>
        <v>2</v>
      </c>
      <c r="Q53" s="40">
        <f t="shared" si="78"/>
        <v>8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18</v>
      </c>
      <c r="B54" s="47">
        <v>50</v>
      </c>
      <c r="C54" s="57" t="s">
        <v>184</v>
      </c>
      <c r="D54" s="74"/>
      <c r="E54" s="75"/>
      <c r="F54" s="76"/>
      <c r="G54" s="50">
        <v>80</v>
      </c>
      <c r="H54" s="75">
        <v>80</v>
      </c>
      <c r="I54" s="49"/>
      <c r="J54" s="50">
        <v>80</v>
      </c>
      <c r="K54" s="75"/>
      <c r="L54" s="76">
        <v>80</v>
      </c>
      <c r="M54" s="48">
        <f t="shared" si="76"/>
        <v>8</v>
      </c>
      <c r="N54" s="39">
        <f t="shared" si="18"/>
        <v>0</v>
      </c>
      <c r="O54" s="49">
        <f t="shared" si="1"/>
        <v>25.827600000000004</v>
      </c>
      <c r="P54" s="73">
        <f t="shared" si="77"/>
        <v>8</v>
      </c>
      <c r="Q54" s="40">
        <f t="shared" si="78"/>
        <v>8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18</v>
      </c>
      <c r="B55" s="47">
        <v>51</v>
      </c>
      <c r="C55" s="57" t="s">
        <v>185</v>
      </c>
      <c r="D55" s="74"/>
      <c r="E55" s="75"/>
      <c r="F55" s="76"/>
      <c r="G55" s="50">
        <v>80</v>
      </c>
      <c r="H55" s="75">
        <v>80</v>
      </c>
      <c r="I55" s="49"/>
      <c r="J55" s="50">
        <v>80</v>
      </c>
      <c r="K55" s="75"/>
      <c r="L55" s="76">
        <v>80</v>
      </c>
      <c r="M55" s="48">
        <f t="shared" si="76"/>
        <v>8</v>
      </c>
      <c r="N55" s="39">
        <f t="shared" si="18"/>
        <v>0</v>
      </c>
      <c r="O55" s="49">
        <f t="shared" si="1"/>
        <v>25.827600000000004</v>
      </c>
      <c r="P55" s="73">
        <f t="shared" si="77"/>
        <v>8</v>
      </c>
      <c r="Q55" s="40">
        <f t="shared" si="78"/>
        <v>8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18</v>
      </c>
      <c r="B56" s="47">
        <v>52</v>
      </c>
      <c r="C56" s="57" t="s">
        <v>186</v>
      </c>
      <c r="D56" s="74"/>
      <c r="E56" s="75"/>
      <c r="F56" s="76"/>
      <c r="G56" s="50">
        <v>200</v>
      </c>
      <c r="H56" s="75">
        <v>200</v>
      </c>
      <c r="I56" s="49"/>
      <c r="J56" s="50">
        <v>200</v>
      </c>
      <c r="K56" s="75"/>
      <c r="L56" s="76">
        <v>200</v>
      </c>
      <c r="M56" s="48">
        <f t="shared" si="76"/>
        <v>20</v>
      </c>
      <c r="N56" s="39">
        <f t="shared" si="18"/>
        <v>0</v>
      </c>
      <c r="O56" s="49">
        <f t="shared" si="1"/>
        <v>25.827600000000004</v>
      </c>
      <c r="P56" s="73">
        <f t="shared" si="77"/>
        <v>20</v>
      </c>
      <c r="Q56" s="40">
        <f t="shared" si="78"/>
        <v>20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18</v>
      </c>
      <c r="B57" s="47">
        <v>53</v>
      </c>
      <c r="C57" s="57" t="s">
        <v>177</v>
      </c>
      <c r="D57" s="75"/>
      <c r="E57" s="75"/>
      <c r="F57" s="75"/>
      <c r="G57" s="75">
        <v>40</v>
      </c>
      <c r="H57" s="75">
        <v>40</v>
      </c>
      <c r="I57" s="132"/>
      <c r="J57" s="75">
        <v>40</v>
      </c>
      <c r="K57" s="75"/>
      <c r="L57" s="75">
        <v>40</v>
      </c>
      <c r="M57" s="135">
        <f t="shared" si="76"/>
        <v>4</v>
      </c>
      <c r="N57" s="39">
        <f t="shared" si="18"/>
        <v>0</v>
      </c>
      <c r="O57" s="49">
        <f t="shared" si="1"/>
        <v>25.827600000000004</v>
      </c>
      <c r="P57" s="73">
        <f t="shared" si="77"/>
        <v>4</v>
      </c>
      <c r="Q57" s="40">
        <f t="shared" si="78"/>
        <v>4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20</v>
      </c>
      <c r="B58" s="47">
        <v>54</v>
      </c>
      <c r="C58" s="57" t="s">
        <v>187</v>
      </c>
      <c r="D58" s="75"/>
      <c r="E58" s="75"/>
      <c r="F58" s="75"/>
      <c r="G58" s="75">
        <v>1189</v>
      </c>
      <c r="H58" s="75">
        <v>1395</v>
      </c>
      <c r="I58" s="132"/>
      <c r="J58" s="75">
        <v>2398</v>
      </c>
      <c r="K58" s="75">
        <v>2397</v>
      </c>
      <c r="L58" s="75">
        <v>4800</v>
      </c>
      <c r="M58" s="135">
        <f t="shared" si="76"/>
        <v>304.47500000000002</v>
      </c>
      <c r="N58" s="39">
        <f t="shared" si="18"/>
        <v>0</v>
      </c>
      <c r="O58" s="49">
        <f t="shared" si="1"/>
        <v>25.827600000000004</v>
      </c>
      <c r="P58" s="73">
        <f t="shared" si="77"/>
        <v>129.19999999999999</v>
      </c>
      <c r="Q58" s="40">
        <f t="shared" si="78"/>
        <v>479.75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20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32"/>
      <c r="J59" s="75">
        <v>40</v>
      </c>
      <c r="K59" s="75">
        <v>40</v>
      </c>
      <c r="L59" s="75">
        <v>40</v>
      </c>
      <c r="M59" s="135">
        <f t="shared" si="76"/>
        <v>5</v>
      </c>
      <c r="N59" s="39">
        <f t="shared" si="18"/>
        <v>0</v>
      </c>
      <c r="O59" s="49">
        <f t="shared" si="1"/>
        <v>25.827600000000004</v>
      </c>
      <c r="P59" s="73">
        <f t="shared" si="77"/>
        <v>4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21</v>
      </c>
      <c r="B60" s="47">
        <v>56</v>
      </c>
      <c r="C60" s="57" t="s">
        <v>118</v>
      </c>
      <c r="D60" s="75"/>
      <c r="E60" s="75"/>
      <c r="F60" s="75"/>
      <c r="G60" s="75">
        <v>40</v>
      </c>
      <c r="H60" s="75">
        <v>400</v>
      </c>
      <c r="I60" s="132"/>
      <c r="J60" s="75">
        <v>160</v>
      </c>
      <c r="K60" s="75">
        <v>320</v>
      </c>
      <c r="L60" s="75">
        <v>200</v>
      </c>
      <c r="M60" s="135">
        <f t="shared" si="52"/>
        <v>28</v>
      </c>
      <c r="N60" s="39">
        <f t="shared" si="18"/>
        <v>0</v>
      </c>
      <c r="O60" s="49">
        <f t="shared" si="1"/>
        <v>25.827600000000004</v>
      </c>
      <c r="P60" s="73">
        <f t="shared" si="53"/>
        <v>22</v>
      </c>
      <c r="Q60" s="40">
        <f t="shared" si="54"/>
        <v>34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21</v>
      </c>
      <c r="B61" s="47">
        <v>57</v>
      </c>
      <c r="C61" s="133" t="s">
        <v>191</v>
      </c>
      <c r="D61" s="75"/>
      <c r="E61" s="75"/>
      <c r="F61" s="75"/>
      <c r="G61" s="75">
        <v>200</v>
      </c>
      <c r="H61" s="75">
        <v>320</v>
      </c>
      <c r="I61" s="132"/>
      <c r="J61" s="75">
        <v>320</v>
      </c>
      <c r="K61" s="75">
        <v>400</v>
      </c>
      <c r="L61" s="75">
        <v>520</v>
      </c>
      <c r="M61" s="135">
        <f t="shared" ref="M61:M83" si="81">SUM(D61:L61)/40</f>
        <v>44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26</v>
      </c>
      <c r="Q61" s="40">
        <f t="shared" ref="Q61:Q78" si="83">SUM(J61:L61)/20</f>
        <v>62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>
        <v>21</v>
      </c>
      <c r="B62" s="47">
        <v>58</v>
      </c>
      <c r="C62" s="133" t="s">
        <v>192</v>
      </c>
      <c r="D62" s="75"/>
      <c r="E62" s="75"/>
      <c r="F62" s="75"/>
      <c r="G62" s="75">
        <v>240</v>
      </c>
      <c r="H62" s="75">
        <v>240</v>
      </c>
      <c r="I62" s="132"/>
      <c r="J62" s="75">
        <v>240</v>
      </c>
      <c r="K62" s="75">
        <v>240</v>
      </c>
      <c r="L62" s="75">
        <v>240</v>
      </c>
      <c r="M62" s="135">
        <f t="shared" si="81"/>
        <v>30</v>
      </c>
      <c r="N62" s="39">
        <f t="shared" si="18"/>
        <v>0</v>
      </c>
      <c r="O62" s="49">
        <f t="shared" si="1"/>
        <v>25.827600000000004</v>
      </c>
      <c r="P62" s="73">
        <f t="shared" si="82"/>
        <v>24</v>
      </c>
      <c r="Q62" s="40">
        <f t="shared" si="83"/>
        <v>36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21</v>
      </c>
      <c r="B63" s="47">
        <v>59</v>
      </c>
      <c r="C63" s="133" t="s">
        <v>193</v>
      </c>
      <c r="D63" s="75"/>
      <c r="E63" s="75"/>
      <c r="F63" s="75"/>
      <c r="G63" s="75">
        <v>200</v>
      </c>
      <c r="H63" s="75">
        <v>200</v>
      </c>
      <c r="I63" s="132"/>
      <c r="J63" s="75">
        <v>200</v>
      </c>
      <c r="K63" s="75">
        <v>200</v>
      </c>
      <c r="L63" s="75">
        <v>200</v>
      </c>
      <c r="M63" s="135">
        <f t="shared" si="81"/>
        <v>25</v>
      </c>
      <c r="N63" s="39">
        <f t="shared" si="18"/>
        <v>0</v>
      </c>
      <c r="O63" s="49">
        <f t="shared" si="1"/>
        <v>25.827600000000004</v>
      </c>
      <c r="P63" s="73">
        <f t="shared" si="82"/>
        <v>20</v>
      </c>
      <c r="Q63" s="40">
        <f t="shared" si="83"/>
        <v>30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21</v>
      </c>
      <c r="B64" s="47">
        <v>60</v>
      </c>
      <c r="C64" s="133" t="s">
        <v>134</v>
      </c>
      <c r="D64" s="75"/>
      <c r="E64" s="75"/>
      <c r="F64" s="75"/>
      <c r="G64" s="75">
        <v>80</v>
      </c>
      <c r="H64" s="75">
        <v>80</v>
      </c>
      <c r="I64" s="132"/>
      <c r="J64" s="75">
        <v>80</v>
      </c>
      <c r="K64" s="75">
        <v>80</v>
      </c>
      <c r="L64" s="75">
        <v>120</v>
      </c>
      <c r="M64" s="135">
        <f t="shared" si="81"/>
        <v>11</v>
      </c>
      <c r="N64" s="39">
        <f t="shared" si="18"/>
        <v>0</v>
      </c>
      <c r="O64" s="49">
        <f t="shared" si="1"/>
        <v>25.827600000000004</v>
      </c>
      <c r="P64" s="73">
        <f t="shared" si="82"/>
        <v>8</v>
      </c>
      <c r="Q64" s="40">
        <f t="shared" si="83"/>
        <v>14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21</v>
      </c>
      <c r="B65" s="47">
        <v>61</v>
      </c>
      <c r="C65" s="133" t="s">
        <v>33</v>
      </c>
      <c r="D65" s="75">
        <v>4000</v>
      </c>
      <c r="E65" s="75"/>
      <c r="F65" s="75"/>
      <c r="G65" s="75">
        <v>600</v>
      </c>
      <c r="H65" s="75">
        <v>800</v>
      </c>
      <c r="I65" s="132"/>
      <c r="J65" s="75">
        <v>2800</v>
      </c>
      <c r="K65" s="75">
        <v>1200</v>
      </c>
      <c r="L65" s="75">
        <v>2600</v>
      </c>
      <c r="M65" s="135">
        <f t="shared" si="81"/>
        <v>300</v>
      </c>
      <c r="N65" s="39">
        <f t="shared" si="18"/>
        <v>0</v>
      </c>
      <c r="O65" s="49">
        <f t="shared" si="1"/>
        <v>25.827600000000004</v>
      </c>
      <c r="P65" s="73">
        <f t="shared" si="82"/>
        <v>70</v>
      </c>
      <c r="Q65" s="40">
        <f t="shared" si="83"/>
        <v>330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23</v>
      </c>
      <c r="B66" s="47">
        <v>62</v>
      </c>
      <c r="C66" s="158" t="s">
        <v>190</v>
      </c>
      <c r="D66" s="159"/>
      <c r="E66" s="159"/>
      <c r="F66" s="159"/>
      <c r="G66" s="159">
        <v>40</v>
      </c>
      <c r="H66" s="159">
        <v>40</v>
      </c>
      <c r="I66" s="160"/>
      <c r="J66" s="159">
        <v>40</v>
      </c>
      <c r="K66" s="159">
        <v>80</v>
      </c>
      <c r="L66" s="159">
        <v>80</v>
      </c>
      <c r="M66" s="135">
        <f t="shared" si="81"/>
        <v>7</v>
      </c>
      <c r="N66" s="39">
        <f t="shared" si="18"/>
        <v>0</v>
      </c>
      <c r="O66" s="49">
        <f t="shared" si="1"/>
        <v>25.827600000000004</v>
      </c>
      <c r="P66" s="73">
        <f t="shared" si="82"/>
        <v>4</v>
      </c>
      <c r="Q66" s="40">
        <f t="shared" si="83"/>
        <v>10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23</v>
      </c>
      <c r="B67" s="47">
        <v>63</v>
      </c>
      <c r="C67" s="158" t="s">
        <v>195</v>
      </c>
      <c r="D67" s="159"/>
      <c r="E67" s="159"/>
      <c r="F67" s="159"/>
      <c r="G67" s="159"/>
      <c r="H67" s="159"/>
      <c r="I67" s="160"/>
      <c r="J67" s="159"/>
      <c r="K67" s="159"/>
      <c r="L67" s="159">
        <v>200</v>
      </c>
      <c r="M67" s="135">
        <f t="shared" si="81"/>
        <v>5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10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23</v>
      </c>
      <c r="B68" s="47">
        <v>64</v>
      </c>
      <c r="C68" s="158" t="s">
        <v>196</v>
      </c>
      <c r="D68" s="159"/>
      <c r="E68" s="159"/>
      <c r="F68" s="159"/>
      <c r="G68" s="159">
        <v>10</v>
      </c>
      <c r="H68" s="159">
        <v>10</v>
      </c>
      <c r="I68" s="160"/>
      <c r="J68" s="159">
        <v>10</v>
      </c>
      <c r="K68" s="159">
        <v>10</v>
      </c>
      <c r="L68" s="159">
        <v>20</v>
      </c>
      <c r="M68" s="135">
        <f t="shared" si="81"/>
        <v>1.5</v>
      </c>
      <c r="N68" s="39">
        <f t="shared" si="18"/>
        <v>0</v>
      </c>
      <c r="O68" s="49">
        <f t="shared" si="1"/>
        <v>25.827600000000004</v>
      </c>
      <c r="P68" s="73">
        <f t="shared" si="82"/>
        <v>1</v>
      </c>
      <c r="Q68" s="40">
        <f t="shared" si="83"/>
        <v>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23</v>
      </c>
      <c r="B69" s="47">
        <v>65</v>
      </c>
      <c r="C69" s="158" t="s">
        <v>197</v>
      </c>
      <c r="D69" s="159"/>
      <c r="E69" s="159"/>
      <c r="F69" s="159"/>
      <c r="G69" s="159">
        <v>10</v>
      </c>
      <c r="H69" s="159">
        <v>10</v>
      </c>
      <c r="I69" s="160"/>
      <c r="J69" s="159">
        <v>20</v>
      </c>
      <c r="K69" s="159">
        <v>20</v>
      </c>
      <c r="L69" s="159">
        <v>20</v>
      </c>
      <c r="M69" s="135">
        <f t="shared" si="81"/>
        <v>2</v>
      </c>
      <c r="N69" s="39">
        <f t="shared" si="18"/>
        <v>0</v>
      </c>
      <c r="O69" s="49">
        <f t="shared" si="1"/>
        <v>25.827600000000004</v>
      </c>
      <c r="P69" s="73">
        <f t="shared" si="82"/>
        <v>1</v>
      </c>
      <c r="Q69" s="40">
        <f t="shared" si="83"/>
        <v>3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23</v>
      </c>
      <c r="B70" s="47">
        <v>66</v>
      </c>
      <c r="C70" s="158" t="s">
        <v>198</v>
      </c>
      <c r="D70" s="159"/>
      <c r="E70" s="159"/>
      <c r="F70" s="159"/>
      <c r="G70" s="159">
        <v>40</v>
      </c>
      <c r="H70" s="159"/>
      <c r="I70" s="160"/>
      <c r="J70" s="159">
        <v>40</v>
      </c>
      <c r="K70" s="159">
        <v>80</v>
      </c>
      <c r="L70" s="159">
        <v>80</v>
      </c>
      <c r="M70" s="135">
        <f t="shared" si="81"/>
        <v>6</v>
      </c>
      <c r="N70" s="39">
        <f t="shared" si="18"/>
        <v>0</v>
      </c>
      <c r="O70" s="49">
        <f t="shared" si="1"/>
        <v>25.827600000000004</v>
      </c>
      <c r="P70" s="73">
        <f t="shared" si="82"/>
        <v>2</v>
      </c>
      <c r="Q70" s="40">
        <f t="shared" si="83"/>
        <v>10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23</v>
      </c>
      <c r="B71" s="47">
        <v>67</v>
      </c>
      <c r="C71" s="158" t="s">
        <v>199</v>
      </c>
      <c r="D71" s="159"/>
      <c r="E71" s="159"/>
      <c r="F71" s="159"/>
      <c r="G71" s="159">
        <v>40</v>
      </c>
      <c r="H71" s="159">
        <v>40</v>
      </c>
      <c r="I71" s="160"/>
      <c r="J71" s="159"/>
      <c r="K71" s="159">
        <v>40</v>
      </c>
      <c r="L71" s="159">
        <v>40</v>
      </c>
      <c r="M71" s="135">
        <f t="shared" si="81"/>
        <v>4</v>
      </c>
      <c r="N71" s="39">
        <f t="shared" si="18"/>
        <v>0</v>
      </c>
      <c r="O71" s="49">
        <f t="shared" si="1"/>
        <v>25.827600000000004</v>
      </c>
      <c r="P71" s="73">
        <f t="shared" si="82"/>
        <v>4</v>
      </c>
      <c r="Q71" s="40">
        <f t="shared" si="83"/>
        <v>4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23</v>
      </c>
      <c r="B72" s="47">
        <v>68</v>
      </c>
      <c r="C72" s="158" t="s">
        <v>200</v>
      </c>
      <c r="D72" s="159"/>
      <c r="E72" s="159"/>
      <c r="F72" s="159"/>
      <c r="G72" s="159">
        <v>80</v>
      </c>
      <c r="H72" s="159">
        <v>80</v>
      </c>
      <c r="I72" s="160"/>
      <c r="J72" s="159">
        <v>80</v>
      </c>
      <c r="K72" s="159">
        <v>80</v>
      </c>
      <c r="L72" s="159">
        <v>80</v>
      </c>
      <c r="M72" s="135">
        <f t="shared" si="81"/>
        <v>10</v>
      </c>
      <c r="N72" s="39">
        <f t="shared" si="18"/>
        <v>0</v>
      </c>
      <c r="O72" s="49">
        <f t="shared" si="1"/>
        <v>25.827600000000004</v>
      </c>
      <c r="P72" s="73">
        <f t="shared" si="82"/>
        <v>8</v>
      </c>
      <c r="Q72" s="40">
        <f t="shared" si="83"/>
        <v>12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23</v>
      </c>
      <c r="B73" s="47">
        <v>69</v>
      </c>
      <c r="C73" s="158" t="s">
        <v>201</v>
      </c>
      <c r="D73" s="159"/>
      <c r="E73" s="159"/>
      <c r="F73" s="159"/>
      <c r="G73" s="159">
        <v>200</v>
      </c>
      <c r="H73" s="159">
        <v>120</v>
      </c>
      <c r="I73" s="160"/>
      <c r="J73" s="159"/>
      <c r="K73" s="159"/>
      <c r="L73" s="159">
        <v>400</v>
      </c>
      <c r="M73" s="135">
        <f t="shared" si="81"/>
        <v>18</v>
      </c>
      <c r="N73" s="39">
        <f t="shared" si="18"/>
        <v>0</v>
      </c>
      <c r="O73" s="49">
        <f t="shared" si="1"/>
        <v>25.827600000000004</v>
      </c>
      <c r="P73" s="73">
        <f t="shared" si="82"/>
        <v>16</v>
      </c>
      <c r="Q73" s="40">
        <f t="shared" si="83"/>
        <v>20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23</v>
      </c>
      <c r="B74" s="47">
        <v>70</v>
      </c>
      <c r="C74" s="161" t="s">
        <v>202</v>
      </c>
      <c r="D74" s="159"/>
      <c r="E74" s="159"/>
      <c r="F74" s="162"/>
      <c r="G74" s="159">
        <v>40</v>
      </c>
      <c r="H74" s="159">
        <v>80</v>
      </c>
      <c r="I74" s="160"/>
      <c r="J74" s="159">
        <v>80</v>
      </c>
      <c r="K74" s="159">
        <v>80</v>
      </c>
      <c r="L74" s="159">
        <v>80</v>
      </c>
      <c r="M74" s="135">
        <f t="shared" si="81"/>
        <v>9</v>
      </c>
      <c r="N74" s="39">
        <f t="shared" si="18"/>
        <v>0</v>
      </c>
      <c r="O74" s="49">
        <f t="shared" si="1"/>
        <v>25.827600000000004</v>
      </c>
      <c r="P74" s="73">
        <f t="shared" si="82"/>
        <v>6</v>
      </c>
      <c r="Q74" s="40">
        <f t="shared" si="83"/>
        <v>12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24</v>
      </c>
      <c r="B75" s="47">
        <v>71</v>
      </c>
      <c r="C75" s="134" t="s">
        <v>207</v>
      </c>
      <c r="D75" s="75"/>
      <c r="E75" s="50"/>
      <c r="F75" s="50"/>
      <c r="G75" s="75">
        <v>80</v>
      </c>
      <c r="H75" s="75">
        <v>80</v>
      </c>
      <c r="I75" s="132"/>
      <c r="J75" s="75">
        <v>80</v>
      </c>
      <c r="K75" s="75">
        <v>80</v>
      </c>
      <c r="L75" s="75">
        <v>80</v>
      </c>
      <c r="M75" s="135">
        <f t="shared" si="81"/>
        <v>10</v>
      </c>
      <c r="N75" s="39">
        <f t="shared" si="18"/>
        <v>0</v>
      </c>
      <c r="O75" s="49">
        <f t="shared" si="1"/>
        <v>25.827600000000004</v>
      </c>
      <c r="P75" s="73">
        <f t="shared" si="82"/>
        <v>8</v>
      </c>
      <c r="Q75" s="40">
        <f t="shared" si="83"/>
        <v>12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24</v>
      </c>
      <c r="B76" s="47">
        <v>72</v>
      </c>
      <c r="C76" s="134" t="s">
        <v>208</v>
      </c>
      <c r="D76" s="75"/>
      <c r="E76" s="50"/>
      <c r="F76" s="50"/>
      <c r="G76" s="75">
        <v>200</v>
      </c>
      <c r="H76" s="75">
        <v>200</v>
      </c>
      <c r="I76" s="132"/>
      <c r="J76" s="75">
        <v>200</v>
      </c>
      <c r="K76" s="75">
        <v>200</v>
      </c>
      <c r="L76" s="75">
        <v>200</v>
      </c>
      <c r="M76" s="135">
        <f t="shared" si="81"/>
        <v>25</v>
      </c>
      <c r="N76" s="39">
        <f t="shared" si="18"/>
        <v>0</v>
      </c>
      <c r="O76" s="49">
        <f t="shared" si="1"/>
        <v>25.827600000000004</v>
      </c>
      <c r="P76" s="73">
        <f t="shared" si="82"/>
        <v>20</v>
      </c>
      <c r="Q76" s="40">
        <f t="shared" si="83"/>
        <v>30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24</v>
      </c>
      <c r="B77" s="47">
        <v>73</v>
      </c>
      <c r="C77" s="134" t="s">
        <v>169</v>
      </c>
      <c r="D77" s="75"/>
      <c r="E77" s="50"/>
      <c r="F77" s="50"/>
      <c r="G77" s="50">
        <v>80</v>
      </c>
      <c r="H77" s="50">
        <v>160</v>
      </c>
      <c r="I77" s="135"/>
      <c r="J77" s="50">
        <v>40</v>
      </c>
      <c r="K77" s="50">
        <v>40</v>
      </c>
      <c r="L77" s="50">
        <v>40</v>
      </c>
      <c r="M77" s="135">
        <f t="shared" si="81"/>
        <v>9</v>
      </c>
      <c r="N77" s="39">
        <f t="shared" si="18"/>
        <v>0</v>
      </c>
      <c r="O77" s="49">
        <f t="shared" si="1"/>
        <v>25.827600000000004</v>
      </c>
      <c r="P77" s="73">
        <f t="shared" si="82"/>
        <v>12</v>
      </c>
      <c r="Q77" s="40">
        <f t="shared" si="83"/>
        <v>6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24</v>
      </c>
      <c r="B78" s="47">
        <v>74</v>
      </c>
      <c r="C78" s="134" t="s">
        <v>209</v>
      </c>
      <c r="D78" s="75"/>
      <c r="E78" s="50"/>
      <c r="F78" s="50"/>
      <c r="G78" s="50">
        <v>40</v>
      </c>
      <c r="H78" s="50">
        <v>40</v>
      </c>
      <c r="I78" s="135"/>
      <c r="J78" s="50">
        <v>40</v>
      </c>
      <c r="K78" s="50">
        <v>40</v>
      </c>
      <c r="L78" s="50">
        <v>40</v>
      </c>
      <c r="M78" s="135">
        <f t="shared" si="81"/>
        <v>5</v>
      </c>
      <c r="N78" s="39">
        <f t="shared" si="18"/>
        <v>0</v>
      </c>
      <c r="O78" s="49">
        <f t="shared" si="1"/>
        <v>25.827600000000004</v>
      </c>
      <c r="P78" s="73">
        <f t="shared" si="82"/>
        <v>4</v>
      </c>
      <c r="Q78" s="40">
        <f t="shared" si="83"/>
        <v>6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3"/>
      <c r="D79" s="50"/>
      <c r="E79" s="50"/>
      <c r="F79" s="50"/>
      <c r="G79" s="50"/>
      <c r="H79" s="50"/>
      <c r="I79" s="135"/>
      <c r="J79" s="50"/>
      <c r="K79" s="50"/>
      <c r="L79" s="50"/>
      <c r="M79" s="135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3"/>
      <c r="D80" s="50"/>
      <c r="E80" s="50"/>
      <c r="F80" s="50"/>
      <c r="G80" s="50"/>
      <c r="H80" s="50"/>
      <c r="I80" s="135"/>
      <c r="J80" s="50"/>
      <c r="K80" s="50"/>
      <c r="L80" s="50"/>
      <c r="M80" s="135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3"/>
      <c r="D81" s="50"/>
      <c r="E81" s="50"/>
      <c r="F81" s="50"/>
      <c r="G81" s="50"/>
      <c r="H81" s="50"/>
      <c r="I81" s="135"/>
      <c r="J81" s="50"/>
      <c r="K81" s="50"/>
      <c r="L81" s="50"/>
      <c r="M81" s="135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3"/>
      <c r="D82" s="50"/>
      <c r="E82" s="50"/>
      <c r="F82" s="50"/>
      <c r="G82" s="50"/>
      <c r="H82" s="50"/>
      <c r="I82" s="135"/>
      <c r="J82" s="50"/>
      <c r="K82" s="50"/>
      <c r="L82" s="50"/>
      <c r="M82" s="135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3"/>
      <c r="D83" s="50"/>
      <c r="E83" s="50"/>
      <c r="F83" s="50"/>
      <c r="G83" s="50"/>
      <c r="H83" s="50"/>
      <c r="I83" s="135"/>
      <c r="J83" s="50"/>
      <c r="K83" s="50"/>
      <c r="L83" s="50"/>
      <c r="M83" s="135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3"/>
      <c r="D84" s="50"/>
      <c r="E84" s="50"/>
      <c r="F84" s="50"/>
      <c r="G84" s="50"/>
      <c r="H84" s="50"/>
      <c r="I84" s="135"/>
      <c r="J84" s="50"/>
      <c r="K84" s="50"/>
      <c r="L84" s="50"/>
      <c r="M84" s="135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87" t="s">
        <v>11</v>
      </c>
      <c r="C132" s="188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4447</v>
      </c>
      <c r="H132" s="88">
        <f t="shared" si="104"/>
        <v>5112</v>
      </c>
      <c r="I132" s="88">
        <f t="shared" si="104"/>
        <v>0</v>
      </c>
      <c r="J132" s="88">
        <f t="shared" si="104"/>
        <v>7417</v>
      </c>
      <c r="K132" s="88">
        <f t="shared" si="104"/>
        <v>6195</v>
      </c>
      <c r="L132" s="88">
        <f t="shared" si="104"/>
        <v>10758</v>
      </c>
      <c r="M132" s="48">
        <f t="shared" ref="M132:M135" si="105">SUM(D132:L132)/40</f>
        <v>909.22500000000002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477.95</v>
      </c>
      <c r="Q132" s="40">
        <f t="shared" ref="Q132:Q136" si="107">SUM(J132:L132)/20</f>
        <v>1218.5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5" t="s">
        <v>73</v>
      </c>
      <c r="C136" s="176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4" t="s">
        <v>11</v>
      </c>
      <c r="C137" s="165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4447</v>
      </c>
      <c r="H137" s="89">
        <f t="shared" si="112"/>
        <v>5112</v>
      </c>
      <c r="I137" s="89">
        <f t="shared" si="112"/>
        <v>0</v>
      </c>
      <c r="J137" s="89">
        <f t="shared" si="112"/>
        <v>7417</v>
      </c>
      <c r="K137" s="89">
        <f t="shared" si="112"/>
        <v>6195</v>
      </c>
      <c r="L137" s="89">
        <f t="shared" si="112"/>
        <v>10758</v>
      </c>
      <c r="M137" s="60">
        <f t="shared" si="0"/>
        <v>909.22500000000002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1193.9000000000001</v>
      </c>
      <c r="Q137" s="64">
        <f t="shared" si="113"/>
        <v>3052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topLeftCell="A19" zoomScale="85" zoomScaleNormal="85" workbookViewId="0">
      <selection activeCell="H12" sqref="H12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6.726562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91" t="s">
        <v>50</v>
      </c>
      <c r="D3" s="192"/>
      <c r="E3" s="192"/>
      <c r="F3" s="192"/>
      <c r="G3" s="193"/>
      <c r="H3" s="195" t="s">
        <v>65</v>
      </c>
      <c r="I3" s="196"/>
      <c r="K3" s="197" t="s">
        <v>69</v>
      </c>
      <c r="L3" s="197"/>
      <c r="M3" s="197"/>
      <c r="N3" s="197"/>
      <c r="O3" s="197"/>
      <c r="P3" s="197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  <c r="P4" s="157" t="s">
        <v>194</v>
      </c>
    </row>
    <row r="5" spans="3:26" ht="32" customHeight="1" x14ac:dyDescent="0.55000000000000004">
      <c r="C5" s="105" t="s">
        <v>51</v>
      </c>
      <c r="D5" s="92">
        <v>817</v>
      </c>
      <c r="E5" s="79">
        <v>1304</v>
      </c>
      <c r="F5" s="79">
        <v>600</v>
      </c>
      <c r="G5" s="106">
        <f>SUM(D5:F5)</f>
        <v>2721</v>
      </c>
      <c r="H5" s="99">
        <v>10000</v>
      </c>
      <c r="I5" s="100">
        <f>G5-H5</f>
        <v>-7279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32680</v>
      </c>
      <c r="E6" s="109">
        <f>E5*40</f>
        <v>52160</v>
      </c>
      <c r="F6" s="109">
        <f>F5*40</f>
        <v>24000</v>
      </c>
      <c r="G6" s="110">
        <f>SUM(D6:F6)</f>
        <v>108840</v>
      </c>
      <c r="H6" s="101">
        <f>H5*40</f>
        <v>400000</v>
      </c>
      <c r="I6" s="102">
        <f>G6-H6</f>
        <v>-291160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3">
        <v>46180</v>
      </c>
      <c r="V6" s="143">
        <v>46180</v>
      </c>
      <c r="W6" s="143">
        <v>46333</v>
      </c>
      <c r="X6" s="143">
        <v>46210</v>
      </c>
      <c r="Y6" s="143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2" t="s">
        <v>154</v>
      </c>
      <c r="T7" s="142" t="s">
        <v>153</v>
      </c>
      <c r="U7" s="77" t="s">
        <v>147</v>
      </c>
      <c r="V7" s="142" t="s">
        <v>151</v>
      </c>
      <c r="W7" s="142" t="s">
        <v>150</v>
      </c>
      <c r="X7" s="142" t="s">
        <v>150</v>
      </c>
      <c r="Y7" s="142" t="s">
        <v>150</v>
      </c>
      <c r="Z7" s="142" t="s">
        <v>152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146</v>
      </c>
      <c r="U8" s="141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-817</v>
      </c>
      <c r="E9" s="111">
        <f>E8-E5</f>
        <v>-1304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1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148</v>
      </c>
      <c r="U10" s="141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94" t="s">
        <v>62</v>
      </c>
      <c r="D11" s="194"/>
      <c r="F11" s="194" t="s">
        <v>71</v>
      </c>
      <c r="G11" s="194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146</v>
      </c>
      <c r="U11" s="141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6155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149</v>
      </c>
      <c r="U12" s="141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246200</v>
      </c>
      <c r="S13" s="189" t="s">
        <v>152</v>
      </c>
      <c r="T13" s="189"/>
      <c r="U13" s="141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112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90" t="s">
        <v>69</v>
      </c>
      <c r="E20" s="190"/>
      <c r="F20" s="190"/>
      <c r="G20" s="190"/>
      <c r="H20" s="190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70"/>
  <sheetViews>
    <sheetView topLeftCell="C1" zoomScale="115" zoomScaleNormal="115" workbookViewId="0">
      <pane ySplit="1" topLeftCell="A55" activePane="bottomLeft" state="frozen"/>
      <selection activeCell="C1" sqref="C1"/>
      <selection pane="bottomLeft" activeCell="J67" sqref="J67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49"/>
      <c r="H1" s="146" t="s">
        <v>37</v>
      </c>
      <c r="I1" s="146" t="s">
        <v>80</v>
      </c>
      <c r="J1" s="146" t="s">
        <v>81</v>
      </c>
      <c r="K1" s="146" t="s">
        <v>79</v>
      </c>
      <c r="L1" s="147" t="s">
        <v>158</v>
      </c>
      <c r="M1" s="147" t="s">
        <v>160</v>
      </c>
    </row>
    <row r="2" spans="1:13" x14ac:dyDescent="0.35">
      <c r="A2" s="2"/>
      <c r="B2" s="2"/>
      <c r="C2" s="2"/>
      <c r="D2" s="2"/>
      <c r="H2" s="155">
        <v>46029</v>
      </c>
      <c r="I2" s="79" t="s">
        <v>98</v>
      </c>
      <c r="J2" s="79">
        <v>70</v>
      </c>
      <c r="K2" s="141" t="s">
        <v>99</v>
      </c>
      <c r="L2" s="79" t="s">
        <v>159</v>
      </c>
      <c r="M2" s="79">
        <f>J2*40</f>
        <v>2800</v>
      </c>
    </row>
    <row r="3" spans="1:13" x14ac:dyDescent="0.35">
      <c r="A3" s="2"/>
      <c r="B3" s="2"/>
      <c r="C3" s="2"/>
      <c r="D3" s="2"/>
      <c r="H3" s="155">
        <v>46029</v>
      </c>
      <c r="I3" s="79" t="s">
        <v>100</v>
      </c>
      <c r="J3" s="79">
        <v>10</v>
      </c>
      <c r="K3" s="141" t="s">
        <v>99</v>
      </c>
      <c r="L3" s="79" t="s">
        <v>159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155">
        <v>46029</v>
      </c>
      <c r="I4" s="79" t="s">
        <v>101</v>
      </c>
      <c r="J4" s="79">
        <v>9</v>
      </c>
      <c r="K4" s="141" t="s">
        <v>99</v>
      </c>
      <c r="L4" s="79" t="s">
        <v>159</v>
      </c>
      <c r="M4" s="79">
        <f t="shared" si="0"/>
        <v>360</v>
      </c>
    </row>
    <row r="5" spans="1:13" x14ac:dyDescent="0.35">
      <c r="A5" s="2"/>
      <c r="B5" s="2"/>
      <c r="C5" s="2"/>
      <c r="D5" s="2"/>
      <c r="H5" s="155">
        <v>46060</v>
      </c>
      <c r="I5" s="79" t="s">
        <v>102</v>
      </c>
      <c r="J5" s="79">
        <v>18</v>
      </c>
      <c r="K5" s="141" t="s">
        <v>99</v>
      </c>
      <c r="L5" s="79" t="s">
        <v>159</v>
      </c>
      <c r="M5" s="79">
        <f t="shared" si="0"/>
        <v>720</v>
      </c>
    </row>
    <row r="6" spans="1:13" x14ac:dyDescent="0.35">
      <c r="A6" s="2"/>
      <c r="B6" s="2"/>
      <c r="C6" s="2"/>
      <c r="D6" s="2"/>
      <c r="H6" s="155">
        <v>46060</v>
      </c>
      <c r="I6" s="79" t="s">
        <v>103</v>
      </c>
      <c r="J6" s="79">
        <v>5</v>
      </c>
      <c r="K6" s="141" t="s">
        <v>99</v>
      </c>
      <c r="L6" s="79" t="s">
        <v>159</v>
      </c>
      <c r="M6" s="79">
        <f t="shared" si="0"/>
        <v>200</v>
      </c>
    </row>
    <row r="7" spans="1:13" x14ac:dyDescent="0.35">
      <c r="A7" s="2"/>
      <c r="B7" s="2"/>
      <c r="C7" s="2"/>
      <c r="D7" s="2"/>
      <c r="H7" s="155">
        <v>46088</v>
      </c>
      <c r="I7" s="79" t="s">
        <v>104</v>
      </c>
      <c r="J7" s="79">
        <v>14</v>
      </c>
      <c r="K7" s="141" t="s">
        <v>99</v>
      </c>
      <c r="L7" s="79" t="s">
        <v>159</v>
      </c>
      <c r="M7" s="79">
        <f t="shared" si="0"/>
        <v>560</v>
      </c>
    </row>
    <row r="8" spans="1:13" x14ac:dyDescent="0.35">
      <c r="A8" s="2"/>
      <c r="B8" s="2"/>
      <c r="C8" s="2"/>
      <c r="D8" s="2"/>
      <c r="F8" s="149"/>
      <c r="G8" s="149"/>
      <c r="H8" s="155">
        <v>46088</v>
      </c>
      <c r="I8" s="79" t="s">
        <v>105</v>
      </c>
      <c r="J8" s="79">
        <v>13</v>
      </c>
      <c r="K8" s="141" t="s">
        <v>99</v>
      </c>
      <c r="L8" s="79" t="s">
        <v>159</v>
      </c>
      <c r="M8" s="79">
        <f t="shared" si="0"/>
        <v>520</v>
      </c>
    </row>
    <row r="9" spans="1:13" x14ac:dyDescent="0.35">
      <c r="A9" s="2"/>
      <c r="B9" s="2"/>
      <c r="C9" s="2"/>
      <c r="D9" s="2"/>
      <c r="H9" s="155">
        <v>46088</v>
      </c>
      <c r="I9" s="79" t="s">
        <v>106</v>
      </c>
      <c r="J9" s="79">
        <v>4</v>
      </c>
      <c r="K9" s="141" t="s">
        <v>99</v>
      </c>
      <c r="L9" s="79" t="s">
        <v>159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155">
        <v>46088</v>
      </c>
      <c r="I10" s="79" t="s">
        <v>107</v>
      </c>
      <c r="J10" s="79">
        <v>12</v>
      </c>
      <c r="K10" s="145" t="s">
        <v>99</v>
      </c>
      <c r="L10" s="79" t="s">
        <v>157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155">
        <v>46088</v>
      </c>
      <c r="I11" s="79" t="s">
        <v>107</v>
      </c>
      <c r="J11" s="79">
        <v>19</v>
      </c>
      <c r="K11" s="145" t="s">
        <v>99</v>
      </c>
      <c r="L11" s="79" t="s">
        <v>157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44" t="s">
        <v>113</v>
      </c>
      <c r="J12" s="144">
        <v>13</v>
      </c>
      <c r="K12" s="144" t="s">
        <v>114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155">
        <v>46272</v>
      </c>
      <c r="I13" s="79" t="s">
        <v>115</v>
      </c>
      <c r="J13" s="79">
        <v>5</v>
      </c>
      <c r="K13" s="141" t="s">
        <v>99</v>
      </c>
      <c r="L13" s="79" t="s">
        <v>159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155">
        <v>46272</v>
      </c>
      <c r="I14" s="79" t="s">
        <v>116</v>
      </c>
      <c r="J14" s="79">
        <v>8</v>
      </c>
      <c r="K14" s="141" t="s">
        <v>99</v>
      </c>
      <c r="L14" s="79" t="s">
        <v>159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155">
        <v>46272</v>
      </c>
      <c r="I15" s="79" t="s">
        <v>98</v>
      </c>
      <c r="J15" s="79">
        <v>10</v>
      </c>
      <c r="K15" s="141" t="s">
        <v>99</v>
      </c>
      <c r="L15" s="79" t="s">
        <v>159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155">
        <v>46302</v>
      </c>
      <c r="I16" s="79" t="s">
        <v>119</v>
      </c>
      <c r="J16" s="79">
        <v>5</v>
      </c>
      <c r="K16" s="141" t="s">
        <v>99</v>
      </c>
      <c r="L16" s="79" t="s">
        <v>159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155">
        <v>46302</v>
      </c>
      <c r="I17" s="79" t="s">
        <v>120</v>
      </c>
      <c r="J17" s="79">
        <v>4</v>
      </c>
      <c r="K17" s="141" t="s">
        <v>99</v>
      </c>
      <c r="L17" s="79" t="s">
        <v>159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155">
        <v>46302</v>
      </c>
      <c r="I18" s="79" t="s">
        <v>121</v>
      </c>
      <c r="J18" s="79">
        <v>9</v>
      </c>
      <c r="K18" s="141" t="s">
        <v>99</v>
      </c>
      <c r="L18" s="79" t="s">
        <v>159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155">
        <v>46302</v>
      </c>
      <c r="I19" s="79" t="s">
        <v>122</v>
      </c>
      <c r="J19" s="79">
        <v>6</v>
      </c>
      <c r="K19" s="141" t="s">
        <v>99</v>
      </c>
      <c r="L19" s="79" t="s">
        <v>159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155">
        <v>46302</v>
      </c>
      <c r="I20" s="79" t="s">
        <v>123</v>
      </c>
      <c r="J20" s="79">
        <v>30</v>
      </c>
      <c r="K20" s="141" t="s">
        <v>99</v>
      </c>
      <c r="L20" s="79" t="s">
        <v>159</v>
      </c>
      <c r="M20" s="79">
        <f t="shared" si="0"/>
        <v>1200</v>
      </c>
    </row>
    <row r="21" spans="1:13" x14ac:dyDescent="0.35">
      <c r="H21" s="155">
        <v>46302</v>
      </c>
      <c r="I21" s="79" t="s">
        <v>25</v>
      </c>
      <c r="J21" s="79">
        <v>22</v>
      </c>
      <c r="K21" s="141" t="s">
        <v>99</v>
      </c>
      <c r="L21" s="79" t="s">
        <v>159</v>
      </c>
      <c r="M21" s="79">
        <f t="shared" si="0"/>
        <v>880</v>
      </c>
    </row>
    <row r="22" spans="1:13" x14ac:dyDescent="0.35">
      <c r="H22" s="148">
        <v>46333</v>
      </c>
      <c r="I22" s="79" t="s">
        <v>98</v>
      </c>
      <c r="J22" s="79">
        <v>15</v>
      </c>
      <c r="K22" s="141" t="s">
        <v>99</v>
      </c>
      <c r="L22" s="79" t="s">
        <v>159</v>
      </c>
      <c r="M22" s="79">
        <f t="shared" si="0"/>
        <v>600</v>
      </c>
    </row>
    <row r="23" spans="1:13" x14ac:dyDescent="0.35">
      <c r="H23" s="148">
        <v>46333</v>
      </c>
      <c r="I23" s="79" t="s">
        <v>127</v>
      </c>
      <c r="J23" s="79">
        <v>4</v>
      </c>
      <c r="K23" s="141" t="s">
        <v>99</v>
      </c>
      <c r="L23" s="79" t="s">
        <v>159</v>
      </c>
      <c r="M23" s="79">
        <f t="shared" si="0"/>
        <v>160</v>
      </c>
    </row>
    <row r="24" spans="1:13" x14ac:dyDescent="0.35">
      <c r="H24" s="148">
        <v>46333</v>
      </c>
      <c r="I24" s="79" t="s">
        <v>128</v>
      </c>
      <c r="J24" s="79">
        <v>50</v>
      </c>
      <c r="K24" s="141" t="s">
        <v>99</v>
      </c>
      <c r="L24" s="79" t="s">
        <v>159</v>
      </c>
      <c r="M24" s="79">
        <f t="shared" si="0"/>
        <v>2000</v>
      </c>
    </row>
    <row r="25" spans="1:13" x14ac:dyDescent="0.35">
      <c r="H25" s="148">
        <v>46333</v>
      </c>
      <c r="I25" s="79" t="s">
        <v>129</v>
      </c>
      <c r="J25" s="79">
        <v>5</v>
      </c>
      <c r="K25" s="141" t="s">
        <v>99</v>
      </c>
      <c r="L25" s="79" t="s">
        <v>159</v>
      </c>
      <c r="M25" s="79">
        <f t="shared" si="0"/>
        <v>200</v>
      </c>
    </row>
    <row r="26" spans="1:13" x14ac:dyDescent="0.35">
      <c r="H26" s="148">
        <v>46333</v>
      </c>
      <c r="I26" s="79" t="s">
        <v>161</v>
      </c>
      <c r="J26" s="79">
        <v>50</v>
      </c>
      <c r="K26" s="141" t="s">
        <v>99</v>
      </c>
      <c r="L26" s="79" t="s">
        <v>159</v>
      </c>
      <c r="M26" s="79">
        <f t="shared" si="0"/>
        <v>2000</v>
      </c>
    </row>
    <row r="27" spans="1:13" x14ac:dyDescent="0.35">
      <c r="H27" s="2" t="s">
        <v>162</v>
      </c>
      <c r="I27" s="79" t="s">
        <v>130</v>
      </c>
      <c r="J27" s="79">
        <v>5</v>
      </c>
      <c r="K27" s="141" t="s">
        <v>99</v>
      </c>
      <c r="L27" s="79" t="s">
        <v>159</v>
      </c>
      <c r="M27" s="79">
        <f t="shared" si="0"/>
        <v>200</v>
      </c>
    </row>
    <row r="28" spans="1:13" x14ac:dyDescent="0.35">
      <c r="H28" s="2" t="s">
        <v>162</v>
      </c>
      <c r="I28" s="79" t="s">
        <v>131</v>
      </c>
      <c r="J28" s="79">
        <v>7</v>
      </c>
      <c r="K28" s="141" t="s">
        <v>99</v>
      </c>
      <c r="L28" s="79" t="s">
        <v>159</v>
      </c>
      <c r="M28" s="79">
        <f t="shared" si="0"/>
        <v>280</v>
      </c>
    </row>
    <row r="29" spans="1:13" x14ac:dyDescent="0.35">
      <c r="H29" s="2" t="s">
        <v>162</v>
      </c>
      <c r="I29" s="79" t="s">
        <v>132</v>
      </c>
      <c r="J29" s="79">
        <v>21</v>
      </c>
      <c r="K29" s="141" t="s">
        <v>99</v>
      </c>
      <c r="L29" s="79" t="s">
        <v>159</v>
      </c>
      <c r="M29" s="79">
        <f t="shared" si="0"/>
        <v>840</v>
      </c>
    </row>
    <row r="30" spans="1:13" x14ac:dyDescent="0.35">
      <c r="H30" s="2" t="s">
        <v>162</v>
      </c>
      <c r="I30" s="79" t="s">
        <v>133</v>
      </c>
      <c r="J30" s="79">
        <v>8</v>
      </c>
      <c r="K30" s="141" t="s">
        <v>99</v>
      </c>
      <c r="L30" s="79" t="s">
        <v>159</v>
      </c>
      <c r="M30" s="79">
        <f t="shared" si="0"/>
        <v>320</v>
      </c>
    </row>
    <row r="31" spans="1:13" x14ac:dyDescent="0.35">
      <c r="H31" s="2" t="s">
        <v>162</v>
      </c>
      <c r="I31" s="79" t="s">
        <v>134</v>
      </c>
      <c r="J31" s="79">
        <v>4</v>
      </c>
      <c r="K31" s="141" t="s">
        <v>99</v>
      </c>
      <c r="L31" s="79" t="s">
        <v>159</v>
      </c>
      <c r="M31" s="79">
        <f t="shared" si="0"/>
        <v>160</v>
      </c>
    </row>
    <row r="32" spans="1:13" x14ac:dyDescent="0.35">
      <c r="H32" s="2" t="s">
        <v>162</v>
      </c>
      <c r="I32" s="79" t="s">
        <v>135</v>
      </c>
      <c r="J32" s="79">
        <v>4</v>
      </c>
      <c r="K32" s="141" t="s">
        <v>99</v>
      </c>
      <c r="L32" s="79" t="s">
        <v>159</v>
      </c>
      <c r="M32" s="79">
        <f t="shared" si="0"/>
        <v>160</v>
      </c>
    </row>
    <row r="33" spans="8:13" x14ac:dyDescent="0.35">
      <c r="H33" s="2" t="s">
        <v>162</v>
      </c>
      <c r="I33" s="79" t="s">
        <v>142</v>
      </c>
      <c r="J33" s="79">
        <v>305</v>
      </c>
      <c r="K33" s="141" t="s">
        <v>99</v>
      </c>
      <c r="L33" s="79"/>
      <c r="M33" s="79">
        <f t="shared" si="0"/>
        <v>12200</v>
      </c>
    </row>
    <row r="34" spans="8:13" x14ac:dyDescent="0.35">
      <c r="H34" s="2" t="s">
        <v>163</v>
      </c>
      <c r="I34" s="79" t="s">
        <v>140</v>
      </c>
      <c r="J34" s="79">
        <v>35</v>
      </c>
      <c r="K34" s="141" t="s">
        <v>99</v>
      </c>
      <c r="L34" s="79" t="s">
        <v>159</v>
      </c>
      <c r="M34" s="79">
        <f t="shared" si="0"/>
        <v>1400</v>
      </c>
    </row>
    <row r="35" spans="8:13" x14ac:dyDescent="0.35">
      <c r="H35" s="2" t="s">
        <v>164</v>
      </c>
      <c r="I35" s="79" t="s">
        <v>145</v>
      </c>
      <c r="J35" s="79">
        <v>122</v>
      </c>
      <c r="K35" s="141" t="s">
        <v>99</v>
      </c>
      <c r="L35" s="79" t="s">
        <v>159</v>
      </c>
      <c r="M35" s="79">
        <f t="shared" si="0"/>
        <v>4880</v>
      </c>
    </row>
    <row r="36" spans="8:13" x14ac:dyDescent="0.35">
      <c r="H36" s="2" t="s">
        <v>165</v>
      </c>
      <c r="I36" s="79" t="s">
        <v>107</v>
      </c>
      <c r="J36" s="79">
        <f>M36/40</f>
        <v>10</v>
      </c>
      <c r="K36" s="141" t="s">
        <v>99</v>
      </c>
      <c r="L36" s="79" t="s">
        <v>159</v>
      </c>
      <c r="M36" s="79">
        <v>400</v>
      </c>
    </row>
    <row r="37" spans="8:13" x14ac:dyDescent="0.35">
      <c r="H37" s="2" t="s">
        <v>165</v>
      </c>
      <c r="I37" s="79" t="s">
        <v>155</v>
      </c>
      <c r="J37" s="79">
        <f>M37/40</f>
        <v>14</v>
      </c>
      <c r="K37" s="141" t="s">
        <v>99</v>
      </c>
      <c r="L37" s="79" t="s">
        <v>159</v>
      </c>
      <c r="M37" s="79">
        <v>560</v>
      </c>
    </row>
    <row r="38" spans="8:13" x14ac:dyDescent="0.35">
      <c r="H38" s="2" t="s">
        <v>165</v>
      </c>
      <c r="I38" s="79" t="s">
        <v>156</v>
      </c>
      <c r="J38" s="79">
        <f>M38/40</f>
        <v>17</v>
      </c>
      <c r="K38" s="141" t="s">
        <v>99</v>
      </c>
      <c r="L38" s="79" t="s">
        <v>159</v>
      </c>
      <c r="M38" s="79">
        <v>680</v>
      </c>
    </row>
    <row r="39" spans="8:13" x14ac:dyDescent="0.35">
      <c r="H39" s="2" t="s">
        <v>165</v>
      </c>
      <c r="I39" s="79" t="s">
        <v>25</v>
      </c>
      <c r="J39" s="79">
        <f>M39/40</f>
        <v>18</v>
      </c>
      <c r="K39" s="141" t="s">
        <v>99</v>
      </c>
      <c r="L39" s="79" t="s">
        <v>159</v>
      </c>
      <c r="M39" s="79">
        <v>720</v>
      </c>
    </row>
    <row r="40" spans="8:13" x14ac:dyDescent="0.35">
      <c r="H40" s="2" t="s">
        <v>165</v>
      </c>
      <c r="I40" s="79" t="s">
        <v>101</v>
      </c>
      <c r="J40" s="79">
        <v>12</v>
      </c>
      <c r="K40" s="141" t="s">
        <v>99</v>
      </c>
      <c r="L40" s="79" t="s">
        <v>159</v>
      </c>
      <c r="M40" s="79">
        <v>160</v>
      </c>
    </row>
    <row r="41" spans="8:13" x14ac:dyDescent="0.35">
      <c r="H41" s="2" t="s">
        <v>165</v>
      </c>
      <c r="I41" s="79" t="s">
        <v>174</v>
      </c>
      <c r="J41" s="79">
        <v>4</v>
      </c>
      <c r="K41" s="141" t="s">
        <v>99</v>
      </c>
      <c r="L41" s="79" t="s">
        <v>159</v>
      </c>
      <c r="M41" s="81">
        <f>J41*40</f>
        <v>160</v>
      </c>
    </row>
    <row r="42" spans="8:13" x14ac:dyDescent="0.35">
      <c r="H42" s="150" t="s">
        <v>173</v>
      </c>
      <c r="I42" s="151" t="s">
        <v>169</v>
      </c>
      <c r="J42" s="151">
        <v>8</v>
      </c>
      <c r="K42" s="151" t="s">
        <v>141</v>
      </c>
      <c r="L42" s="151"/>
      <c r="M42" s="151">
        <f>J42*40</f>
        <v>320</v>
      </c>
    </row>
    <row r="43" spans="8:13" x14ac:dyDescent="0.35">
      <c r="H43" s="2" t="s">
        <v>173</v>
      </c>
      <c r="I43" s="79" t="s">
        <v>170</v>
      </c>
      <c r="J43" s="79">
        <v>9</v>
      </c>
      <c r="K43" s="141" t="s">
        <v>99</v>
      </c>
      <c r="L43" s="79" t="s">
        <v>159</v>
      </c>
      <c r="M43" s="79">
        <f t="shared" ref="M43:M59" si="1">J43*40</f>
        <v>360</v>
      </c>
    </row>
    <row r="44" spans="8:13" x14ac:dyDescent="0.35">
      <c r="H44" s="150" t="s">
        <v>173</v>
      </c>
      <c r="I44" s="151" t="s">
        <v>171</v>
      </c>
      <c r="J44" s="151">
        <v>5</v>
      </c>
      <c r="K44" s="151" t="s">
        <v>141</v>
      </c>
      <c r="L44" s="151"/>
      <c r="M44" s="151">
        <f t="shared" si="1"/>
        <v>200</v>
      </c>
    </row>
    <row r="45" spans="8:13" x14ac:dyDescent="0.35">
      <c r="H45" s="2" t="s">
        <v>173</v>
      </c>
      <c r="I45" s="79" t="s">
        <v>178</v>
      </c>
      <c r="J45" s="79">
        <v>5</v>
      </c>
      <c r="K45" s="141" t="s">
        <v>99</v>
      </c>
      <c r="L45" s="79" t="s">
        <v>159</v>
      </c>
      <c r="M45" s="79">
        <f t="shared" si="1"/>
        <v>200</v>
      </c>
    </row>
    <row r="46" spans="8:13" x14ac:dyDescent="0.35">
      <c r="H46" s="2" t="s">
        <v>173</v>
      </c>
      <c r="I46" s="79" t="s">
        <v>175</v>
      </c>
      <c r="J46" s="79">
        <v>8</v>
      </c>
      <c r="K46" s="141" t="s">
        <v>99</v>
      </c>
      <c r="L46" s="79" t="s">
        <v>159</v>
      </c>
      <c r="M46" s="79">
        <f t="shared" si="1"/>
        <v>320</v>
      </c>
    </row>
    <row r="47" spans="8:13" x14ac:dyDescent="0.35">
      <c r="H47" s="2" t="s">
        <v>173</v>
      </c>
      <c r="I47" s="79" t="s">
        <v>176</v>
      </c>
      <c r="J47" s="79">
        <v>8</v>
      </c>
      <c r="K47" s="141" t="s">
        <v>99</v>
      </c>
      <c r="L47" s="79" t="s">
        <v>159</v>
      </c>
      <c r="M47" s="79">
        <f t="shared" si="1"/>
        <v>320</v>
      </c>
    </row>
    <row r="48" spans="8:13" x14ac:dyDescent="0.35">
      <c r="H48" s="2" t="s">
        <v>173</v>
      </c>
      <c r="I48" s="79" t="s">
        <v>172</v>
      </c>
      <c r="J48" s="79">
        <v>20</v>
      </c>
      <c r="K48" s="141" t="s">
        <v>99</v>
      </c>
      <c r="L48" s="79" t="s">
        <v>159</v>
      </c>
      <c r="M48" s="79">
        <f t="shared" si="1"/>
        <v>800</v>
      </c>
    </row>
    <row r="49" spans="8:13" x14ac:dyDescent="0.35">
      <c r="H49" s="2" t="s">
        <v>173</v>
      </c>
      <c r="I49" s="79" t="s">
        <v>177</v>
      </c>
      <c r="J49" s="79">
        <v>4</v>
      </c>
      <c r="K49" s="141" t="s">
        <v>99</v>
      </c>
      <c r="L49" s="79" t="s">
        <v>159</v>
      </c>
      <c r="M49" s="79">
        <f t="shared" si="1"/>
        <v>160</v>
      </c>
    </row>
    <row r="50" spans="8:13" x14ac:dyDescent="0.35">
      <c r="H50" s="2" t="s">
        <v>182</v>
      </c>
      <c r="I50" s="130" t="s">
        <v>179</v>
      </c>
      <c r="J50" s="130">
        <v>5</v>
      </c>
      <c r="K50" s="156" t="s">
        <v>99</v>
      </c>
      <c r="L50" s="130" t="s">
        <v>159</v>
      </c>
      <c r="M50" s="130">
        <f t="shared" si="1"/>
        <v>200</v>
      </c>
    </row>
    <row r="51" spans="8:13" x14ac:dyDescent="0.35">
      <c r="H51" s="2" t="s">
        <v>182</v>
      </c>
      <c r="I51" s="130" t="s">
        <v>181</v>
      </c>
      <c r="J51" s="130">
        <v>305</v>
      </c>
      <c r="K51" s="156" t="s">
        <v>99</v>
      </c>
      <c r="L51" s="130" t="s">
        <v>159</v>
      </c>
      <c r="M51" s="130">
        <f t="shared" si="1"/>
        <v>12200</v>
      </c>
    </row>
    <row r="52" spans="8:13" x14ac:dyDescent="0.35">
      <c r="H52" s="154" t="s">
        <v>182</v>
      </c>
      <c r="I52" s="152" t="s">
        <v>180</v>
      </c>
      <c r="J52" s="152">
        <v>300</v>
      </c>
      <c r="K52" s="152" t="s">
        <v>141</v>
      </c>
      <c r="L52" s="153"/>
      <c r="M52" s="152">
        <f t="shared" si="1"/>
        <v>12000</v>
      </c>
    </row>
    <row r="53" spans="8:13" x14ac:dyDescent="0.35">
      <c r="H53" s="155" t="s">
        <v>188</v>
      </c>
      <c r="I53" s="79" t="s">
        <v>189</v>
      </c>
      <c r="J53" s="79">
        <v>5</v>
      </c>
      <c r="K53" s="79" t="s">
        <v>99</v>
      </c>
      <c r="L53" s="81" t="s">
        <v>159</v>
      </c>
      <c r="M53" s="79">
        <f t="shared" si="1"/>
        <v>200</v>
      </c>
    </row>
    <row r="54" spans="8:13" x14ac:dyDescent="0.35">
      <c r="H54" s="155" t="s">
        <v>188</v>
      </c>
      <c r="I54" s="81" t="s">
        <v>190</v>
      </c>
      <c r="J54" s="81">
        <v>7</v>
      </c>
      <c r="K54" s="79" t="s">
        <v>99</v>
      </c>
      <c r="L54" s="81" t="s">
        <v>159</v>
      </c>
      <c r="M54" s="81">
        <f t="shared" si="1"/>
        <v>280</v>
      </c>
    </row>
    <row r="55" spans="8:13" x14ac:dyDescent="0.35">
      <c r="H55" s="155" t="s">
        <v>188</v>
      </c>
      <c r="I55" s="81" t="s">
        <v>118</v>
      </c>
      <c r="J55" s="81">
        <v>28</v>
      </c>
      <c r="K55" s="81" t="s">
        <v>99</v>
      </c>
      <c r="L55" s="81" t="s">
        <v>159</v>
      </c>
      <c r="M55" s="81">
        <f t="shared" si="1"/>
        <v>1120</v>
      </c>
    </row>
    <row r="56" spans="8:13" x14ac:dyDescent="0.35">
      <c r="H56" s="155" t="s">
        <v>188</v>
      </c>
      <c r="I56" s="81" t="s">
        <v>191</v>
      </c>
      <c r="J56" s="81">
        <v>44</v>
      </c>
      <c r="K56" s="81" t="s">
        <v>99</v>
      </c>
      <c r="L56" s="81" t="s">
        <v>159</v>
      </c>
      <c r="M56" s="81">
        <f t="shared" si="1"/>
        <v>1760</v>
      </c>
    </row>
    <row r="57" spans="8:13" x14ac:dyDescent="0.35">
      <c r="H57" s="155" t="s">
        <v>188</v>
      </c>
      <c r="I57" s="81" t="s">
        <v>192</v>
      </c>
      <c r="J57" s="81">
        <v>30</v>
      </c>
      <c r="K57" s="81" t="s">
        <v>99</v>
      </c>
      <c r="L57" s="81" t="s">
        <v>159</v>
      </c>
      <c r="M57" s="81">
        <f t="shared" si="1"/>
        <v>1200</v>
      </c>
    </row>
    <row r="58" spans="8:13" x14ac:dyDescent="0.35">
      <c r="H58" s="155" t="s">
        <v>188</v>
      </c>
      <c r="I58" s="81" t="s">
        <v>193</v>
      </c>
      <c r="J58" s="81">
        <v>25</v>
      </c>
      <c r="K58" s="81" t="s">
        <v>99</v>
      </c>
      <c r="L58" s="81" t="s">
        <v>159</v>
      </c>
      <c r="M58" s="81">
        <f t="shared" si="1"/>
        <v>1000</v>
      </c>
    </row>
    <row r="59" spans="8:13" x14ac:dyDescent="0.35">
      <c r="H59" s="155" t="s">
        <v>188</v>
      </c>
      <c r="I59" s="81" t="s">
        <v>134</v>
      </c>
      <c r="J59" s="81">
        <v>11</v>
      </c>
      <c r="K59" s="81" t="s">
        <v>99</v>
      </c>
      <c r="L59" s="81" t="s">
        <v>159</v>
      </c>
      <c r="M59" s="81">
        <f t="shared" si="1"/>
        <v>440</v>
      </c>
    </row>
    <row r="60" spans="8:13" x14ac:dyDescent="0.35">
      <c r="H60" s="155" t="s">
        <v>203</v>
      </c>
      <c r="I60" s="2" t="s">
        <v>196</v>
      </c>
      <c r="J60" s="79">
        <v>1.5</v>
      </c>
      <c r="K60" s="81" t="s">
        <v>99</v>
      </c>
      <c r="L60" s="81" t="s">
        <v>159</v>
      </c>
      <c r="M60" s="81">
        <f>J60*40</f>
        <v>60</v>
      </c>
    </row>
    <row r="61" spans="8:13" x14ac:dyDescent="0.35">
      <c r="H61" s="155" t="s">
        <v>203</v>
      </c>
      <c r="I61" s="2" t="s">
        <v>197</v>
      </c>
      <c r="J61" s="79">
        <v>2</v>
      </c>
      <c r="K61" s="81" t="s">
        <v>99</v>
      </c>
      <c r="L61" s="81" t="s">
        <v>159</v>
      </c>
      <c r="M61" s="81">
        <f t="shared" ref="M61:M66" si="2">J61*40</f>
        <v>80</v>
      </c>
    </row>
    <row r="62" spans="8:13" x14ac:dyDescent="0.35">
      <c r="H62" s="155" t="s">
        <v>203</v>
      </c>
      <c r="I62" s="2" t="s">
        <v>198</v>
      </c>
      <c r="J62" s="79">
        <v>6</v>
      </c>
      <c r="K62" s="81" t="s">
        <v>99</v>
      </c>
      <c r="L62" s="81" t="s">
        <v>159</v>
      </c>
      <c r="M62" s="81">
        <f t="shared" si="2"/>
        <v>240</v>
      </c>
    </row>
    <row r="63" spans="8:13" x14ac:dyDescent="0.35">
      <c r="H63" s="155" t="s">
        <v>203</v>
      </c>
      <c r="I63" s="2" t="s">
        <v>199</v>
      </c>
      <c r="J63" s="79">
        <v>4</v>
      </c>
      <c r="K63" s="81" t="s">
        <v>99</v>
      </c>
      <c r="L63" s="81" t="s">
        <v>159</v>
      </c>
      <c r="M63" s="81">
        <f t="shared" si="2"/>
        <v>160</v>
      </c>
    </row>
    <row r="64" spans="8:13" x14ac:dyDescent="0.35">
      <c r="H64" s="155" t="s">
        <v>203</v>
      </c>
      <c r="I64" s="2" t="s">
        <v>200</v>
      </c>
      <c r="J64" s="79">
        <v>10</v>
      </c>
      <c r="K64" s="81" t="s">
        <v>99</v>
      </c>
      <c r="L64" s="81" t="s">
        <v>159</v>
      </c>
      <c r="M64" s="81">
        <f t="shared" si="2"/>
        <v>400</v>
      </c>
    </row>
    <row r="65" spans="8:13" x14ac:dyDescent="0.35">
      <c r="H65" s="155" t="s">
        <v>203</v>
      </c>
      <c r="I65" s="2" t="s">
        <v>201</v>
      </c>
      <c r="J65" s="79">
        <v>18</v>
      </c>
      <c r="K65" s="81" t="s">
        <v>99</v>
      </c>
      <c r="L65" s="81" t="s">
        <v>159</v>
      </c>
      <c r="M65" s="81">
        <f t="shared" si="2"/>
        <v>720</v>
      </c>
    </row>
    <row r="66" spans="8:13" x14ac:dyDescent="0.35">
      <c r="H66" s="155" t="s">
        <v>203</v>
      </c>
      <c r="I66" s="2" t="s">
        <v>202</v>
      </c>
      <c r="J66" s="79">
        <v>9</v>
      </c>
      <c r="K66" s="81" t="s">
        <v>99</v>
      </c>
      <c r="L66" s="81" t="s">
        <v>159</v>
      </c>
      <c r="M66" s="81">
        <f t="shared" si="2"/>
        <v>360</v>
      </c>
    </row>
    <row r="67" spans="8:13" x14ac:dyDescent="0.35">
      <c r="H67" s="155" t="s">
        <v>210</v>
      </c>
      <c r="I67" s="163" t="s">
        <v>204</v>
      </c>
    </row>
    <row r="68" spans="8:13" x14ac:dyDescent="0.35">
      <c r="H68" s="155" t="s">
        <v>210</v>
      </c>
      <c r="I68" s="163" t="s">
        <v>205</v>
      </c>
    </row>
    <row r="69" spans="8:13" x14ac:dyDescent="0.35">
      <c r="H69" s="155" t="s">
        <v>210</v>
      </c>
      <c r="I69" s="163" t="s">
        <v>169</v>
      </c>
    </row>
    <row r="70" spans="8:13" x14ac:dyDescent="0.35">
      <c r="H70" s="155" t="s">
        <v>210</v>
      </c>
      <c r="I70" s="163" t="s">
        <v>206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2026-07-25T11:16:47Z</dcterms:modified>
</cp:coreProperties>
</file>