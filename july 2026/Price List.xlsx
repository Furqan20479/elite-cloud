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6\Desktop\"/>
    </mc:Choice>
  </mc:AlternateContent>
  <xr:revisionPtr revIDLastSave="0" documentId="13_ncr:1_{EEF9C6F9-0536-44A1-8F1D-2AFB9F9FB83F}" xr6:coauthVersionLast="47" xr6:coauthVersionMax="47" xr10:uidLastSave="{00000000-0000-0000-0000-000000000000}"/>
  <bookViews>
    <workbookView xWindow="-110" yWindow="-110" windowWidth="19420" windowHeight="10420" xr2:uid="{436D651F-ACC5-44DC-A5CE-EF0963C48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9" i="1" l="1"/>
  <c r="M9" i="1" s="1"/>
  <c r="L9" i="1" s="1"/>
  <c r="K8" i="1"/>
  <c r="M8" i="1" s="1"/>
  <c r="L8" i="1" s="1"/>
  <c r="K7" i="1"/>
  <c r="M7" i="1" s="1"/>
  <c r="L7" i="1" s="1"/>
  <c r="I8" i="1"/>
  <c r="I9" i="1"/>
  <c r="I7" i="1"/>
</calcChain>
</file>

<file path=xl/sharedStrings.xml><?xml version="1.0" encoding="utf-8"?>
<sst xmlns="http://schemas.openxmlformats.org/spreadsheetml/2006/main" count="15" uniqueCount="15">
  <si>
    <t xml:space="preserve">Gram </t>
  </si>
  <si>
    <t>70G</t>
  </si>
  <si>
    <t>60G</t>
  </si>
  <si>
    <t>120G</t>
  </si>
  <si>
    <t>RS:50</t>
  </si>
  <si>
    <t>RS:65</t>
  </si>
  <si>
    <t>RS:90</t>
  </si>
  <si>
    <t>Per Pcs Price</t>
  </si>
  <si>
    <t>Ctn Price</t>
  </si>
  <si>
    <t>Price</t>
  </si>
  <si>
    <t>Net Amount</t>
  </si>
  <si>
    <t>Dis per ctn</t>
  </si>
  <si>
    <t>Dis per pcs</t>
  </si>
  <si>
    <t>Discount %</t>
  </si>
  <si>
    <t>Elite Marketing Price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</si>
</sst>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9" fontId="1" fillId="3" borderId="1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4F250-2624-44A2-B808-F8EFFBEED585}">
  <sheetPr>
    <pageSetUpPr fitToPage="1"/>
  </sheetPr>
  <dimension ref="F4:O9"/>
  <sheetViews>
    <sheetView tabSelected="1" workbookViewId="0">
      <selection activeCell="H7" sqref="H7"/>
    </sheetView>
  </sheetViews>
  <sheetFormatPr defaultRowHeight="14.5" x14ac:dyDescent="0.35"/>
  <cols>
    <col min="6" max="6" width="10.453125" customWidth="1"/>
    <col min="7" max="7" width="11.08984375" bestFit="1" customWidth="1"/>
    <col min="8" max="8" width="12.26953125" bestFit="1" customWidth="1"/>
    <col min="9" max="9" width="14.90625" customWidth="1"/>
    <col min="10" max="10" width="13.26953125" customWidth="1"/>
    <col min="11" max="11" width="14.08984375" customWidth="1"/>
    <col min="12" max="12" width="13.54296875" customWidth="1"/>
    <col min="13" max="13" width="19.90625" customWidth="1"/>
  </cols>
  <sheetData>
    <row r="4" spans="6:15" ht="36" customHeight="1" x14ac:dyDescent="0.45">
      <c r="F4" s="7" t="s">
        <v>14</v>
      </c>
      <c r="G4" s="8"/>
      <c r="H4" s="8"/>
      <c r="I4" s="8"/>
      <c r="J4" s="8"/>
      <c r="K4" s="8"/>
      <c r="L4" s="8"/>
      <c r="M4" s="9"/>
      <c r="N4" s="5"/>
      <c r="O4" s="5"/>
    </row>
    <row r="5" spans="6:15" ht="21.5" customHeight="1" x14ac:dyDescent="0.45">
      <c r="F5" s="10"/>
      <c r="G5" s="11"/>
      <c r="H5" s="11"/>
      <c r="I5" s="11"/>
      <c r="J5" s="11"/>
      <c r="K5" s="11"/>
      <c r="L5" s="11"/>
      <c r="M5" s="12"/>
      <c r="N5" s="5"/>
      <c r="O5" s="5"/>
    </row>
    <row r="6" spans="6:15" ht="18.5" x14ac:dyDescent="0.35">
      <c r="F6" s="1" t="s">
        <v>0</v>
      </c>
      <c r="G6" s="1" t="s">
        <v>9</v>
      </c>
      <c r="H6" s="1" t="s">
        <v>8</v>
      </c>
      <c r="I6" s="1" t="s">
        <v>7</v>
      </c>
      <c r="J6" s="3" t="s">
        <v>13</v>
      </c>
      <c r="K6" s="1" t="s">
        <v>11</v>
      </c>
      <c r="L6" s="1" t="s">
        <v>12</v>
      </c>
      <c r="M6" s="1" t="s">
        <v>10</v>
      </c>
      <c r="N6" s="4"/>
      <c r="O6" s="4"/>
    </row>
    <row r="7" spans="6:15" ht="18.5" x14ac:dyDescent="0.35">
      <c r="F7" s="2" t="s">
        <v>2</v>
      </c>
      <c r="G7" s="2" t="s">
        <v>4</v>
      </c>
      <c r="H7" s="2">
        <v>1796</v>
      </c>
      <c r="I7" s="2">
        <f>H7/40</f>
        <v>44.9</v>
      </c>
      <c r="J7" s="6">
        <v>0.08</v>
      </c>
      <c r="K7" s="2">
        <f>H7*J7/100*100</f>
        <v>143.68</v>
      </c>
      <c r="L7" s="2">
        <f>M7/40</f>
        <v>41.308</v>
      </c>
      <c r="M7" s="2">
        <f>H7-K7</f>
        <v>1652.32</v>
      </c>
      <c r="N7" s="4"/>
      <c r="O7" s="4"/>
    </row>
    <row r="8" spans="6:15" ht="18.5" x14ac:dyDescent="0.35">
      <c r="F8" s="2" t="s">
        <v>1</v>
      </c>
      <c r="G8" s="2" t="s">
        <v>5</v>
      </c>
      <c r="H8" s="2">
        <v>2402</v>
      </c>
      <c r="I8" s="2">
        <f t="shared" ref="I8:I9" si="0">H8/40</f>
        <v>60.05</v>
      </c>
      <c r="J8" s="6">
        <v>0.08</v>
      </c>
      <c r="K8" s="2">
        <f>H8*J8/100*100</f>
        <v>192.16</v>
      </c>
      <c r="L8" s="2">
        <f t="shared" ref="L8:L9" si="1">M8/40</f>
        <v>55.246000000000002</v>
      </c>
      <c r="M8" s="2">
        <f>H8-K8</f>
        <v>2209.84</v>
      </c>
      <c r="N8" s="4"/>
      <c r="O8" s="4"/>
    </row>
    <row r="9" spans="6:15" ht="18.5" x14ac:dyDescent="0.35">
      <c r="F9" s="2" t="s">
        <v>3</v>
      </c>
      <c r="G9" s="2" t="s">
        <v>6</v>
      </c>
      <c r="H9" s="2">
        <v>3325</v>
      </c>
      <c r="I9" s="2">
        <f t="shared" si="0"/>
        <v>83.125</v>
      </c>
      <c r="J9" s="6">
        <v>0.08</v>
      </c>
      <c r="K9" s="2">
        <f>H9*J9/100*100</f>
        <v>266</v>
      </c>
      <c r="L9" s="2">
        <f t="shared" si="1"/>
        <v>76.474999999999994</v>
      </c>
      <c r="M9" s="2">
        <f>H9-K9</f>
        <v>3059</v>
      </c>
      <c r="N9" s="4"/>
      <c r="O9" s="4"/>
    </row>
  </sheetData>
  <mergeCells count="1">
    <mergeCell ref="F4:M5"/>
  </mergeCells>
  <pageMargins left="0.7" right="0.7" top="0.75" bottom="0.75" header="0.3" footer="0.3"/>
  <pageSetup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786</dc:creator>
  <cp:lastModifiedBy>786</cp:lastModifiedBy>
  <cp:lastPrinted>2026-07-03T06:29:35Z</cp:lastPrinted>
  <dcterms:created xsi:type="dcterms:W3CDTF">2026-07-03T05:56:42Z</dcterms:created>
  <dcterms:modified xsi:type="dcterms:W3CDTF">2026-07-03T07:15:35Z</dcterms:modified>
</cp:coreProperties>
</file>