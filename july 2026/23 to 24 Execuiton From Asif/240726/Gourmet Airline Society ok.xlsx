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750E12-F1BC-450C-9C32-A5097D9E8FF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<sst xmlns="http://schemas.openxmlformats.org/spreadsheetml/2006/main" count="3913" uniqueCount="515">
  <si>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</si>
  <si>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</si>
  <si>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</si>
  <si>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</si>
  <si>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</si>
  <si>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</si>
  <si>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</si>
  <si>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</si>
  <si>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</si>
  <si>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</si>
  <si>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</si>
  <si>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</si>
  <si>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</si>
  <si>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</si>
  <si>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</si>
  <si>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</si>
  <si>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</si>
  <si>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</si>
  <si>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</si>
  <si>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</si>
  <si>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</si>
  <si>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</si>
  <si>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</si>
  <si>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</si>
  <si>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</si>
  <si>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</si>
  <si>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</si>
  <si>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</si>
  <si>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</si>
  <si>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</si>
  <si>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</si>
  <si>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</si>
  <si>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</si>
  <si>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</si>
  <si>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</si>
  <si>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</si>
  <si>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</si>
  <si>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</si>
  <si>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</si>
  <si>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</si>
  <si>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</si>
  <si>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</si>
  <si>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</si>
  <si>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</si>
  <si>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</si>
  <si>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</si>
  <si>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</si>
  <si>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</si>
  <si>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</si>
  <si>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</si>
  <si>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</si>
  <si>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</si>
  <si>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</si>
  <si>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</si>
  <si>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</si>
  <si>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</si>
  <si>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</si>
  <si>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</si>
  <si>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</si>
  <si>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</si>
  <si>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</si>
  <si>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</si>
  <si>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</si>
  <si>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</si>
  <si>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</si>
  <si>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</si>
  <si>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</si>
  <si>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</si>
  <si>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</si>
  <si>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</si>
  <si>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</si>
  <si>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</si>
  <si>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</si>
  <si>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</si>
  <si>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</si>
  <si>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</si>
  <si>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</si>
  <si>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</si>
  <si>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</si>
  <si>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</si>
  <si>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</si>
  <si>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</si>
  <si>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</si>
  <si>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</si>
  <si>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</si>
  <si>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</si>
  <si>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</si>
  <si>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</si>
  <si>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</si>
  <si>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</si>
  <si>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</si>
  <si>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</si>
  <si>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</si>
  <si>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</si>
  <si>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</si>
  <si>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</si>
  <si>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</si>
  <si>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</si>
  <si>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</si>
  <si>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</si>
  <si>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</si>
  <si>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</si>
  <si>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</si>
  <si>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</si>
  <si>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</si>
  <si>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</si>
  <si>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</si>
  <si>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</si>
  <si>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</si>
  <si>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</si>
  <si>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</si>
  <si>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</si>
  <si>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</si>
  <si>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</si>
  <si>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</si>
  <si>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</si>
  <si>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</si>
  <si>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</si>
  <si>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</si>
  <si>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</si>
  <si>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</si>
  <si>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</si>
  <si>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</si>
  <si>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</si>
  <si>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</si>
  <si>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</si>
  <si>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</si>
  <si>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</si>
  <si>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</si>
  <si>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</si>
  <si>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</si>
  <si>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</si>
  <si>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</si>
  <si>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</si>
  <si>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</si>
  <si>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</si>
  <si>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</si>
  <si>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</si>
  <si>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</si>
  <si>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</si>
  <si>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</si>
  <si>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</si>
  <si>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</si>
  <si>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</si>
  <si>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</si>
  <si>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</si>
  <si>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</si>
  <si>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</si>
  <si>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</si>
  <si>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</si>
  <si>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</si>
  <si>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</si>
  <si>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</si>
  <si>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</si>
  <si>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</si>
  <si>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</si>
  <si>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</si>
  <si>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</si>
  <si>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</si>
  <si>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</si>
  <si>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</si>
  <si>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</si>
  <si>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</si>
  <si>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</si>
  <si>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</si>
  <si>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</si>
  <si>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</si>
  <si>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</si>
  <si>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</si>
  <si>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</si>
  <si>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</si>
  <si>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</si>
  <si>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</si>
  <si>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</si>
  <si>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</si>
  <si>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</si>
  <si>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</si>
  <si>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</si>
  <si>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</si>
  <si>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</si>
  <si>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</si>
  <si>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</si>
  <si>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</si>
  <si>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</si>
  <si>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</si>
  <si>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</si>
  <si>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</si>
  <si>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</si>
  <si>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</si>
  <si>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</si>
  <si>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</si>
  <si>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</si>
  <si>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</si>
  <si>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</si>
  <si>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</si>
  <si>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</si>
  <si>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</si>
  <si>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</si>
  <si>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</si>
  <si>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</si>
  <si>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</si>
  <si>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</si>
  <si>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</si>
  <si>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</si>
  <si>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</si>
  <si>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</si>
  <si>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</si>
  <si>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</si>
  <si>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</si>
  <si>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</si>
  <si>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</si>
  <si>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</si>
  <si>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</si>
  <si>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</si>
  <si>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</si>
  <si>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</si>
  <si>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</si>
  <si>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</si>
  <si>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</si>
  <si>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</si>
  <si>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</si>
  <si>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</si>
  <si>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</si>
  <si>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</si>
  <si>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</si>
  <si>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</si>
  <si>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</si>
  <si>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</si>
  <si>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</si>
  <si>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</si>
  <si>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</si>
  <si>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</si>
  <si>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</si>
  <si>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</si>
  <si>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</si>
  <si>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</si>
  <si>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</si>
  <si>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</si>
  <si>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</si>
  <si>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</si>
  <si>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</si>
  <si>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</si>
  <si>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</si>
  <si>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</si>
  <si>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</si>
  <si>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</si>
  <si>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</si>
  <si>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</si>
  <si>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</si>
  <si>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</si>
  <si>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</si>
  <si>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</si>
  <si>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</si>
  <si>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</si>
  <si>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</si>
  <si>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</si>
  <si>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</si>
  <si>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</si>
  <si>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</si>
  <si>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</si>
  <si>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</si>
  <si>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</si>
  <si>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</si>
  <si>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</si>
  <si>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</si>
  <si>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</si>
  <si>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</si>
  <si>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</si>
  <si>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</si>
  <si>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</si>
  <si>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</si>
  <si>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</si>
  <si>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</si>
  <si>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</si>
  <si>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</si>
  <si>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</si>
  <si>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</si>
  <si>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</si>
  <si>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</si>
  <si>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</si>
  <si>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</si>
  <si>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</si>
  <si>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</si>
  <si>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</si>
  <si>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</si>
  <si>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</si>
  <si>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</si>
  <si>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</si>
  <si>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</si>
  <si>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</si>
  <si>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</si>
  <si>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</si>
  <si>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</si>
  <si>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</si>
  <si>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</si>
  <si>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</si>
  <si>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</si>
  <si>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</si>
  <si>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</si>
  <si>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</si>
  <si>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</si>
  <si>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</si>
  <si>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</si>
  <si>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</si>
  <si>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</si>
  <si>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</si>
  <si>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</si>
  <si>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</si>
  <si>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</si>
  <si>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</si>
  <si>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</si>
  <si>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</si>
  <si>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</si>
  <si>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</si>
  <si>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</si>
  <si>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</si>
  <si>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</si>
  <si>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</si>
  <si>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</si>
  <si>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</si>
  <si>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</si>
  <si>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</si>
  <si>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</si>
  <si>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</si>
  <si>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</si>
  <si>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</si>
  <si>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</si>
  <si>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</si>
  <si>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</si>
  <si>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</si>
  <si>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</si>
  <si>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</si>
  <si>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</si>
  <si>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</si>
  <si>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</si>
  <si>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</si>
  <si>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</si>
  <si>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</si>
  <si>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</si>
  <si>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</si>
  <si>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</si>
  <si>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</si>
  <si>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</si>
  <si>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</si>
  <si>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</si>
  <si>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</si>
  <si>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</si>
  <si>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</si>
  <si>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</si>
  <si>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</si>
  <si>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</si>
  <si>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</si>
  <si>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</si>
  <si>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</si>
  <si>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</si>
  <si>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</si>
  <si>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</si>
  <si>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</si>
  <si>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</si>
  <si>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</si>
  <si>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</si>
  <si>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</si>
  <si>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</si>
  <si>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</si>
  <si>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</si>
  <si>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</si>
  <si>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</si>
  <si>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</si>
  <si>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</si>
  <si>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</si>
  <si>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</si>
  <si>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</si>
  <si>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</si>
  <si>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</si>
  <si>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</si>
  <si>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</si>
  <si>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</si>
  <si>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</si>
  <si>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</si>
  <si>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</si>
  <si>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</si>
  <si>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</si>
  <si>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</si>
  <si>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</si>
  <si>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</si>
  <si>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</si>
  <si>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</si>
  <si>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</si>
  <si>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</si>
  <si>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</si>
  <si>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</si>
  <si>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</si>
  <si>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</si>
  <si>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</si>
  <si>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</si>
  <si>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</si>
  <si>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</si>
  <si>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</si>
  <si>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</si>
  <si>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</si>
  <si>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</si>
  <si>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</si>
  <si>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</si>
  <si>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</si>
  <si>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</si>
  <si>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</si>
  <si>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</si>
  <si>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</si>
  <si>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</si>
  <si>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</si>
  <si>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</si>
  <si>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</si>
  <si>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</si>
  <si>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</si>
  <si>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</si>
  <si>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</si>
  <si>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</si>
  <si>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</si>
  <si>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</si>
  <si>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</si>
  <si>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</si>
  <si>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</si>
  <si>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</si>
  <si>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</si>
  <si>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</si>
  <si>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</si>
  <si>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</si>
  <si>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</si>
  <si>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</si>
  <si>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</si>
  <si>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</si>
  <si>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</si>
  <si>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</si>
  <si>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</si>
  <si>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</si>
  <si>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</si>
  <si>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</si>
  <si>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</si>
  <si>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</si>
  <si>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</si>
  <si>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</si>
  <si>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</si>
  <si>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</si>
  <si>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</si>
  <si>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</si>
  <si>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</si>
  <si>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</si>
  <si>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</si>
  <si>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</si>
  <si>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</si>
  <si>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</si>
  <si>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</si>
  <si>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</si>
  <si>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</si>
  <si>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</si>
  <si>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</si>
  <si>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</si>
  <si>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</si>
  <si>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</si>
  <si>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</si>
  <si>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</si>
  <si>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</si>
  <si>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</si>
  <si>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</si>
  <si>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</si>
  <si>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</si>
  <si>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</si>
  <si>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</si>
  <si>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</si>
  <si>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</si>
  <si>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</si>
  <si>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</si>
  <si>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</si>
  <si>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</si>
  <si>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</si>
  <si>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</si>
  <si>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</si>
  <si>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</si>
  <si>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</si>
  <si>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</si>
  <si>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</si>
  <si>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</si>
  <si>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</si>
  <si>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</si>
  <si>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</si>
  <si>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</si>
  <si>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</si>
  <si>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</si>
  <si>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</si>
  <si>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</si>
  <si>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</si>
  <si>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</si>
  <si>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</si>
  <si>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</si>
  <si>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</si>
  <si>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</si>
  <si>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</si>
  <si>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</si>
  <si>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</si>
  <si>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</si>
  <si>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</si>
  <si>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</si>
  <si>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</si>
  <si>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</si>
  <si>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</si>
  <si>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</si>
  <si>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</si>
  <si>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</si>
  <si>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</si>
  <si>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</si>
  <si>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</si>
  <si>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</si>
  <si>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</si>
  <si>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</si>
  <si>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Airline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</si>
</sst>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Gourmet Airline Society</v>
      </c>
      <c r="T3" s="301">
        <f>+'1'!P35</f>
        <v>5293.3743440466114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94.43249999999999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411.830625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2.5549158368644065</v>
      </c>
      <c r="P7" s="118">
        <f>M7+N7+O7</f>
        <v>513.53808320974576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94.43249999999999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411.830625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2.5549158368644065</v>
      </c>
      <c r="P8" s="119">
        <f t="shared" ref="P8:P15" si="2">M8+N8+O8</f>
        <v>513.53808320974576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1140.4479999999999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7.075121355932203</v>
      </c>
      <c r="P10" s="119">
        <f t="shared" si="2"/>
        <v>1422.0993925423727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1140.4479999999999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7.075121355932203</v>
      </c>
      <c r="P11" s="119">
        <f t="shared" si="2"/>
        <v>1422.0993925423727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1140.4479999999999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7.075121355932203</v>
      </c>
      <c r="P12" s="119">
        <f t="shared" si="2"/>
        <v>1422.0993925423727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80</v>
      </c>
      <c r="I16" s="114">
        <f t="shared" si="3"/>
        <v>5407.6500000000005</v>
      </c>
      <c r="J16" s="274">
        <f>SUM(J7:J15)</f>
        <v>973.37699999999973</v>
      </c>
      <c r="K16" s="275">
        <f t="shared" si="3"/>
        <v>189.26775000000004</v>
      </c>
      <c r="L16" s="276">
        <f t="shared" si="3"/>
        <v>0</v>
      </c>
      <c r="M16" s="232">
        <f t="shared" si="3"/>
        <v>4245.0052500000002</v>
      </c>
      <c r="N16" s="233">
        <f>SUM(N7:N15)</f>
        <v>1022.0338983050847</v>
      </c>
      <c r="O16" s="101">
        <f>SUM(O7:O15)</f>
        <v>26.335195741525425</v>
      </c>
      <c r="P16" s="234">
        <f>SUM(P7:P15)</f>
        <v>5293.3743440466096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5407.6500000000005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973.37699999999973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189.26775000000004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4245.0052500000011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1022.0338983050847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5267.0391483050862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26.335195741525425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5293.3743440466114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5293.3743440466114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506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94.43249999999999</v>
      </c>
      <c r="K16" s="127">
        <f>$I16*T16</f>
        <v>18.361875000000001</v>
      </c>
      <c r="L16" s="118">
        <f>$I16*U16</f>
        <v>0</v>
      </c>
      <c r="M16" s="229">
        <f>I16-SUM(J16:L16)</f>
        <v>411.830625</v>
      </c>
      <c r="N16" s="248">
        <f>+(G16*D16+H16)*V16</f>
        <v>99.152542372881314</v>
      </c>
      <c r="O16" s="238">
        <f>(N16+M16)*$O$15</f>
        <v>2.5549158368644065</v>
      </c>
      <c r="P16" s="118">
        <f>M16+N16+O16</f>
        <v>513.53808320974576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94.43249999999999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411.830625</v>
      </c>
      <c r="N17" s="277">
        <f t="shared" ref="N17:N24" si="3">+(G17*D17+H17)*V17</f>
        <v>99.152542372881314</v>
      </c>
      <c r="O17" s="239">
        <f t="shared" ref="O17:O24" si="4">(N17+M17)*$O$15</f>
        <v>2.5549158368644065</v>
      </c>
      <c r="P17" s="119">
        <f t="shared" ref="P17:P24" si="5">M17+N17+O17</f>
        <v>513.53808320974576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119">
        <f t="shared" si="5"/>
        <v>1422.0993925423727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119">
        <f t="shared" si="5"/>
        <v>1422.0993925423727</v>
      </c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119">
        <f t="shared" si="5"/>
        <v>1422.0993925423727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5407.6500000000005</v>
      </c>
      <c r="J25" s="274">
        <f>SUM(J16:J24)</f>
        <v>973.37699999999973</v>
      </c>
      <c r="K25" s="275">
        <f t="shared" si="10"/>
        <v>189.26775000000004</v>
      </c>
      <c r="L25" s="276">
        <f t="shared" si="10"/>
        <v>0</v>
      </c>
      <c r="M25" s="232">
        <f t="shared" si="10"/>
        <v>4245.0052500000002</v>
      </c>
      <c r="N25" s="233">
        <f>SUM(N16:N24)</f>
        <v>1022.0338983050847</v>
      </c>
      <c r="O25" s="101">
        <f>SUM(O16:O24)</f>
        <v>26.335195741525425</v>
      </c>
      <c r="P25" s="234">
        <f>SUM(P16:P24)</f>
        <v>5293.3743440466096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5407.6500000000005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973.37699999999973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189.26775000000004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4245.0052500000011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1022.0338983050847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5267.0391483050862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26.335195741525432</v>
      </c>
    </row>
    <row r="35" spans="2:16" ht="15.75" customHeight="1" thickBot="1" x14ac:dyDescent="0.4">
      <c r="N35" s="359" t="s">
        <v>88</v>
      </c>
      <c r="O35" s="360"/>
      <c r="P35" s="297">
        <f>+P33+P34</f>
        <v>5293.3743440466114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2026-07-24T06:07:45Z</dcterms:modified>
</cp:coreProperties>
</file>