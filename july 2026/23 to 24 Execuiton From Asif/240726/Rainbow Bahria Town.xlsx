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E193889-F88E-4DC7-A0AA-2CFA3BC8B2B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<sst xmlns="http://schemas.openxmlformats.org/spreadsheetml/2006/main" count="3913" uniqueCount="515">
  <si>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</si>
  <si>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</si>
  <si>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</si>
  <si>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</si>
  <si>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</si>
  <si>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</si>
  <si>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</si>
  <si>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</si>
  <si>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</si>
  <si>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</si>
  <si>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</si>
  <si>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</si>
  <si>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</si>
  <si>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</si>
  <si>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</si>
  <si>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</si>
  <si>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</si>
  <si>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</si>
  <si>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</si>
  <si>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</si>
  <si>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</si>
  <si>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</si>
  <si>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</si>
  <si>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</si>
  <si>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</si>
  <si>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</si>
  <si>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</si>
  <si>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</si>
  <si>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</si>
  <si>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</si>
  <si>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</si>
  <si>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</si>
  <si>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</si>
  <si>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</si>
  <si>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</si>
  <si>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</si>
  <si>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</si>
  <si>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</si>
  <si>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</si>
  <si>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</si>
  <si>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</si>
  <si>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</si>
  <si>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</si>
  <si>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</si>
  <si>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</si>
  <si>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</si>
  <si>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</si>
  <si>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</si>
  <si>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</si>
  <si>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</si>
  <si>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</si>
  <si>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</si>
  <si>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</si>
  <si>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</si>
  <si>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</si>
  <si>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</si>
  <si>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</si>
  <si>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</si>
  <si>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</si>
  <si>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</si>
  <si>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</si>
  <si>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</si>
  <si>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</si>
  <si>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</si>
  <si>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</si>
  <si>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</si>
  <si>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</si>
  <si>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</si>
  <si>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</si>
  <si>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</si>
  <si>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</si>
  <si>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</si>
  <si>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</si>
  <si>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</si>
  <si>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</si>
  <si>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</si>
  <si>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</si>
  <si>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</si>
  <si>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</si>
  <si>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</si>
  <si>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</si>
  <si>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</si>
  <si>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</si>
  <si>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</si>
  <si>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</si>
  <si>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</si>
  <si>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</si>
  <si>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</si>
  <si>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</si>
  <si>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</si>
  <si>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</si>
  <si>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</si>
  <si>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</si>
  <si>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</si>
  <si>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</si>
  <si>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</si>
  <si>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</si>
  <si>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</si>
  <si>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</si>
  <si>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</si>
  <si>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</si>
  <si>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</si>
  <si>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</si>
  <si>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</si>
  <si>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</si>
  <si>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</si>
  <si>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</si>
  <si>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</si>
  <si>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</si>
  <si>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</si>
  <si>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</si>
  <si>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</si>
  <si>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</si>
  <si>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</si>
  <si>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</si>
  <si>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</si>
  <si>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</si>
  <si>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</si>
  <si>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</si>
  <si>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</si>
  <si>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</si>
  <si>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</si>
  <si>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</si>
  <si>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</si>
  <si>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</si>
  <si>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</si>
  <si>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</si>
  <si>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</si>
  <si>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</si>
  <si>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</si>
  <si>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</si>
  <si>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</si>
  <si>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</si>
  <si>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</si>
  <si>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</si>
  <si>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</si>
  <si>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</si>
  <si>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</si>
  <si>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</si>
  <si>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</si>
  <si>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</si>
  <si>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</si>
  <si>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</si>
  <si>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</si>
  <si>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</si>
  <si>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</si>
  <si>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</si>
  <si>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</si>
  <si>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</si>
  <si>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</si>
  <si>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</si>
  <si>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</si>
  <si>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</si>
  <si>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</si>
  <si>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</si>
  <si>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</si>
  <si>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</si>
  <si>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</si>
  <si>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</si>
  <si>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</si>
  <si>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</si>
  <si>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</si>
  <si>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</si>
  <si>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</si>
  <si>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</si>
  <si>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</si>
  <si>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</si>
  <si>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</si>
  <si>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</si>
  <si>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</si>
  <si>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</si>
  <si>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</si>
  <si>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</si>
  <si>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</si>
  <si>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</si>
  <si>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</si>
  <si>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</si>
  <si>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</si>
  <si>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</si>
  <si>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</si>
  <si>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</si>
  <si>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</si>
  <si>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</si>
  <si>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</si>
  <si>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</si>
  <si>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</si>
  <si>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</si>
  <si>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</si>
  <si>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</si>
  <si>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</si>
  <si>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</si>
  <si>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</si>
  <si>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</si>
  <si>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</si>
  <si>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</si>
  <si>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</si>
  <si>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</si>
  <si>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</si>
  <si>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</si>
  <si>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</si>
  <si>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</si>
  <si>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</si>
  <si>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</si>
  <si>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</si>
  <si>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</si>
  <si>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</si>
  <si>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</si>
  <si>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</si>
  <si>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</si>
  <si>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</si>
  <si>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</si>
  <si>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</si>
  <si>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</si>
  <si>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</si>
  <si>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</si>
  <si>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</si>
  <si>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</si>
  <si>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</si>
  <si>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</si>
  <si>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</si>
  <si>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</si>
  <si>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</si>
  <si>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</si>
  <si>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</si>
  <si>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</si>
  <si>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</si>
  <si>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</si>
  <si>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</si>
  <si>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</si>
  <si>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</si>
  <si>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</si>
  <si>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</si>
  <si>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</si>
  <si>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</si>
  <si>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</si>
  <si>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</si>
  <si>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</si>
  <si>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</si>
  <si>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</si>
  <si>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</si>
  <si>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</si>
  <si>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</si>
  <si>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</si>
  <si>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</si>
  <si>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</si>
  <si>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</si>
  <si>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</si>
  <si>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</si>
  <si>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</si>
  <si>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</si>
  <si>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</si>
  <si>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</si>
  <si>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</si>
  <si>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</si>
  <si>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</si>
  <si>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</si>
  <si>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</si>
  <si>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</si>
  <si>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</si>
  <si>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</si>
  <si>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</si>
  <si>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</si>
  <si>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</si>
  <si>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</si>
  <si>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</si>
  <si>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</si>
  <si>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</si>
  <si>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</si>
  <si>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</si>
  <si>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</si>
  <si>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</si>
  <si>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</si>
  <si>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</si>
  <si>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</si>
  <si>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</si>
  <si>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</si>
  <si>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</si>
  <si>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</si>
  <si>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</si>
  <si>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</si>
  <si>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</si>
  <si>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</si>
  <si>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</si>
  <si>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</si>
  <si>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</si>
  <si>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</si>
  <si>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</si>
  <si>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</si>
  <si>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</si>
  <si>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</si>
  <si>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</si>
  <si>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</si>
  <si>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</si>
  <si>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</si>
  <si>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</si>
  <si>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</si>
  <si>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</si>
  <si>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</si>
  <si>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</si>
  <si>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</si>
  <si>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</si>
  <si>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</si>
  <si>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</si>
  <si>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</si>
  <si>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</si>
  <si>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</si>
  <si>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</si>
  <si>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</si>
  <si>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</si>
  <si>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</si>
  <si>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</si>
  <si>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</si>
  <si>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</si>
  <si>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</si>
  <si>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</si>
  <si>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</si>
  <si>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</si>
  <si>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</si>
  <si>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</si>
  <si>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</si>
  <si>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</si>
  <si>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</si>
  <si>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</si>
  <si>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</si>
  <si>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</si>
  <si>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</si>
  <si>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</si>
  <si>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</si>
  <si>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</si>
  <si>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</si>
  <si>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</si>
  <si>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</si>
  <si>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</si>
  <si>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</si>
  <si>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</si>
  <si>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</si>
  <si>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</si>
  <si>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</si>
  <si>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</si>
  <si>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</si>
  <si>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</si>
  <si>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</si>
  <si>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</si>
  <si>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</si>
  <si>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</si>
  <si>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</si>
  <si>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</si>
  <si>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</si>
  <si>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</si>
  <si>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</si>
  <si>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</si>
  <si>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</si>
  <si>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</si>
  <si>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</si>
  <si>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</si>
  <si>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</si>
  <si>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</si>
  <si>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</si>
  <si>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</si>
  <si>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</si>
  <si>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</si>
  <si>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</si>
  <si>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</si>
  <si>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</si>
  <si>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</si>
  <si>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</si>
  <si>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</si>
  <si>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</si>
  <si>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</si>
  <si>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</si>
  <si>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</si>
  <si>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</si>
  <si>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</si>
  <si>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</si>
  <si>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</si>
  <si>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</si>
  <si>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</si>
  <si>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</si>
  <si>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</si>
  <si>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</si>
  <si>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</si>
  <si>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</si>
  <si>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</si>
  <si>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</si>
  <si>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</si>
  <si>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</si>
  <si>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</si>
  <si>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</si>
  <si>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</si>
  <si>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</si>
  <si>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</si>
  <si>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</si>
  <si>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</si>
  <si>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</si>
  <si>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</si>
  <si>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</si>
  <si>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</si>
  <si>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</si>
  <si>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</si>
  <si>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</si>
  <si>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</si>
  <si>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</si>
  <si>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</si>
  <si>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</si>
  <si>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</si>
  <si>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</si>
  <si>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</si>
  <si>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</si>
  <si>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</si>
  <si>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</si>
  <si>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</si>
  <si>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</si>
  <si>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</si>
  <si>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</si>
  <si>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</si>
  <si>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</si>
  <si>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</si>
  <si>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</si>
  <si>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</si>
  <si>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</si>
  <si>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</si>
  <si>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</si>
  <si>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</si>
  <si>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</si>
  <si>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</si>
  <si>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</si>
  <si>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</si>
  <si>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</si>
  <si>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</si>
  <si>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</si>
  <si>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</si>
  <si>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</si>
  <si>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</si>
  <si>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</si>
  <si>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</si>
  <si>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</si>
  <si>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</si>
  <si>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</si>
  <si>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</si>
  <si>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</si>
  <si>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</si>
  <si>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</si>
  <si>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</si>
  <si>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</si>
  <si>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</si>
  <si>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</si>
  <si>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</si>
  <si>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</si>
  <si>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</si>
  <si>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</si>
  <si>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</si>
  <si>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</si>
  <si>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</si>
  <si>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</si>
  <si>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</si>
  <si>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</si>
  <si>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</si>
  <si>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</si>
  <si>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</si>
  <si>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</si>
  <si>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</si>
  <si>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</si>
  <si>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</si>
  <si>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</si>
  <si>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</si>
  <si>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</si>
  <si>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</si>
  <si>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</si>
  <si>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</si>
  <si>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</si>
  <si>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</si>
  <si>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</si>
  <si>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</si>
  <si>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</si>
  <si>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</si>
  <si>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</si>
  <si>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</si>
  <si>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</si>
  <si>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</si>
  <si>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</si>
  <si>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</si>
  <si>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</si>
  <si>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</si>
  <si>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</si>
  <si>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</si>
  <si>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</si>
  <si>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</si>
  <si>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</si>
  <si>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</si>
  <si>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</si>
  <si>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</si>
  <si>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</si>
  <si>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</si>
  <si>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</si>
  <si>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</si>
  <si>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</si>
  <si>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</si>
  <si>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</si>
  <si>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</si>
  <si>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</si>
  <si>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</si>
  <si>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</si>
  <si>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</si>
  <si>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</si>
  <si>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</si>
  <si>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</si>
  <si>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</si>
  <si>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</si>
  <si>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</si>
  <si>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</si>
  <si>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</si>
  <si>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</si>
  <si>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Rainbow Store Bahria Town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</si>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</sst>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513</v>
      </c>
      <c r="I2" s="339"/>
      <c r="J2" s="340"/>
      <c r="R2" s="336" t="s">
        <v>514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Rainbow Store Bahria Town</v>
      </c>
      <c r="T3" s="301">
        <f>+'1'!P35</f>
        <v>16121.039686016951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119">
        <f t="shared" si="2"/>
        <v>5922.0078101694908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240</v>
      </c>
      <c r="I16" s="114">
        <f t="shared" si="3"/>
        <v>15819.400000000001</v>
      </c>
      <c r="J16" s="274">
        <f>SUM(J7:J15)</f>
        <v>2214.7160000000003</v>
      </c>
      <c r="K16" s="275">
        <f t="shared" si="3"/>
        <v>553.67900000000009</v>
      </c>
      <c r="L16" s="276">
        <f t="shared" si="3"/>
        <v>0</v>
      </c>
      <c r="M16" s="232">
        <f t="shared" si="3"/>
        <v>13051.004999999999</v>
      </c>
      <c r="N16" s="233">
        <f>SUM(N7:N15)</f>
        <v>2989.8305084745762</v>
      </c>
      <c r="O16" s="101">
        <f>SUM(O7:O15)</f>
        <v>80.204177542372875</v>
      </c>
      <c r="P16" s="234">
        <f>SUM(P7:P15)</f>
        <v>16121.039686016948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15819.400000000001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2214.7160000000003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553.67900000000009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13051.005000000001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2989.8305084745762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16040.835508474578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80.204177542372875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16121.039686016951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16121.039686016951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15819.400000000001</v>
      </c>
      <c r="J25" s="274">
        <f>SUM(J16:J24)</f>
        <v>2214.7160000000003</v>
      </c>
      <c r="K25" s="275">
        <f t="shared" si="10"/>
        <v>553.67900000000009</v>
      </c>
      <c r="L25" s="276">
        <f t="shared" si="10"/>
        <v>0</v>
      </c>
      <c r="M25" s="232">
        <f t="shared" si="10"/>
        <v>13051.004999999999</v>
      </c>
      <c r="N25" s="233">
        <f>SUM(N16:N24)</f>
        <v>2989.8305084745762</v>
      </c>
      <c r="O25" s="101">
        <f>SUM(O16:O24)</f>
        <v>80.204177542372875</v>
      </c>
      <c r="P25" s="234">
        <f>SUM(P16:P24)</f>
        <v>16121.039686016948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15819.400000000001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2214.7160000000003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553.67900000000009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13051.005000000001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16040.835508474578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80.204177542372889</v>
      </c>
    </row>
    <row r="35" spans="2:16" ht="15.75" customHeight="1" thickBot="1" x14ac:dyDescent="0.4">
      <c r="N35" s="330" t="s">
        <v>88</v>
      </c>
      <c r="O35" s="331"/>
      <c r="P35" s="297">
        <f>+P33+P34</f>
        <v>16121.039686016951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2026-07-24T06:21:09Z</dcterms:modified>
</cp:coreProperties>
</file>