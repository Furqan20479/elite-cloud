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579CDF-BD48-466A-AE72-5C88E060BD3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<sst xmlns="http://schemas.openxmlformats.org/spreadsheetml/2006/main" count="3913" uniqueCount="515">
  <si>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</si>
  <si>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</si>
  <si>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</si>
  <si>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</si>
  <si>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</si>
  <si>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</si>
  <si>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</si>
  <si>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</si>
  <si>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</si>
  <si>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</si>
  <si>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</si>
  <si>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</si>
  <si>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</si>
  <si>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</si>
  <si>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</si>
  <si>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</si>
  <si>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</si>
  <si>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</si>
  <si>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</si>
  <si>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</si>
  <si>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</si>
  <si>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</si>
  <si>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</si>
  <si>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</si>
  <si>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</si>
  <si>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</si>
  <si>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</si>
  <si>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</si>
  <si>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</si>
  <si>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</si>
  <si>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</si>
  <si>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</si>
  <si>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</si>
  <si>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</si>
  <si>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</si>
  <si>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</si>
  <si>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</si>
  <si>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</si>
  <si>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</si>
  <si>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</si>
  <si>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</si>
  <si>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</si>
  <si>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</si>
  <si>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</si>
  <si>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</si>
  <si>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</si>
  <si>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</si>
  <si>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</si>
  <si>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</si>
  <si>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</si>
  <si>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</si>
  <si>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</si>
  <si>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</si>
  <si>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</si>
  <si>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</si>
  <si>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</si>
  <si>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</si>
  <si>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</si>
  <si>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</si>
  <si>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</si>
  <si>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</si>
  <si>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</si>
  <si>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</si>
  <si>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</si>
  <si>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</si>
  <si>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</si>
  <si>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</si>
  <si>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</si>
  <si>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</si>
  <si>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</si>
  <si>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</si>
  <si>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</si>
  <si>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</si>
  <si>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</si>
  <si>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</si>
  <si>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</si>
  <si>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</si>
  <si>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</si>
  <si>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</si>
  <si>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</si>
  <si>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</si>
  <si>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</si>
  <si>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</si>
  <si>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</si>
  <si>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</si>
  <si>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</si>
  <si>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</si>
  <si>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</si>
  <si>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</si>
  <si>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</si>
  <si>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</si>
  <si>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</si>
  <si>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</si>
  <si>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</si>
  <si>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</si>
  <si>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</si>
  <si>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</si>
  <si>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</si>
  <si>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</si>
  <si>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</si>
  <si>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</si>
  <si>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</si>
  <si>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</si>
  <si>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</si>
  <si>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</si>
  <si>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</si>
  <si>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</si>
  <si>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</si>
  <si>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</si>
  <si>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</si>
  <si>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</si>
  <si>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</si>
  <si>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</si>
  <si>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</si>
  <si>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</si>
  <si>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</si>
  <si>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</si>
  <si>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</si>
  <si>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</si>
  <si>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</si>
  <si>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</si>
  <si>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</si>
  <si>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</si>
  <si>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</si>
  <si>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</si>
  <si>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</si>
  <si>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</si>
  <si>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</si>
  <si>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</si>
  <si>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</si>
  <si>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</si>
  <si>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</si>
  <si>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</si>
  <si>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</si>
  <si>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</si>
  <si>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</si>
  <si>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</si>
  <si>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</si>
  <si>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</si>
  <si>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</si>
  <si>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</si>
  <si>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</si>
  <si>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</si>
  <si>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</si>
  <si>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</si>
  <si>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</si>
  <si>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</si>
  <si>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</si>
  <si>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</si>
  <si>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</si>
  <si>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</si>
  <si>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</si>
  <si>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</si>
  <si>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</si>
  <si>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</si>
  <si>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</si>
  <si>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</si>
  <si>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</si>
  <si>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</si>
  <si>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</si>
  <si>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</si>
  <si>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</si>
  <si>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</si>
  <si>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</si>
  <si>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</si>
  <si>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</si>
  <si>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</si>
  <si>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</si>
  <si>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</si>
  <si>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</si>
  <si>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</si>
  <si>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</si>
  <si>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</si>
  <si>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</si>
  <si>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</si>
  <si>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</si>
  <si>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</si>
  <si>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</si>
  <si>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</si>
  <si>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</si>
  <si>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</si>
  <si>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</si>
  <si>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</si>
  <si>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</si>
  <si>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</si>
  <si>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</si>
  <si>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</si>
  <si>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</si>
  <si>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</si>
  <si>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</si>
  <si>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</si>
  <si>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</si>
  <si>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</si>
  <si>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</si>
  <si>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</si>
  <si>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</si>
  <si>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</si>
  <si>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</si>
  <si>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</si>
  <si>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</si>
  <si>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</si>
  <si>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</si>
  <si>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</si>
  <si>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</si>
  <si>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</si>
  <si>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</si>
  <si>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</si>
  <si>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</si>
  <si>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</si>
  <si>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</si>
  <si>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</si>
  <si>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</si>
  <si>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</si>
  <si>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</si>
  <si>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</si>
  <si>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</si>
  <si>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</si>
  <si>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</si>
  <si>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</si>
  <si>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</si>
  <si>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</si>
  <si>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</si>
  <si>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</si>
  <si>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</si>
  <si>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</si>
  <si>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</si>
  <si>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</si>
  <si>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</si>
  <si>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</si>
  <si>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</si>
  <si>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</si>
  <si>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</si>
  <si>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</si>
  <si>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</si>
  <si>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</si>
  <si>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</si>
  <si>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</si>
  <si>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</si>
  <si>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</si>
  <si>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</si>
  <si>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</si>
  <si>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</si>
  <si>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</si>
  <si>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</si>
  <si>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</si>
  <si>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</si>
  <si>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</si>
  <si>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</si>
  <si>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</si>
  <si>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</si>
  <si>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</si>
  <si>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</si>
  <si>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</si>
  <si>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</si>
  <si>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</si>
  <si>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</si>
  <si>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</si>
  <si>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</si>
  <si>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</si>
  <si>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</si>
  <si>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</si>
  <si>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</si>
  <si>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</si>
  <si>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</si>
  <si>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</si>
  <si>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</si>
  <si>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</si>
  <si>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</si>
  <si>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</si>
  <si>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</si>
  <si>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</si>
  <si>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</si>
  <si>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</si>
  <si>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</si>
  <si>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</si>
  <si>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</si>
  <si>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</si>
  <si>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</si>
  <si>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</si>
  <si>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</si>
  <si>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</si>
  <si>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</si>
  <si>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</si>
  <si>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</si>
  <si>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</si>
  <si>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</si>
  <si>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</si>
  <si>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</si>
  <si>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</si>
  <si>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</si>
  <si>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</si>
  <si>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</si>
  <si>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</si>
  <si>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</si>
  <si>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</si>
  <si>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</si>
  <si>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</si>
  <si>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</si>
  <si>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</si>
  <si>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</si>
  <si>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</si>
  <si>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</si>
  <si>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</si>
  <si>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</si>
  <si>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</si>
  <si>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</si>
  <si>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</si>
  <si>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</si>
  <si>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</si>
  <si>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</si>
  <si>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</si>
  <si>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</si>
  <si>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</si>
  <si>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</si>
  <si>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</si>
  <si>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</si>
  <si>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</si>
  <si>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</si>
  <si>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</si>
  <si>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</si>
  <si>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</si>
  <si>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</si>
  <si>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</si>
  <si>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</si>
  <si>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</si>
  <si>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</si>
  <si>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</si>
  <si>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</si>
  <si>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</si>
  <si>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</si>
  <si>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</si>
  <si>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</si>
  <si>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</si>
  <si>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</si>
  <si>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</si>
  <si>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</si>
  <si>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</si>
  <si>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</si>
  <si>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</si>
  <si>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</si>
  <si>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</si>
  <si>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</si>
  <si>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</si>
  <si>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</si>
  <si>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</si>
  <si>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</si>
  <si>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</si>
  <si>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</si>
  <si>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</si>
  <si>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</si>
  <si>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</si>
  <si>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</si>
  <si>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</si>
  <si>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</si>
  <si>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</si>
  <si>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</si>
  <si>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</si>
  <si>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</si>
  <si>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</si>
  <si>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</si>
  <si>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</si>
  <si>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</si>
  <si>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</si>
  <si>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</si>
  <si>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</si>
  <si>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</si>
  <si>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</si>
  <si>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</si>
  <si>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</si>
  <si>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</si>
  <si>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</si>
  <si>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</si>
  <si>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</si>
  <si>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</si>
  <si>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</si>
  <si>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</si>
  <si>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</si>
  <si>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</si>
  <si>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</si>
  <si>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</si>
  <si>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</si>
  <si>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</si>
  <si>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</si>
  <si>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</si>
  <si>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</si>
  <si>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</si>
  <si>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</si>
  <si>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</si>
  <si>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</si>
  <si>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</si>
  <si>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</si>
  <si>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</si>
  <si>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</si>
  <si>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</si>
  <si>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</si>
  <si>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</si>
  <si>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</si>
  <si>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</si>
  <si>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</si>
  <si>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</si>
  <si>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</si>
  <si>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</si>
  <si>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</si>
  <si>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</si>
  <si>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</si>
  <si>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</si>
  <si>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</si>
  <si>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</si>
  <si>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</si>
  <si>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</si>
  <si>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</si>
  <si>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</si>
  <si>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</si>
  <si>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</si>
  <si>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</si>
  <si>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</si>
  <si>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</si>
  <si>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</si>
  <si>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</si>
  <si>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</si>
  <si>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</si>
  <si>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</si>
  <si>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</si>
  <si>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</si>
  <si>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</si>
  <si>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</si>
  <si>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</si>
  <si>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</si>
  <si>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</si>
  <si>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</si>
  <si>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</si>
  <si>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</si>
  <si>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</si>
  <si>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</si>
  <si>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</si>
  <si>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</si>
  <si>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</si>
  <si>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</si>
  <si>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</si>
  <si>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</si>
  <si>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</si>
  <si>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</si>
  <si>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</si>
  <si>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</si>
  <si>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</si>
  <si>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</si>
  <si>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</si>
  <si>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</si>
  <si>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</si>
  <si>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</si>
  <si>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</si>
  <si>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</si>
  <si>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</si>
  <si>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</si>
  <si>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</si>
  <si>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</si>
  <si>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</si>
  <si>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</si>
  <si>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</si>
  <si>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</si>
  <si>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</si>
  <si>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</si>
  <si>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</si>
  <si>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</si>
  <si>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</si>
  <si>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</si>
  <si>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</si>
  <si>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</si>
  <si>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</si>
  <si>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</si>
  <si>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</si>
  <si>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</si>
  <si>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</si>
  <si>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</si>
  <si>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</si>
  <si>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</si>
  <si>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</si>
  <si>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</si>
  <si>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</si>
  <si>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</si>
  <si>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</si>
  <si>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</si>
  <si>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</si>
  <si>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</si>
  <si>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</si>
  <si>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</si>
  <si>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</si>
  <si>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</si>
  <si>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</si>
  <si>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</si>
  <si>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</si>
  <si>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</si>
  <si>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</si>
  <si>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</si>
  <si>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</si>
  <si>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</si>
  <si>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</si>
  <si>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</si>
  <si>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</si>
  <si>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</si>
  <si>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</si>
  <si>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</si>
  <si>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</si>
  <si>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</si>
  <si>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</si>
  <si>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</si>
  <si>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</si>
  <si>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</si>
  <si>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</si>
  <si>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</si>
  <si>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</si>
  <si>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</si>
  <si>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</si>
  <si>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</si>
  <si>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EME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</si>
</sst>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512</v>
      </c>
      <c r="I2" s="339"/>
      <c r="J2" s="340"/>
      <c r="R2" s="336" t="s">
        <v>513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Gourmet EME Society</v>
      </c>
      <c r="T3" s="301">
        <f>+'1'!P35</f>
        <v>7742.5499030084757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823.66125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5.109831673728813</v>
      </c>
      <c r="P7" s="118">
        <f>M7+N7+O7</f>
        <v>1027.0761664194915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188.86499999999998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823.66125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5.109831673728813</v>
      </c>
      <c r="P8" s="119">
        <f t="shared" ref="P8:P15" si="2">M8+N8+O8</f>
        <v>1027.0761664194915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523.00799999999992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2280.8959999999997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14.150242711864406</v>
      </c>
      <c r="P10" s="119">
        <f t="shared" si="2"/>
        <v>2844.1987850847454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1140.4479999999999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7.075121355932203</v>
      </c>
      <c r="P11" s="119">
        <f t="shared" si="2"/>
        <v>1422.0993925423727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1140.4479999999999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7.075121355932203</v>
      </c>
      <c r="P12" s="119">
        <f t="shared" si="2"/>
        <v>1422.0993925423727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120</v>
      </c>
      <c r="I16" s="114">
        <f t="shared" si="3"/>
        <v>7909.7000000000007</v>
      </c>
      <c r="J16" s="274">
        <f>SUM(J7:J15)</f>
        <v>1423.7459999999996</v>
      </c>
      <c r="K16" s="275">
        <f t="shared" si="3"/>
        <v>276.83950000000004</v>
      </c>
      <c r="L16" s="276">
        <f t="shared" si="3"/>
        <v>0</v>
      </c>
      <c r="M16" s="232">
        <f t="shared" si="3"/>
        <v>6209.1144999999997</v>
      </c>
      <c r="N16" s="233">
        <f>SUM(N7:N15)</f>
        <v>1494.9152542372879</v>
      </c>
      <c r="O16" s="101">
        <f>SUM(O7:O15)</f>
        <v>38.520148771186442</v>
      </c>
      <c r="P16" s="234">
        <f>SUM(P7:P15)</f>
        <v>7742.5499030084738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7909.7000000000007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1423.7459999999996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276.83950000000004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6209.1145000000015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1494.9152542372879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7704.0297542372891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38.520148771186442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7742.5499030084757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7742.5499030084757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188.86499999999998</v>
      </c>
      <c r="K16" s="127">
        <f>$I16*T16</f>
        <v>36.723750000000003</v>
      </c>
      <c r="L16" s="118">
        <f>$I16*U16</f>
        <v>0</v>
      </c>
      <c r="M16" s="229">
        <f>I16-SUM(J16:L16)</f>
        <v>823.66125</v>
      </c>
      <c r="N16" s="248">
        <f>+(G16*D16+H16)*V16</f>
        <v>198.30508474576263</v>
      </c>
      <c r="O16" s="238">
        <f>(N16+M16)*$O$15</f>
        <v>5.109831673728813</v>
      </c>
      <c r="P16" s="118">
        <f>M16+N16+O16</f>
        <v>1027.0761664194915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188.86499999999998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823.66125</v>
      </c>
      <c r="N17" s="277">
        <f t="shared" ref="N17:N24" si="3">+(G17*D17+H17)*V17</f>
        <v>198.30508474576263</v>
      </c>
      <c r="O17" s="239">
        <f t="shared" ref="O17:O24" si="4">(N17+M17)*$O$15</f>
        <v>5.109831673728813</v>
      </c>
      <c r="P17" s="119">
        <f t="shared" ref="P17:P24" si="5">M17+N17+O17</f>
        <v>1027.0761664194915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119">
        <f t="shared" si="5"/>
        <v>2844.1987850847454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119">
        <f t="shared" si="5"/>
        <v>1422.0993925423727</v>
      </c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119">
        <f t="shared" si="5"/>
        <v>1422.0993925423727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7909.7000000000007</v>
      </c>
      <c r="J25" s="274">
        <f>SUM(J16:J24)</f>
        <v>1423.7459999999996</v>
      </c>
      <c r="K25" s="275">
        <f t="shared" si="10"/>
        <v>276.83950000000004</v>
      </c>
      <c r="L25" s="276">
        <f t="shared" si="10"/>
        <v>0</v>
      </c>
      <c r="M25" s="232">
        <f t="shared" si="10"/>
        <v>6209.1144999999997</v>
      </c>
      <c r="N25" s="233">
        <f>SUM(N16:N24)</f>
        <v>1494.9152542372879</v>
      </c>
      <c r="O25" s="101">
        <f>SUM(O16:O24)</f>
        <v>38.520148771186442</v>
      </c>
      <c r="P25" s="234">
        <f>SUM(P16:P24)</f>
        <v>7742.5499030084738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1423.7459999999996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6209.1145000000015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7704.0297542372891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30" t="s">
        <v>88</v>
      </c>
      <c r="O35" s="331"/>
      <c r="P35" s="297">
        <f>+P33+P34</f>
        <v>7742.5499030084757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2026-07-24T06:09:33Z</dcterms:modified>
</cp:coreProperties>
</file>