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5D9A66E-0F77-4AA1-AC54-2841B29B8B1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G25" i="16" l="1"/>
  <c r="K23" i="17"/>
  <c r="K24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I21" i="17"/>
  <c r="I22" i="17"/>
  <c r="I23" i="17"/>
  <c r="I24" i="17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7" l="1"/>
  <c r="K21" i="17"/>
  <c r="K20" i="17"/>
  <c r="M20" i="17" s="1"/>
  <c r="N20" i="17" s="1"/>
  <c r="O20" i="17" s="1"/>
  <c r="L20" i="17"/>
  <c r="L22" i="17"/>
  <c r="K22" i="17"/>
  <c r="L17" i="17"/>
  <c r="M17" i="17" s="1"/>
  <c r="N17" i="17" s="1"/>
  <c r="O17" i="17" s="1"/>
  <c r="K21" i="23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M19" i="17"/>
  <c r="N19" i="17" s="1"/>
  <c r="O19" i="17" s="1"/>
  <c r="P19" i="17" s="1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L18" i="17"/>
  <c r="L16" i="17"/>
  <c r="M16" i="17" s="1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M22" i="17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0" i="16" l="1"/>
  <c r="K20" i="15" s="1"/>
  <c r="L20" i="16"/>
  <c r="K18" i="16"/>
  <c r="K18" i="15" s="1"/>
  <c r="L18" i="16"/>
  <c r="L18" i="15" s="1"/>
  <c r="K16" i="16"/>
  <c r="K16" i="15" s="1"/>
  <c r="L16" i="16"/>
  <c r="M16" i="16" s="1"/>
  <c r="N16" i="16" s="1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L16" i="15" l="1"/>
  <c r="M16" i="15" s="1"/>
  <c r="P31" i="24"/>
  <c r="M25" i="19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22" i="16" l="1"/>
  <c r="O22" i="15" s="1"/>
  <c r="L25" i="15"/>
  <c r="P36" i="15" s="1"/>
  <c r="O16" i="18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<sst xmlns="http://schemas.openxmlformats.org/spreadsheetml/2006/main" count="1580" uniqueCount="107">
  <si>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</si>
  <si>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</si>
  <si>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</si>
  <si>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</si>
  <si>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</si>
  <si>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</si>
  <si>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</si>
  <si>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</si>
  <si>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</si>
  <si>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</si>
  <si>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</si>
  <si>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</si>
  <si>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</si>
  <si>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</si>
  <si>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</si>
  <si>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</si>
  <si>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</si>
  <si>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</si>
  <si>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</si>
  <si>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</si>
  <si>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</si>
  <si>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</si>
  <si>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</si>
  <si>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</si>
  <si>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</si>
  <si>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</si>
  <si>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</si>
  <si>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</si>
  <si>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</si>
  <si>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</si>
  <si>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</si>
  <si>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</si>
  <si>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</si>
  <si>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</si>
  <si>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</si>
  <si>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</si>
  <si>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</si>
  <si>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</si>
  <si>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</si>
  <si>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</si>
  <si>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</si>
  <si>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</si>
  <si>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</si>
  <si>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</si>
  <si>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</si>
  <si>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</si>
  <si>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</si>
  <si>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</si>
  <si>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</si>
  <si>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</si>
  <si>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</si>
  <si>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</si>
  <si>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</si>
  <si>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</si>
  <si>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</si>
  <si>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</si>
  <si>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</si>
  <si>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</si>
  <si>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</si>
  <si>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</si>
  <si>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</si>
  <si>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</si>
  <si>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</si>
  <si>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</si>
  <si>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</si>
  <si>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</si>
  <si>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</si>
  <si>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</si>
  <si>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</si>
  <si>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</si>
  <si>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</si>
  <si>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</si>
  <si>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</si>
  <si>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</si>
  <si>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</si>
  <si>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</si>
  <si>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</si>
  <si>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</si>
  <si>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</si>
  <si>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</si>
  <si>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</si>
  <si>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</si>
  <si>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</si>
  <si>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</si>
  <si>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</si>
  <si>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</si>
  <si>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</si>
  <si>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</si>
  <si>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</si>
  <si>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</si>
  <si>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</si>
  <si>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</si>
  <si>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</si>
  <si>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</si>
  <si>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</si>
  <si>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</si>
  <si>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</si>
  <si>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</si>
  <si>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</si>
  <si>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</si>
  <si>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</si>
  <si>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</si>
  <si>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Raheem Store</t>
  </si>
  <si>
    <t xml:space="preserve">Address: Iqbal Town </t>
  </si>
  <si>
    <t>A244322-8</t>
  </si>
  <si>
    <t>Raheem Iqbal Town</t>
  </si>
  <si>
    <t>Shop Bill Summary Raheem Iqbal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</si>
</sst>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A2" sqref="A2:M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105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106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46755.103655999999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1"/>
      <c r="J15" s="170" t="s">
        <v>78</v>
      </c>
      <c r="K15" s="170" t="s">
        <v>79</v>
      </c>
      <c r="L15" s="173" t="s">
        <v>80</v>
      </c>
      <c r="M15" s="23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1468.95</v>
      </c>
      <c r="M16" s="105">
        <f>I16-K16-L16</f>
        <v>9023.5499999999993</v>
      </c>
      <c r="N16" s="100">
        <f>+'1'!N16+'2'!N16+'4'!N16+'3'!N16+'5'!N16+'6'!N16+'7'!N16+'8'!N16+'9'!N16+'10'!N16</f>
        <v>1624.2389999999998</v>
      </c>
      <c r="O16" s="100">
        <f>+'1'!O16+'2'!O16+'4'!O16+'3'!O16+'5'!O16+'6'!O16+'7'!O16+'8'!O16+'9'!O16+'10'!O16</f>
        <v>53.238944999999994</v>
      </c>
      <c r="P16" s="104">
        <f t="shared" ref="P16:P24" si="0">M16+N16+O16</f>
        <v>10701.027944999998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881.37000000000012</v>
      </c>
      <c r="M17" s="117">
        <f t="shared" ref="M17:M23" si="2">I17-K17-L17</f>
        <v>5414.13</v>
      </c>
      <c r="N17" s="100">
        <f>+'1'!N17+'2'!N17+'4'!N17+'3'!N17+'5'!N17+'6'!N17+'7'!N17+'8'!N17+'9'!N17+'10'!N17</f>
        <v>974.54340000000002</v>
      </c>
      <c r="O17" s="100">
        <f>+'1'!O17+'2'!O17+'4'!O17+'3'!O17+'5'!O17+'6'!O17+'7'!O17+'8'!O17+'9'!O17+'10'!O17</f>
        <v>31.943366999999999</v>
      </c>
      <c r="P17" s="119">
        <f t="shared" si="0"/>
        <v>6420.6167669999995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4067.8400000000006</v>
      </c>
      <c r="M21" s="117">
        <f t="shared" si="2"/>
        <v>24988.16</v>
      </c>
      <c r="N21" s="100">
        <f>+'1'!N21+'2'!N21+'4'!N21+'3'!N21+'5'!N21+'6'!N21+'7'!N21+'8'!N21+'9'!N21+'10'!N21</f>
        <v>4497.8688000000002</v>
      </c>
      <c r="O21" s="100">
        <f>+'1'!O21+'2'!O21+'4'!O21+'3'!O21+'5'!O21+'6'!O21+'7'!O21+'8'!O21+'9'!O21+'10'!O21</f>
        <v>147.43014400000001</v>
      </c>
      <c r="P21" s="119">
        <f t="shared" si="0"/>
        <v>29633.458944000002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18</v>
      </c>
      <c r="D25" s="207"/>
      <c r="E25" s="207"/>
      <c r="F25" s="207"/>
      <c r="G25" s="175">
        <f t="shared" ref="G25:M25" si="3">SUM(G16:G24)</f>
        <v>0</v>
      </c>
      <c r="H25" s="176">
        <f t="shared" si="3"/>
        <v>720</v>
      </c>
      <c r="I25" s="177">
        <f t="shared" si="3"/>
        <v>45844</v>
      </c>
      <c r="J25" s="176">
        <f t="shared" si="3"/>
        <v>0</v>
      </c>
      <c r="K25" s="177">
        <f t="shared" si="3"/>
        <v>0</v>
      </c>
      <c r="L25" s="178">
        <f t="shared" si="3"/>
        <v>6418.1600000000008</v>
      </c>
      <c r="M25" s="140">
        <f t="shared" si="3"/>
        <v>39425.839999999997</v>
      </c>
      <c r="N25" s="141">
        <f>SUM(N16:N24)</f>
        <v>7096.6512000000002</v>
      </c>
      <c r="O25" s="142">
        <f>SUM(O16:O24)</f>
        <v>232.61245600000001</v>
      </c>
      <c r="P25" s="143">
        <f>SUM(P16:P24)</f>
        <v>46755.103655999999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46755.103655999999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1">
        <f>I25</f>
        <v>45844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2">
        <f>L25</f>
        <v>6418.1600000000008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3">
        <f>K25</f>
        <v>0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2">
        <f>P35-P36-P37</f>
        <v>39425.839999999997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4" t="s">
        <v>89</v>
      </c>
      <c r="O39" s="155">
        <f>IF(B12="Registered",18%,22%)</f>
        <v>0.22</v>
      </c>
      <c r="P39" s="152">
        <f>N25</f>
        <v>7096.6512000000002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2">
        <f>P38+P39</f>
        <v>46522.491199999997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6"/>
      <c r="N41" s="157" t="s">
        <v>91</v>
      </c>
      <c r="O41" s="158">
        <f>IF(B11="Filer",0.5%,2.5%)</f>
        <v>2.5000000000000001E-2</v>
      </c>
      <c r="P41" s="152">
        <f>O41*P40</f>
        <v>1163.0622799999999</v>
      </c>
    </row>
    <row r="42" spans="1:21" ht="15.75" customHeight="1" thickBot="1" x14ac:dyDescent="0.4">
      <c r="N42" s="205" t="s">
        <v>92</v>
      </c>
      <c r="O42" s="206"/>
      <c r="P42" s="159">
        <f>P40+P41</f>
        <v>47685.553479999995</v>
      </c>
    </row>
    <row r="43" spans="1:21" ht="15" thickBot="1" x14ac:dyDescent="0.4">
      <c r="B43" s="160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25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 t="shared" ref="I16:I22" si="0">(G16*D16)*F16+H16*F16</f>
        <v>10492.5</v>
      </c>
      <c r="J16" s="102">
        <v>0</v>
      </c>
      <c r="K16" s="103">
        <f>I16*$K$13</f>
        <v>0</v>
      </c>
      <c r="L16" s="104">
        <f>I16*14%</f>
        <v>1468.95</v>
      </c>
      <c r="M16" s="105">
        <f>I16-K16-L16</f>
        <v>9023.5499999999993</v>
      </c>
      <c r="N16" s="105">
        <f t="shared" ref="N16:N24" si="1">(M16*$N$15)+(J16*F16)*$N$15</f>
        <v>1624.2389999999998</v>
      </c>
      <c r="O16" s="106">
        <f t="shared" ref="O16:O24" si="2">(N16+M16)*$O$15</f>
        <v>53.238944999999994</v>
      </c>
      <c r="P16" s="104">
        <f t="shared" ref="P16:P24" si="3">M16+N16+O16</f>
        <v>10701.027944999998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si="0"/>
        <v>6295.5</v>
      </c>
      <c r="J17" s="116">
        <v>0</v>
      </c>
      <c r="K17" s="1">
        <f t="shared" ref="K17:K21" si="4">I17*$K$13</f>
        <v>0</v>
      </c>
      <c r="L17" s="104">
        <f t="shared" ref="L17:L21" si="5">I17*14%</f>
        <v>881.37000000000012</v>
      </c>
      <c r="M17" s="117">
        <f t="shared" ref="M17:M23" si="6">I17-K17-L17</f>
        <v>5414.13</v>
      </c>
      <c r="N17" s="117">
        <f t="shared" si="1"/>
        <v>974.54340000000002</v>
      </c>
      <c r="O17" s="118">
        <f t="shared" si="2"/>
        <v>31.943366999999999</v>
      </c>
      <c r="P17" s="119">
        <f t="shared" si="3"/>
        <v>6420.6167669999995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0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1"/>
        <v>0</v>
      </c>
      <c r="O18" s="118">
        <f t="shared" si="2"/>
        <v>0</v>
      </c>
      <c r="P18" s="119">
        <f t="shared" si="3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0"/>
        <v>0</v>
      </c>
      <c r="J19" s="116"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1"/>
        <v>0</v>
      </c>
      <c r="O19" s="118">
        <f t="shared" si="2"/>
        <v>0</v>
      </c>
      <c r="P19" s="119">
        <f t="shared" si="3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0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1"/>
        <v>0</v>
      </c>
      <c r="O20" s="118">
        <f t="shared" si="2"/>
        <v>0</v>
      </c>
      <c r="P20" s="119">
        <f t="shared" si="3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0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1"/>
        <v>4497.8688000000002</v>
      </c>
      <c r="O21" s="118">
        <f t="shared" si="2"/>
        <v>147.43014400000001</v>
      </c>
      <c r="P21" s="119">
        <f t="shared" si="3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0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1"/>
        <v>0</v>
      </c>
      <c r="O22" s="118">
        <f t="shared" si="2"/>
        <v>0</v>
      </c>
      <c r="P22" s="119">
        <f t="shared" si="3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ref="I23" si="7">(G23*D23)*F23+H23*F23</f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1"/>
        <v>0</v>
      </c>
      <c r="O23" s="118">
        <f t="shared" si="2"/>
        <v>0</v>
      </c>
      <c r="P23" s="119">
        <f t="shared" si="3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1"/>
        <v>0</v>
      </c>
      <c r="O24" s="133">
        <f t="shared" si="2"/>
        <v>0</v>
      </c>
      <c r="P24" s="131">
        <f t="shared" si="3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10">SUM(G16:G24)</f>
        <v>0</v>
      </c>
      <c r="H25" s="135">
        <f>SUM(H16:H24)</f>
        <v>720</v>
      </c>
      <c r="I25" s="136">
        <f t="shared" si="10"/>
        <v>45844</v>
      </c>
      <c r="J25" s="182">
        <f>SUM(J16:J21)</f>
        <v>0</v>
      </c>
      <c r="K25" s="138">
        <f t="shared" si="10"/>
        <v>0</v>
      </c>
      <c r="L25" s="139">
        <f t="shared" si="10"/>
        <v>6418.1600000000008</v>
      </c>
      <c r="M25" s="140">
        <f t="shared" si="10"/>
        <v>39425.839999999997</v>
      </c>
      <c r="N25" s="141">
        <f>SUM(N16:N24)</f>
        <v>7096.6512000000002</v>
      </c>
      <c r="O25" s="142">
        <f>SUM(O16:O24)</f>
        <v>232.61245600000001</v>
      </c>
      <c r="P25" s="143">
        <f>SUM(P16:P24)</f>
        <v>46755.103655999999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45844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6418.1600000000008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39425.839999999997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7096.6512000000002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46522.491199999997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232.61245599999998</v>
      </c>
    </row>
    <row r="35" spans="2:16" ht="15.75" customHeight="1" thickBot="1" x14ac:dyDescent="0.4">
      <c r="N35" s="205" t="s">
        <v>92</v>
      </c>
      <c r="O35" s="206"/>
      <c r="P35" s="159">
        <f>P33+P34</f>
        <v>46755.103655999999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36328125" bestFit="1" customWidth="1"/>
    <col min="13" max="13" width="7.54296875" customWidth="1"/>
    <col min="14" max="14" width="8.7265625" style="69" bestFit="1" customWidth="1"/>
    <col min="15" max="15" width="6.363281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9" customHeight="1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>
        <v>0</v>
      </c>
      <c r="K17" s="103">
        <f t="shared" ref="K17:K24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03">
        <f t="shared" si="3"/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8">SUM(G16:G24)</f>
        <v>0</v>
      </c>
      <c r="H25" s="135">
        <f t="shared" si="8"/>
        <v>0</v>
      </c>
      <c r="I25" s="136">
        <f t="shared" si="8"/>
        <v>0</v>
      </c>
      <c r="J25" s="137"/>
      <c r="K25" s="138">
        <f t="shared" si="8"/>
        <v>0</v>
      </c>
      <c r="L25" s="139">
        <f t="shared" si="8"/>
        <v>0</v>
      </c>
      <c r="M25" s="140">
        <f t="shared" si="8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  <c r="S25" s="184"/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6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79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2026-07-23T06:36:46Z</dcterms:modified>
</cp:coreProperties>
</file>