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0CFC43F-9017-4657-828A-BFEAC624BF0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<sst xmlns="http://schemas.openxmlformats.org/spreadsheetml/2006/main" count="2001" uniqueCount="132">
  <si>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</si>
  <si>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</si>
  <si>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</si>
  <si>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</si>
  <si>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</si>
  <si>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</si>
  <si>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</si>
  <si>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</si>
  <si>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</si>
  <si>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</si>
  <si>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</si>
  <si>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</si>
  <si>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</si>
  <si>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</si>
  <si>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</si>
  <si>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</si>
  <si>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</si>
  <si>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</si>
  <si>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</si>
  <si>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</si>
  <si>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</si>
  <si>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</si>
  <si>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</si>
  <si>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</si>
  <si>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</si>
  <si>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</si>
  <si>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</si>
  <si>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</si>
  <si>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</si>
  <si>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</si>
  <si>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</si>
  <si>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</si>
  <si>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</si>
  <si>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</si>
  <si>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</si>
  <si>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</si>
  <si>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</si>
  <si>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</si>
  <si>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</si>
  <si>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</si>
  <si>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</si>
  <si>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</si>
  <si>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</si>
  <si>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</si>
  <si>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</si>
  <si>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</si>
  <si>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</si>
  <si>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</si>
  <si>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</si>
  <si>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</si>
  <si>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</si>
  <si>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</si>
  <si>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</si>
  <si>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</si>
  <si>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</si>
  <si>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</si>
  <si>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</si>
  <si>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</si>
  <si>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</si>
  <si>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</si>
  <si>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</si>
  <si>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</si>
  <si>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</si>
  <si>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</si>
  <si>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</si>
  <si>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</si>
  <si>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</si>
  <si>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</si>
  <si>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</si>
  <si>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</si>
  <si>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</si>
  <si>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</si>
  <si>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</si>
  <si>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</si>
  <si>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</si>
  <si>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</si>
  <si>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</si>
  <si>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</si>
  <si>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</si>
  <si>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</si>
  <si>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</si>
  <si>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</si>
  <si>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</si>
  <si>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</si>
  <si>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</si>
  <si>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</si>
  <si>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</si>
  <si>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</si>
  <si>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</si>
  <si>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</si>
  <si>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</si>
  <si>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</si>
  <si>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</si>
  <si>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</si>
  <si>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</si>
  <si>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</si>
  <si>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</si>
  <si>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</si>
  <si>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</si>
  <si>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</si>
  <si>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</si>
  <si>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</si>
  <si>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</si>
  <si>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</si>
  <si>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</si>
  <si>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</si>
  <si>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</si>
  <si>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</si>
  <si>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</si>
  <si>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</si>
  <si>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</si>
  <si>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</si>
  <si>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</si>
  <si>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</si>
  <si>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</si>
  <si>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</si>
  <si>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</si>
  <si>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</si>
  <si>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</si>
  <si>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</si>
  <si>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</si>
  <si>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</si>
  <si>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</si>
  <si>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</si>
  <si>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</si>
  <si>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</si>
  <si>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</si>
  <si>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</si>
  <si>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</si>
  <si>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</si>
  <si>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Lakshman</t>
  </si>
  <si>
    <t>Address: Lakshman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</si>
</sst>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Lakshman</v>
      </c>
      <c r="U14" s="163">
        <f>+'1'!P35</f>
        <v>3845.8464243000008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530</v>
      </c>
      <c r="I19" s="1">
        <f t="shared" si="1"/>
        <v>38499.199999999997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5360.8319999999985</v>
      </c>
      <c r="M19" s="117">
        <f t="shared" si="2"/>
        <v>33138.368000000002</v>
      </c>
      <c r="N19" s="100">
        <f>+'1'!N19+'2'!N19+'4'!N19+'3'!N19+'5'!N19+'6'!N19+'7'!N19+'8'!N19+'9'!N19+'10'!N19</f>
        <v>4395.8822399999999</v>
      </c>
      <c r="O19" s="100">
        <f>+'1'!O19+'2'!O19+'4'!O19+'3'!O19+'5'!O19+'6'!O19+'7'!O19+'8'!O19+'9'!O19+'10'!O19</f>
        <v>144.0872512</v>
      </c>
      <c r="P19" s="119">
        <f t="shared" si="0"/>
        <v>37678.3374912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530</v>
      </c>
      <c r="I20" s="1">
        <f t="shared" si="1"/>
        <v>38499.199999999997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5360.8319999999985</v>
      </c>
      <c r="M20" s="117">
        <f t="shared" si="2"/>
        <v>33138.368000000002</v>
      </c>
      <c r="N20" s="100">
        <f>+'1'!N20+'2'!N20+'4'!N20+'3'!N20+'5'!N20+'6'!N20+'7'!N20+'8'!N20+'9'!N20+'10'!N20</f>
        <v>4395.8822399999999</v>
      </c>
      <c r="O20" s="100">
        <f>+'1'!O20+'2'!O20+'4'!O20+'3'!O20+'5'!O20+'6'!O20+'7'!O20+'8'!O20+'9'!O20+'10'!O20</f>
        <v>144.0872512</v>
      </c>
      <c r="P20" s="119">
        <f t="shared" si="0"/>
        <v>37678.3374912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540</v>
      </c>
      <c r="I21" s="1">
        <f t="shared" si="1"/>
        <v>39225.599999999999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5491.5839999999989</v>
      </c>
      <c r="M21" s="117">
        <f t="shared" si="2"/>
        <v>33734.016000000003</v>
      </c>
      <c r="N21" s="100">
        <f>+'1'!N21+'2'!N21+'4'!N21+'3'!N21+'5'!N21+'6'!N21+'7'!N21+'8'!N21+'9'!N21+'10'!N21</f>
        <v>4503.0988799999996</v>
      </c>
      <c r="O21" s="100">
        <f>+'1'!O21+'2'!O21+'4'!O21+'3'!O21+'5'!O21+'6'!O21+'7'!O21+'8'!O21+'9'!O21+'10'!O21</f>
        <v>147.6015744</v>
      </c>
      <c r="P21" s="119">
        <f t="shared" si="0"/>
        <v>38384.716454400004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66.5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2660</v>
      </c>
      <c r="I25" s="177">
        <f t="shared" si="3"/>
        <v>171834.25</v>
      </c>
      <c r="J25" s="176">
        <f t="shared" si="3"/>
        <v>0</v>
      </c>
      <c r="K25" s="177">
        <f t="shared" si="3"/>
        <v>0</v>
      </c>
      <c r="L25" s="178">
        <f t="shared" si="3"/>
        <v>23956.712999999996</v>
      </c>
      <c r="M25" s="140">
        <f t="shared" si="3"/>
        <v>147877.53700000001</v>
      </c>
      <c r="N25" s="141">
        <f>SUM(N16:N24)</f>
        <v>19644.504659999999</v>
      </c>
      <c r="O25" s="142">
        <f>SUM(O16:O24)</f>
        <v>643.90320829999996</v>
      </c>
      <c r="P25" s="143">
        <f>SUM(P16:P24)</f>
        <v>168165.94486829999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167098.15440150007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171834.25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23956.712999999996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147877.53700000001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19644.504659999999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167522.04166000002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4188.0510415000008</v>
      </c>
    </row>
    <row r="51" spans="2:16" ht="15.75" customHeight="1" thickBot="1" x14ac:dyDescent="0.4">
      <c r="N51" s="298" t="s">
        <v>92</v>
      </c>
      <c r="O51" s="299"/>
      <c r="P51" s="159">
        <f>P49+P50</f>
        <v>171710.09270150002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10</v>
      </c>
      <c r="I19" s="115">
        <f t="shared" si="3"/>
        <v>726.4</v>
      </c>
      <c r="J19" s="116"/>
      <c r="K19" s="1">
        <f t="shared" si="4"/>
        <v>0</v>
      </c>
      <c r="L19" s="104">
        <f t="shared" si="5"/>
        <v>130.75199999999998</v>
      </c>
      <c r="M19" s="117">
        <f t="shared" si="6"/>
        <v>595.64800000000002</v>
      </c>
      <c r="N19" s="117">
        <f t="shared" si="0"/>
        <v>107.21664</v>
      </c>
      <c r="O19" s="118">
        <f t="shared" si="1"/>
        <v>3.5143232000000002</v>
      </c>
      <c r="P19" s="119">
        <f t="shared" si="2"/>
        <v>706.37896320000004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10</v>
      </c>
      <c r="I20" s="115">
        <f t="shared" si="3"/>
        <v>726.4</v>
      </c>
      <c r="J20" s="116"/>
      <c r="K20" s="1">
        <f t="shared" si="4"/>
        <v>0</v>
      </c>
      <c r="L20" s="104">
        <f t="shared" si="5"/>
        <v>130.75199999999998</v>
      </c>
      <c r="M20" s="117">
        <f t="shared" si="6"/>
        <v>595.64800000000002</v>
      </c>
      <c r="N20" s="117">
        <f t="shared" si="0"/>
        <v>107.21664</v>
      </c>
      <c r="O20" s="118">
        <f t="shared" si="1"/>
        <v>3.5143232000000002</v>
      </c>
      <c r="P20" s="119">
        <f t="shared" si="2"/>
        <v>706.37896320000004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</v>
      </c>
      <c r="I21" s="115">
        <f t="shared" si="3"/>
        <v>1452.8</v>
      </c>
      <c r="J21" s="116"/>
      <c r="K21" s="1">
        <f t="shared" si="4"/>
        <v>0</v>
      </c>
      <c r="L21" s="104">
        <f t="shared" si="5"/>
        <v>261.50399999999996</v>
      </c>
      <c r="M21" s="117">
        <f t="shared" si="6"/>
        <v>1191.296</v>
      </c>
      <c r="N21" s="117">
        <f t="shared" si="0"/>
        <v>214.43328</v>
      </c>
      <c r="O21" s="118">
        <f t="shared" si="1"/>
        <v>7.0286464000000004</v>
      </c>
      <c r="P21" s="119">
        <f t="shared" si="2"/>
        <v>1412.7579264000001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60</v>
      </c>
      <c r="I25" s="136">
        <f t="shared" si="9"/>
        <v>3954.8500000000004</v>
      </c>
      <c r="J25" s="137"/>
      <c r="K25" s="138">
        <f t="shared" si="9"/>
        <v>0</v>
      </c>
      <c r="L25" s="139">
        <f t="shared" si="9"/>
        <v>711.87299999999982</v>
      </c>
      <c r="M25" s="140">
        <f t="shared" si="9"/>
        <v>3242.9769999999999</v>
      </c>
      <c r="N25" s="141">
        <f>SUM(N16:N24)</f>
        <v>583.73586</v>
      </c>
      <c r="O25" s="142">
        <f>SUM(O16:O24)</f>
        <v>19.1335643</v>
      </c>
      <c r="P25" s="143">
        <f>SUM(P16:P24)</f>
        <v>3845.8464243000003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3954.8500000000004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711.87299999999982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3242.9770000000008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583.73586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3826.7128600000005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19.133564300000003</v>
      </c>
    </row>
    <row r="35" spans="2:16" ht="15.75" customHeight="1" thickBot="1" x14ac:dyDescent="0.4">
      <c r="N35" s="298" t="s">
        <v>92</v>
      </c>
      <c r="O35" s="299"/>
      <c r="P35" s="159">
        <f>P33+P34</f>
        <v>3845.8464243000008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2026-07-23T07:23:03Z</dcterms:modified>
</cp:coreProperties>
</file>