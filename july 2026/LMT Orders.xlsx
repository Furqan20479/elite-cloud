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FD623158-3B67-4F6F-A420-ADAF181AFB4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B1" i="2" l="1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<sst xmlns="http://schemas.openxmlformats.org/spreadsheetml/2006/main" count="132" uniqueCount="101">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</sst>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left"/>
    </xf>
    <xf numFmtId="0" fontId="5" fillId="3" borderId="26" xfId="0" applyFont="1" applyFill="1" applyBorder="1"/>
    <xf numFmtId="0" fontId="5" fillId="3" borderId="24" xfId="0" applyFont="1" applyFill="1" applyBorder="1"/>
    <xf numFmtId="0" fontId="5" fillId="3" borderId="28" xfId="0" applyFont="1" applyFill="1" applyBorder="1"/>
    <xf numFmtId="0" fontId="5" fillId="3" borderId="27" xfId="0" applyFont="1" applyFill="1" applyBorder="1"/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4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zoomScaleNormal="100" workbookViewId="0">
      <selection activeCell="F10" sqref="F1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39">
        <f ca="1">TODAY()</f>
        <v>46204</v>
      </c>
      <c r="C1" s="139"/>
      <c r="D1" s="139"/>
      <c r="E1" s="139"/>
      <c r="F1" s="13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1" t="s">
        <v>37</v>
      </c>
      <c r="B2" s="140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3"/>
      <c r="N2" s="154"/>
      <c r="O2" s="155"/>
      <c r="P2" s="156" t="s">
        <v>14</v>
      </c>
      <c r="Q2" s="157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1"/>
      <c r="B3" s="141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8" t="s">
        <v>11</v>
      </c>
      <c r="N3" s="159"/>
      <c r="O3" s="160"/>
      <c r="P3" s="71"/>
      <c r="Q3" s="72"/>
      <c r="R3" s="143" t="s">
        <v>16</v>
      </c>
      <c r="S3" s="144"/>
      <c r="T3" s="144"/>
      <c r="U3" s="145"/>
      <c r="V3" s="146" t="s">
        <v>17</v>
      </c>
      <c r="W3" s="147"/>
      <c r="X3" s="147"/>
      <c r="Y3" s="148"/>
    </row>
    <row r="4" spans="1:25" ht="15" thickBot="1" x14ac:dyDescent="0.4">
      <c r="A4" s="161"/>
      <c r="B4" s="142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71" t="s">
        <v>86</v>
      </c>
      <c r="D5" s="172"/>
      <c r="E5" s="173"/>
      <c r="F5" s="46"/>
      <c r="G5" s="174">
        <v>40</v>
      </c>
      <c r="H5" s="173">
        <v>40</v>
      </c>
      <c r="I5" s="46"/>
      <c r="J5" s="174">
        <v>40</v>
      </c>
      <c r="K5" s="173">
        <v>40</v>
      </c>
      <c r="L5" s="175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176" t="s">
        <v>87</v>
      </c>
      <c r="D6" s="177"/>
      <c r="E6" s="178"/>
      <c r="F6" s="179"/>
      <c r="G6" s="180">
        <v>80</v>
      </c>
      <c r="H6" s="178">
        <v>80</v>
      </c>
      <c r="I6" s="56"/>
      <c r="J6" s="180">
        <v>80</v>
      </c>
      <c r="K6" s="178">
        <v>80</v>
      </c>
      <c r="L6" s="179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176" t="s">
        <v>88</v>
      </c>
      <c r="D7" s="177"/>
      <c r="E7" s="178"/>
      <c r="F7" s="179"/>
      <c r="G7" s="180">
        <v>40</v>
      </c>
      <c r="H7" s="178">
        <v>40</v>
      </c>
      <c r="I7" s="56"/>
      <c r="J7" s="180">
        <v>40</v>
      </c>
      <c r="K7" s="178">
        <v>40</v>
      </c>
      <c r="L7" s="179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176" t="s">
        <v>89</v>
      </c>
      <c r="D8" s="177"/>
      <c r="E8" s="178"/>
      <c r="F8" s="179"/>
      <c r="G8" s="180">
        <v>40</v>
      </c>
      <c r="H8" s="178">
        <v>40</v>
      </c>
      <c r="I8" s="56"/>
      <c r="J8" s="180">
        <v>40</v>
      </c>
      <c r="K8" s="178">
        <v>40</v>
      </c>
      <c r="L8" s="179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176" t="s">
        <v>90</v>
      </c>
      <c r="D9" s="177"/>
      <c r="E9" s="178"/>
      <c r="F9" s="179"/>
      <c r="G9" s="180">
        <v>40</v>
      </c>
      <c r="H9" s="178">
        <v>40</v>
      </c>
      <c r="I9" s="56"/>
      <c r="J9" s="180">
        <v>40</v>
      </c>
      <c r="K9" s="178">
        <v>40</v>
      </c>
      <c r="L9" s="179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176" t="s">
        <v>91</v>
      </c>
      <c r="D10" s="177"/>
      <c r="E10" s="178"/>
      <c r="F10" s="179"/>
      <c r="G10" s="180">
        <v>40</v>
      </c>
      <c r="H10" s="178">
        <v>40</v>
      </c>
      <c r="I10" s="56"/>
      <c r="J10" s="180">
        <v>40</v>
      </c>
      <c r="K10" s="178">
        <v>40</v>
      </c>
      <c r="L10" s="179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176" t="s">
        <v>92</v>
      </c>
      <c r="D11" s="177"/>
      <c r="E11" s="178"/>
      <c r="F11" s="179"/>
      <c r="G11" s="180">
        <v>40</v>
      </c>
      <c r="H11" s="178">
        <v>40</v>
      </c>
      <c r="I11" s="56"/>
      <c r="J11" s="180">
        <v>40</v>
      </c>
      <c r="K11" s="178">
        <v>40</v>
      </c>
      <c r="L11" s="179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176" t="s">
        <v>93</v>
      </c>
      <c r="D12" s="177"/>
      <c r="E12" s="178"/>
      <c r="F12" s="179"/>
      <c r="G12" s="180">
        <v>40</v>
      </c>
      <c r="H12" s="178">
        <v>40</v>
      </c>
      <c r="I12" s="56"/>
      <c r="J12" s="180">
        <v>40</v>
      </c>
      <c r="K12" s="178">
        <v>40</v>
      </c>
      <c r="L12" s="179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176" t="s">
        <v>94</v>
      </c>
      <c r="D13" s="177"/>
      <c r="E13" s="178"/>
      <c r="F13" s="179"/>
      <c r="G13" s="180">
        <v>40</v>
      </c>
      <c r="H13" s="178">
        <v>40</v>
      </c>
      <c r="I13" s="56"/>
      <c r="J13" s="180">
        <v>40</v>
      </c>
      <c r="K13" s="178">
        <v>40</v>
      </c>
      <c r="L13" s="179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176" t="s">
        <v>95</v>
      </c>
      <c r="D14" s="177"/>
      <c r="E14" s="178"/>
      <c r="F14" s="179"/>
      <c r="G14" s="180">
        <v>40</v>
      </c>
      <c r="H14" s="178">
        <v>40</v>
      </c>
      <c r="I14" s="56"/>
      <c r="J14" s="180">
        <v>40</v>
      </c>
      <c r="K14" s="178">
        <v>40</v>
      </c>
      <c r="L14" s="179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176" t="s">
        <v>96</v>
      </c>
      <c r="D15" s="177"/>
      <c r="E15" s="178"/>
      <c r="F15" s="179"/>
      <c r="G15" s="180">
        <v>40</v>
      </c>
      <c r="H15" s="178">
        <v>40</v>
      </c>
      <c r="I15" s="56"/>
      <c r="J15" s="180">
        <v>40</v>
      </c>
      <c r="K15" s="178">
        <v>40</v>
      </c>
      <c r="L15" s="179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176" t="s">
        <v>97</v>
      </c>
      <c r="D16" s="177"/>
      <c r="E16" s="178"/>
      <c r="F16" s="179"/>
      <c r="G16" s="180">
        <v>40</v>
      </c>
      <c r="H16" s="178">
        <v>40</v>
      </c>
      <c r="I16" s="56"/>
      <c r="J16" s="180">
        <v>40</v>
      </c>
      <c r="K16" s="178">
        <v>40</v>
      </c>
      <c r="L16" s="179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176" t="s">
        <v>98</v>
      </c>
      <c r="D17" s="177"/>
      <c r="E17" s="178"/>
      <c r="F17" s="179"/>
      <c r="G17" s="180">
        <v>40</v>
      </c>
      <c r="H17" s="178">
        <v>40</v>
      </c>
      <c r="I17" s="56"/>
      <c r="J17" s="180">
        <v>40</v>
      </c>
      <c r="K17" s="178">
        <v>40</v>
      </c>
      <c r="L17" s="179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25.827600000000004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25.827600000000004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49" t="s">
        <v>11</v>
      </c>
      <c r="C132" s="150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520</v>
      </c>
      <c r="H132" s="88">
        <f t="shared" si="104"/>
        <v>520</v>
      </c>
      <c r="I132" s="88">
        <f t="shared" si="104"/>
        <v>0</v>
      </c>
      <c r="J132" s="88">
        <f t="shared" si="104"/>
        <v>520</v>
      </c>
      <c r="K132" s="88">
        <f t="shared" si="104"/>
        <v>520</v>
      </c>
      <c r="L132" s="88">
        <f t="shared" si="104"/>
        <v>520</v>
      </c>
      <c r="M132" s="48">
        <f t="shared" ref="M132:M135" si="105">SUM(D132:L132)/40</f>
        <v>65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52</v>
      </c>
      <c r="Q132" s="40">
        <f t="shared" ref="Q132:Q136" si="107">SUM(J132:L132)/20</f>
        <v>78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2" t="s">
        <v>73</v>
      </c>
      <c r="C136" s="163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1" t="s">
        <v>11</v>
      </c>
      <c r="C137" s="152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520</v>
      </c>
      <c r="H137" s="89">
        <f t="shared" si="112"/>
        <v>520</v>
      </c>
      <c r="I137" s="89">
        <f t="shared" si="112"/>
        <v>0</v>
      </c>
      <c r="J137" s="89">
        <f t="shared" si="112"/>
        <v>520</v>
      </c>
      <c r="K137" s="89">
        <f t="shared" si="112"/>
        <v>520</v>
      </c>
      <c r="L137" s="89">
        <f t="shared" si="112"/>
        <v>520</v>
      </c>
      <c r="M137" s="60">
        <f t="shared" si="0"/>
        <v>65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108</v>
      </c>
      <c r="Q137" s="64">
        <f t="shared" si="113"/>
        <v>162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zoomScale="85" zoomScaleNormal="85" workbookViewId="0">
      <selection activeCell="C1" sqref="C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64" t="s">
        <v>50</v>
      </c>
      <c r="D3" s="165"/>
      <c r="E3" s="165"/>
      <c r="F3" s="165"/>
      <c r="G3" s="166"/>
      <c r="H3" s="168" t="s">
        <v>65</v>
      </c>
      <c r="I3" s="169"/>
      <c r="K3" s="170" t="s">
        <v>69</v>
      </c>
      <c r="L3" s="170"/>
      <c r="M3" s="170"/>
      <c r="N3" s="170"/>
      <c r="O3" s="170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/>
      <c r="E5" s="79"/>
      <c r="F5" s="79"/>
      <c r="G5" s="106">
        <f>SUM(D5:F5)</f>
        <v>0</v>
      </c>
      <c r="H5" s="99"/>
      <c r="I5" s="100">
        <f>G5-H5</f>
        <v>0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15" ht="32" customHeight="1" thickBot="1" x14ac:dyDescent="0.6">
      <c r="C6" s="107" t="s">
        <v>52</v>
      </c>
      <c r="D6" s="108">
        <f>D5*40</f>
        <v>0</v>
      </c>
      <c r="E6" s="109">
        <f>E5*40</f>
        <v>0</v>
      </c>
      <c r="F6" s="109">
        <f>F5*40</f>
        <v>0</v>
      </c>
      <c r="G6" s="110">
        <f>SUM(D6:F6)</f>
        <v>0</v>
      </c>
      <c r="H6" s="101">
        <f>H5*40</f>
        <v>0</v>
      </c>
      <c r="I6" s="102">
        <f>G6-H6</f>
        <v>0</v>
      </c>
      <c r="K6" s="1" t="s">
        <v>2</v>
      </c>
      <c r="L6" s="7">
        <v>70</v>
      </c>
      <c r="M6" s="5"/>
      <c r="N6" s="6">
        <f t="shared" si="0"/>
        <v>0</v>
      </c>
      <c r="O6" s="81"/>
    </row>
    <row r="7" spans="3:15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/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/>
      <c r="N8" s="6">
        <f t="shared" si="0"/>
        <v>0</v>
      </c>
      <c r="O8" s="81"/>
    </row>
    <row r="9" spans="3:15" ht="23.5" x14ac:dyDescent="0.55000000000000004">
      <c r="C9" s="82" t="s">
        <v>55</v>
      </c>
      <c r="D9" s="111">
        <f>D8-D5</f>
        <v>0</v>
      </c>
      <c r="E9" s="111">
        <f>E8-E5</f>
        <v>0</v>
      </c>
      <c r="K9" s="1" t="s">
        <v>5</v>
      </c>
      <c r="L9" s="7">
        <v>120</v>
      </c>
      <c r="M9" s="5"/>
      <c r="N9" s="6">
        <f t="shared" si="0"/>
        <v>0</v>
      </c>
      <c r="O9" s="81"/>
    </row>
    <row r="10" spans="3:15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</row>
    <row r="11" spans="3:15" ht="23.5" x14ac:dyDescent="0.55000000000000004">
      <c r="C11" s="167" t="s">
        <v>62</v>
      </c>
      <c r="D11" s="167"/>
      <c r="F11" s="167" t="s">
        <v>71</v>
      </c>
      <c r="G11" s="167"/>
      <c r="K11" s="1" t="s">
        <v>7</v>
      </c>
      <c r="L11" s="7">
        <v>60</v>
      </c>
      <c r="M11" s="5"/>
      <c r="N11" s="6">
        <f t="shared" si="0"/>
        <v>0</v>
      </c>
      <c r="O11" s="81"/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3434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137360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11:15" ht="23.5" x14ac:dyDescent="0.55000000000000004">
      <c r="K17" s="118" t="s">
        <v>1</v>
      </c>
      <c r="L17" s="120">
        <v>70</v>
      </c>
      <c r="M17" s="119">
        <v>11562</v>
      </c>
      <c r="N17" s="126">
        <v>13270</v>
      </c>
      <c r="O17" s="127">
        <f>N17-M5</f>
        <v>13270</v>
      </c>
    </row>
    <row r="18" spans="11:15" ht="23.5" x14ac:dyDescent="0.55000000000000004">
      <c r="K18" s="1" t="s">
        <v>2</v>
      </c>
      <c r="L18" s="121">
        <v>70</v>
      </c>
      <c r="M18" s="5">
        <v>10770</v>
      </c>
      <c r="N18" s="5">
        <v>14352</v>
      </c>
      <c r="O18" s="127">
        <f>N18-M6</f>
        <v>14352</v>
      </c>
    </row>
    <row r="19" spans="11:15" ht="23.5" x14ac:dyDescent="0.55000000000000004">
      <c r="K19" s="1" t="s">
        <v>3</v>
      </c>
      <c r="L19" s="121">
        <v>70</v>
      </c>
      <c r="M19" s="5">
        <v>14619</v>
      </c>
      <c r="N19" s="5">
        <v>1010</v>
      </c>
      <c r="O19" s="127">
        <f t="shared" ref="O19:O23" si="1">N19-M7</f>
        <v>1010</v>
      </c>
    </row>
    <row r="20" spans="11:15" ht="23.5" x14ac:dyDescent="0.55000000000000004">
      <c r="K20" s="1" t="s">
        <v>4</v>
      </c>
      <c r="L20" s="121">
        <v>120</v>
      </c>
      <c r="M20" s="5">
        <v>19143</v>
      </c>
      <c r="N20" s="5">
        <v>12294</v>
      </c>
      <c r="O20" s="127">
        <f t="shared" si="1"/>
        <v>12294</v>
      </c>
    </row>
    <row r="21" spans="11:15" ht="23.5" x14ac:dyDescent="0.55000000000000004">
      <c r="K21" s="1" t="s">
        <v>5</v>
      </c>
      <c r="L21" s="121">
        <v>120</v>
      </c>
      <c r="M21" s="5">
        <v>17100</v>
      </c>
      <c r="N21" s="5">
        <v>6522</v>
      </c>
      <c r="O21" s="127">
        <f t="shared" si="1"/>
        <v>6522</v>
      </c>
    </row>
    <row r="22" spans="11:15" ht="23.5" x14ac:dyDescent="0.55000000000000004">
      <c r="K22" s="1" t="s">
        <v>6</v>
      </c>
      <c r="L22" s="121">
        <v>120</v>
      </c>
      <c r="M22" s="5">
        <v>23404</v>
      </c>
      <c r="N22" s="5">
        <v>9539</v>
      </c>
      <c r="O22" s="127">
        <f t="shared" si="1"/>
        <v>9539</v>
      </c>
    </row>
    <row r="23" spans="11:15" ht="23.5" x14ac:dyDescent="0.55000000000000004">
      <c r="K23" s="1" t="s">
        <v>7</v>
      </c>
      <c r="L23" s="121">
        <v>60</v>
      </c>
      <c r="M23" s="5">
        <v>7379</v>
      </c>
      <c r="N23" s="5">
        <v>57991</v>
      </c>
      <c r="O23" s="127">
        <f t="shared" si="1"/>
        <v>57991</v>
      </c>
    </row>
    <row r="24" spans="11:15" ht="24" thickBot="1" x14ac:dyDescent="0.6">
      <c r="K24" s="123" t="s">
        <v>74</v>
      </c>
      <c r="L24" s="124"/>
      <c r="M24" s="125">
        <f>SUM(M17:M23)</f>
        <v>103977</v>
      </c>
      <c r="N24" s="125">
        <f>SUM(N17:N23)</f>
        <v>114978</v>
      </c>
      <c r="O24" s="122">
        <f>SUM(O17:O23)</f>
        <v>114978</v>
      </c>
    </row>
    <row r="25" spans="11:15" ht="24" thickBot="1" x14ac:dyDescent="0.6">
      <c r="K25" s="123" t="s">
        <v>75</v>
      </c>
      <c r="L25" s="124"/>
      <c r="M25" s="125">
        <f>M24/40</f>
        <v>2599.4250000000002</v>
      </c>
      <c r="N25" s="125">
        <f>N24/40</f>
        <v>2874.45</v>
      </c>
      <c r="O25" s="122">
        <f>O24/40</f>
        <v>2874.45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opLeftCell="B1" zoomScale="115" zoomScaleNormal="115" workbookViewId="0">
      <selection activeCell="H2" sqref="H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</row>
    <row r="3" spans="1:12" x14ac:dyDescent="0.35">
      <c r="A3" s="2"/>
      <c r="B3" s="2"/>
      <c r="C3" s="2"/>
      <c r="D3" s="2"/>
      <c r="I3" s="81"/>
      <c r="J3" s="81"/>
      <c r="K3" s="81"/>
    </row>
    <row r="4" spans="1:12" x14ac:dyDescent="0.35">
      <c r="A4" s="2"/>
      <c r="B4" s="2"/>
      <c r="C4" s="2"/>
      <c r="D4" s="2"/>
      <c r="I4" s="81"/>
      <c r="J4" s="81"/>
      <c r="K4" s="81"/>
    </row>
    <row r="5" spans="1:12" x14ac:dyDescent="0.35">
      <c r="A5" s="2"/>
      <c r="B5" s="2"/>
      <c r="C5" s="2"/>
      <c r="D5" s="2"/>
      <c r="I5" s="81"/>
      <c r="J5" s="81"/>
      <c r="K5" s="81"/>
    </row>
    <row r="6" spans="1:12" x14ac:dyDescent="0.35">
      <c r="A6" s="2"/>
      <c r="B6" s="2"/>
      <c r="C6" s="2"/>
      <c r="D6" s="2"/>
      <c r="I6" s="81"/>
      <c r="J6" s="81"/>
      <c r="K6" s="81"/>
    </row>
    <row r="7" spans="1:12" x14ac:dyDescent="0.35">
      <c r="A7" s="2"/>
      <c r="B7" s="2"/>
      <c r="C7" s="2"/>
      <c r="D7" s="2"/>
      <c r="I7" s="81"/>
      <c r="J7" s="81"/>
      <c r="K7" s="81"/>
    </row>
    <row r="8" spans="1:12" x14ac:dyDescent="0.35">
      <c r="A8" s="2"/>
      <c r="B8" s="2"/>
      <c r="C8" s="2"/>
      <c r="D8" s="2"/>
      <c r="F8" s="81"/>
      <c r="G8" s="81"/>
      <c r="H8" s="81"/>
      <c r="I8" s="81"/>
      <c r="J8" s="81"/>
      <c r="K8" s="81"/>
      <c r="L8" s="133"/>
    </row>
    <row r="9" spans="1:12" x14ac:dyDescent="0.35">
      <c r="A9" s="2"/>
      <c r="B9" s="2"/>
      <c r="C9" s="2"/>
      <c r="D9" s="2"/>
      <c r="I9" s="81"/>
      <c r="J9" s="81"/>
      <c r="K9" s="81"/>
      <c r="L9" s="133"/>
    </row>
    <row r="10" spans="1:12" x14ac:dyDescent="0.35">
      <c r="A10" s="2"/>
      <c r="B10" s="2"/>
      <c r="C10" s="2"/>
      <c r="D10" s="2"/>
      <c r="I10" s="81"/>
      <c r="J10" s="81"/>
      <c r="K10" s="81"/>
      <c r="L10" s="133"/>
    </row>
    <row r="11" spans="1:12" x14ac:dyDescent="0.35">
      <c r="A11" s="2"/>
      <c r="B11" s="2"/>
      <c r="C11" s="2"/>
      <c r="D11" s="2"/>
      <c r="I11" s="81"/>
      <c r="J11" s="81"/>
      <c r="K11" s="81"/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2026-07-01T11:31:18Z</dcterms:modified>
</cp:coreProperties>
</file>