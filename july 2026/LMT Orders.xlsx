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731CA978-2D86-407D-A456-3C4CEF3A2C04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<sst xmlns="http://schemas.openxmlformats.org/spreadsheetml/2006/main" count="179" uniqueCount="119">
  <si>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</si>
  <si>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</si>
  <si>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</si>
  <si>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</si>
  <si>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</si>
  <si>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</si>
  <si>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</si>
  <si>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</si>
  <si>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</si>
  <si>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</si>
  <si>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</si>
  <si>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</si>
  <si>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</si>
  <si>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</si>
  <si>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</si>
  <si>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</si>
  <si>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</si>
  <si>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</si>
  <si>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</si>
  <si>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</si>
  <si>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</si>
  <si>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</si>
  <si>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</si>
  <si>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</si>
  <si>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</si>
  <si>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</si>
  <si>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</si>
  <si>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</si>
  <si>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</si>
  <si>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</si>
  <si>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</si>
  <si>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</si>
  <si>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</si>
  <si>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</si>
  <si>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</si>
  <si>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</si>
  <si>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</si>
  <si>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</si>
  <si>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</si>
  <si>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</si>
  <si>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</si>
  <si>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</si>
  <si>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</si>
  <si>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</si>
  <si>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</si>
  <si>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</si>
  <si>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</si>
  <si>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</si>
  <si>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</si>
  <si>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</si>
  <si>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</si>
  <si>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</si>
  <si>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</si>
  <si>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</si>
  <si>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</si>
  <si>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</si>
  <si>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</si>
  <si>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</si>
  <si>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</si>
  <si>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</si>
  <si>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</si>
  <si>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</si>
  <si>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</si>
  <si>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</si>
  <si>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</si>
  <si>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</si>
  <si>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</si>
  <si>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</si>
  <si>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</si>
  <si>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</si>
  <si>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</si>
  <si>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</si>
  <si>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</si>
  <si>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</si>
  <si>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</si>
  <si>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</si>
  <si>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</si>
  <si>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</si>
  <si>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</si>
  <si>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</si>
  <si>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</si>
  <si>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</si>
  <si>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</si>
  <si>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</si>
  <si>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</si>
  <si>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</si>
  <si>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</si>
  <si>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</si>
  <si>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</si>
  <si>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</si>
  <si>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</si>
  <si>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</si>
  <si>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</si>
  <si>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</si>
  <si>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</si>
  <si>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</si>
  <si>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</si>
  <si>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</si>
  <si>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</si>
  <si>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</si>
  <si>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</si>
  <si>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</si>
  <si>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</si>
  <si>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</si>
  <si>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</si>
  <si>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</si>
  <si>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</si>
  <si>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</si>
  <si>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</si>
  <si>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</si>
  <si>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 xml:space="preserve">On the way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</si>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</sst>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0" zoomScaleNormal="100" workbookViewId="0">
      <selection activeCell="H25" sqref="H2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5">
        <f ca="1">TODAY()</f>
        <v>46211</v>
      </c>
      <c r="C1" s="165"/>
      <c r="D1" s="165"/>
      <c r="E1" s="165"/>
      <c r="F1" s="16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2" t="s">
        <v>37</v>
      </c>
      <c r="B2" s="166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4"/>
      <c r="N2" s="155"/>
      <c r="O2" s="156"/>
      <c r="P2" s="157" t="s">
        <v>14</v>
      </c>
      <c r="Q2" s="15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2"/>
      <c r="B3" s="167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9" t="s">
        <v>11</v>
      </c>
      <c r="N3" s="160"/>
      <c r="O3" s="161"/>
      <c r="P3" s="71"/>
      <c r="Q3" s="72"/>
      <c r="R3" s="169" t="s">
        <v>16</v>
      </c>
      <c r="S3" s="170"/>
      <c r="T3" s="170"/>
      <c r="U3" s="171"/>
      <c r="V3" s="172" t="s">
        <v>17</v>
      </c>
      <c r="W3" s="173"/>
      <c r="X3" s="173"/>
      <c r="Y3" s="174"/>
    </row>
    <row r="4" spans="1:25" ht="15" thickBot="1" x14ac:dyDescent="0.4">
      <c r="A4" s="162"/>
      <c r="B4" s="168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86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87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88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89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90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91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92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93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94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95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96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97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98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145" t="s">
        <v>111</v>
      </c>
      <c r="D18" s="146"/>
      <c r="E18" s="147"/>
      <c r="F18" s="148"/>
      <c r="G18" s="149">
        <v>120</v>
      </c>
      <c r="H18" s="147">
        <v>80</v>
      </c>
      <c r="I18" s="150"/>
      <c r="J18" s="149">
        <v>40</v>
      </c>
      <c r="K18" s="147">
        <v>40</v>
      </c>
      <c r="L18" s="148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145" t="s">
        <v>112</v>
      </c>
      <c r="D19" s="146"/>
      <c r="E19" s="147"/>
      <c r="F19" s="148"/>
      <c r="G19" s="149"/>
      <c r="H19" s="147"/>
      <c r="I19" s="150"/>
      <c r="J19" s="149">
        <v>120</v>
      </c>
      <c r="K19" s="147">
        <v>120</v>
      </c>
      <c r="L19" s="148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145" t="s">
        <v>103</v>
      </c>
      <c r="D20" s="146"/>
      <c r="E20" s="147"/>
      <c r="F20" s="148"/>
      <c r="G20" s="149"/>
      <c r="H20" s="147"/>
      <c r="I20" s="150"/>
      <c r="J20" s="149">
        <v>240</v>
      </c>
      <c r="K20" s="147">
        <v>240</v>
      </c>
      <c r="L20" s="148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145" t="s">
        <v>113</v>
      </c>
      <c r="D21" s="146"/>
      <c r="E21" s="147"/>
      <c r="F21" s="148"/>
      <c r="G21" s="149">
        <v>40</v>
      </c>
      <c r="H21" s="147">
        <v>40</v>
      </c>
      <c r="I21" s="150"/>
      <c r="J21" s="149">
        <v>40</v>
      </c>
      <c r="K21" s="147">
        <v>40</v>
      </c>
      <c r="L21" s="148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107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114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106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25.827600000000004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5" t="s">
        <v>11</v>
      </c>
      <c r="C132" s="176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878</v>
      </c>
      <c r="H132" s="88">
        <f t="shared" si="104"/>
        <v>877</v>
      </c>
      <c r="I132" s="88">
        <f t="shared" si="104"/>
        <v>0</v>
      </c>
      <c r="J132" s="88">
        <f t="shared" si="104"/>
        <v>1319</v>
      </c>
      <c r="K132" s="88">
        <f t="shared" si="104"/>
        <v>1038</v>
      </c>
      <c r="L132" s="88">
        <f t="shared" si="104"/>
        <v>1398</v>
      </c>
      <c r="M132" s="48">
        <f t="shared" ref="M132:M135" si="105">SUM(D132:L132)/40</f>
        <v>137.75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87.75</v>
      </c>
      <c r="Q132" s="40">
        <f t="shared" ref="Q132:Q136" si="107">SUM(J132:L132)/20</f>
        <v>187.75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3" t="s">
        <v>73</v>
      </c>
      <c r="C136" s="164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2" t="s">
        <v>11</v>
      </c>
      <c r="C137" s="153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878</v>
      </c>
      <c r="H137" s="89">
        <f t="shared" si="112"/>
        <v>877</v>
      </c>
      <c r="I137" s="89">
        <f t="shared" si="112"/>
        <v>0</v>
      </c>
      <c r="J137" s="89">
        <f t="shared" si="112"/>
        <v>1319</v>
      </c>
      <c r="K137" s="89">
        <f t="shared" si="112"/>
        <v>1038</v>
      </c>
      <c r="L137" s="89">
        <f t="shared" si="112"/>
        <v>1398</v>
      </c>
      <c r="M137" s="60">
        <f t="shared" si="0"/>
        <v>137.75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179.5</v>
      </c>
      <c r="Q137" s="64">
        <f t="shared" si="113"/>
        <v>381.5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Q29"/>
  <sheetViews>
    <sheetView tabSelected="1" topLeftCell="A19" zoomScale="85" zoomScaleNormal="85" workbookViewId="0">
      <selection activeCell="I29" sqref="I2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8" t="s">
        <v>50</v>
      </c>
      <c r="D3" s="179"/>
      <c r="E3" s="179"/>
      <c r="F3" s="179"/>
      <c r="G3" s="180"/>
      <c r="H3" s="182" t="s">
        <v>65</v>
      </c>
      <c r="I3" s="183"/>
      <c r="K3" s="177" t="s">
        <v>69</v>
      </c>
      <c r="L3" s="177"/>
      <c r="M3" s="177"/>
      <c r="N3" s="177"/>
      <c r="O3" s="177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276</v>
      </c>
      <c r="E5" s="79">
        <v>183</v>
      </c>
      <c r="F5" s="79">
        <v>300</v>
      </c>
      <c r="G5" s="106">
        <f>SUM(D5:F5)</f>
        <v>759</v>
      </c>
      <c r="H5" s="99"/>
      <c r="I5" s="100">
        <f>G5-H5</f>
        <v>759</v>
      </c>
      <c r="K5" s="1" t="s">
        <v>1</v>
      </c>
      <c r="L5" s="7">
        <v>70</v>
      </c>
      <c r="M5" s="5">
        <v>6173</v>
      </c>
      <c r="N5" s="6">
        <f t="shared" ref="N5:N11" si="0">M5/40</f>
        <v>154.32499999999999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11040</v>
      </c>
      <c r="E6" s="109">
        <f>E5*40</f>
        <v>7320</v>
      </c>
      <c r="F6" s="109">
        <f>F5*40</f>
        <v>12000</v>
      </c>
      <c r="G6" s="110">
        <f>SUM(D6:F6)</f>
        <v>30360</v>
      </c>
      <c r="H6" s="101">
        <f>H5*40</f>
        <v>0</v>
      </c>
      <c r="I6" s="102">
        <f>G6-H6</f>
        <v>30360</v>
      </c>
      <c r="K6" s="1" t="s">
        <v>2</v>
      </c>
      <c r="L6" s="7">
        <v>70</v>
      </c>
      <c r="M6" s="5">
        <v>7443</v>
      </c>
      <c r="N6" s="6">
        <f t="shared" si="0"/>
        <v>186.07499999999999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34701</v>
      </c>
      <c r="N8" s="6">
        <f t="shared" si="0"/>
        <v>867.52499999999998</v>
      </c>
      <c r="O8" s="81">
        <v>64</v>
      </c>
    </row>
    <row r="9" spans="3:15" ht="23.5" x14ac:dyDescent="0.55000000000000004">
      <c r="C9" s="82" t="s">
        <v>55</v>
      </c>
      <c r="D9" s="111">
        <f>D8-D5</f>
        <v>-276</v>
      </c>
      <c r="E9" s="111">
        <f>E8-E5</f>
        <v>-183</v>
      </c>
      <c r="K9" s="1" t="s">
        <v>5</v>
      </c>
      <c r="L9" s="7">
        <v>120</v>
      </c>
      <c r="M9" s="5">
        <v>8422</v>
      </c>
      <c r="N9" s="6">
        <f t="shared" si="0"/>
        <v>210.55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42523</v>
      </c>
      <c r="N10" s="6">
        <f t="shared" si="0"/>
        <v>1063.075</v>
      </c>
      <c r="O10" s="81">
        <v>15</v>
      </c>
    </row>
    <row r="11" spans="3:15" ht="23.5" x14ac:dyDescent="0.55000000000000004">
      <c r="C11" s="181" t="s">
        <v>62</v>
      </c>
      <c r="D11" s="181"/>
      <c r="F11" s="181" t="s">
        <v>71</v>
      </c>
      <c r="G11" s="181"/>
      <c r="K11" s="1" t="s">
        <v>7</v>
      </c>
      <c r="L11" s="7">
        <v>60</v>
      </c>
      <c r="M11" s="5">
        <v>60810</v>
      </c>
      <c r="N11" s="6">
        <f t="shared" si="0"/>
        <v>1520.25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4193</v>
      </c>
      <c r="K12" s="1" t="s">
        <v>11</v>
      </c>
      <c r="L12" s="2"/>
      <c r="M12" s="8">
        <f>SUM(M5:M11)</f>
        <v>160072</v>
      </c>
      <c r="N12" s="9">
        <f>SUM(N5:N11)</f>
        <v>4001.8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167720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2081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1375</v>
      </c>
      <c r="P18">
        <v>109</v>
      </c>
      <c r="Q18">
        <f t="shared" ref="Q18:Q23" si="1">N18/40</f>
        <v>220.45</v>
      </c>
    </row>
    <row r="19" spans="4:17" ht="23.5" x14ac:dyDescent="0.55000000000000004">
      <c r="F19" t="s">
        <v>115</v>
      </c>
      <c r="K19" s="1" t="s">
        <v>3</v>
      </c>
      <c r="L19" s="121">
        <v>70</v>
      </c>
      <c r="M19" s="5"/>
      <c r="N19" s="5">
        <v>0</v>
      </c>
      <c r="O19" s="127">
        <f t="shared" ref="O19:O23" si="2">N19-M7</f>
        <v>0</v>
      </c>
      <c r="P19">
        <v>33</v>
      </c>
      <c r="Q19">
        <f t="shared" si="1"/>
        <v>0</v>
      </c>
    </row>
    <row r="20" spans="4:17" ht="24" thickBot="1" x14ac:dyDescent="0.6">
      <c r="D20" s="177" t="s">
        <v>69</v>
      </c>
      <c r="E20" s="177"/>
      <c r="F20" s="177"/>
      <c r="G20" s="177"/>
      <c r="H20" s="177"/>
      <c r="K20" s="1" t="s">
        <v>4</v>
      </c>
      <c r="L20" s="121">
        <v>120</v>
      </c>
      <c r="M20" s="5"/>
      <c r="N20" s="5">
        <v>38828</v>
      </c>
      <c r="O20" s="127">
        <f t="shared" si="2"/>
        <v>4127</v>
      </c>
      <c r="P20">
        <v>64</v>
      </c>
      <c r="Q20">
        <f t="shared" si="1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2"/>
        <v>3359</v>
      </c>
      <c r="P21">
        <v>133</v>
      </c>
      <c r="Q21">
        <f t="shared" si="1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3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2"/>
        <v>2820</v>
      </c>
      <c r="P22">
        <v>15</v>
      </c>
      <c r="Q22">
        <f t="shared" si="1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3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2"/>
        <v>3968</v>
      </c>
      <c r="P23">
        <v>20</v>
      </c>
      <c r="Q23">
        <f t="shared" si="1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3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17730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3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443.25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3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3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3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9" zoomScale="115" zoomScaleNormal="115" workbookViewId="0">
      <selection activeCell="I14" sqref="I14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2" x14ac:dyDescent="0.35">
      <c r="A3" s="2"/>
      <c r="B3" s="2"/>
      <c r="C3" s="2"/>
      <c r="D3" s="2"/>
      <c r="I3" s="139" t="s">
        <v>101</v>
      </c>
      <c r="J3" s="139">
        <v>10</v>
      </c>
      <c r="K3" s="139" t="s">
        <v>100</v>
      </c>
    </row>
    <row r="4" spans="1:12" x14ac:dyDescent="0.35">
      <c r="A4" s="2"/>
      <c r="B4" s="2"/>
      <c r="C4" s="2"/>
      <c r="D4" s="2"/>
      <c r="I4" s="139" t="s">
        <v>102</v>
      </c>
      <c r="J4" s="139">
        <v>9</v>
      </c>
      <c r="K4" s="139" t="s">
        <v>100</v>
      </c>
    </row>
    <row r="5" spans="1:12" x14ac:dyDescent="0.35">
      <c r="A5" s="2"/>
      <c r="B5" s="2"/>
      <c r="C5" s="2"/>
      <c r="D5" s="2"/>
      <c r="I5" s="139" t="s">
        <v>103</v>
      </c>
      <c r="J5" s="139">
        <v>18</v>
      </c>
      <c r="K5" s="139" t="s">
        <v>100</v>
      </c>
    </row>
    <row r="6" spans="1:12" x14ac:dyDescent="0.35">
      <c r="A6" s="2"/>
      <c r="B6" s="2"/>
      <c r="C6" s="2"/>
      <c r="D6" s="2"/>
      <c r="I6" s="139" t="s">
        <v>104</v>
      </c>
      <c r="J6" s="139">
        <v>5</v>
      </c>
      <c r="K6" s="139" t="s">
        <v>100</v>
      </c>
    </row>
    <row r="7" spans="1:12" x14ac:dyDescent="0.35">
      <c r="A7" s="2"/>
      <c r="B7" s="2"/>
      <c r="C7" s="2"/>
      <c r="D7" s="2"/>
      <c r="I7" s="81" t="s">
        <v>106</v>
      </c>
      <c r="J7" s="81">
        <v>14</v>
      </c>
      <c r="K7" s="81" t="s">
        <v>100</v>
      </c>
    </row>
    <row r="8" spans="1:12" x14ac:dyDescent="0.35">
      <c r="A8" s="2"/>
      <c r="B8" s="2"/>
      <c r="C8" s="2"/>
      <c r="D8" s="2"/>
      <c r="F8" s="81"/>
      <c r="G8" s="81"/>
      <c r="H8" s="81" t="s">
        <v>105</v>
      </c>
      <c r="I8" s="81" t="s">
        <v>107</v>
      </c>
      <c r="J8" s="81">
        <v>13</v>
      </c>
      <c r="K8" s="81" t="s">
        <v>100</v>
      </c>
      <c r="L8" s="133"/>
    </row>
    <row r="9" spans="1:12" x14ac:dyDescent="0.35">
      <c r="A9" s="2"/>
      <c r="B9" s="2"/>
      <c r="C9" s="2"/>
      <c r="D9" s="2"/>
      <c r="H9" t="s">
        <v>105</v>
      </c>
      <c r="I9" s="81" t="s">
        <v>108</v>
      </c>
      <c r="J9" s="81">
        <v>4</v>
      </c>
      <c r="K9" s="81" t="s">
        <v>100</v>
      </c>
      <c r="L9" s="133"/>
    </row>
    <row r="10" spans="1:12" x14ac:dyDescent="0.35">
      <c r="A10" s="2"/>
      <c r="B10" s="2"/>
      <c r="C10" s="2"/>
      <c r="D10" s="2"/>
      <c r="I10" s="151" t="s">
        <v>109</v>
      </c>
      <c r="J10" s="151">
        <v>12</v>
      </c>
      <c r="K10" s="151" t="s">
        <v>110</v>
      </c>
      <c r="L10" s="133"/>
    </row>
    <row r="11" spans="1:12" x14ac:dyDescent="0.35">
      <c r="A11" s="2"/>
      <c r="B11" s="2"/>
      <c r="C11" s="2"/>
      <c r="D11" s="2"/>
      <c r="I11" s="151" t="s">
        <v>109</v>
      </c>
      <c r="J11" s="151">
        <v>19</v>
      </c>
      <c r="K11" s="151" t="s">
        <v>110</v>
      </c>
      <c r="L11" s="133"/>
    </row>
    <row r="12" spans="1:12" x14ac:dyDescent="0.35">
      <c r="A12" s="2"/>
      <c r="B12" s="2"/>
      <c r="C12" s="2"/>
      <c r="D12" s="2"/>
      <c r="I12" s="81" t="s">
        <v>116</v>
      </c>
      <c r="J12" s="81">
        <v>13</v>
      </c>
      <c r="K12" s="81" t="s">
        <v>117</v>
      </c>
      <c r="L12" s="133"/>
    </row>
    <row r="13" spans="1:12" x14ac:dyDescent="0.35">
      <c r="A13" s="2"/>
      <c r="B13" s="2"/>
      <c r="C13" s="2"/>
      <c r="D13" s="2"/>
      <c r="I13" s="81" t="s">
        <v>118</v>
      </c>
      <c r="J13" s="81">
        <v>5</v>
      </c>
      <c r="K13" s="81" t="s">
        <v>117</v>
      </c>
      <c r="L13" s="133"/>
    </row>
    <row r="14" spans="1:12" x14ac:dyDescent="0.35">
      <c r="A14" s="2"/>
      <c r="B14" s="2"/>
      <c r="C14" s="2"/>
      <c r="D14" s="2"/>
      <c r="I14" s="81"/>
      <c r="J14" s="81"/>
      <c r="K14" s="81"/>
      <c r="L14" s="133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  <c r="L16" s="134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  <row r="21" spans="1:11" x14ac:dyDescent="0.35">
      <c r="I21" s="81"/>
      <c r="J21" s="81"/>
      <c r="K21" s="81"/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2026-07-08T11:41:26Z</dcterms:modified>
</cp:coreProperties>
</file>