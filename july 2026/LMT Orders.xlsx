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july 2026\"/>
    </mc:Choice>
  </mc:AlternateContent>
  <xr:revisionPtr revIDLastSave="0" documentId="13_ncr:1_{631C5D86-8B46-482F-8CEB-95D29A98C7C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LMT" sheetId="2" r:id="rId2"/>
    <sheet name="S-P" sheetId="3" r:id="rId3"/>
    <sheet name="Sheet2" sheetId="4" r:id="rId4"/>
  </sheets>
  <calcPr calcId="191029"/>
</workbook>
</file>

<file path=xl/calcChain.xml><?xml version="1.0" encoding="utf-8"?>
<calcChain xmlns="http://schemas.openxmlformats.org/spreadsheetml/2006/main">
  <c r="B1" i="2" l="1"/>
  <c r="M84" i="2"/>
  <c r="N84" i="2"/>
  <c r="O84" i="2"/>
  <c r="P84" i="2"/>
  <c r="Q84" i="2"/>
  <c r="R84" i="2"/>
  <c r="U84" i="2" s="1"/>
  <c r="S84" i="2"/>
  <c r="T84" i="2"/>
  <c r="V84" i="2"/>
  <c r="Y84" i="2" s="1"/>
  <c r="W84" i="2"/>
  <c r="X84" i="2"/>
  <c r="M85" i="2"/>
  <c r="N85" i="2"/>
  <c r="O85" i="2"/>
  <c r="P85" i="2"/>
  <c r="Q85" i="2"/>
  <c r="R85" i="2"/>
  <c r="S85" i="2"/>
  <c r="T85" i="2"/>
  <c r="U85" i="2"/>
  <c r="V85" i="2"/>
  <c r="Y85" i="2" s="1"/>
  <c r="W85" i="2"/>
  <c r="X85" i="2"/>
  <c r="M86" i="2"/>
  <c r="N86" i="2"/>
  <c r="O86" i="2"/>
  <c r="P86" i="2"/>
  <c r="Q86" i="2"/>
  <c r="R86" i="2"/>
  <c r="U86" i="2" s="1"/>
  <c r="S86" i="2"/>
  <c r="T86" i="2"/>
  <c r="V86" i="2"/>
  <c r="Y86" i="2" s="1"/>
  <c r="W86" i="2"/>
  <c r="X86" i="2"/>
  <c r="M87" i="2"/>
  <c r="N87" i="2"/>
  <c r="O87" i="2"/>
  <c r="P87" i="2"/>
  <c r="Q87" i="2"/>
  <c r="R87" i="2"/>
  <c r="U87" i="2" s="1"/>
  <c r="S87" i="2"/>
  <c r="T87" i="2"/>
  <c r="V87" i="2"/>
  <c r="Y87" i="2" s="1"/>
  <c r="W87" i="2"/>
  <c r="X87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M89" i="2"/>
  <c r="N89" i="2"/>
  <c r="O89" i="2"/>
  <c r="P89" i="2"/>
  <c r="Q89" i="2"/>
  <c r="R89" i="2"/>
  <c r="U89" i="2" s="1"/>
  <c r="S89" i="2"/>
  <c r="T89" i="2"/>
  <c r="V89" i="2"/>
  <c r="Y89" i="2" s="1"/>
  <c r="W89" i="2"/>
  <c r="X89" i="2"/>
  <c r="M90" i="2"/>
  <c r="N90" i="2"/>
  <c r="O90" i="2"/>
  <c r="P90" i="2"/>
  <c r="Q90" i="2"/>
  <c r="R90" i="2"/>
  <c r="U90" i="2" s="1"/>
  <c r="S90" i="2"/>
  <c r="T90" i="2"/>
  <c r="V90" i="2"/>
  <c r="Y90" i="2" s="1"/>
  <c r="W90" i="2"/>
  <c r="X90" i="2"/>
  <c r="M91" i="2"/>
  <c r="N91" i="2"/>
  <c r="O91" i="2"/>
  <c r="P91" i="2"/>
  <c r="Q91" i="2"/>
  <c r="R91" i="2"/>
  <c r="U91" i="2" s="1"/>
  <c r="S91" i="2"/>
  <c r="T91" i="2"/>
  <c r="V91" i="2"/>
  <c r="Y91" i="2" s="1"/>
  <c r="W91" i="2"/>
  <c r="X91" i="2"/>
  <c r="M92" i="2"/>
  <c r="N92" i="2"/>
  <c r="O92" i="2"/>
  <c r="P92" i="2"/>
  <c r="Q92" i="2"/>
  <c r="R92" i="2"/>
  <c r="U92" i="2" s="1"/>
  <c r="S92" i="2"/>
  <c r="T92" i="2"/>
  <c r="V92" i="2"/>
  <c r="Y92" i="2" s="1"/>
  <c r="W92" i="2"/>
  <c r="X92" i="2"/>
  <c r="M93" i="2"/>
  <c r="N93" i="2"/>
  <c r="O93" i="2"/>
  <c r="P93" i="2"/>
  <c r="Q93" i="2"/>
  <c r="R93" i="2"/>
  <c r="U93" i="2" s="1"/>
  <c r="S93" i="2"/>
  <c r="T93" i="2"/>
  <c r="V93" i="2"/>
  <c r="Y93" i="2" s="1"/>
  <c r="W93" i="2"/>
  <c r="X93" i="2"/>
  <c r="M94" i="2"/>
  <c r="N94" i="2"/>
  <c r="O94" i="2"/>
  <c r="P94" i="2"/>
  <c r="Q94" i="2"/>
  <c r="R94" i="2"/>
  <c r="U94" i="2" s="1"/>
  <c r="S94" i="2"/>
  <c r="T94" i="2"/>
  <c r="V94" i="2"/>
  <c r="Y94" i="2" s="1"/>
  <c r="W94" i="2"/>
  <c r="X94" i="2"/>
  <c r="M95" i="2"/>
  <c r="N95" i="2"/>
  <c r="O95" i="2"/>
  <c r="P95" i="2"/>
  <c r="Q95" i="2"/>
  <c r="R95" i="2"/>
  <c r="U95" i="2" s="1"/>
  <c r="S95" i="2"/>
  <c r="T95" i="2"/>
  <c r="V95" i="2"/>
  <c r="Y95" i="2" s="1"/>
  <c r="W95" i="2"/>
  <c r="X95" i="2"/>
  <c r="M96" i="2"/>
  <c r="N96" i="2"/>
  <c r="O96" i="2"/>
  <c r="P96" i="2"/>
  <c r="Q96" i="2"/>
  <c r="R96" i="2"/>
  <c r="U96" i="2" s="1"/>
  <c r="S96" i="2"/>
  <c r="T96" i="2"/>
  <c r="V96" i="2"/>
  <c r="Y96" i="2" s="1"/>
  <c r="W96" i="2"/>
  <c r="X96" i="2"/>
  <c r="M97" i="2"/>
  <c r="N97" i="2"/>
  <c r="O97" i="2"/>
  <c r="P97" i="2"/>
  <c r="Q97" i="2"/>
  <c r="R97" i="2"/>
  <c r="U97" i="2" s="1"/>
  <c r="S97" i="2"/>
  <c r="T97" i="2"/>
  <c r="V97" i="2"/>
  <c r="Y97" i="2" s="1"/>
  <c r="W97" i="2"/>
  <c r="X97" i="2"/>
  <c r="M98" i="2"/>
  <c r="N98" i="2"/>
  <c r="O98" i="2"/>
  <c r="P98" i="2"/>
  <c r="Q98" i="2"/>
  <c r="R98" i="2"/>
  <c r="U98" i="2" s="1"/>
  <c r="S98" i="2"/>
  <c r="T98" i="2"/>
  <c r="V98" i="2"/>
  <c r="Y98" i="2" s="1"/>
  <c r="W98" i="2"/>
  <c r="X98" i="2"/>
  <c r="M99" i="2"/>
  <c r="N99" i="2"/>
  <c r="O99" i="2"/>
  <c r="P99" i="2"/>
  <c r="Q99" i="2"/>
  <c r="R99" i="2"/>
  <c r="U99" i="2" s="1"/>
  <c r="S99" i="2"/>
  <c r="T99" i="2"/>
  <c r="V99" i="2"/>
  <c r="Y99" i="2" s="1"/>
  <c r="W99" i="2"/>
  <c r="X99" i="2"/>
  <c r="M100" i="2"/>
  <c r="N100" i="2"/>
  <c r="O100" i="2"/>
  <c r="P100" i="2"/>
  <c r="Q100" i="2"/>
  <c r="R100" i="2"/>
  <c r="U100" i="2" s="1"/>
  <c r="S100" i="2"/>
  <c r="T100" i="2"/>
  <c r="V100" i="2"/>
  <c r="Y100" i="2" s="1"/>
  <c r="W100" i="2"/>
  <c r="X100" i="2"/>
  <c r="M101" i="2"/>
  <c r="N101" i="2"/>
  <c r="O101" i="2"/>
  <c r="P101" i="2"/>
  <c r="Q101" i="2"/>
  <c r="R101" i="2"/>
  <c r="U101" i="2" s="1"/>
  <c r="S101" i="2"/>
  <c r="T101" i="2"/>
  <c r="V101" i="2"/>
  <c r="Y101" i="2" s="1"/>
  <c r="W101" i="2"/>
  <c r="X101" i="2"/>
  <c r="M102" i="2"/>
  <c r="N102" i="2"/>
  <c r="O102" i="2"/>
  <c r="P102" i="2"/>
  <c r="Q102" i="2"/>
  <c r="R102" i="2"/>
  <c r="U102" i="2" s="1"/>
  <c r="S102" i="2"/>
  <c r="T102" i="2"/>
  <c r="V102" i="2"/>
  <c r="Y102" i="2" s="1"/>
  <c r="W102" i="2"/>
  <c r="X102" i="2"/>
  <c r="M103" i="2"/>
  <c r="N103" i="2"/>
  <c r="O103" i="2"/>
  <c r="P103" i="2"/>
  <c r="Q103" i="2"/>
  <c r="R103" i="2"/>
  <c r="U103" i="2" s="1"/>
  <c r="S103" i="2"/>
  <c r="T103" i="2"/>
  <c r="V103" i="2"/>
  <c r="Y103" i="2" s="1"/>
  <c r="W103" i="2"/>
  <c r="X103" i="2"/>
  <c r="M104" i="2"/>
  <c r="N104" i="2"/>
  <c r="O104" i="2"/>
  <c r="P104" i="2"/>
  <c r="Q104" i="2"/>
  <c r="R104" i="2"/>
  <c r="U104" i="2" s="1"/>
  <c r="S104" i="2"/>
  <c r="T104" i="2"/>
  <c r="V104" i="2"/>
  <c r="Y104" i="2" s="1"/>
  <c r="W104" i="2"/>
  <c r="X104" i="2"/>
  <c r="M105" i="2"/>
  <c r="N105" i="2"/>
  <c r="O105" i="2"/>
  <c r="P105" i="2"/>
  <c r="Q105" i="2"/>
  <c r="R105" i="2"/>
  <c r="U105" i="2" s="1"/>
  <c r="S105" i="2"/>
  <c r="T105" i="2"/>
  <c r="V105" i="2"/>
  <c r="Y105" i="2" s="1"/>
  <c r="W105" i="2"/>
  <c r="X105" i="2"/>
  <c r="M106" i="2"/>
  <c r="N106" i="2"/>
  <c r="O106" i="2"/>
  <c r="P106" i="2"/>
  <c r="Q106" i="2"/>
  <c r="R106" i="2"/>
  <c r="U106" i="2" s="1"/>
  <c r="S106" i="2"/>
  <c r="T106" i="2"/>
  <c r="V106" i="2"/>
  <c r="Y106" i="2" s="1"/>
  <c r="W106" i="2"/>
  <c r="X106" i="2"/>
  <c r="M107" i="2"/>
  <c r="N107" i="2"/>
  <c r="O107" i="2"/>
  <c r="P107" i="2"/>
  <c r="Q107" i="2"/>
  <c r="R107" i="2"/>
  <c r="U107" i="2" s="1"/>
  <c r="S107" i="2"/>
  <c r="T107" i="2"/>
  <c r="V107" i="2"/>
  <c r="Y107" i="2" s="1"/>
  <c r="W107" i="2"/>
  <c r="X107" i="2"/>
  <c r="M108" i="2"/>
  <c r="N108" i="2"/>
  <c r="O108" i="2"/>
  <c r="P108" i="2"/>
  <c r="Q108" i="2"/>
  <c r="R108" i="2"/>
  <c r="U108" i="2" s="1"/>
  <c r="S108" i="2"/>
  <c r="T108" i="2"/>
  <c r="V108" i="2"/>
  <c r="Y108" i="2" s="1"/>
  <c r="W108" i="2"/>
  <c r="X108" i="2"/>
  <c r="M109" i="2"/>
  <c r="N109" i="2"/>
  <c r="O109" i="2"/>
  <c r="P109" i="2"/>
  <c r="Q109" i="2"/>
  <c r="R109" i="2"/>
  <c r="U109" i="2" s="1"/>
  <c r="S109" i="2"/>
  <c r="T109" i="2"/>
  <c r="V109" i="2"/>
  <c r="Y109" i="2" s="1"/>
  <c r="W109" i="2"/>
  <c r="X109" i="2"/>
  <c r="M110" i="2"/>
  <c r="N110" i="2"/>
  <c r="O110" i="2"/>
  <c r="P110" i="2"/>
  <c r="Q110" i="2"/>
  <c r="R110" i="2"/>
  <c r="U110" i="2" s="1"/>
  <c r="S110" i="2"/>
  <c r="T110" i="2"/>
  <c r="V110" i="2"/>
  <c r="Y110" i="2" s="1"/>
  <c r="W110" i="2"/>
  <c r="X110" i="2"/>
  <c r="M111" i="2"/>
  <c r="N111" i="2"/>
  <c r="O111" i="2"/>
  <c r="P111" i="2"/>
  <c r="Q111" i="2"/>
  <c r="R111" i="2"/>
  <c r="U111" i="2" s="1"/>
  <c r="S111" i="2"/>
  <c r="T111" i="2"/>
  <c r="V111" i="2"/>
  <c r="Y111" i="2" s="1"/>
  <c r="W111" i="2"/>
  <c r="X111" i="2"/>
  <c r="M112" i="2"/>
  <c r="N112" i="2"/>
  <c r="O112" i="2"/>
  <c r="P112" i="2"/>
  <c r="Q112" i="2"/>
  <c r="R112" i="2"/>
  <c r="U112" i="2" s="1"/>
  <c r="S112" i="2"/>
  <c r="T112" i="2"/>
  <c r="V112" i="2"/>
  <c r="Y112" i="2" s="1"/>
  <c r="W112" i="2"/>
  <c r="X112" i="2"/>
  <c r="M113" i="2"/>
  <c r="N113" i="2"/>
  <c r="O113" i="2"/>
  <c r="P113" i="2"/>
  <c r="Q113" i="2"/>
  <c r="R113" i="2"/>
  <c r="U113" i="2" s="1"/>
  <c r="S113" i="2"/>
  <c r="T113" i="2"/>
  <c r="V113" i="2"/>
  <c r="Y113" i="2" s="1"/>
  <c r="W113" i="2"/>
  <c r="X113" i="2"/>
  <c r="M114" i="2"/>
  <c r="N114" i="2"/>
  <c r="O114" i="2"/>
  <c r="P114" i="2"/>
  <c r="Q114" i="2"/>
  <c r="R114" i="2"/>
  <c r="U114" i="2" s="1"/>
  <c r="S114" i="2"/>
  <c r="T114" i="2"/>
  <c r="V114" i="2"/>
  <c r="Y114" i="2" s="1"/>
  <c r="W114" i="2"/>
  <c r="X114" i="2"/>
  <c r="M115" i="2"/>
  <c r="N115" i="2"/>
  <c r="O115" i="2"/>
  <c r="P115" i="2"/>
  <c r="Q115" i="2"/>
  <c r="R115" i="2"/>
  <c r="U115" i="2" s="1"/>
  <c r="S115" i="2"/>
  <c r="T115" i="2"/>
  <c r="V115" i="2"/>
  <c r="Y115" i="2" s="1"/>
  <c r="W115" i="2"/>
  <c r="X115" i="2"/>
  <c r="M116" i="2"/>
  <c r="N116" i="2"/>
  <c r="O116" i="2"/>
  <c r="P116" i="2"/>
  <c r="Q116" i="2"/>
  <c r="R116" i="2"/>
  <c r="U116" i="2" s="1"/>
  <c r="S116" i="2"/>
  <c r="T116" i="2"/>
  <c r="V116" i="2"/>
  <c r="Y116" i="2" s="1"/>
  <c r="W116" i="2"/>
  <c r="X116" i="2"/>
  <c r="M117" i="2"/>
  <c r="N117" i="2"/>
  <c r="O117" i="2"/>
  <c r="P117" i="2"/>
  <c r="Q117" i="2"/>
  <c r="R117" i="2"/>
  <c r="U117" i="2" s="1"/>
  <c r="S117" i="2"/>
  <c r="T117" i="2"/>
  <c r="V117" i="2"/>
  <c r="Y117" i="2" s="1"/>
  <c r="W117" i="2"/>
  <c r="X117" i="2"/>
  <c r="M118" i="2"/>
  <c r="N118" i="2"/>
  <c r="O118" i="2"/>
  <c r="P118" i="2"/>
  <c r="Q118" i="2"/>
  <c r="R118" i="2"/>
  <c r="U118" i="2" s="1"/>
  <c r="S118" i="2"/>
  <c r="T118" i="2"/>
  <c r="V118" i="2"/>
  <c r="Y118" i="2" s="1"/>
  <c r="W118" i="2"/>
  <c r="X118" i="2"/>
  <c r="M119" i="2"/>
  <c r="N119" i="2"/>
  <c r="O119" i="2"/>
  <c r="P119" i="2"/>
  <c r="Q119" i="2"/>
  <c r="R119" i="2"/>
  <c r="U119" i="2" s="1"/>
  <c r="S119" i="2"/>
  <c r="T119" i="2"/>
  <c r="V119" i="2"/>
  <c r="Y119" i="2" s="1"/>
  <c r="W119" i="2"/>
  <c r="X119" i="2"/>
  <c r="M120" i="2"/>
  <c r="N120" i="2"/>
  <c r="O120" i="2"/>
  <c r="P120" i="2"/>
  <c r="Q120" i="2"/>
  <c r="R120" i="2"/>
  <c r="U120" i="2" s="1"/>
  <c r="S120" i="2"/>
  <c r="T120" i="2"/>
  <c r="V120" i="2"/>
  <c r="Y120" i="2" s="1"/>
  <c r="W120" i="2"/>
  <c r="X120" i="2"/>
  <c r="M121" i="2"/>
  <c r="N121" i="2"/>
  <c r="O121" i="2"/>
  <c r="P121" i="2"/>
  <c r="Q121" i="2"/>
  <c r="R121" i="2"/>
  <c r="U121" i="2" s="1"/>
  <c r="S121" i="2"/>
  <c r="T121" i="2"/>
  <c r="V121" i="2"/>
  <c r="Y121" i="2" s="1"/>
  <c r="W121" i="2"/>
  <c r="X121" i="2"/>
  <c r="M122" i="2"/>
  <c r="N122" i="2"/>
  <c r="O122" i="2"/>
  <c r="P122" i="2"/>
  <c r="Q122" i="2"/>
  <c r="R122" i="2"/>
  <c r="U122" i="2" s="1"/>
  <c r="S122" i="2"/>
  <c r="T122" i="2"/>
  <c r="V122" i="2"/>
  <c r="Y122" i="2" s="1"/>
  <c r="W122" i="2"/>
  <c r="X122" i="2"/>
  <c r="M123" i="2"/>
  <c r="N123" i="2"/>
  <c r="O123" i="2"/>
  <c r="P123" i="2"/>
  <c r="Q123" i="2"/>
  <c r="R123" i="2"/>
  <c r="U123" i="2" s="1"/>
  <c r="S123" i="2"/>
  <c r="T123" i="2"/>
  <c r="V123" i="2"/>
  <c r="Y123" i="2" s="1"/>
  <c r="W123" i="2"/>
  <c r="X123" i="2"/>
  <c r="M124" i="2"/>
  <c r="N124" i="2"/>
  <c r="O124" i="2"/>
  <c r="P124" i="2"/>
  <c r="Q124" i="2"/>
  <c r="R124" i="2"/>
  <c r="U124" i="2" s="1"/>
  <c r="S124" i="2"/>
  <c r="T124" i="2"/>
  <c r="V124" i="2"/>
  <c r="Y124" i="2" s="1"/>
  <c r="W124" i="2"/>
  <c r="X124" i="2"/>
  <c r="M125" i="2"/>
  <c r="N125" i="2"/>
  <c r="O125" i="2"/>
  <c r="P125" i="2"/>
  <c r="Q125" i="2"/>
  <c r="R125" i="2"/>
  <c r="U125" i="2" s="1"/>
  <c r="S125" i="2"/>
  <c r="T125" i="2"/>
  <c r="V125" i="2"/>
  <c r="Y125" i="2" s="1"/>
  <c r="W125" i="2"/>
  <c r="X125" i="2"/>
  <c r="M126" i="2"/>
  <c r="N126" i="2"/>
  <c r="O126" i="2"/>
  <c r="P126" i="2"/>
  <c r="Q126" i="2"/>
  <c r="R126" i="2"/>
  <c r="U126" i="2" s="1"/>
  <c r="S126" i="2"/>
  <c r="T126" i="2"/>
  <c r="V126" i="2"/>
  <c r="Y126" i="2" s="1"/>
  <c r="W126" i="2"/>
  <c r="X126" i="2"/>
  <c r="M127" i="2"/>
  <c r="N127" i="2"/>
  <c r="O127" i="2"/>
  <c r="P127" i="2"/>
  <c r="Q127" i="2"/>
  <c r="R127" i="2"/>
  <c r="S127" i="2"/>
  <c r="T127" i="2"/>
  <c r="U127" i="2"/>
  <c r="V127" i="2"/>
  <c r="Y127" i="2" s="1"/>
  <c r="W127" i="2"/>
  <c r="X127" i="2"/>
  <c r="M128" i="2"/>
  <c r="N128" i="2"/>
  <c r="O128" i="2"/>
  <c r="P128" i="2"/>
  <c r="Q128" i="2"/>
  <c r="R128" i="2"/>
  <c r="U128" i="2" s="1"/>
  <c r="S128" i="2"/>
  <c r="T128" i="2"/>
  <c r="V128" i="2"/>
  <c r="Y128" i="2" s="1"/>
  <c r="W128" i="2"/>
  <c r="X128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M130" i="2"/>
  <c r="N130" i="2"/>
  <c r="O130" i="2"/>
  <c r="P130" i="2"/>
  <c r="Q130" i="2"/>
  <c r="R130" i="2"/>
  <c r="U130" i="2" s="1"/>
  <c r="S130" i="2"/>
  <c r="T130" i="2"/>
  <c r="V130" i="2"/>
  <c r="Y130" i="2" s="1"/>
  <c r="W130" i="2"/>
  <c r="X130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M78" i="2" l="1"/>
  <c r="M79" i="2"/>
  <c r="M80" i="2"/>
  <c r="M81" i="2"/>
  <c r="M82" i="2"/>
  <c r="M83" i="2"/>
  <c r="N79" i="2" l="1"/>
  <c r="O79" i="2"/>
  <c r="P79" i="2"/>
  <c r="Q79" i="2"/>
  <c r="R79" i="2"/>
  <c r="U79" i="2" s="1"/>
  <c r="S79" i="2"/>
  <c r="T79" i="2"/>
  <c r="V79" i="2"/>
  <c r="Y79" i="2" s="1"/>
  <c r="W79" i="2"/>
  <c r="X79" i="2"/>
  <c r="N80" i="2"/>
  <c r="O80" i="2"/>
  <c r="P80" i="2"/>
  <c r="Q80" i="2"/>
  <c r="R80" i="2"/>
  <c r="U80" i="2" s="1"/>
  <c r="S80" i="2"/>
  <c r="T80" i="2"/>
  <c r="V80" i="2"/>
  <c r="Y80" i="2" s="1"/>
  <c r="W80" i="2"/>
  <c r="X80" i="2"/>
  <c r="N81" i="2"/>
  <c r="O81" i="2"/>
  <c r="P81" i="2"/>
  <c r="Q81" i="2"/>
  <c r="R81" i="2"/>
  <c r="U81" i="2" s="1"/>
  <c r="S81" i="2"/>
  <c r="T81" i="2"/>
  <c r="V81" i="2"/>
  <c r="Y81" i="2" s="1"/>
  <c r="W81" i="2"/>
  <c r="X81" i="2"/>
  <c r="N82" i="2"/>
  <c r="O82" i="2"/>
  <c r="P82" i="2"/>
  <c r="Q82" i="2"/>
  <c r="R82" i="2"/>
  <c r="U82" i="2" s="1"/>
  <c r="S82" i="2"/>
  <c r="T82" i="2"/>
  <c r="V82" i="2"/>
  <c r="Y82" i="2" s="1"/>
  <c r="W82" i="2"/>
  <c r="X82" i="2"/>
  <c r="N83" i="2"/>
  <c r="O83" i="2"/>
  <c r="P83" i="2"/>
  <c r="Q83" i="2"/>
  <c r="R83" i="2"/>
  <c r="U83" i="2" s="1"/>
  <c r="S83" i="2"/>
  <c r="T83" i="2"/>
  <c r="V83" i="2"/>
  <c r="Y83" i="2" s="1"/>
  <c r="W83" i="2"/>
  <c r="X83" i="2"/>
  <c r="M67" i="2" l="1"/>
  <c r="M61" i="2"/>
  <c r="N61" i="2"/>
  <c r="O61" i="2"/>
  <c r="P61" i="2"/>
  <c r="Q61" i="2"/>
  <c r="R61" i="2"/>
  <c r="U61" i="2" s="1"/>
  <c r="S61" i="2"/>
  <c r="T61" i="2"/>
  <c r="V61" i="2"/>
  <c r="Y61" i="2" s="1"/>
  <c r="W61" i="2"/>
  <c r="X61" i="2"/>
  <c r="M62" i="2"/>
  <c r="N62" i="2"/>
  <c r="O62" i="2"/>
  <c r="P62" i="2"/>
  <c r="Q62" i="2"/>
  <c r="R62" i="2"/>
  <c r="U62" i="2" s="1"/>
  <c r="S62" i="2"/>
  <c r="T62" i="2"/>
  <c r="V62" i="2"/>
  <c r="Y62" i="2" s="1"/>
  <c r="W62" i="2"/>
  <c r="X62" i="2"/>
  <c r="M63" i="2"/>
  <c r="N63" i="2"/>
  <c r="O63" i="2"/>
  <c r="P63" i="2"/>
  <c r="Q63" i="2"/>
  <c r="R63" i="2"/>
  <c r="U63" i="2" s="1"/>
  <c r="S63" i="2"/>
  <c r="T63" i="2"/>
  <c r="V63" i="2"/>
  <c r="Y63" i="2" s="1"/>
  <c r="W63" i="2"/>
  <c r="X63" i="2"/>
  <c r="M64" i="2"/>
  <c r="N64" i="2"/>
  <c r="O64" i="2"/>
  <c r="P64" i="2"/>
  <c r="Q64" i="2"/>
  <c r="R64" i="2"/>
  <c r="U64" i="2" s="1"/>
  <c r="S64" i="2"/>
  <c r="T64" i="2"/>
  <c r="V64" i="2"/>
  <c r="Y64" i="2" s="1"/>
  <c r="W64" i="2"/>
  <c r="X64" i="2"/>
  <c r="M65" i="2"/>
  <c r="N65" i="2"/>
  <c r="O65" i="2"/>
  <c r="P65" i="2"/>
  <c r="Q65" i="2"/>
  <c r="R65" i="2"/>
  <c r="U65" i="2" s="1"/>
  <c r="S65" i="2"/>
  <c r="T65" i="2"/>
  <c r="V65" i="2"/>
  <c r="Y65" i="2" s="1"/>
  <c r="W65" i="2"/>
  <c r="X65" i="2"/>
  <c r="M66" i="2"/>
  <c r="N66" i="2"/>
  <c r="O66" i="2"/>
  <c r="P66" i="2"/>
  <c r="Q66" i="2"/>
  <c r="R66" i="2"/>
  <c r="U66" i="2" s="1"/>
  <c r="S66" i="2"/>
  <c r="T66" i="2"/>
  <c r="V66" i="2"/>
  <c r="Y66" i="2" s="1"/>
  <c r="W66" i="2"/>
  <c r="X66" i="2"/>
  <c r="N67" i="2"/>
  <c r="O67" i="2"/>
  <c r="P67" i="2"/>
  <c r="Q67" i="2"/>
  <c r="R67" i="2"/>
  <c r="U67" i="2" s="1"/>
  <c r="S67" i="2"/>
  <c r="T67" i="2"/>
  <c r="W67" i="2"/>
  <c r="X67" i="2"/>
  <c r="M68" i="2"/>
  <c r="N68" i="2"/>
  <c r="O68" i="2"/>
  <c r="P68" i="2"/>
  <c r="Q68" i="2"/>
  <c r="R68" i="2"/>
  <c r="U68" i="2" s="1"/>
  <c r="S68" i="2"/>
  <c r="T68" i="2"/>
  <c r="V68" i="2"/>
  <c r="Y68" i="2" s="1"/>
  <c r="W68" i="2"/>
  <c r="X68" i="2"/>
  <c r="M69" i="2"/>
  <c r="N69" i="2"/>
  <c r="O69" i="2"/>
  <c r="P69" i="2"/>
  <c r="Q69" i="2"/>
  <c r="R69" i="2"/>
  <c r="U69" i="2" s="1"/>
  <c r="S69" i="2"/>
  <c r="T69" i="2"/>
  <c r="V69" i="2"/>
  <c r="Y69" i="2" s="1"/>
  <c r="W69" i="2"/>
  <c r="X69" i="2"/>
  <c r="M70" i="2"/>
  <c r="N70" i="2"/>
  <c r="O70" i="2"/>
  <c r="P70" i="2"/>
  <c r="Q70" i="2"/>
  <c r="R70" i="2"/>
  <c r="U70" i="2" s="1"/>
  <c r="S70" i="2"/>
  <c r="T70" i="2"/>
  <c r="V70" i="2"/>
  <c r="Y70" i="2" s="1"/>
  <c r="W70" i="2"/>
  <c r="X70" i="2"/>
  <c r="M71" i="2"/>
  <c r="N71" i="2"/>
  <c r="O71" i="2"/>
  <c r="P71" i="2"/>
  <c r="Q71" i="2"/>
  <c r="R71" i="2"/>
  <c r="U71" i="2" s="1"/>
  <c r="S71" i="2"/>
  <c r="T71" i="2"/>
  <c r="V71" i="2"/>
  <c r="Y71" i="2" s="1"/>
  <c r="W71" i="2"/>
  <c r="X71" i="2"/>
  <c r="M72" i="2"/>
  <c r="N72" i="2"/>
  <c r="O72" i="2"/>
  <c r="P72" i="2"/>
  <c r="Q72" i="2"/>
  <c r="R72" i="2"/>
  <c r="U72" i="2" s="1"/>
  <c r="S72" i="2"/>
  <c r="T72" i="2"/>
  <c r="V72" i="2"/>
  <c r="Y72" i="2" s="1"/>
  <c r="W72" i="2"/>
  <c r="X72" i="2"/>
  <c r="M73" i="2"/>
  <c r="N73" i="2"/>
  <c r="O73" i="2"/>
  <c r="P73" i="2"/>
  <c r="Q73" i="2"/>
  <c r="R73" i="2"/>
  <c r="U73" i="2" s="1"/>
  <c r="S73" i="2"/>
  <c r="T73" i="2"/>
  <c r="V73" i="2"/>
  <c r="Y73" i="2" s="1"/>
  <c r="W73" i="2"/>
  <c r="X73" i="2"/>
  <c r="M74" i="2"/>
  <c r="N74" i="2"/>
  <c r="O74" i="2"/>
  <c r="P74" i="2"/>
  <c r="Q74" i="2"/>
  <c r="R74" i="2"/>
  <c r="U74" i="2" s="1"/>
  <c r="S74" i="2"/>
  <c r="T74" i="2"/>
  <c r="V74" i="2"/>
  <c r="Y74" i="2" s="1"/>
  <c r="W74" i="2"/>
  <c r="X74" i="2"/>
  <c r="M75" i="2"/>
  <c r="N75" i="2"/>
  <c r="O75" i="2"/>
  <c r="P75" i="2"/>
  <c r="Q75" i="2"/>
  <c r="R75" i="2"/>
  <c r="U75" i="2" s="1"/>
  <c r="S75" i="2"/>
  <c r="T75" i="2"/>
  <c r="V75" i="2"/>
  <c r="Y75" i="2" s="1"/>
  <c r="W75" i="2"/>
  <c r="X75" i="2"/>
  <c r="M76" i="2"/>
  <c r="N76" i="2"/>
  <c r="O76" i="2"/>
  <c r="P76" i="2"/>
  <c r="Q76" i="2"/>
  <c r="R76" i="2"/>
  <c r="U76" i="2" s="1"/>
  <c r="S76" i="2"/>
  <c r="T76" i="2"/>
  <c r="V76" i="2"/>
  <c r="Y76" i="2" s="1"/>
  <c r="W76" i="2"/>
  <c r="X76" i="2"/>
  <c r="M77" i="2"/>
  <c r="N77" i="2"/>
  <c r="O77" i="2"/>
  <c r="P77" i="2"/>
  <c r="Q77" i="2"/>
  <c r="R77" i="2"/>
  <c r="U77" i="2" s="1"/>
  <c r="S77" i="2"/>
  <c r="T77" i="2"/>
  <c r="V77" i="2"/>
  <c r="Y77" i="2" s="1"/>
  <c r="W77" i="2"/>
  <c r="X77" i="2"/>
  <c r="N78" i="2"/>
  <c r="O78" i="2"/>
  <c r="P78" i="2"/>
  <c r="Q78" i="2"/>
  <c r="R78" i="2"/>
  <c r="U78" i="2" s="1"/>
  <c r="S78" i="2"/>
  <c r="T78" i="2"/>
  <c r="V78" i="2"/>
  <c r="Y78" i="2" s="1"/>
  <c r="W78" i="2"/>
  <c r="X78" i="2"/>
  <c r="V67" i="2" l="1"/>
  <c r="Y67" i="2" s="1"/>
  <c r="N46" i="2" l="1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M47" i="2"/>
  <c r="P47" i="2"/>
  <c r="Q47" i="2"/>
  <c r="W47" i="2"/>
  <c r="X47" i="2"/>
  <c r="M48" i="2"/>
  <c r="P48" i="2"/>
  <c r="Q48" i="2"/>
  <c r="W48" i="2"/>
  <c r="X48" i="2"/>
  <c r="M49" i="2"/>
  <c r="P49" i="2"/>
  <c r="Q49" i="2"/>
  <c r="W49" i="2"/>
  <c r="X49" i="2"/>
  <c r="M50" i="2"/>
  <c r="P50" i="2"/>
  <c r="Q50" i="2"/>
  <c r="W50" i="2"/>
  <c r="X50" i="2"/>
  <c r="M51" i="2"/>
  <c r="P51" i="2"/>
  <c r="Q51" i="2"/>
  <c r="W51" i="2"/>
  <c r="X51" i="2"/>
  <c r="M52" i="2"/>
  <c r="P52" i="2"/>
  <c r="Q52" i="2"/>
  <c r="W52" i="2"/>
  <c r="X52" i="2"/>
  <c r="M53" i="2"/>
  <c r="P53" i="2"/>
  <c r="Q53" i="2"/>
  <c r="W53" i="2"/>
  <c r="X53" i="2"/>
  <c r="M54" i="2"/>
  <c r="P54" i="2"/>
  <c r="Q54" i="2"/>
  <c r="W54" i="2"/>
  <c r="X54" i="2"/>
  <c r="M55" i="2"/>
  <c r="P55" i="2"/>
  <c r="Q55" i="2"/>
  <c r="W55" i="2"/>
  <c r="X55" i="2"/>
  <c r="M56" i="2"/>
  <c r="P56" i="2"/>
  <c r="Q56" i="2"/>
  <c r="W56" i="2"/>
  <c r="X56" i="2"/>
  <c r="M57" i="2"/>
  <c r="P57" i="2"/>
  <c r="Q57" i="2"/>
  <c r="W57" i="2"/>
  <c r="X57" i="2"/>
  <c r="M58" i="2"/>
  <c r="P58" i="2"/>
  <c r="Q58" i="2"/>
  <c r="W58" i="2"/>
  <c r="X58" i="2"/>
  <c r="M59" i="2"/>
  <c r="P59" i="2"/>
  <c r="Q59" i="2"/>
  <c r="W59" i="2"/>
  <c r="X59" i="2"/>
  <c r="M46" i="2"/>
  <c r="Q46" i="2"/>
  <c r="X46" i="2"/>
  <c r="P46" i="2"/>
  <c r="W46" i="2"/>
  <c r="O19" i="3" l="1"/>
  <c r="O20" i="3"/>
  <c r="O21" i="3"/>
  <c r="O22" i="3"/>
  <c r="O23" i="3"/>
  <c r="O18" i="3"/>
  <c r="O17" i="3"/>
  <c r="O24" i="3" l="1"/>
  <c r="O25" i="3" s="1"/>
  <c r="N24" i="3"/>
  <c r="N25" i="3" s="1"/>
  <c r="M24" i="3"/>
  <c r="M25" i="3" s="1"/>
  <c r="M29" i="2" l="1"/>
  <c r="N29" i="2"/>
  <c r="O29" i="2"/>
  <c r="P29" i="2"/>
  <c r="Q29" i="2"/>
  <c r="R29" i="2"/>
  <c r="U29" i="2" s="1"/>
  <c r="S29" i="2"/>
  <c r="T29" i="2"/>
  <c r="V29" i="2"/>
  <c r="Y29" i="2" s="1"/>
  <c r="W29" i="2"/>
  <c r="X29" i="2"/>
  <c r="M34" i="2"/>
  <c r="N34" i="2"/>
  <c r="O34" i="2"/>
  <c r="P34" i="2"/>
  <c r="Q34" i="2"/>
  <c r="R34" i="2"/>
  <c r="U34" i="2" s="1"/>
  <c r="S34" i="2"/>
  <c r="T34" i="2"/>
  <c r="V34" i="2"/>
  <c r="Y34" i="2" s="1"/>
  <c r="W34" i="2"/>
  <c r="X34" i="2"/>
  <c r="M35" i="2"/>
  <c r="N35" i="2"/>
  <c r="O35" i="2"/>
  <c r="P35" i="2"/>
  <c r="Q35" i="2"/>
  <c r="R35" i="2"/>
  <c r="U35" i="2" s="1"/>
  <c r="S35" i="2"/>
  <c r="T35" i="2"/>
  <c r="V35" i="2"/>
  <c r="Y35" i="2" s="1"/>
  <c r="W35" i="2"/>
  <c r="X35" i="2"/>
  <c r="M36" i="2"/>
  <c r="N36" i="2"/>
  <c r="O36" i="2"/>
  <c r="P36" i="2"/>
  <c r="Q36" i="2"/>
  <c r="R36" i="2"/>
  <c r="U36" i="2" s="1"/>
  <c r="S36" i="2"/>
  <c r="T36" i="2"/>
  <c r="V36" i="2"/>
  <c r="Y36" i="2" s="1"/>
  <c r="W36" i="2"/>
  <c r="X36" i="2"/>
  <c r="M37" i="2"/>
  <c r="N37" i="2"/>
  <c r="O37" i="2"/>
  <c r="P37" i="2"/>
  <c r="Q37" i="2"/>
  <c r="R37" i="2"/>
  <c r="U37" i="2" s="1"/>
  <c r="S37" i="2"/>
  <c r="T37" i="2"/>
  <c r="V37" i="2"/>
  <c r="Y37" i="2" s="1"/>
  <c r="W37" i="2"/>
  <c r="X37" i="2"/>
  <c r="M38" i="2"/>
  <c r="N38" i="2"/>
  <c r="O38" i="2"/>
  <c r="P38" i="2"/>
  <c r="Q38" i="2"/>
  <c r="R38" i="2"/>
  <c r="U38" i="2" s="1"/>
  <c r="S38" i="2"/>
  <c r="T38" i="2"/>
  <c r="V38" i="2"/>
  <c r="Y38" i="2" s="1"/>
  <c r="W38" i="2"/>
  <c r="X38" i="2"/>
  <c r="M39" i="2"/>
  <c r="N39" i="2"/>
  <c r="O39" i="2"/>
  <c r="P39" i="2"/>
  <c r="Q39" i="2"/>
  <c r="R39" i="2"/>
  <c r="U39" i="2" s="1"/>
  <c r="S39" i="2"/>
  <c r="T39" i="2"/>
  <c r="V39" i="2"/>
  <c r="Y39" i="2" s="1"/>
  <c r="W39" i="2"/>
  <c r="X39" i="2"/>
  <c r="M40" i="2"/>
  <c r="N40" i="2"/>
  <c r="O40" i="2"/>
  <c r="P40" i="2"/>
  <c r="Q40" i="2"/>
  <c r="R40" i="2"/>
  <c r="U40" i="2" s="1"/>
  <c r="S40" i="2"/>
  <c r="T40" i="2"/>
  <c r="V40" i="2"/>
  <c r="Y40" i="2" s="1"/>
  <c r="W40" i="2"/>
  <c r="X40" i="2"/>
  <c r="M41" i="2"/>
  <c r="N41" i="2"/>
  <c r="O41" i="2"/>
  <c r="P41" i="2"/>
  <c r="Q41" i="2"/>
  <c r="R41" i="2"/>
  <c r="U41" i="2" s="1"/>
  <c r="S41" i="2"/>
  <c r="T41" i="2"/>
  <c r="V41" i="2"/>
  <c r="Y41" i="2" s="1"/>
  <c r="W41" i="2"/>
  <c r="X41" i="2"/>
  <c r="M42" i="2"/>
  <c r="N42" i="2"/>
  <c r="O42" i="2"/>
  <c r="P42" i="2"/>
  <c r="Q42" i="2"/>
  <c r="R42" i="2"/>
  <c r="U42" i="2" s="1"/>
  <c r="S42" i="2"/>
  <c r="T42" i="2"/>
  <c r="V42" i="2"/>
  <c r="Y42" i="2" s="1"/>
  <c r="W42" i="2"/>
  <c r="X42" i="2"/>
  <c r="M43" i="2"/>
  <c r="N43" i="2"/>
  <c r="O43" i="2"/>
  <c r="P43" i="2"/>
  <c r="Q43" i="2"/>
  <c r="R43" i="2"/>
  <c r="U43" i="2" s="1"/>
  <c r="S43" i="2"/>
  <c r="T43" i="2"/>
  <c r="V43" i="2"/>
  <c r="Y43" i="2" s="1"/>
  <c r="W43" i="2"/>
  <c r="X43" i="2"/>
  <c r="M44" i="2"/>
  <c r="N44" i="2"/>
  <c r="O44" i="2"/>
  <c r="P44" i="2"/>
  <c r="Q44" i="2"/>
  <c r="R44" i="2"/>
  <c r="U44" i="2" s="1"/>
  <c r="S44" i="2"/>
  <c r="T44" i="2"/>
  <c r="V44" i="2"/>
  <c r="Y44" i="2" s="1"/>
  <c r="W44" i="2"/>
  <c r="X44" i="2"/>
  <c r="M45" i="2"/>
  <c r="N45" i="2"/>
  <c r="O45" i="2"/>
  <c r="P45" i="2"/>
  <c r="Q45" i="2"/>
  <c r="R45" i="2"/>
  <c r="U45" i="2" s="1"/>
  <c r="S45" i="2"/>
  <c r="T45" i="2"/>
  <c r="V45" i="2"/>
  <c r="Y45" i="2" s="1"/>
  <c r="W45" i="2"/>
  <c r="X45" i="2"/>
  <c r="M133" i="2" l="1"/>
  <c r="M28" i="2" l="1"/>
  <c r="N28" i="2"/>
  <c r="O28" i="2"/>
  <c r="P28" i="2"/>
  <c r="Q28" i="2"/>
  <c r="R28" i="2"/>
  <c r="U28" i="2" s="1"/>
  <c r="S28" i="2"/>
  <c r="T28" i="2"/>
  <c r="V28" i="2"/>
  <c r="Y28" i="2" s="1"/>
  <c r="W28" i="2"/>
  <c r="X28" i="2"/>
  <c r="M30" i="2"/>
  <c r="N30" i="2"/>
  <c r="O30" i="2"/>
  <c r="P30" i="2"/>
  <c r="Q30" i="2"/>
  <c r="R30" i="2"/>
  <c r="U30" i="2" s="1"/>
  <c r="S30" i="2"/>
  <c r="T30" i="2"/>
  <c r="V30" i="2"/>
  <c r="Y30" i="2" s="1"/>
  <c r="W30" i="2"/>
  <c r="X30" i="2"/>
  <c r="M31" i="2"/>
  <c r="N31" i="2"/>
  <c r="O31" i="2"/>
  <c r="P31" i="2"/>
  <c r="Q31" i="2"/>
  <c r="R31" i="2"/>
  <c r="U31" i="2" s="1"/>
  <c r="S31" i="2"/>
  <c r="T31" i="2"/>
  <c r="V31" i="2"/>
  <c r="Y31" i="2" s="1"/>
  <c r="W31" i="2"/>
  <c r="X31" i="2"/>
  <c r="M32" i="2"/>
  <c r="N32" i="2"/>
  <c r="O32" i="2"/>
  <c r="P32" i="2"/>
  <c r="Q32" i="2"/>
  <c r="R32" i="2"/>
  <c r="U32" i="2" s="1"/>
  <c r="S32" i="2"/>
  <c r="T32" i="2"/>
  <c r="V32" i="2"/>
  <c r="Y32" i="2" s="1"/>
  <c r="W32" i="2"/>
  <c r="X32" i="2"/>
  <c r="M33" i="2"/>
  <c r="N33" i="2"/>
  <c r="O33" i="2"/>
  <c r="P33" i="2"/>
  <c r="Q33" i="2"/>
  <c r="R33" i="2"/>
  <c r="U33" i="2" s="1"/>
  <c r="S33" i="2"/>
  <c r="T33" i="2"/>
  <c r="V33" i="2"/>
  <c r="Y33" i="2" s="1"/>
  <c r="W33" i="2"/>
  <c r="X33" i="2"/>
  <c r="M60" i="2"/>
  <c r="N60" i="2"/>
  <c r="O60" i="2"/>
  <c r="P60" i="2"/>
  <c r="Q60" i="2"/>
  <c r="R60" i="2"/>
  <c r="U60" i="2" s="1"/>
  <c r="S60" i="2"/>
  <c r="T60" i="2"/>
  <c r="V60" i="2"/>
  <c r="Y60" i="2" s="1"/>
  <c r="W60" i="2"/>
  <c r="X60" i="2"/>
  <c r="V23" i="2"/>
  <c r="Y23" i="2" s="1"/>
  <c r="V24" i="2"/>
  <c r="Y24" i="2" s="1"/>
  <c r="V25" i="2"/>
  <c r="Y25" i="2" s="1"/>
  <c r="V26" i="2"/>
  <c r="Y26" i="2" s="1"/>
  <c r="V27" i="2"/>
  <c r="Y27" i="2" s="1"/>
  <c r="R23" i="2"/>
  <c r="U23" i="2" s="1"/>
  <c r="S23" i="2"/>
  <c r="T23" i="2"/>
  <c r="R24" i="2"/>
  <c r="U24" i="2" s="1"/>
  <c r="S24" i="2"/>
  <c r="T24" i="2"/>
  <c r="R25" i="2"/>
  <c r="U25" i="2" s="1"/>
  <c r="S25" i="2"/>
  <c r="T25" i="2"/>
  <c r="R26" i="2"/>
  <c r="U26" i="2" s="1"/>
  <c r="S26" i="2"/>
  <c r="T26" i="2"/>
  <c r="R27" i="2"/>
  <c r="U27" i="2" s="1"/>
  <c r="S27" i="2"/>
  <c r="T27" i="2"/>
  <c r="N23" i="2"/>
  <c r="O23" i="2"/>
  <c r="N24" i="2"/>
  <c r="O24" i="2"/>
  <c r="N25" i="2"/>
  <c r="O25" i="2"/>
  <c r="N26" i="2"/>
  <c r="O26" i="2"/>
  <c r="N27" i="2"/>
  <c r="O27" i="2"/>
  <c r="M24" i="2"/>
  <c r="P24" i="2"/>
  <c r="Q24" i="2"/>
  <c r="W24" i="2"/>
  <c r="X24" i="2"/>
  <c r="M25" i="2"/>
  <c r="P25" i="2"/>
  <c r="Q25" i="2"/>
  <c r="W25" i="2"/>
  <c r="X25" i="2"/>
  <c r="M26" i="2"/>
  <c r="P26" i="2"/>
  <c r="Q26" i="2"/>
  <c r="W26" i="2"/>
  <c r="X26" i="2"/>
  <c r="M27" i="2"/>
  <c r="P27" i="2"/>
  <c r="Q27" i="2"/>
  <c r="W27" i="2"/>
  <c r="X27" i="2"/>
  <c r="M23" i="2" l="1"/>
  <c r="Q23" i="2"/>
  <c r="X23" i="2"/>
  <c r="P23" i="2"/>
  <c r="W23" i="2"/>
  <c r="G5" i="3" l="1"/>
  <c r="D13" i="3" l="1"/>
  <c r="O12" i="3"/>
  <c r="H6" i="3"/>
  <c r="M21" i="2"/>
  <c r="N21" i="2"/>
  <c r="O21" i="2"/>
  <c r="P21" i="2"/>
  <c r="Q21" i="2"/>
  <c r="R21" i="2"/>
  <c r="U21" i="2" s="1"/>
  <c r="S21" i="2"/>
  <c r="T21" i="2"/>
  <c r="V21" i="2"/>
  <c r="Y21" i="2" s="1"/>
  <c r="W21" i="2"/>
  <c r="X21" i="2"/>
  <c r="M22" i="2"/>
  <c r="N22" i="2"/>
  <c r="O22" i="2"/>
  <c r="P22" i="2"/>
  <c r="Q22" i="2"/>
  <c r="R22" i="2"/>
  <c r="U22" i="2" s="1"/>
  <c r="S22" i="2"/>
  <c r="T22" i="2"/>
  <c r="V22" i="2"/>
  <c r="Y22" i="2" s="1"/>
  <c r="W22" i="2"/>
  <c r="X22" i="2"/>
  <c r="E132" i="2" l="1"/>
  <c r="F132" i="2"/>
  <c r="G132" i="2"/>
  <c r="H132" i="2"/>
  <c r="I132" i="2"/>
  <c r="J132" i="2"/>
  <c r="K132" i="2"/>
  <c r="L132" i="2"/>
  <c r="D132" i="2"/>
  <c r="F6" i="3"/>
  <c r="I5" i="3" l="1"/>
  <c r="G12" i="3"/>
  <c r="G13" i="3" s="1"/>
  <c r="M18" i="2"/>
  <c r="N18" i="2"/>
  <c r="O18" i="2"/>
  <c r="P18" i="2"/>
  <c r="Q18" i="2"/>
  <c r="R18" i="2"/>
  <c r="U18" i="2" s="1"/>
  <c r="S18" i="2"/>
  <c r="T18" i="2"/>
  <c r="V18" i="2"/>
  <c r="Y18" i="2" s="1"/>
  <c r="W18" i="2"/>
  <c r="X18" i="2"/>
  <c r="M19" i="2"/>
  <c r="N19" i="2"/>
  <c r="O19" i="2"/>
  <c r="P19" i="2"/>
  <c r="Q19" i="2"/>
  <c r="R19" i="2"/>
  <c r="U19" i="2" s="1"/>
  <c r="S19" i="2"/>
  <c r="T19" i="2"/>
  <c r="V19" i="2"/>
  <c r="Y19" i="2" s="1"/>
  <c r="W19" i="2"/>
  <c r="X19" i="2"/>
  <c r="M20" i="2"/>
  <c r="N20" i="2"/>
  <c r="O20" i="2"/>
  <c r="P20" i="2"/>
  <c r="Q20" i="2"/>
  <c r="R20" i="2"/>
  <c r="U20" i="2" s="1"/>
  <c r="S20" i="2"/>
  <c r="T20" i="2"/>
  <c r="V20" i="2"/>
  <c r="Y20" i="2" s="1"/>
  <c r="W20" i="2"/>
  <c r="X20" i="2"/>
  <c r="M16" i="2"/>
  <c r="N16" i="2"/>
  <c r="O16" i="2"/>
  <c r="P16" i="2"/>
  <c r="Q16" i="2"/>
  <c r="R16" i="2"/>
  <c r="U16" i="2" s="1"/>
  <c r="S16" i="2"/>
  <c r="T16" i="2"/>
  <c r="V16" i="2"/>
  <c r="Y16" i="2" s="1"/>
  <c r="W16" i="2"/>
  <c r="X16" i="2"/>
  <c r="M17" i="2"/>
  <c r="N17" i="2"/>
  <c r="O17" i="2"/>
  <c r="P17" i="2"/>
  <c r="Q17" i="2"/>
  <c r="R17" i="2"/>
  <c r="U17" i="2" s="1"/>
  <c r="S17" i="2"/>
  <c r="T17" i="2"/>
  <c r="V17" i="2"/>
  <c r="Y17" i="2" s="1"/>
  <c r="W17" i="2"/>
  <c r="X17" i="2"/>
  <c r="E136" i="2"/>
  <c r="E137" i="2" s="1"/>
  <c r="F136" i="2"/>
  <c r="F137" i="2" s="1"/>
  <c r="G136" i="2"/>
  <c r="H136" i="2"/>
  <c r="I136" i="2"/>
  <c r="J136" i="2"/>
  <c r="K136" i="2"/>
  <c r="L136" i="2"/>
  <c r="D136" i="2"/>
  <c r="M134" i="2"/>
  <c r="E9" i="3"/>
  <c r="D9" i="3"/>
  <c r="M12" i="3"/>
  <c r="N11" i="3"/>
  <c r="N10" i="3"/>
  <c r="N9" i="3"/>
  <c r="N8" i="3"/>
  <c r="N7" i="3"/>
  <c r="N6" i="3"/>
  <c r="N5" i="3"/>
  <c r="E6" i="3"/>
  <c r="D6" i="3"/>
  <c r="G6" i="3" l="1"/>
  <c r="I6" i="3" s="1"/>
  <c r="N12" i="3"/>
  <c r="G137" i="2"/>
  <c r="H137" i="2"/>
  <c r="I137" i="2"/>
  <c r="D137" i="2"/>
  <c r="J137" i="2"/>
  <c r="L137" i="2"/>
  <c r="K137" i="2"/>
  <c r="P13" i="2"/>
  <c r="Q13" i="2"/>
  <c r="R13" i="2"/>
  <c r="U13" i="2" s="1"/>
  <c r="S13" i="2"/>
  <c r="T13" i="2"/>
  <c r="V13" i="2"/>
  <c r="Y13" i="2" s="1"/>
  <c r="W13" i="2"/>
  <c r="X13" i="2"/>
  <c r="P14" i="2"/>
  <c r="Q14" i="2"/>
  <c r="R14" i="2"/>
  <c r="U14" i="2" s="1"/>
  <c r="S14" i="2"/>
  <c r="T14" i="2"/>
  <c r="V14" i="2"/>
  <c r="Y14" i="2" s="1"/>
  <c r="W14" i="2"/>
  <c r="X14" i="2"/>
  <c r="P15" i="2"/>
  <c r="Q15" i="2"/>
  <c r="R15" i="2"/>
  <c r="U15" i="2" s="1"/>
  <c r="S15" i="2"/>
  <c r="T15" i="2"/>
  <c r="V15" i="2"/>
  <c r="Y15" i="2" s="1"/>
  <c r="W15" i="2"/>
  <c r="X15" i="2"/>
  <c r="P132" i="2"/>
  <c r="Q132" i="2"/>
  <c r="R132" i="2"/>
  <c r="U132" i="2" s="1"/>
  <c r="S132" i="2"/>
  <c r="T132" i="2"/>
  <c r="V132" i="2"/>
  <c r="Y132" i="2" s="1"/>
  <c r="W132" i="2"/>
  <c r="X132" i="2"/>
  <c r="P134" i="2"/>
  <c r="Q134" i="2"/>
  <c r="R134" i="2"/>
  <c r="U134" i="2" s="1"/>
  <c r="S134" i="2"/>
  <c r="T134" i="2"/>
  <c r="V134" i="2"/>
  <c r="Y134" i="2" s="1"/>
  <c r="W134" i="2"/>
  <c r="X134" i="2"/>
  <c r="P135" i="2"/>
  <c r="Q135" i="2"/>
  <c r="R135" i="2"/>
  <c r="U135" i="2" s="1"/>
  <c r="S135" i="2"/>
  <c r="T135" i="2"/>
  <c r="V135" i="2"/>
  <c r="Y135" i="2" s="1"/>
  <c r="W135" i="2"/>
  <c r="X135" i="2"/>
  <c r="P136" i="2"/>
  <c r="Q136" i="2"/>
  <c r="R136" i="2"/>
  <c r="U136" i="2" s="1"/>
  <c r="S136" i="2"/>
  <c r="T136" i="2"/>
  <c r="V136" i="2"/>
  <c r="Y136" i="2" s="1"/>
  <c r="W136" i="2"/>
  <c r="X136" i="2"/>
  <c r="M13" i="2"/>
  <c r="N13" i="2"/>
  <c r="O13" i="2"/>
  <c r="M14" i="2"/>
  <c r="N14" i="2"/>
  <c r="O14" i="2"/>
  <c r="M15" i="2"/>
  <c r="N15" i="2"/>
  <c r="O15" i="2"/>
  <c r="M132" i="2"/>
  <c r="N132" i="2"/>
  <c r="O132" i="2"/>
  <c r="N134" i="2"/>
  <c r="O134" i="2"/>
  <c r="M135" i="2"/>
  <c r="M136" i="2" s="1"/>
  <c r="N135" i="2"/>
  <c r="O135" i="2"/>
  <c r="O136" i="2" l="1"/>
  <c r="N136" i="2"/>
  <c r="X12" i="2"/>
  <c r="W12" i="2"/>
  <c r="V12" i="2"/>
  <c r="Y12" i="2" s="1"/>
  <c r="T12" i="2"/>
  <c r="S12" i="2"/>
  <c r="R12" i="2"/>
  <c r="U12" i="2" s="1"/>
  <c r="Q12" i="2"/>
  <c r="P12" i="2"/>
  <c r="O12" i="2"/>
  <c r="N12" i="2"/>
  <c r="M12" i="2"/>
  <c r="X11" i="2"/>
  <c r="W11" i="2"/>
  <c r="V11" i="2"/>
  <c r="Y11" i="2" s="1"/>
  <c r="T11" i="2"/>
  <c r="S11" i="2"/>
  <c r="R11" i="2"/>
  <c r="U11" i="2" s="1"/>
  <c r="Q11" i="2"/>
  <c r="P11" i="2"/>
  <c r="O11" i="2"/>
  <c r="N11" i="2"/>
  <c r="M11" i="2"/>
  <c r="X10" i="2"/>
  <c r="W10" i="2"/>
  <c r="V10" i="2"/>
  <c r="Y10" i="2" s="1"/>
  <c r="T10" i="2"/>
  <c r="S10" i="2"/>
  <c r="R10" i="2"/>
  <c r="U10" i="2" s="1"/>
  <c r="Q10" i="2"/>
  <c r="P10" i="2"/>
  <c r="O10" i="2"/>
  <c r="N10" i="2"/>
  <c r="M10" i="2"/>
  <c r="X9" i="2"/>
  <c r="W9" i="2"/>
  <c r="V9" i="2"/>
  <c r="Y9" i="2" s="1"/>
  <c r="T9" i="2"/>
  <c r="S9" i="2"/>
  <c r="R9" i="2"/>
  <c r="U9" i="2" s="1"/>
  <c r="Q9" i="2"/>
  <c r="P9" i="2"/>
  <c r="O9" i="2"/>
  <c r="N9" i="2"/>
  <c r="M9" i="2"/>
  <c r="X8" i="2"/>
  <c r="W8" i="2"/>
  <c r="V8" i="2"/>
  <c r="Y8" i="2" s="1"/>
  <c r="T8" i="2"/>
  <c r="S8" i="2"/>
  <c r="R8" i="2"/>
  <c r="U8" i="2" s="1"/>
  <c r="Q8" i="2"/>
  <c r="P8" i="2"/>
  <c r="O8" i="2"/>
  <c r="N8" i="2"/>
  <c r="M8" i="2"/>
  <c r="X7" i="2"/>
  <c r="W7" i="2"/>
  <c r="V7" i="2"/>
  <c r="Y7" i="2" s="1"/>
  <c r="T7" i="2"/>
  <c r="S7" i="2"/>
  <c r="R7" i="2"/>
  <c r="U7" i="2" s="1"/>
  <c r="Q7" i="2"/>
  <c r="P7" i="2"/>
  <c r="O7" i="2"/>
  <c r="N7" i="2"/>
  <c r="M7" i="2"/>
  <c r="X6" i="2"/>
  <c r="W6" i="2"/>
  <c r="V6" i="2"/>
  <c r="Y6" i="2" s="1"/>
  <c r="T6" i="2"/>
  <c r="S6" i="2"/>
  <c r="R6" i="2"/>
  <c r="U6" i="2" s="1"/>
  <c r="Q6" i="2"/>
  <c r="P6" i="2"/>
  <c r="O6" i="2"/>
  <c r="N6" i="2"/>
  <c r="M6" i="2"/>
  <c r="X5" i="2"/>
  <c r="W5" i="2"/>
  <c r="V5" i="2"/>
  <c r="V137" i="2" s="1"/>
  <c r="T5" i="2"/>
  <c r="S5" i="2"/>
  <c r="R5" i="2"/>
  <c r="U5" i="2" s="1"/>
  <c r="U137" i="2" s="1"/>
  <c r="Q5" i="2"/>
  <c r="P5" i="2"/>
  <c r="O5" i="2"/>
  <c r="N5" i="2"/>
  <c r="M5" i="2"/>
  <c r="M137" i="2" l="1"/>
  <c r="P137" i="2"/>
  <c r="X137" i="2"/>
  <c r="R137" i="2"/>
  <c r="T137" i="2"/>
  <c r="Q137" i="2"/>
  <c r="Y5" i="2"/>
  <c r="Y137" i="2" s="1"/>
  <c r="O137" i="2"/>
  <c r="S137" i="2"/>
  <c r="W137" i="2"/>
  <c r="N137" i="2"/>
</calcChain>
</file>

<file path=xl/sharedStrings.xml><?xml version="1.0" encoding="utf-8"?>
<sst xmlns="http://schemas.openxmlformats.org/spreadsheetml/2006/main" count="160" uniqueCount="115">
  <si>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</si>
  <si>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</si>
  <si>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</si>
  <si>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</si>
  <si>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</si>
  <si>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</si>
  <si>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</si>
  <si>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</si>
  <si>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GM</t>
  </si>
  <si>
    <t xml:space="preserve">Pcs </t>
  </si>
  <si>
    <t>Ctn's</t>
  </si>
  <si>
    <t>Total</t>
  </si>
  <si>
    <t>ID</t>
  </si>
  <si>
    <t>Gm</t>
  </si>
  <si>
    <t>FOC</t>
  </si>
  <si>
    <t>TP Excl. GST</t>
  </si>
  <si>
    <t>Discount</t>
  </si>
  <si>
    <t>Trader offer</t>
  </si>
  <si>
    <t xml:space="preserve">Booker Name </t>
  </si>
  <si>
    <t xml:space="preserve">LEM </t>
  </si>
  <si>
    <t>CTN</t>
  </si>
  <si>
    <t>Amount</t>
  </si>
  <si>
    <t>Volume</t>
  </si>
  <si>
    <t>CHK</t>
  </si>
  <si>
    <t>Meat</t>
  </si>
  <si>
    <t xml:space="preserve">Clinix </t>
  </si>
  <si>
    <t>Abdullah Traders</t>
  </si>
  <si>
    <t>Jalal sons warehsouse phase 5</t>
  </si>
  <si>
    <t>Jalal sons Askari 10</t>
  </si>
  <si>
    <t>Jalal Sons Main Market</t>
  </si>
  <si>
    <t xml:space="preserve">Swera Store Shadman </t>
  </si>
  <si>
    <t xml:space="preserve">(Risen) Fateh gher </t>
  </si>
  <si>
    <t>LMT CLIENTS</t>
  </si>
  <si>
    <t>Nabeel Traders</t>
  </si>
  <si>
    <t>NTN</t>
  </si>
  <si>
    <t>STRN</t>
  </si>
  <si>
    <t>0150979-9</t>
  </si>
  <si>
    <t>Dated</t>
  </si>
  <si>
    <t>4269497-3</t>
  </si>
  <si>
    <t>Al-fateh Zubaida Associates</t>
  </si>
  <si>
    <t>7278831-0</t>
  </si>
  <si>
    <t>1265416-7</t>
  </si>
  <si>
    <t>E378144-0</t>
  </si>
  <si>
    <t>1010737-1</t>
  </si>
  <si>
    <t>9725069-2</t>
  </si>
  <si>
    <t>327787628553-1</t>
  </si>
  <si>
    <t xml:space="preserve">GT </t>
  </si>
  <si>
    <t>LMT</t>
  </si>
  <si>
    <t>Ctns</t>
  </si>
  <si>
    <t xml:space="preserve">Total </t>
  </si>
  <si>
    <t>Elite Secondary MTD</t>
  </si>
  <si>
    <t>CTN'S</t>
  </si>
  <si>
    <t>PACK'S</t>
  </si>
  <si>
    <t xml:space="preserve">Client Name </t>
  </si>
  <si>
    <t>New</t>
  </si>
  <si>
    <t>Diff</t>
  </si>
  <si>
    <t xml:space="preserve">24/7 Mart </t>
  </si>
  <si>
    <t>7591263-6</t>
  </si>
  <si>
    <t>Rafaqat &amp; Sons (Risen) sbzaZar</t>
  </si>
  <si>
    <t>(Risen) Rehman Garden</t>
  </si>
  <si>
    <t>Pak Madina (Jharan wala)</t>
  </si>
  <si>
    <t>SD</t>
  </si>
  <si>
    <t xml:space="preserve">Last Month Sale </t>
  </si>
  <si>
    <t>Monthly Targets</t>
  </si>
  <si>
    <t>Secondary</t>
  </si>
  <si>
    <t>Target</t>
  </si>
  <si>
    <t>Remaining</t>
  </si>
  <si>
    <t xml:space="preserve">Gourmet Food </t>
  </si>
  <si>
    <t>3218709-2</t>
  </si>
  <si>
    <t>Stock In Hand (Primary)</t>
  </si>
  <si>
    <t>Expired Pcs</t>
  </si>
  <si>
    <t>Sale End to End</t>
  </si>
  <si>
    <t>Sohail Traders</t>
  </si>
  <si>
    <t xml:space="preserve">SB5:C38D Total </t>
  </si>
  <si>
    <t>Total In PC's</t>
  </si>
  <si>
    <t>Total In CTN's</t>
  </si>
  <si>
    <t>In Hand</t>
  </si>
  <si>
    <t>Products</t>
  </si>
  <si>
    <t>DIFF</t>
  </si>
  <si>
    <t>20-06-26</t>
  </si>
  <si>
    <t>Status</t>
  </si>
  <si>
    <t>Name</t>
  </si>
  <si>
    <t>Qty</t>
  </si>
  <si>
    <t>4 Season</t>
  </si>
  <si>
    <t>8074586-2</t>
  </si>
  <si>
    <t>Allowed</t>
  </si>
  <si>
    <t xml:space="preserve">Gourmet Food Awan Town </t>
  </si>
  <si>
    <t>Gourmet Food Canal view</t>
  </si>
  <si>
    <t>Gourmet Food Liyaqat chowk</t>
  </si>
  <si>
    <t>Gourmet Food Gulshan Ravi</t>
  </si>
  <si>
    <t>Gourmet Food Multan Road</t>
  </si>
  <si>
    <t>Gourmet Food Nadeem Shaheed</t>
  </si>
  <si>
    <t>Gourmet Food Poonch Road</t>
  </si>
  <si>
    <t>Gourmet Food Rehman pura</t>
  </si>
  <si>
    <t>Gourmet Food Rewaz Garden</t>
  </si>
  <si>
    <t>Gourmet Food Rustam Park</t>
  </si>
  <si>
    <t>Gourmet Food Samanaabd lhr</t>
  </si>
  <si>
    <t>Gourmet Food Wahdat Road</t>
  </si>
  <si>
    <t>Gourmet Food Kareem Block</t>
  </si>
  <si>
    <t>Gourmet Food</t>
  </si>
  <si>
    <t>Executed</t>
  </si>
  <si>
    <t>Risen Mnawan</t>
  </si>
  <si>
    <t>Risen Shadbagh</t>
  </si>
  <si>
    <t>Vip</t>
  </si>
  <si>
    <t>Umaima Paragon</t>
  </si>
  <si>
    <t>*</t>
  </si>
  <si>
    <t>Raheem Store</t>
  </si>
  <si>
    <t>Clinix</t>
  </si>
  <si>
    <t xml:space="preserve">Rainbow Model </t>
  </si>
  <si>
    <t xml:space="preserve">Rainbow Shadra </t>
  </si>
  <si>
    <t xml:space="preserve">On the way </t>
  </si>
  <si>
    <t>Manawan (Risen)</t>
  </si>
  <si>
    <t>Shadbagh (Risen)</t>
  </si>
  <si>
    <t xml:space="preserve">Umaima  paragon City </t>
  </si>
  <si>
    <t xml:space="preserve">Rainbow Model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</si>
</sst>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horizontal="center"/>
    </xf>
    <xf numFmtId="9" fontId="6" fillId="0" borderId="12" xfId="1" applyFont="1" applyBorder="1" applyAlignment="1">
      <alignment horizontal="center"/>
    </xf>
    <xf numFmtId="0" fontId="6" fillId="0" borderId="13" xfId="0" applyFont="1" applyBorder="1"/>
    <xf numFmtId="165" fontId="6" fillId="0" borderId="11" xfId="1" applyNumberFormat="1" applyFont="1" applyBorder="1"/>
    <xf numFmtId="2" fontId="6" fillId="0" borderId="12" xfId="0" applyNumberFormat="1" applyFont="1" applyBorder="1"/>
    <xf numFmtId="0" fontId="6" fillId="0" borderId="1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/>
    <xf numFmtId="0" fontId="6" fillId="0" borderId="23" xfId="0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0" fontId="5" fillId="0" borderId="25" xfId="0" applyFont="1" applyBorder="1"/>
    <xf numFmtId="1" fontId="5" fillId="0" borderId="29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" fontId="5" fillId="3" borderId="27" xfId="0" applyNumberFormat="1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/>
    <xf numFmtId="1" fontId="5" fillId="0" borderId="34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3" borderId="32" xfId="0" applyNumberFormat="1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6" fillId="0" borderId="30" xfId="0" applyFont="1" applyBorder="1" applyAlignment="1">
      <alignment horizontal="left"/>
    </xf>
    <xf numFmtId="0" fontId="5" fillId="0" borderId="36" xfId="0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1" fontId="6" fillId="3" borderId="40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6" fontId="5" fillId="0" borderId="28" xfId="0" applyNumberFormat="1" applyFont="1" applyBorder="1"/>
    <xf numFmtId="0" fontId="5" fillId="0" borderId="31" xfId="0" applyFont="1" applyBorder="1"/>
    <xf numFmtId="0" fontId="5" fillId="0" borderId="1" xfId="0" applyFont="1" applyBorder="1"/>
    <xf numFmtId="0" fontId="5" fillId="0" borderId="32" xfId="0" applyFont="1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6" borderId="45" xfId="0" applyFont="1" applyFill="1" applyBorder="1" applyAlignment="1">
      <alignment horizontal="center" vertical="center"/>
    </xf>
    <xf numFmtId="0" fontId="0" fillId="0" borderId="35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5" fillId="3" borderId="37" xfId="0" applyFont="1" applyFill="1" applyBorder="1"/>
    <xf numFmtId="1" fontId="5" fillId="3" borderId="31" xfId="0" applyNumberFormat="1" applyFont="1" applyFill="1" applyBorder="1"/>
    <xf numFmtId="1" fontId="6" fillId="7" borderId="22" xfId="0" applyNumberFormat="1" applyFont="1" applyFill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35" xfId="0" applyFont="1" applyFill="1" applyBorder="1" applyAlignment="1">
      <alignment vertical="center"/>
    </xf>
    <xf numFmtId="1" fontId="7" fillId="2" borderId="3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7" fillId="9" borderId="50" xfId="0" applyFont="1" applyFill="1" applyBorder="1" applyAlignment="1">
      <alignment horizontal="center" vertical="center"/>
    </xf>
    <xf numFmtId="1" fontId="10" fillId="8" borderId="44" xfId="0" applyNumberFormat="1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1" fontId="10" fillId="8" borderId="5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1" fontId="7" fillId="2" borderId="32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7" fillId="2" borderId="56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0" borderId="30" xfId="0" applyFont="1" applyBorder="1" applyAlignment="1">
      <alignment horizontal="center"/>
    </xf>
    <xf numFmtId="1" fontId="5" fillId="0" borderId="31" xfId="0" applyNumberFormat="1" applyFont="1" applyBorder="1"/>
    <xf numFmtId="1" fontId="5" fillId="0" borderId="33" xfId="0" applyNumberFormat="1" applyFont="1" applyBorder="1"/>
    <xf numFmtId="1" fontId="5" fillId="0" borderId="57" xfId="0" applyNumberFormat="1" applyFont="1" applyBorder="1"/>
    <xf numFmtId="1" fontId="5" fillId="0" borderId="31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0" fontId="1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0" borderId="55" xfId="0" applyFont="1" applyFill="1" applyBorder="1" applyAlignment="1">
      <alignment horizontal="center"/>
    </xf>
    <xf numFmtId="0" fontId="1" fillId="10" borderId="1" xfId="0" applyFont="1" applyFill="1" applyBorder="1"/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2" fillId="3" borderId="4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57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0" borderId="25" xfId="0" applyFont="1" applyBorder="1" applyAlignment="1">
      <alignment horizontal="left"/>
    </xf>
    <xf numFmtId="0" fontId="5" fillId="0" borderId="26" xfId="0" applyFont="1" applyBorder="1"/>
    <xf numFmtId="0" fontId="5" fillId="0" borderId="24" xfId="0" applyFont="1" applyBorder="1"/>
    <xf numFmtId="0" fontId="5" fillId="0" borderId="28" xfId="0" applyFont="1" applyBorder="1"/>
    <xf numFmtId="0" fontId="5" fillId="0" borderId="27" xfId="0" applyFont="1" applyBorder="1"/>
    <xf numFmtId="0" fontId="6" fillId="2" borderId="30" xfId="0" applyFont="1" applyFill="1" applyBorder="1" applyAlignment="1">
      <alignment horizontal="left"/>
    </xf>
    <xf numFmtId="0" fontId="5" fillId="2" borderId="31" xfId="0" applyFont="1" applyFill="1" applyBorder="1"/>
    <xf numFmtId="0" fontId="5" fillId="2" borderId="1" xfId="0" applyFont="1" applyFill="1" applyBorder="1"/>
    <xf numFmtId="0" fontId="5" fillId="2" borderId="32" xfId="0" applyFont="1" applyFill="1" applyBorder="1"/>
    <xf numFmtId="0" fontId="5" fillId="2" borderId="33" xfId="0" applyFont="1" applyFill="1" applyBorder="1"/>
    <xf numFmtId="0" fontId="5" fillId="2" borderId="32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46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0" fontId="6" fillId="3" borderId="48" xfId="0" applyFont="1" applyFill="1" applyBorder="1" applyAlignment="1">
      <alignment horizontal="center"/>
    </xf>
    <xf numFmtId="0" fontId="11" fillId="6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F24"/>
  <sheetViews>
    <sheetView topLeftCell="A10" zoomScale="85" zoomScaleNormal="85" workbookViewId="0">
      <selection activeCell="F24" sqref="F24"/>
    </sheetView>
  </sheetViews>
  <sheetFormatPr defaultRowHeight="14.5" x14ac:dyDescent="0.35"/>
  <cols>
    <col min="2" max="2" width="26.453125" bestFit="1" customWidth="1"/>
    <col min="3" max="3" width="10.1796875" bestFit="1" customWidth="1"/>
    <col min="4" max="4" width="17.6328125" bestFit="1" customWidth="1"/>
    <col min="5" max="5" width="14.1796875" customWidth="1"/>
    <col min="6" max="6" width="39.453125" bestFit="1" customWidth="1"/>
    <col min="7" max="7" width="6.26953125" bestFit="1" customWidth="1"/>
    <col min="8" max="8" width="39.6328125" bestFit="1" customWidth="1"/>
    <col min="9" max="9" width="6.26953125" bestFit="1" customWidth="1"/>
    <col min="10" max="10" width="8.6328125" bestFit="1" customWidth="1"/>
  </cols>
  <sheetData>
    <row r="7" spans="2:6" ht="21.75" customHeight="1" x14ac:dyDescent="0.35"/>
    <row r="8" spans="2:6" ht="28.5" customHeight="1" x14ac:dyDescent="0.35">
      <c r="F8" t="s">
        <v>63</v>
      </c>
    </row>
    <row r="9" spans="2:6" ht="22.5" customHeight="1" x14ac:dyDescent="0.35">
      <c r="B9" s="77" t="s">
        <v>32</v>
      </c>
      <c r="C9" s="77" t="s">
        <v>34</v>
      </c>
      <c r="D9" s="77" t="s">
        <v>35</v>
      </c>
      <c r="E9" s="129" t="s">
        <v>14</v>
      </c>
      <c r="F9" s="96" t="s">
        <v>64</v>
      </c>
    </row>
    <row r="10" spans="2:6" x14ac:dyDescent="0.35">
      <c r="B10" s="79" t="s">
        <v>25</v>
      </c>
      <c r="C10" s="79" t="s">
        <v>36</v>
      </c>
      <c r="D10" s="92">
        <v>3520247902365</v>
      </c>
      <c r="E10" s="130"/>
      <c r="F10">
        <v>10000</v>
      </c>
    </row>
    <row r="11" spans="2:6" x14ac:dyDescent="0.35">
      <c r="B11" s="79" t="s">
        <v>26</v>
      </c>
      <c r="C11" s="79"/>
      <c r="D11" s="79"/>
      <c r="E11" s="130"/>
    </row>
    <row r="12" spans="2:6" x14ac:dyDescent="0.35">
      <c r="B12" s="79" t="s">
        <v>39</v>
      </c>
      <c r="C12" s="79" t="s">
        <v>38</v>
      </c>
      <c r="D12" s="92">
        <v>300426949714</v>
      </c>
      <c r="E12" s="130"/>
    </row>
    <row r="13" spans="2:6" x14ac:dyDescent="0.35">
      <c r="B13" s="79" t="s">
        <v>27</v>
      </c>
      <c r="C13" s="79" t="s">
        <v>40</v>
      </c>
      <c r="D13" s="92">
        <v>3277876126916</v>
      </c>
      <c r="E13" s="130"/>
    </row>
    <row r="14" spans="2:6" x14ac:dyDescent="0.35">
      <c r="B14" s="79" t="s">
        <v>28</v>
      </c>
      <c r="C14" s="79" t="s">
        <v>43</v>
      </c>
      <c r="D14" s="92">
        <v>3520255124113</v>
      </c>
      <c r="E14" s="130"/>
    </row>
    <row r="15" spans="2:6" x14ac:dyDescent="0.35">
      <c r="B15" s="79" t="s">
        <v>29</v>
      </c>
      <c r="C15" s="79" t="s">
        <v>43</v>
      </c>
      <c r="D15" s="92">
        <v>3520255124113</v>
      </c>
      <c r="E15" s="130"/>
    </row>
    <row r="16" spans="2:6" x14ac:dyDescent="0.35">
      <c r="B16" s="79" t="s">
        <v>30</v>
      </c>
      <c r="C16" s="79" t="s">
        <v>41</v>
      </c>
      <c r="D16" s="92">
        <v>3520268948847</v>
      </c>
      <c r="E16" s="130"/>
    </row>
    <row r="17" spans="2:5" x14ac:dyDescent="0.35">
      <c r="B17" s="79" t="s">
        <v>31</v>
      </c>
      <c r="C17" s="79" t="s">
        <v>44</v>
      </c>
      <c r="D17" s="79"/>
      <c r="E17" s="130"/>
    </row>
    <row r="18" spans="2:5" x14ac:dyDescent="0.35">
      <c r="B18" s="79" t="s">
        <v>33</v>
      </c>
      <c r="C18" s="79" t="s">
        <v>42</v>
      </c>
      <c r="D18" s="79" t="s">
        <v>45</v>
      </c>
      <c r="E18" s="130"/>
    </row>
    <row r="19" spans="2:5" ht="15" customHeight="1" x14ac:dyDescent="0.35">
      <c r="B19" s="131" t="s">
        <v>56</v>
      </c>
      <c r="C19" s="130" t="s">
        <v>57</v>
      </c>
      <c r="D19" s="130"/>
      <c r="E19" s="130"/>
    </row>
    <row r="20" spans="2:5" x14ac:dyDescent="0.35">
      <c r="B20" s="131" t="s">
        <v>58</v>
      </c>
      <c r="C20" s="130"/>
      <c r="D20" s="130"/>
      <c r="E20" s="130"/>
    </row>
    <row r="21" spans="2:5" x14ac:dyDescent="0.35">
      <c r="B21" s="131" t="s">
        <v>59</v>
      </c>
      <c r="C21" s="130"/>
      <c r="D21" s="130"/>
      <c r="E21" s="130"/>
    </row>
    <row r="22" spans="2:5" x14ac:dyDescent="0.35">
      <c r="B22" s="131" t="s">
        <v>60</v>
      </c>
      <c r="C22" s="130"/>
      <c r="D22" s="130"/>
      <c r="E22" s="130"/>
    </row>
    <row r="23" spans="2:5" x14ac:dyDescent="0.35">
      <c r="B23" s="131" t="s">
        <v>67</v>
      </c>
      <c r="C23" s="130" t="s">
        <v>68</v>
      </c>
      <c r="D23" s="132">
        <v>3277876231301</v>
      </c>
      <c r="E23" s="130"/>
    </row>
    <row r="24" spans="2:5" x14ac:dyDescent="0.35">
      <c r="B24" s="131" t="s">
        <v>83</v>
      </c>
      <c r="C24" s="130" t="s">
        <v>84</v>
      </c>
      <c r="D24" s="130"/>
      <c r="E24" s="130" t="s">
        <v>85</v>
      </c>
    </row>
  </sheetData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7"/>
  <sheetViews>
    <sheetView topLeftCell="A10" zoomScaleNormal="100" workbookViewId="0">
      <selection activeCell="L22" sqref="L22:L24"/>
    </sheetView>
  </sheetViews>
  <sheetFormatPr defaultRowHeight="14.5" x14ac:dyDescent="0.35"/>
  <cols>
    <col min="3" max="3" width="28.54296875" bestFit="1" customWidth="1"/>
    <col min="4" max="4" width="17.7265625" bestFit="1" customWidth="1"/>
  </cols>
  <sheetData>
    <row r="1" spans="1:25" ht="15" thickBot="1" x14ac:dyDescent="0.4">
      <c r="B1" s="152">
        <f ca="1">TODAY()</f>
        <v>46206</v>
      </c>
      <c r="C1" s="152"/>
      <c r="D1" s="152"/>
      <c r="E1" s="152"/>
      <c r="F1" s="152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  <c r="W1" s="10"/>
      <c r="X1" s="10"/>
      <c r="Y1" s="10"/>
    </row>
    <row r="2" spans="1:25" ht="15" thickBot="1" x14ac:dyDescent="0.4">
      <c r="A2" s="174" t="s">
        <v>37</v>
      </c>
      <c r="B2" s="153" t="s">
        <v>12</v>
      </c>
      <c r="C2" s="12" t="s">
        <v>13</v>
      </c>
      <c r="D2" s="13">
        <v>60</v>
      </c>
      <c r="E2" s="14">
        <v>60</v>
      </c>
      <c r="F2" s="15">
        <v>60</v>
      </c>
      <c r="G2" s="16">
        <v>70</v>
      </c>
      <c r="H2" s="17">
        <v>70</v>
      </c>
      <c r="I2" s="15">
        <v>70</v>
      </c>
      <c r="J2" s="16">
        <v>120</v>
      </c>
      <c r="K2" s="17">
        <v>120</v>
      </c>
      <c r="L2" s="15">
        <v>120</v>
      </c>
      <c r="M2" s="166"/>
      <c r="N2" s="167"/>
      <c r="O2" s="168"/>
      <c r="P2" s="169" t="s">
        <v>14</v>
      </c>
      <c r="Q2" s="170"/>
      <c r="R2" s="18">
        <v>0.05</v>
      </c>
      <c r="S2" s="19">
        <v>0.08</v>
      </c>
      <c r="T2" s="19">
        <v>0.08</v>
      </c>
      <c r="U2" s="20"/>
      <c r="V2" s="21">
        <v>3.5000000000000003E-2</v>
      </c>
      <c r="W2" s="22"/>
      <c r="X2" s="22"/>
      <c r="Y2" s="20"/>
    </row>
    <row r="3" spans="1:25" ht="15" thickBot="1" x14ac:dyDescent="0.4">
      <c r="A3" s="174"/>
      <c r="B3" s="154"/>
      <c r="C3" s="23" t="s">
        <v>15</v>
      </c>
      <c r="D3" s="24">
        <v>39.230000000000004</v>
      </c>
      <c r="E3" s="25">
        <v>39.230000000000004</v>
      </c>
      <c r="F3" s="26">
        <v>39.230000000000004</v>
      </c>
      <c r="G3" s="27">
        <v>52.462499999999999</v>
      </c>
      <c r="H3" s="28">
        <v>52.462499999999999</v>
      </c>
      <c r="I3" s="29">
        <v>52.462499999999999</v>
      </c>
      <c r="J3" s="27">
        <v>72.64</v>
      </c>
      <c r="K3" s="28">
        <v>72.64</v>
      </c>
      <c r="L3" s="29">
        <v>72.64</v>
      </c>
      <c r="M3" s="171" t="s">
        <v>11</v>
      </c>
      <c r="N3" s="172"/>
      <c r="O3" s="173"/>
      <c r="P3" s="71"/>
      <c r="Q3" s="72"/>
      <c r="R3" s="156" t="s">
        <v>16</v>
      </c>
      <c r="S3" s="157"/>
      <c r="T3" s="157"/>
      <c r="U3" s="158"/>
      <c r="V3" s="159" t="s">
        <v>17</v>
      </c>
      <c r="W3" s="160"/>
      <c r="X3" s="160"/>
      <c r="Y3" s="161"/>
    </row>
    <row r="4" spans="1:25" ht="15" thickBot="1" x14ac:dyDescent="0.4">
      <c r="A4" s="174"/>
      <c r="B4" s="155"/>
      <c r="C4" s="30" t="s">
        <v>18</v>
      </c>
      <c r="D4" s="31" t="s">
        <v>23</v>
      </c>
      <c r="E4" s="28" t="s">
        <v>19</v>
      </c>
      <c r="F4" s="29" t="s">
        <v>24</v>
      </c>
      <c r="G4" s="27" t="s">
        <v>24</v>
      </c>
      <c r="H4" s="28" t="s">
        <v>19</v>
      </c>
      <c r="I4" s="29" t="s">
        <v>23</v>
      </c>
      <c r="J4" s="27" t="s">
        <v>24</v>
      </c>
      <c r="K4" s="28" t="s">
        <v>19</v>
      </c>
      <c r="L4" s="29" t="s">
        <v>23</v>
      </c>
      <c r="M4" s="31" t="s">
        <v>20</v>
      </c>
      <c r="N4" s="32" t="s">
        <v>21</v>
      </c>
      <c r="O4" s="33" t="s">
        <v>22</v>
      </c>
      <c r="P4" s="27">
        <v>70</v>
      </c>
      <c r="Q4" s="34">
        <v>120</v>
      </c>
      <c r="R4" s="31">
        <v>60</v>
      </c>
      <c r="S4" s="28">
        <v>70</v>
      </c>
      <c r="T4" s="28">
        <v>120</v>
      </c>
      <c r="U4" s="35" t="s">
        <v>11</v>
      </c>
      <c r="V4" s="31">
        <v>60</v>
      </c>
      <c r="W4" s="28">
        <v>70</v>
      </c>
      <c r="X4" s="28">
        <v>120</v>
      </c>
      <c r="Y4" s="35" t="s">
        <v>11</v>
      </c>
    </row>
    <row r="5" spans="1:25" x14ac:dyDescent="0.35">
      <c r="A5" s="78">
        <v>46204</v>
      </c>
      <c r="B5" s="36">
        <v>1</v>
      </c>
      <c r="C5" s="140" t="s">
        <v>86</v>
      </c>
      <c r="D5" s="141"/>
      <c r="E5" s="142"/>
      <c r="F5" s="38"/>
      <c r="G5" s="143">
        <v>40</v>
      </c>
      <c r="H5" s="142">
        <v>40</v>
      </c>
      <c r="I5" s="38"/>
      <c r="J5" s="143">
        <v>40</v>
      </c>
      <c r="K5" s="142">
        <v>40</v>
      </c>
      <c r="L5" s="144">
        <v>40</v>
      </c>
      <c r="M5" s="37">
        <f>SUM(D5:L5)/40</f>
        <v>5</v>
      </c>
      <c r="N5" s="39">
        <f>SUMPRODUCT($D$4:$L$4,$D$6:$L$6)</f>
        <v>0</v>
      </c>
      <c r="O5" s="38">
        <f>SUMPRODUCT($D$3:$L$3,$D$6:$L$6)/1000</f>
        <v>25.827600000000004</v>
      </c>
      <c r="P5" s="73">
        <f>SUM(G5:I5)/20</f>
        <v>4</v>
      </c>
      <c r="Q5" s="40">
        <f>SUM(J5:L5)/20</f>
        <v>6</v>
      </c>
      <c r="R5" s="41" t="e">
        <f>SUMPRODUCT($D$4:$F$4,$D$6:$F$6)*$R$3</f>
        <v>#VALUE!</v>
      </c>
      <c r="S5" s="42">
        <f>SUMPRODUCT($G$4:$I$4,$G$6:$I$6)*$S$3</f>
        <v>0</v>
      </c>
      <c r="T5" s="42">
        <f>SUMPRODUCT($J$4:$L$4,$J$6:$L$6)*$T$3</f>
        <v>0</v>
      </c>
      <c r="U5" s="43" t="e">
        <f>SUM(R5:T5)</f>
        <v>#VALUE!</v>
      </c>
      <c r="V5" s="44" t="e">
        <f>SUM(D5:F5)*$V$3</f>
        <v>#VALUE!</v>
      </c>
      <c r="W5" s="45">
        <f>SUM(G5:I5)*$W$3</f>
        <v>0</v>
      </c>
      <c r="X5" s="45">
        <f>SUM(J5:L5)*$X$3</f>
        <v>0</v>
      </c>
      <c r="Y5" s="46" t="e">
        <f>SUM(V5:X5)</f>
        <v>#VALUE!</v>
      </c>
    </row>
    <row r="6" spans="1:25" x14ac:dyDescent="0.35">
      <c r="A6" s="78">
        <v>46204</v>
      </c>
      <c r="B6" s="47">
        <v>2</v>
      </c>
      <c r="C6" s="57" t="s">
        <v>87</v>
      </c>
      <c r="D6" s="74"/>
      <c r="E6" s="75"/>
      <c r="F6" s="76"/>
      <c r="G6" s="50">
        <v>80</v>
      </c>
      <c r="H6" s="75">
        <v>80</v>
      </c>
      <c r="I6" s="49"/>
      <c r="J6" s="50">
        <v>80</v>
      </c>
      <c r="K6" s="75">
        <v>80</v>
      </c>
      <c r="L6" s="76">
        <v>80</v>
      </c>
      <c r="M6" s="48">
        <f t="shared" ref="M6:M137" si="0">SUM(D6:L6)/40</f>
        <v>10</v>
      </c>
      <c r="N6" s="39">
        <f>SUMPRODUCT($D$4:$L$4,$D$6:$L$6)</f>
        <v>0</v>
      </c>
      <c r="O6" s="49">
        <f t="shared" ref="O6:O136" si="1">SUMPRODUCT($D$3:$L$3,$D$6:$L$6)/1000</f>
        <v>25.827600000000004</v>
      </c>
      <c r="P6" s="73">
        <f t="shared" ref="P6" si="2">SUM(G6:I6)/20</f>
        <v>8</v>
      </c>
      <c r="Q6" s="40">
        <f t="shared" ref="Q6" si="3">SUM(J6:L6)/20</f>
        <v>12</v>
      </c>
      <c r="R6" s="51" t="e">
        <f t="shared" ref="R6:R136" si="4">SUMPRODUCT($D$4:$F$4,$D$6:$F$6)*$R$3</f>
        <v>#VALUE!</v>
      </c>
      <c r="S6" s="52">
        <f t="shared" ref="S6:S136" si="5">SUMPRODUCT($G$4:$I$4,$G$6:$I$6)*$S$3</f>
        <v>0</v>
      </c>
      <c r="T6" s="52">
        <f t="shared" ref="T6:T136" si="6">SUMPRODUCT($J$4:$L$4,$J$6:$L$6)*$T$3</f>
        <v>0</v>
      </c>
      <c r="U6" s="53" t="e">
        <f t="shared" ref="U6:U12" si="7">SUM(R6:T6)</f>
        <v>#VALUE!</v>
      </c>
      <c r="V6" s="54" t="e">
        <f t="shared" ref="V6" si="8">SUM(D6:F6)*$V$3</f>
        <v>#VALUE!</v>
      </c>
      <c r="W6" s="55">
        <f t="shared" ref="W6" si="9">SUM(G6:I6)*$W$3</f>
        <v>0</v>
      </c>
      <c r="X6" s="55">
        <f t="shared" ref="X6" si="10">SUM(J6:L6)*$X$3</f>
        <v>0</v>
      </c>
      <c r="Y6" s="56" t="e">
        <f t="shared" ref="Y6:Y12" si="11">SUM(V6:X6)</f>
        <v>#VALUE!</v>
      </c>
    </row>
    <row r="7" spans="1:25" x14ac:dyDescent="0.35">
      <c r="A7" s="78">
        <v>46204</v>
      </c>
      <c r="B7" s="47">
        <v>3</v>
      </c>
      <c r="C7" s="57" t="s">
        <v>88</v>
      </c>
      <c r="D7" s="74"/>
      <c r="E7" s="75"/>
      <c r="F7" s="76"/>
      <c r="G7" s="50">
        <v>40</v>
      </c>
      <c r="H7" s="75">
        <v>40</v>
      </c>
      <c r="I7" s="49"/>
      <c r="J7" s="50">
        <v>40</v>
      </c>
      <c r="K7" s="75">
        <v>40</v>
      </c>
      <c r="L7" s="76">
        <v>40</v>
      </c>
      <c r="M7" s="48">
        <f t="shared" ref="M7:M15" si="12">SUM(D7:L7)/40</f>
        <v>5</v>
      </c>
      <c r="N7" s="39">
        <f>SUMPRODUCT($D$4:$L$4,$D$6:$L$6)</f>
        <v>0</v>
      </c>
      <c r="O7" s="49">
        <f t="shared" si="1"/>
        <v>25.827600000000004</v>
      </c>
      <c r="P7" s="73">
        <f t="shared" ref="P7:P15" si="13">SUM(G7:I7)/20</f>
        <v>4</v>
      </c>
      <c r="Q7" s="40">
        <f t="shared" ref="Q7:Q15" si="14">SUM(J7:L7)/20</f>
        <v>6</v>
      </c>
      <c r="R7" s="51" t="e">
        <f t="shared" si="4"/>
        <v>#VALUE!</v>
      </c>
      <c r="S7" s="52">
        <f t="shared" si="5"/>
        <v>0</v>
      </c>
      <c r="T7" s="52">
        <f t="shared" si="6"/>
        <v>0</v>
      </c>
      <c r="U7" s="53" t="e">
        <f t="shared" si="7"/>
        <v>#VALUE!</v>
      </c>
      <c r="V7" s="54" t="e">
        <f t="shared" ref="V7:V15" si="15">SUM(D7:F7)*$V$3</f>
        <v>#VALUE!</v>
      </c>
      <c r="W7" s="55">
        <f t="shared" ref="W7:W15" si="16">SUM(G7:I7)*$W$3</f>
        <v>0</v>
      </c>
      <c r="X7" s="55">
        <f t="shared" ref="X7:X15" si="17">SUM(J7:L7)*$X$3</f>
        <v>0</v>
      </c>
      <c r="Y7" s="56" t="e">
        <f t="shared" si="11"/>
        <v>#VALUE!</v>
      </c>
    </row>
    <row r="8" spans="1:25" x14ac:dyDescent="0.35">
      <c r="A8" s="78">
        <v>46204</v>
      </c>
      <c r="B8" s="47">
        <v>4</v>
      </c>
      <c r="C8" s="57" t="s">
        <v>89</v>
      </c>
      <c r="D8" s="74"/>
      <c r="E8" s="75"/>
      <c r="F8" s="76"/>
      <c r="G8" s="50">
        <v>40</v>
      </c>
      <c r="H8" s="75">
        <v>40</v>
      </c>
      <c r="I8" s="49"/>
      <c r="J8" s="50">
        <v>40</v>
      </c>
      <c r="K8" s="75">
        <v>40</v>
      </c>
      <c r="L8" s="76">
        <v>40</v>
      </c>
      <c r="M8" s="48">
        <f t="shared" si="12"/>
        <v>5</v>
      </c>
      <c r="N8" s="39">
        <f t="shared" ref="N8:N136" si="18">SUMPRODUCT($D$4:$L$4,$D$6:$L$6)</f>
        <v>0</v>
      </c>
      <c r="O8" s="49">
        <f t="shared" si="1"/>
        <v>25.827600000000004</v>
      </c>
      <c r="P8" s="73">
        <f t="shared" si="13"/>
        <v>4</v>
      </c>
      <c r="Q8" s="40">
        <f t="shared" si="14"/>
        <v>6</v>
      </c>
      <c r="R8" s="51" t="e">
        <f t="shared" si="4"/>
        <v>#VALUE!</v>
      </c>
      <c r="S8" s="52">
        <f t="shared" si="5"/>
        <v>0</v>
      </c>
      <c r="T8" s="52">
        <f t="shared" si="6"/>
        <v>0</v>
      </c>
      <c r="U8" s="53" t="e">
        <f t="shared" si="7"/>
        <v>#VALUE!</v>
      </c>
      <c r="V8" s="54" t="e">
        <f t="shared" si="15"/>
        <v>#VALUE!</v>
      </c>
      <c r="W8" s="55">
        <f t="shared" si="16"/>
        <v>0</v>
      </c>
      <c r="X8" s="55">
        <f t="shared" si="17"/>
        <v>0</v>
      </c>
      <c r="Y8" s="56" t="e">
        <f t="shared" si="11"/>
        <v>#VALUE!</v>
      </c>
    </row>
    <row r="9" spans="1:25" x14ac:dyDescent="0.35">
      <c r="A9" s="78">
        <v>46204</v>
      </c>
      <c r="B9" s="47">
        <v>5</v>
      </c>
      <c r="C9" s="57" t="s">
        <v>90</v>
      </c>
      <c r="D9" s="74"/>
      <c r="E9" s="75"/>
      <c r="F9" s="76"/>
      <c r="G9" s="50">
        <v>40</v>
      </c>
      <c r="H9" s="75">
        <v>40</v>
      </c>
      <c r="I9" s="49"/>
      <c r="J9" s="50">
        <v>40</v>
      </c>
      <c r="K9" s="75">
        <v>40</v>
      </c>
      <c r="L9" s="76">
        <v>40</v>
      </c>
      <c r="M9" s="48">
        <f t="shared" si="12"/>
        <v>5</v>
      </c>
      <c r="N9" s="39">
        <f t="shared" si="18"/>
        <v>0</v>
      </c>
      <c r="O9" s="49">
        <f t="shared" si="1"/>
        <v>25.827600000000004</v>
      </c>
      <c r="P9" s="73">
        <f t="shared" si="13"/>
        <v>4</v>
      </c>
      <c r="Q9" s="40">
        <f t="shared" si="14"/>
        <v>6</v>
      </c>
      <c r="R9" s="51" t="e">
        <f t="shared" si="4"/>
        <v>#VALUE!</v>
      </c>
      <c r="S9" s="52">
        <f t="shared" si="5"/>
        <v>0</v>
      </c>
      <c r="T9" s="52">
        <f t="shared" si="6"/>
        <v>0</v>
      </c>
      <c r="U9" s="53" t="e">
        <f t="shared" si="7"/>
        <v>#VALUE!</v>
      </c>
      <c r="V9" s="54" t="e">
        <f t="shared" si="15"/>
        <v>#VALUE!</v>
      </c>
      <c r="W9" s="55">
        <f t="shared" si="16"/>
        <v>0</v>
      </c>
      <c r="X9" s="55">
        <f t="shared" si="17"/>
        <v>0</v>
      </c>
      <c r="Y9" s="56" t="e">
        <f t="shared" si="11"/>
        <v>#VALUE!</v>
      </c>
    </row>
    <row r="10" spans="1:25" x14ac:dyDescent="0.35">
      <c r="A10" s="78">
        <v>46204</v>
      </c>
      <c r="B10" s="47">
        <v>6</v>
      </c>
      <c r="C10" s="57" t="s">
        <v>91</v>
      </c>
      <c r="D10" s="74"/>
      <c r="E10" s="75"/>
      <c r="F10" s="76"/>
      <c r="G10" s="50">
        <v>40</v>
      </c>
      <c r="H10" s="75">
        <v>40</v>
      </c>
      <c r="I10" s="49"/>
      <c r="J10" s="50">
        <v>40</v>
      </c>
      <c r="K10" s="75">
        <v>40</v>
      </c>
      <c r="L10" s="76">
        <v>40</v>
      </c>
      <c r="M10" s="48">
        <f t="shared" si="12"/>
        <v>5</v>
      </c>
      <c r="N10" s="39">
        <f t="shared" si="18"/>
        <v>0</v>
      </c>
      <c r="O10" s="49">
        <f t="shared" si="1"/>
        <v>25.827600000000004</v>
      </c>
      <c r="P10" s="73">
        <f t="shared" si="13"/>
        <v>4</v>
      </c>
      <c r="Q10" s="40">
        <f t="shared" si="14"/>
        <v>6</v>
      </c>
      <c r="R10" s="51" t="e">
        <f t="shared" si="4"/>
        <v>#VALUE!</v>
      </c>
      <c r="S10" s="52">
        <f t="shared" si="5"/>
        <v>0</v>
      </c>
      <c r="T10" s="52">
        <f t="shared" si="6"/>
        <v>0</v>
      </c>
      <c r="U10" s="53" t="e">
        <f t="shared" si="7"/>
        <v>#VALUE!</v>
      </c>
      <c r="V10" s="54" t="e">
        <f t="shared" si="15"/>
        <v>#VALUE!</v>
      </c>
      <c r="W10" s="55">
        <f t="shared" si="16"/>
        <v>0</v>
      </c>
      <c r="X10" s="55">
        <f t="shared" si="17"/>
        <v>0</v>
      </c>
      <c r="Y10" s="56" t="e">
        <f t="shared" si="11"/>
        <v>#VALUE!</v>
      </c>
    </row>
    <row r="11" spans="1:25" x14ac:dyDescent="0.35">
      <c r="A11" s="78">
        <v>46204</v>
      </c>
      <c r="B11" s="47">
        <v>7</v>
      </c>
      <c r="C11" s="57" t="s">
        <v>92</v>
      </c>
      <c r="D11" s="74"/>
      <c r="E11" s="75"/>
      <c r="F11" s="76"/>
      <c r="G11" s="50">
        <v>40</v>
      </c>
      <c r="H11" s="75">
        <v>40</v>
      </c>
      <c r="I11" s="49"/>
      <c r="J11" s="50">
        <v>40</v>
      </c>
      <c r="K11" s="75">
        <v>40</v>
      </c>
      <c r="L11" s="76">
        <v>40</v>
      </c>
      <c r="M11" s="48">
        <f t="shared" si="12"/>
        <v>5</v>
      </c>
      <c r="N11" s="39">
        <f t="shared" si="18"/>
        <v>0</v>
      </c>
      <c r="O11" s="49">
        <f t="shared" si="1"/>
        <v>25.827600000000004</v>
      </c>
      <c r="P11" s="73">
        <f t="shared" si="13"/>
        <v>4</v>
      </c>
      <c r="Q11" s="40">
        <f t="shared" si="14"/>
        <v>6</v>
      </c>
      <c r="R11" s="51" t="e">
        <f t="shared" si="4"/>
        <v>#VALUE!</v>
      </c>
      <c r="S11" s="52">
        <f t="shared" si="5"/>
        <v>0</v>
      </c>
      <c r="T11" s="52">
        <f t="shared" si="6"/>
        <v>0</v>
      </c>
      <c r="U11" s="53" t="e">
        <f t="shared" si="7"/>
        <v>#VALUE!</v>
      </c>
      <c r="V11" s="54" t="e">
        <f t="shared" si="15"/>
        <v>#VALUE!</v>
      </c>
      <c r="W11" s="55">
        <f t="shared" si="16"/>
        <v>0</v>
      </c>
      <c r="X11" s="55">
        <f t="shared" si="17"/>
        <v>0</v>
      </c>
      <c r="Y11" s="56" t="e">
        <f t="shared" si="11"/>
        <v>#VALUE!</v>
      </c>
    </row>
    <row r="12" spans="1:25" x14ac:dyDescent="0.35">
      <c r="A12" s="78">
        <v>46204</v>
      </c>
      <c r="B12" s="47">
        <v>8</v>
      </c>
      <c r="C12" s="57" t="s">
        <v>93</v>
      </c>
      <c r="D12" s="74"/>
      <c r="E12" s="75"/>
      <c r="F12" s="76"/>
      <c r="G12" s="50">
        <v>40</v>
      </c>
      <c r="H12" s="75">
        <v>40</v>
      </c>
      <c r="I12" s="49"/>
      <c r="J12" s="50">
        <v>40</v>
      </c>
      <c r="K12" s="75">
        <v>40</v>
      </c>
      <c r="L12" s="76">
        <v>40</v>
      </c>
      <c r="M12" s="48">
        <f t="shared" si="12"/>
        <v>5</v>
      </c>
      <c r="N12" s="39">
        <f t="shared" si="18"/>
        <v>0</v>
      </c>
      <c r="O12" s="49">
        <f t="shared" si="1"/>
        <v>25.827600000000004</v>
      </c>
      <c r="P12" s="73">
        <f t="shared" si="13"/>
        <v>4</v>
      </c>
      <c r="Q12" s="40">
        <f t="shared" si="14"/>
        <v>6</v>
      </c>
      <c r="R12" s="51" t="e">
        <f t="shared" si="4"/>
        <v>#VALUE!</v>
      </c>
      <c r="S12" s="52">
        <f t="shared" si="5"/>
        <v>0</v>
      </c>
      <c r="T12" s="52">
        <f t="shared" si="6"/>
        <v>0</v>
      </c>
      <c r="U12" s="53" t="e">
        <f t="shared" si="7"/>
        <v>#VALUE!</v>
      </c>
      <c r="V12" s="54" t="e">
        <f t="shared" si="15"/>
        <v>#VALUE!</v>
      </c>
      <c r="W12" s="55">
        <f t="shared" si="16"/>
        <v>0</v>
      </c>
      <c r="X12" s="55">
        <f t="shared" si="17"/>
        <v>0</v>
      </c>
      <c r="Y12" s="56" t="e">
        <f t="shared" si="11"/>
        <v>#VALUE!</v>
      </c>
    </row>
    <row r="13" spans="1:25" x14ac:dyDescent="0.35">
      <c r="A13" s="78">
        <v>46204</v>
      </c>
      <c r="B13" s="47">
        <v>9</v>
      </c>
      <c r="C13" s="57" t="s">
        <v>94</v>
      </c>
      <c r="D13" s="74"/>
      <c r="E13" s="75"/>
      <c r="F13" s="76"/>
      <c r="G13" s="50">
        <v>40</v>
      </c>
      <c r="H13" s="75">
        <v>40</v>
      </c>
      <c r="I13" s="49"/>
      <c r="J13" s="50">
        <v>40</v>
      </c>
      <c r="K13" s="75">
        <v>40</v>
      </c>
      <c r="L13" s="76">
        <v>40</v>
      </c>
      <c r="M13" s="48">
        <f t="shared" si="12"/>
        <v>5</v>
      </c>
      <c r="N13" s="39">
        <f t="shared" si="18"/>
        <v>0</v>
      </c>
      <c r="O13" s="49">
        <f t="shared" si="1"/>
        <v>25.827600000000004</v>
      </c>
      <c r="P13" s="73">
        <f t="shared" si="13"/>
        <v>4</v>
      </c>
      <c r="Q13" s="40">
        <f t="shared" si="14"/>
        <v>6</v>
      </c>
      <c r="R13" s="51" t="e">
        <f t="shared" si="4"/>
        <v>#VALUE!</v>
      </c>
      <c r="S13" s="52">
        <f t="shared" si="5"/>
        <v>0</v>
      </c>
      <c r="T13" s="52">
        <f t="shared" si="6"/>
        <v>0</v>
      </c>
      <c r="U13" s="53" t="e">
        <f t="shared" ref="U13:U136" si="19">SUM(R13:T13)</f>
        <v>#VALUE!</v>
      </c>
      <c r="V13" s="54" t="e">
        <f t="shared" si="15"/>
        <v>#VALUE!</v>
      </c>
      <c r="W13" s="55">
        <f t="shared" si="16"/>
        <v>0</v>
      </c>
      <c r="X13" s="55">
        <f t="shared" si="17"/>
        <v>0</v>
      </c>
      <c r="Y13" s="56" t="e">
        <f t="shared" ref="Y13:Y136" si="20">SUM(V13:X13)</f>
        <v>#VALUE!</v>
      </c>
    </row>
    <row r="14" spans="1:25" x14ac:dyDescent="0.35">
      <c r="A14" s="78">
        <v>46204</v>
      </c>
      <c r="B14" s="47">
        <v>10</v>
      </c>
      <c r="C14" s="57" t="s">
        <v>95</v>
      </c>
      <c r="D14" s="74"/>
      <c r="E14" s="75"/>
      <c r="F14" s="76"/>
      <c r="G14" s="50">
        <v>40</v>
      </c>
      <c r="H14" s="75">
        <v>40</v>
      </c>
      <c r="I14" s="49"/>
      <c r="J14" s="50">
        <v>40</v>
      </c>
      <c r="K14" s="75">
        <v>40</v>
      </c>
      <c r="L14" s="76">
        <v>40</v>
      </c>
      <c r="M14" s="48">
        <f t="shared" si="12"/>
        <v>5</v>
      </c>
      <c r="N14" s="39">
        <f t="shared" si="18"/>
        <v>0</v>
      </c>
      <c r="O14" s="49">
        <f t="shared" si="1"/>
        <v>25.827600000000004</v>
      </c>
      <c r="P14" s="73">
        <f t="shared" si="13"/>
        <v>4</v>
      </c>
      <c r="Q14" s="40">
        <f t="shared" si="14"/>
        <v>6</v>
      </c>
      <c r="R14" s="51" t="e">
        <f t="shared" si="4"/>
        <v>#VALUE!</v>
      </c>
      <c r="S14" s="52">
        <f t="shared" si="5"/>
        <v>0</v>
      </c>
      <c r="T14" s="52">
        <f t="shared" si="6"/>
        <v>0</v>
      </c>
      <c r="U14" s="53" t="e">
        <f t="shared" si="19"/>
        <v>#VALUE!</v>
      </c>
      <c r="V14" s="54" t="e">
        <f t="shared" si="15"/>
        <v>#VALUE!</v>
      </c>
      <c r="W14" s="55">
        <f t="shared" si="16"/>
        <v>0</v>
      </c>
      <c r="X14" s="55">
        <f t="shared" si="17"/>
        <v>0</v>
      </c>
      <c r="Y14" s="56" t="e">
        <f t="shared" si="20"/>
        <v>#VALUE!</v>
      </c>
    </row>
    <row r="15" spans="1:25" x14ac:dyDescent="0.35">
      <c r="A15" s="78">
        <v>46204</v>
      </c>
      <c r="B15" s="47">
        <v>11</v>
      </c>
      <c r="C15" s="57" t="s">
        <v>96</v>
      </c>
      <c r="D15" s="74"/>
      <c r="E15" s="75"/>
      <c r="F15" s="76"/>
      <c r="G15" s="50">
        <v>40</v>
      </c>
      <c r="H15" s="75">
        <v>40</v>
      </c>
      <c r="I15" s="49"/>
      <c r="J15" s="50">
        <v>40</v>
      </c>
      <c r="K15" s="75">
        <v>40</v>
      </c>
      <c r="L15" s="76">
        <v>40</v>
      </c>
      <c r="M15" s="48">
        <f t="shared" si="12"/>
        <v>5</v>
      </c>
      <c r="N15" s="39">
        <f t="shared" si="18"/>
        <v>0</v>
      </c>
      <c r="O15" s="49">
        <f t="shared" si="1"/>
        <v>25.827600000000004</v>
      </c>
      <c r="P15" s="73">
        <f t="shared" si="13"/>
        <v>4</v>
      </c>
      <c r="Q15" s="40">
        <f t="shared" si="14"/>
        <v>6</v>
      </c>
      <c r="R15" s="51" t="e">
        <f t="shared" si="4"/>
        <v>#VALUE!</v>
      </c>
      <c r="S15" s="52">
        <f t="shared" si="5"/>
        <v>0</v>
      </c>
      <c r="T15" s="52">
        <f t="shared" si="6"/>
        <v>0</v>
      </c>
      <c r="U15" s="53" t="e">
        <f t="shared" si="19"/>
        <v>#VALUE!</v>
      </c>
      <c r="V15" s="54" t="e">
        <f t="shared" si="15"/>
        <v>#VALUE!</v>
      </c>
      <c r="W15" s="55">
        <f t="shared" si="16"/>
        <v>0</v>
      </c>
      <c r="X15" s="55">
        <f t="shared" si="17"/>
        <v>0</v>
      </c>
      <c r="Y15" s="56" t="e">
        <f t="shared" si="20"/>
        <v>#VALUE!</v>
      </c>
    </row>
    <row r="16" spans="1:25" x14ac:dyDescent="0.35">
      <c r="A16" s="78">
        <v>46204</v>
      </c>
      <c r="B16" s="47">
        <v>12</v>
      </c>
      <c r="C16" s="57" t="s">
        <v>97</v>
      </c>
      <c r="D16" s="74"/>
      <c r="E16" s="75"/>
      <c r="F16" s="76"/>
      <c r="G16" s="50">
        <v>40</v>
      </c>
      <c r="H16" s="75">
        <v>40</v>
      </c>
      <c r="I16" s="49"/>
      <c r="J16" s="50">
        <v>40</v>
      </c>
      <c r="K16" s="75">
        <v>40</v>
      </c>
      <c r="L16" s="76">
        <v>40</v>
      </c>
      <c r="M16" s="48">
        <f t="shared" ref="M16:M17" si="21">SUM(D16:L16)/40</f>
        <v>5</v>
      </c>
      <c r="N16" s="39">
        <f t="shared" si="18"/>
        <v>0</v>
      </c>
      <c r="O16" s="49">
        <f t="shared" si="1"/>
        <v>25.827600000000004</v>
      </c>
      <c r="P16" s="73">
        <f t="shared" ref="P16:P17" si="22">SUM(G16:I16)/20</f>
        <v>4</v>
      </c>
      <c r="Q16" s="40">
        <f t="shared" ref="Q16:Q17" si="23">SUM(J16:L16)/20</f>
        <v>6</v>
      </c>
      <c r="R16" s="51" t="e">
        <f t="shared" si="4"/>
        <v>#VALUE!</v>
      </c>
      <c r="S16" s="52">
        <f t="shared" si="5"/>
        <v>0</v>
      </c>
      <c r="T16" s="52">
        <f t="shared" si="6"/>
        <v>0</v>
      </c>
      <c r="U16" s="53" t="e">
        <f t="shared" ref="U16:U17" si="24">SUM(R16:T16)</f>
        <v>#VALUE!</v>
      </c>
      <c r="V16" s="54" t="e">
        <f t="shared" ref="V16:V17" si="25">SUM(D16:F16)*$V$3</f>
        <v>#VALUE!</v>
      </c>
      <c r="W16" s="55">
        <f t="shared" ref="W16:W17" si="26">SUM(G16:I16)*$W$3</f>
        <v>0</v>
      </c>
      <c r="X16" s="55">
        <f t="shared" ref="X16:X17" si="27">SUM(J16:L16)*$X$3</f>
        <v>0</v>
      </c>
      <c r="Y16" s="56" t="e">
        <f t="shared" ref="Y16:Y17" si="28">SUM(V16:X16)</f>
        <v>#VALUE!</v>
      </c>
    </row>
    <row r="17" spans="1:25" x14ac:dyDescent="0.35">
      <c r="A17" s="78">
        <v>46204</v>
      </c>
      <c r="B17" s="47">
        <v>13</v>
      </c>
      <c r="C17" s="57" t="s">
        <v>98</v>
      </c>
      <c r="D17" s="74"/>
      <c r="E17" s="75"/>
      <c r="F17" s="76"/>
      <c r="G17" s="50">
        <v>40</v>
      </c>
      <c r="H17" s="75">
        <v>40</v>
      </c>
      <c r="I17" s="49"/>
      <c r="J17" s="50">
        <v>40</v>
      </c>
      <c r="K17" s="75">
        <v>40</v>
      </c>
      <c r="L17" s="76">
        <v>40</v>
      </c>
      <c r="M17" s="48">
        <f t="shared" si="21"/>
        <v>5</v>
      </c>
      <c r="N17" s="39">
        <f t="shared" si="18"/>
        <v>0</v>
      </c>
      <c r="O17" s="49">
        <f t="shared" si="1"/>
        <v>25.827600000000004</v>
      </c>
      <c r="P17" s="73">
        <f t="shared" si="22"/>
        <v>4</v>
      </c>
      <c r="Q17" s="40">
        <f t="shared" si="23"/>
        <v>6</v>
      </c>
      <c r="R17" s="51" t="e">
        <f t="shared" si="4"/>
        <v>#VALUE!</v>
      </c>
      <c r="S17" s="52">
        <f t="shared" si="5"/>
        <v>0</v>
      </c>
      <c r="T17" s="52">
        <f t="shared" si="6"/>
        <v>0</v>
      </c>
      <c r="U17" s="53" t="e">
        <f t="shared" si="24"/>
        <v>#VALUE!</v>
      </c>
      <c r="V17" s="54" t="e">
        <f t="shared" si="25"/>
        <v>#VALUE!</v>
      </c>
      <c r="W17" s="55">
        <f t="shared" si="26"/>
        <v>0</v>
      </c>
      <c r="X17" s="55">
        <f t="shared" si="27"/>
        <v>0</v>
      </c>
      <c r="Y17" s="56" t="e">
        <f t="shared" si="28"/>
        <v>#VALUE!</v>
      </c>
    </row>
    <row r="18" spans="1:25" x14ac:dyDescent="0.35">
      <c r="A18" s="78">
        <v>46205</v>
      </c>
      <c r="B18" s="47">
        <v>14</v>
      </c>
      <c r="C18" s="145" t="s">
        <v>111</v>
      </c>
      <c r="D18" s="146"/>
      <c r="E18" s="147"/>
      <c r="F18" s="148"/>
      <c r="G18" s="149">
        <v>120</v>
      </c>
      <c r="H18" s="147">
        <v>80</v>
      </c>
      <c r="I18" s="150"/>
      <c r="J18" s="149">
        <v>40</v>
      </c>
      <c r="K18" s="147">
        <v>40</v>
      </c>
      <c r="L18" s="148">
        <v>120</v>
      </c>
      <c r="M18" s="48">
        <f t="shared" ref="M18:M20" si="29">SUM(D18:L18)/40</f>
        <v>10</v>
      </c>
      <c r="N18" s="39">
        <f t="shared" si="18"/>
        <v>0</v>
      </c>
      <c r="O18" s="49">
        <f t="shared" si="1"/>
        <v>25.827600000000004</v>
      </c>
      <c r="P18" s="73">
        <f t="shared" ref="P18:P20" si="30">SUM(G18:I18)/20</f>
        <v>10</v>
      </c>
      <c r="Q18" s="40">
        <f t="shared" ref="Q18:Q20" si="31">SUM(J18:L18)/20</f>
        <v>10</v>
      </c>
      <c r="R18" s="51" t="e">
        <f t="shared" si="4"/>
        <v>#VALUE!</v>
      </c>
      <c r="S18" s="52">
        <f t="shared" si="5"/>
        <v>0</v>
      </c>
      <c r="T18" s="52">
        <f t="shared" si="6"/>
        <v>0</v>
      </c>
      <c r="U18" s="53" t="e">
        <f t="shared" ref="U18:U20" si="32">SUM(R18:T18)</f>
        <v>#VALUE!</v>
      </c>
      <c r="V18" s="54" t="e">
        <f t="shared" ref="V18:V20" si="33">SUM(D18:F18)*$V$3</f>
        <v>#VALUE!</v>
      </c>
      <c r="W18" s="55">
        <f t="shared" ref="W18:W20" si="34">SUM(G18:I18)*$W$3</f>
        <v>0</v>
      </c>
      <c r="X18" s="55">
        <f t="shared" ref="X18:X20" si="35">SUM(J18:L18)*$X$3</f>
        <v>0</v>
      </c>
      <c r="Y18" s="56" t="e">
        <f t="shared" ref="Y18:Y20" si="36">SUM(V18:X18)</f>
        <v>#VALUE!</v>
      </c>
    </row>
    <row r="19" spans="1:25" x14ac:dyDescent="0.35">
      <c r="A19" s="78">
        <v>46205</v>
      </c>
      <c r="B19" s="47">
        <v>15</v>
      </c>
      <c r="C19" s="145" t="s">
        <v>112</v>
      </c>
      <c r="D19" s="146"/>
      <c r="E19" s="147"/>
      <c r="F19" s="148"/>
      <c r="G19" s="149"/>
      <c r="H19" s="147"/>
      <c r="I19" s="150"/>
      <c r="J19" s="149">
        <v>120</v>
      </c>
      <c r="K19" s="147">
        <v>120</v>
      </c>
      <c r="L19" s="148">
        <v>120</v>
      </c>
      <c r="M19" s="48">
        <f t="shared" si="29"/>
        <v>9</v>
      </c>
      <c r="N19" s="39">
        <f t="shared" si="18"/>
        <v>0</v>
      </c>
      <c r="O19" s="49">
        <f t="shared" si="1"/>
        <v>25.827600000000004</v>
      </c>
      <c r="P19" s="73">
        <f t="shared" si="30"/>
        <v>0</v>
      </c>
      <c r="Q19" s="40">
        <f t="shared" si="31"/>
        <v>18</v>
      </c>
      <c r="R19" s="51" t="e">
        <f t="shared" si="4"/>
        <v>#VALUE!</v>
      </c>
      <c r="S19" s="52">
        <f t="shared" si="5"/>
        <v>0</v>
      </c>
      <c r="T19" s="52">
        <f t="shared" si="6"/>
        <v>0</v>
      </c>
      <c r="U19" s="53" t="e">
        <f t="shared" si="32"/>
        <v>#VALUE!</v>
      </c>
      <c r="V19" s="54" t="e">
        <f t="shared" si="33"/>
        <v>#VALUE!</v>
      </c>
      <c r="W19" s="55">
        <f t="shared" si="34"/>
        <v>0</v>
      </c>
      <c r="X19" s="55">
        <f t="shared" si="35"/>
        <v>0</v>
      </c>
      <c r="Y19" s="56" t="e">
        <f t="shared" si="36"/>
        <v>#VALUE!</v>
      </c>
    </row>
    <row r="20" spans="1:25" x14ac:dyDescent="0.35">
      <c r="A20" s="78">
        <v>46205</v>
      </c>
      <c r="B20" s="47">
        <v>16</v>
      </c>
      <c r="C20" s="145" t="s">
        <v>103</v>
      </c>
      <c r="D20" s="146"/>
      <c r="E20" s="147"/>
      <c r="F20" s="148"/>
      <c r="G20" s="149"/>
      <c r="H20" s="147"/>
      <c r="I20" s="150"/>
      <c r="J20" s="149">
        <v>240</v>
      </c>
      <c r="K20" s="147">
        <v>240</v>
      </c>
      <c r="L20" s="148">
        <v>240</v>
      </c>
      <c r="M20" s="48">
        <f t="shared" si="29"/>
        <v>18</v>
      </c>
      <c r="N20" s="39">
        <f t="shared" si="18"/>
        <v>0</v>
      </c>
      <c r="O20" s="49">
        <f t="shared" si="1"/>
        <v>25.827600000000004</v>
      </c>
      <c r="P20" s="73">
        <f t="shared" si="30"/>
        <v>0</v>
      </c>
      <c r="Q20" s="40">
        <f t="shared" si="31"/>
        <v>36</v>
      </c>
      <c r="R20" s="51" t="e">
        <f t="shared" si="4"/>
        <v>#VALUE!</v>
      </c>
      <c r="S20" s="52">
        <f t="shared" si="5"/>
        <v>0</v>
      </c>
      <c r="T20" s="52">
        <f t="shared" si="6"/>
        <v>0</v>
      </c>
      <c r="U20" s="53" t="e">
        <f t="shared" si="32"/>
        <v>#VALUE!</v>
      </c>
      <c r="V20" s="54" t="e">
        <f t="shared" si="33"/>
        <v>#VALUE!</v>
      </c>
      <c r="W20" s="55">
        <f t="shared" si="34"/>
        <v>0</v>
      </c>
      <c r="X20" s="55">
        <f t="shared" si="35"/>
        <v>0</v>
      </c>
      <c r="Y20" s="56" t="e">
        <f t="shared" si="36"/>
        <v>#VALUE!</v>
      </c>
    </row>
    <row r="21" spans="1:25" x14ac:dyDescent="0.35">
      <c r="A21" s="78">
        <v>46205</v>
      </c>
      <c r="B21" s="47">
        <v>17</v>
      </c>
      <c r="C21" s="145" t="s">
        <v>113</v>
      </c>
      <c r="D21" s="146"/>
      <c r="E21" s="147"/>
      <c r="F21" s="148"/>
      <c r="G21" s="149">
        <v>40</v>
      </c>
      <c r="H21" s="147">
        <v>40</v>
      </c>
      <c r="I21" s="150"/>
      <c r="J21" s="149">
        <v>40</v>
      </c>
      <c r="K21" s="147">
        <v>40</v>
      </c>
      <c r="L21" s="148">
        <v>40</v>
      </c>
      <c r="M21" s="48">
        <f t="shared" ref="M21:M23" si="37">SUM(D21:L21)/40</f>
        <v>5</v>
      </c>
      <c r="N21" s="39">
        <f t="shared" si="18"/>
        <v>0</v>
      </c>
      <c r="O21" s="49">
        <f t="shared" si="1"/>
        <v>25.827600000000004</v>
      </c>
      <c r="P21" s="73">
        <f t="shared" ref="P21:P23" si="38">SUM(G21:I21)/20</f>
        <v>4</v>
      </c>
      <c r="Q21" s="40">
        <f t="shared" ref="Q21:Q23" si="39">SUM(J21:L21)/20</f>
        <v>6</v>
      </c>
      <c r="R21" s="51" t="e">
        <f t="shared" si="4"/>
        <v>#VALUE!</v>
      </c>
      <c r="S21" s="52">
        <f t="shared" si="5"/>
        <v>0</v>
      </c>
      <c r="T21" s="52">
        <f t="shared" si="6"/>
        <v>0</v>
      </c>
      <c r="U21" s="53" t="e">
        <f t="shared" ref="U21:U22" si="40">SUM(R21:T21)</f>
        <v>#VALUE!</v>
      </c>
      <c r="V21" s="54" t="e">
        <f t="shared" ref="V21:V22" si="41">SUM(D21:F21)*$V$3</f>
        <v>#VALUE!</v>
      </c>
      <c r="W21" s="55">
        <f t="shared" ref="W21:W23" si="42">SUM(G21:I21)*$W$3</f>
        <v>0</v>
      </c>
      <c r="X21" s="55">
        <f t="shared" ref="X21:X23" si="43">SUM(J21:L21)*$X$3</f>
        <v>0</v>
      </c>
      <c r="Y21" s="56" t="e">
        <f t="shared" ref="Y21:Y132" si="44">SUM(V21:X21)</f>
        <v>#VALUE!</v>
      </c>
    </row>
    <row r="22" spans="1:25" x14ac:dyDescent="0.35">
      <c r="A22" s="78"/>
      <c r="B22" s="47">
        <v>18</v>
      </c>
      <c r="C22" s="57" t="s">
        <v>107</v>
      </c>
      <c r="D22" s="74"/>
      <c r="E22" s="75"/>
      <c r="F22" s="76"/>
      <c r="G22" s="50">
        <v>78</v>
      </c>
      <c r="H22" s="75">
        <v>77</v>
      </c>
      <c r="I22" s="49"/>
      <c r="J22" s="50">
        <v>159</v>
      </c>
      <c r="K22" s="75">
        <v>38</v>
      </c>
      <c r="L22" s="76">
        <v>158</v>
      </c>
      <c r="M22" s="48">
        <f t="shared" si="37"/>
        <v>12.75</v>
      </c>
      <c r="N22" s="39">
        <f t="shared" si="18"/>
        <v>0</v>
      </c>
      <c r="O22" s="49">
        <f t="shared" si="1"/>
        <v>25.827600000000004</v>
      </c>
      <c r="P22" s="73">
        <f t="shared" si="38"/>
        <v>7.75</v>
      </c>
      <c r="Q22" s="40">
        <f t="shared" si="39"/>
        <v>17.75</v>
      </c>
      <c r="R22" s="51" t="e">
        <f t="shared" si="4"/>
        <v>#VALUE!</v>
      </c>
      <c r="S22" s="52">
        <f t="shared" si="5"/>
        <v>0</v>
      </c>
      <c r="T22" s="52">
        <f t="shared" si="6"/>
        <v>0</v>
      </c>
      <c r="U22" s="53" t="e">
        <f t="shared" si="40"/>
        <v>#VALUE!</v>
      </c>
      <c r="V22" s="54" t="e">
        <f t="shared" si="41"/>
        <v>#VALUE!</v>
      </c>
      <c r="W22" s="55">
        <f t="shared" si="42"/>
        <v>0</v>
      </c>
      <c r="X22" s="55">
        <f t="shared" si="43"/>
        <v>0</v>
      </c>
      <c r="Y22" s="56" t="e">
        <f t="shared" si="44"/>
        <v>#VALUE!</v>
      </c>
    </row>
    <row r="23" spans="1:25" x14ac:dyDescent="0.35">
      <c r="A23" s="78"/>
      <c r="B23" s="47">
        <v>19</v>
      </c>
      <c r="C23" s="57" t="s">
        <v>114</v>
      </c>
      <c r="D23" s="74"/>
      <c r="E23" s="75"/>
      <c r="F23" s="76"/>
      <c r="G23" s="50"/>
      <c r="H23" s="75">
        <v>40</v>
      </c>
      <c r="I23" s="49"/>
      <c r="J23" s="50">
        <v>40</v>
      </c>
      <c r="K23" s="75">
        <v>40</v>
      </c>
      <c r="L23" s="76">
        <v>40</v>
      </c>
      <c r="M23" s="48">
        <f t="shared" si="37"/>
        <v>4</v>
      </c>
      <c r="N23" s="39">
        <f t="shared" si="18"/>
        <v>0</v>
      </c>
      <c r="O23" s="49">
        <f t="shared" si="1"/>
        <v>25.827600000000004</v>
      </c>
      <c r="P23" s="73">
        <f t="shared" si="38"/>
        <v>2</v>
      </c>
      <c r="Q23" s="40">
        <f t="shared" si="39"/>
        <v>6</v>
      </c>
      <c r="R23" s="51" t="e">
        <f t="shared" si="4"/>
        <v>#VALUE!</v>
      </c>
      <c r="S23" s="52">
        <f t="shared" si="5"/>
        <v>0</v>
      </c>
      <c r="T23" s="52">
        <f t="shared" si="6"/>
        <v>0</v>
      </c>
      <c r="U23" s="53" t="e">
        <f t="shared" ref="U23:U27" si="45">SUM(R23:T23)</f>
        <v>#VALUE!</v>
      </c>
      <c r="V23" s="54" t="e">
        <f t="shared" ref="V23:V27" si="46">SUM(D23:F23)*$V$3</f>
        <v>#VALUE!</v>
      </c>
      <c r="W23" s="55">
        <f t="shared" si="42"/>
        <v>0</v>
      </c>
      <c r="X23" s="55">
        <f t="shared" si="43"/>
        <v>0</v>
      </c>
      <c r="Y23" s="56" t="e">
        <f t="shared" si="44"/>
        <v>#VALUE!</v>
      </c>
    </row>
    <row r="24" spans="1:25" x14ac:dyDescent="0.35">
      <c r="A24" s="78"/>
      <c r="B24" s="47">
        <v>20</v>
      </c>
      <c r="C24" s="57" t="s">
        <v>106</v>
      </c>
      <c r="D24" s="74"/>
      <c r="E24" s="75"/>
      <c r="F24" s="76"/>
      <c r="G24" s="50">
        <v>120</v>
      </c>
      <c r="H24" s="75">
        <v>120</v>
      </c>
      <c r="I24" s="49"/>
      <c r="J24" s="50">
        <v>160</v>
      </c>
      <c r="K24" s="75">
        <v>0</v>
      </c>
      <c r="L24" s="76">
        <v>160</v>
      </c>
      <c r="M24" s="48">
        <f t="shared" ref="M24:M27" si="47">SUM(D24:L24)/40</f>
        <v>14</v>
      </c>
      <c r="N24" s="39">
        <f t="shared" si="18"/>
        <v>0</v>
      </c>
      <c r="O24" s="49">
        <f t="shared" si="1"/>
        <v>25.827600000000004</v>
      </c>
      <c r="P24" s="73">
        <f t="shared" ref="P24:P27" si="48">SUM(G24:I24)/20</f>
        <v>12</v>
      </c>
      <c r="Q24" s="40">
        <f t="shared" ref="Q24:Q27" si="49">SUM(J24:L24)/20</f>
        <v>16</v>
      </c>
      <c r="R24" s="51" t="e">
        <f t="shared" si="4"/>
        <v>#VALUE!</v>
      </c>
      <c r="S24" s="52">
        <f t="shared" si="5"/>
        <v>0</v>
      </c>
      <c r="T24" s="52">
        <f t="shared" si="6"/>
        <v>0</v>
      </c>
      <c r="U24" s="53" t="e">
        <f t="shared" si="45"/>
        <v>#VALUE!</v>
      </c>
      <c r="V24" s="54" t="e">
        <f t="shared" si="46"/>
        <v>#VALUE!</v>
      </c>
      <c r="W24" s="55">
        <f t="shared" ref="W24:W27" si="50">SUM(G24:I24)*$W$3</f>
        <v>0</v>
      </c>
      <c r="X24" s="55">
        <f t="shared" ref="X24:X27" si="51">SUM(J24:L24)*$X$3</f>
        <v>0</v>
      </c>
      <c r="Y24" s="56" t="e">
        <f t="shared" si="44"/>
        <v>#VALUE!</v>
      </c>
    </row>
    <row r="25" spans="1:25" x14ac:dyDescent="0.35">
      <c r="A25" s="78"/>
      <c r="B25" s="47">
        <v>21</v>
      </c>
      <c r="C25" s="57"/>
      <c r="D25" s="74"/>
      <c r="E25" s="75"/>
      <c r="F25" s="76"/>
      <c r="G25" s="50"/>
      <c r="H25" s="75"/>
      <c r="I25" s="49"/>
      <c r="J25" s="50"/>
      <c r="K25" s="75"/>
      <c r="L25" s="76"/>
      <c r="M25" s="48">
        <f t="shared" si="47"/>
        <v>0</v>
      </c>
      <c r="N25" s="39">
        <f t="shared" si="18"/>
        <v>0</v>
      </c>
      <c r="O25" s="49">
        <f t="shared" si="1"/>
        <v>25.827600000000004</v>
      </c>
      <c r="P25" s="73">
        <f t="shared" si="48"/>
        <v>0</v>
      </c>
      <c r="Q25" s="40">
        <f t="shared" si="49"/>
        <v>0</v>
      </c>
      <c r="R25" s="51" t="e">
        <f t="shared" si="4"/>
        <v>#VALUE!</v>
      </c>
      <c r="S25" s="52">
        <f t="shared" si="5"/>
        <v>0</v>
      </c>
      <c r="T25" s="52">
        <f t="shared" si="6"/>
        <v>0</v>
      </c>
      <c r="U25" s="53" t="e">
        <f t="shared" si="45"/>
        <v>#VALUE!</v>
      </c>
      <c r="V25" s="54" t="e">
        <f t="shared" si="46"/>
        <v>#VALUE!</v>
      </c>
      <c r="W25" s="55">
        <f t="shared" si="50"/>
        <v>0</v>
      </c>
      <c r="X25" s="55">
        <f t="shared" si="51"/>
        <v>0</v>
      </c>
      <c r="Y25" s="56" t="e">
        <f t="shared" si="44"/>
        <v>#VALUE!</v>
      </c>
    </row>
    <row r="26" spans="1:25" x14ac:dyDescent="0.35">
      <c r="A26" s="78"/>
      <c r="B26" s="47">
        <v>22</v>
      </c>
      <c r="C26" s="57"/>
      <c r="D26" s="74"/>
      <c r="E26" s="75"/>
      <c r="F26" s="76"/>
      <c r="G26" s="50"/>
      <c r="H26" s="75"/>
      <c r="I26" s="49"/>
      <c r="J26" s="50"/>
      <c r="K26" s="75"/>
      <c r="L26" s="76"/>
      <c r="M26" s="48">
        <f t="shared" si="47"/>
        <v>0</v>
      </c>
      <c r="N26" s="39">
        <f t="shared" si="18"/>
        <v>0</v>
      </c>
      <c r="O26" s="49">
        <f t="shared" si="1"/>
        <v>25.827600000000004</v>
      </c>
      <c r="P26" s="73">
        <f t="shared" si="48"/>
        <v>0</v>
      </c>
      <c r="Q26" s="40">
        <f t="shared" si="49"/>
        <v>0</v>
      </c>
      <c r="R26" s="51" t="e">
        <f t="shared" si="4"/>
        <v>#VALUE!</v>
      </c>
      <c r="S26" s="52">
        <f t="shared" si="5"/>
        <v>0</v>
      </c>
      <c r="T26" s="52">
        <f t="shared" si="6"/>
        <v>0</v>
      </c>
      <c r="U26" s="53" t="e">
        <f t="shared" si="45"/>
        <v>#VALUE!</v>
      </c>
      <c r="V26" s="54" t="e">
        <f t="shared" si="46"/>
        <v>#VALUE!</v>
      </c>
      <c r="W26" s="55">
        <f t="shared" si="50"/>
        <v>0</v>
      </c>
      <c r="X26" s="55">
        <f t="shared" si="51"/>
        <v>0</v>
      </c>
      <c r="Y26" s="56" t="e">
        <f t="shared" si="44"/>
        <v>#VALUE!</v>
      </c>
    </row>
    <row r="27" spans="1:25" x14ac:dyDescent="0.35">
      <c r="A27" s="78"/>
      <c r="B27" s="47">
        <v>23</v>
      </c>
      <c r="C27" s="57"/>
      <c r="D27" s="74"/>
      <c r="E27" s="75"/>
      <c r="F27" s="76"/>
      <c r="G27" s="50"/>
      <c r="H27" s="75"/>
      <c r="I27" s="49"/>
      <c r="J27" s="50"/>
      <c r="K27" s="75"/>
      <c r="L27" s="76"/>
      <c r="M27" s="48">
        <f t="shared" si="47"/>
        <v>0</v>
      </c>
      <c r="N27" s="39">
        <f t="shared" si="18"/>
        <v>0</v>
      </c>
      <c r="O27" s="49">
        <f t="shared" si="1"/>
        <v>25.827600000000004</v>
      </c>
      <c r="P27" s="73">
        <f t="shared" si="48"/>
        <v>0</v>
      </c>
      <c r="Q27" s="40">
        <f t="shared" si="49"/>
        <v>0</v>
      </c>
      <c r="R27" s="51" t="e">
        <f t="shared" si="4"/>
        <v>#VALUE!</v>
      </c>
      <c r="S27" s="52">
        <f t="shared" si="5"/>
        <v>0</v>
      </c>
      <c r="T27" s="52">
        <f t="shared" si="6"/>
        <v>0</v>
      </c>
      <c r="U27" s="53" t="e">
        <f t="shared" si="45"/>
        <v>#VALUE!</v>
      </c>
      <c r="V27" s="54" t="e">
        <f t="shared" si="46"/>
        <v>#VALUE!</v>
      </c>
      <c r="W27" s="55">
        <f t="shared" si="50"/>
        <v>0</v>
      </c>
      <c r="X27" s="55">
        <f t="shared" si="51"/>
        <v>0</v>
      </c>
      <c r="Y27" s="56" t="e">
        <f t="shared" si="44"/>
        <v>#VALUE!</v>
      </c>
    </row>
    <row r="28" spans="1:25" x14ac:dyDescent="0.35">
      <c r="A28" s="78"/>
      <c r="B28" s="47">
        <v>24</v>
      </c>
      <c r="C28" s="57"/>
      <c r="D28" s="74"/>
      <c r="E28" s="75"/>
      <c r="F28" s="76"/>
      <c r="G28" s="50"/>
      <c r="H28" s="75"/>
      <c r="I28" s="49"/>
      <c r="J28" s="50"/>
      <c r="K28" s="75"/>
      <c r="L28" s="76"/>
      <c r="M28" s="48">
        <f t="shared" ref="M28:M60" si="52">SUM(D28:L28)/40</f>
        <v>0</v>
      </c>
      <c r="N28" s="39">
        <f t="shared" si="18"/>
        <v>0</v>
      </c>
      <c r="O28" s="49">
        <f t="shared" si="1"/>
        <v>25.827600000000004</v>
      </c>
      <c r="P28" s="73">
        <f t="shared" ref="P28:P60" si="53">SUM(G28:I28)/20</f>
        <v>0</v>
      </c>
      <c r="Q28" s="40">
        <f t="shared" ref="Q28:Q60" si="54">SUM(J28:L28)/20</f>
        <v>0</v>
      </c>
      <c r="R28" s="51" t="e">
        <f t="shared" si="4"/>
        <v>#VALUE!</v>
      </c>
      <c r="S28" s="52">
        <f t="shared" si="5"/>
        <v>0</v>
      </c>
      <c r="T28" s="52">
        <f t="shared" si="6"/>
        <v>0</v>
      </c>
      <c r="U28" s="53" t="e">
        <f t="shared" ref="U28:U60" si="55">SUM(R28:T28)</f>
        <v>#VALUE!</v>
      </c>
      <c r="V28" s="54" t="e">
        <f t="shared" ref="V28:V60" si="56">SUM(D28:F28)*$V$3</f>
        <v>#VALUE!</v>
      </c>
      <c r="W28" s="55">
        <f t="shared" ref="W28:W60" si="57">SUM(G28:I28)*$W$3</f>
        <v>0</v>
      </c>
      <c r="X28" s="55">
        <f t="shared" ref="X28:X60" si="58">SUM(J28:L28)*$X$3</f>
        <v>0</v>
      </c>
      <c r="Y28" s="56" t="e">
        <f t="shared" ref="Y28:Y60" si="59">SUM(V28:X28)</f>
        <v>#VALUE!</v>
      </c>
    </row>
    <row r="29" spans="1:25" x14ac:dyDescent="0.35">
      <c r="A29" s="78"/>
      <c r="B29" s="47">
        <v>25</v>
      </c>
      <c r="C29" s="57"/>
      <c r="D29" s="74"/>
      <c r="E29" s="75"/>
      <c r="F29" s="76"/>
      <c r="G29" s="50"/>
      <c r="H29" s="75"/>
      <c r="I29" s="49"/>
      <c r="J29" s="50"/>
      <c r="K29" s="75"/>
      <c r="L29" s="76"/>
      <c r="M29" s="48">
        <f t="shared" ref="M29" si="60">SUM(D29:L29)/40</f>
        <v>0</v>
      </c>
      <c r="N29" s="39">
        <f t="shared" si="18"/>
        <v>0</v>
      </c>
      <c r="O29" s="49">
        <f t="shared" si="1"/>
        <v>25.827600000000004</v>
      </c>
      <c r="P29" s="73">
        <f t="shared" ref="P29" si="61">SUM(G29:I29)/20</f>
        <v>0</v>
      </c>
      <c r="Q29" s="40">
        <f t="shared" ref="Q29" si="62">SUM(J29:L29)/20</f>
        <v>0</v>
      </c>
      <c r="R29" s="51" t="e">
        <f t="shared" si="4"/>
        <v>#VALUE!</v>
      </c>
      <c r="S29" s="52">
        <f t="shared" si="5"/>
        <v>0</v>
      </c>
      <c r="T29" s="52">
        <f t="shared" si="6"/>
        <v>0</v>
      </c>
      <c r="U29" s="53" t="e">
        <f t="shared" ref="U29" si="63">SUM(R29:T29)</f>
        <v>#VALUE!</v>
      </c>
      <c r="V29" s="54" t="e">
        <f t="shared" ref="V29" si="64">SUM(D29:F29)*$V$3</f>
        <v>#VALUE!</v>
      </c>
      <c r="W29" s="55">
        <f t="shared" ref="W29" si="65">SUM(G29:I29)*$W$3</f>
        <v>0</v>
      </c>
      <c r="X29" s="55">
        <f t="shared" ref="X29" si="66">SUM(J29:L29)*$X$3</f>
        <v>0</v>
      </c>
      <c r="Y29" s="56" t="e">
        <f t="shared" ref="Y29" si="67">SUM(V29:X29)</f>
        <v>#VALUE!</v>
      </c>
    </row>
    <row r="30" spans="1:25" x14ac:dyDescent="0.35">
      <c r="A30" s="78"/>
      <c r="B30" s="47">
        <v>26</v>
      </c>
      <c r="C30" s="57"/>
      <c r="D30" s="74"/>
      <c r="E30" s="75"/>
      <c r="F30" s="76"/>
      <c r="G30" s="50"/>
      <c r="H30" s="75"/>
      <c r="I30" s="49"/>
      <c r="J30" s="50"/>
      <c r="K30" s="75"/>
      <c r="L30" s="76"/>
      <c r="M30" s="48">
        <f t="shared" si="52"/>
        <v>0</v>
      </c>
      <c r="N30" s="39">
        <f t="shared" si="18"/>
        <v>0</v>
      </c>
      <c r="O30" s="49">
        <f t="shared" si="1"/>
        <v>25.827600000000004</v>
      </c>
      <c r="P30" s="73">
        <f t="shared" si="53"/>
        <v>0</v>
      </c>
      <c r="Q30" s="40">
        <f t="shared" si="54"/>
        <v>0</v>
      </c>
      <c r="R30" s="51" t="e">
        <f t="shared" si="4"/>
        <v>#VALUE!</v>
      </c>
      <c r="S30" s="52">
        <f t="shared" si="5"/>
        <v>0</v>
      </c>
      <c r="T30" s="52">
        <f t="shared" si="6"/>
        <v>0</v>
      </c>
      <c r="U30" s="53" t="e">
        <f t="shared" si="55"/>
        <v>#VALUE!</v>
      </c>
      <c r="V30" s="54" t="e">
        <f t="shared" si="56"/>
        <v>#VALUE!</v>
      </c>
      <c r="W30" s="55">
        <f t="shared" si="57"/>
        <v>0</v>
      </c>
      <c r="X30" s="55">
        <f t="shared" si="58"/>
        <v>0</v>
      </c>
      <c r="Y30" s="56" t="e">
        <f t="shared" si="59"/>
        <v>#VALUE!</v>
      </c>
    </row>
    <row r="31" spans="1:25" x14ac:dyDescent="0.35">
      <c r="A31" s="78"/>
      <c r="B31" s="47">
        <v>27</v>
      </c>
      <c r="C31" s="57"/>
      <c r="D31" s="74"/>
      <c r="E31" s="75"/>
      <c r="F31" s="76"/>
      <c r="G31" s="50"/>
      <c r="H31" s="75"/>
      <c r="I31" s="49"/>
      <c r="J31" s="50"/>
      <c r="K31" s="75"/>
      <c r="L31" s="76"/>
      <c r="M31" s="48">
        <f t="shared" si="52"/>
        <v>0</v>
      </c>
      <c r="N31" s="39">
        <f t="shared" si="18"/>
        <v>0</v>
      </c>
      <c r="O31" s="49">
        <f t="shared" si="1"/>
        <v>25.827600000000004</v>
      </c>
      <c r="P31" s="73">
        <f t="shared" si="53"/>
        <v>0</v>
      </c>
      <c r="Q31" s="40">
        <f t="shared" si="54"/>
        <v>0</v>
      </c>
      <c r="R31" s="51" t="e">
        <f t="shared" si="4"/>
        <v>#VALUE!</v>
      </c>
      <c r="S31" s="52">
        <f t="shared" si="5"/>
        <v>0</v>
      </c>
      <c r="T31" s="52">
        <f t="shared" si="6"/>
        <v>0</v>
      </c>
      <c r="U31" s="53" t="e">
        <f t="shared" si="55"/>
        <v>#VALUE!</v>
      </c>
      <c r="V31" s="54" t="e">
        <f t="shared" si="56"/>
        <v>#VALUE!</v>
      </c>
      <c r="W31" s="55">
        <f t="shared" si="57"/>
        <v>0</v>
      </c>
      <c r="X31" s="55">
        <f t="shared" si="58"/>
        <v>0</v>
      </c>
      <c r="Y31" s="56" t="e">
        <f t="shared" si="59"/>
        <v>#VALUE!</v>
      </c>
    </row>
    <row r="32" spans="1:25" x14ac:dyDescent="0.35">
      <c r="A32" s="78"/>
      <c r="B32" s="47">
        <v>28</v>
      </c>
      <c r="C32" s="57"/>
      <c r="D32" s="74"/>
      <c r="E32" s="75"/>
      <c r="F32" s="76"/>
      <c r="G32" s="50"/>
      <c r="H32" s="75"/>
      <c r="I32" s="49"/>
      <c r="J32" s="50"/>
      <c r="K32" s="75"/>
      <c r="L32" s="76"/>
      <c r="M32" s="48">
        <f t="shared" si="52"/>
        <v>0</v>
      </c>
      <c r="N32" s="39">
        <f t="shared" si="18"/>
        <v>0</v>
      </c>
      <c r="O32" s="49">
        <f t="shared" si="1"/>
        <v>25.827600000000004</v>
      </c>
      <c r="P32" s="73">
        <f t="shared" si="53"/>
        <v>0</v>
      </c>
      <c r="Q32" s="40">
        <f t="shared" si="54"/>
        <v>0</v>
      </c>
      <c r="R32" s="51" t="e">
        <f t="shared" si="4"/>
        <v>#VALUE!</v>
      </c>
      <c r="S32" s="52">
        <f t="shared" si="5"/>
        <v>0</v>
      </c>
      <c r="T32" s="52">
        <f t="shared" si="6"/>
        <v>0</v>
      </c>
      <c r="U32" s="53" t="e">
        <f t="shared" si="55"/>
        <v>#VALUE!</v>
      </c>
      <c r="V32" s="54" t="e">
        <f t="shared" si="56"/>
        <v>#VALUE!</v>
      </c>
      <c r="W32" s="55">
        <f t="shared" si="57"/>
        <v>0</v>
      </c>
      <c r="X32" s="55">
        <f t="shared" si="58"/>
        <v>0</v>
      </c>
      <c r="Y32" s="56" t="e">
        <f t="shared" si="59"/>
        <v>#VALUE!</v>
      </c>
    </row>
    <row r="33" spans="1:25" x14ac:dyDescent="0.35">
      <c r="A33" s="78"/>
      <c r="B33" s="47">
        <v>29</v>
      </c>
      <c r="C33" s="57"/>
      <c r="D33" s="74"/>
      <c r="E33" s="75"/>
      <c r="F33" s="76"/>
      <c r="G33" s="50"/>
      <c r="H33" s="75"/>
      <c r="I33" s="49"/>
      <c r="J33" s="50"/>
      <c r="K33" s="75"/>
      <c r="L33" s="76"/>
      <c r="M33" s="48">
        <f t="shared" si="52"/>
        <v>0</v>
      </c>
      <c r="N33" s="39">
        <f t="shared" si="18"/>
        <v>0</v>
      </c>
      <c r="O33" s="49">
        <f t="shared" si="1"/>
        <v>25.827600000000004</v>
      </c>
      <c r="P33" s="73">
        <f t="shared" si="53"/>
        <v>0</v>
      </c>
      <c r="Q33" s="40">
        <f t="shared" si="54"/>
        <v>0</v>
      </c>
      <c r="R33" s="51" t="e">
        <f t="shared" si="4"/>
        <v>#VALUE!</v>
      </c>
      <c r="S33" s="52">
        <f t="shared" si="5"/>
        <v>0</v>
      </c>
      <c r="T33" s="52">
        <f t="shared" si="6"/>
        <v>0</v>
      </c>
      <c r="U33" s="53" t="e">
        <f t="shared" si="55"/>
        <v>#VALUE!</v>
      </c>
      <c r="V33" s="54" t="e">
        <f t="shared" si="56"/>
        <v>#VALUE!</v>
      </c>
      <c r="W33" s="55">
        <f t="shared" si="57"/>
        <v>0</v>
      </c>
      <c r="X33" s="55">
        <f t="shared" si="58"/>
        <v>0</v>
      </c>
      <c r="Y33" s="56" t="e">
        <f t="shared" si="59"/>
        <v>#VALUE!</v>
      </c>
    </row>
    <row r="34" spans="1:25" x14ac:dyDescent="0.35">
      <c r="A34" s="78"/>
      <c r="B34" s="47">
        <v>30</v>
      </c>
      <c r="C34" s="57"/>
      <c r="D34" s="74"/>
      <c r="E34" s="75"/>
      <c r="F34" s="76"/>
      <c r="G34" s="50"/>
      <c r="H34" s="75"/>
      <c r="I34" s="49"/>
      <c r="J34" s="50"/>
      <c r="K34" s="75"/>
      <c r="L34" s="76"/>
      <c r="M34" s="48">
        <f t="shared" ref="M34:M46" si="68">SUM(D34:L34)/40</f>
        <v>0</v>
      </c>
      <c r="N34" s="39">
        <f t="shared" si="18"/>
        <v>0</v>
      </c>
      <c r="O34" s="49">
        <f t="shared" si="1"/>
        <v>25.827600000000004</v>
      </c>
      <c r="P34" s="73">
        <f t="shared" ref="P34:P46" si="69">SUM(G34:I34)/20</f>
        <v>0</v>
      </c>
      <c r="Q34" s="40">
        <f t="shared" ref="Q34:Q46" si="70">SUM(J34:L34)/20</f>
        <v>0</v>
      </c>
      <c r="R34" s="51" t="e">
        <f t="shared" si="4"/>
        <v>#VALUE!</v>
      </c>
      <c r="S34" s="52">
        <f t="shared" si="5"/>
        <v>0</v>
      </c>
      <c r="T34" s="52">
        <f t="shared" si="6"/>
        <v>0</v>
      </c>
      <c r="U34" s="53" t="e">
        <f t="shared" ref="U34:U45" si="71">SUM(R34:T34)</f>
        <v>#VALUE!</v>
      </c>
      <c r="V34" s="54" t="e">
        <f t="shared" ref="V34:V45" si="72">SUM(D34:F34)*$V$3</f>
        <v>#VALUE!</v>
      </c>
      <c r="W34" s="55">
        <f t="shared" ref="W34:W46" si="73">SUM(G34:I34)*$W$3</f>
        <v>0</v>
      </c>
      <c r="X34" s="55">
        <f t="shared" ref="X34:X46" si="74">SUM(J34:L34)*$X$3</f>
        <v>0</v>
      </c>
      <c r="Y34" s="56" t="e">
        <f t="shared" ref="Y34:Y45" si="75">SUM(V34:X34)</f>
        <v>#VALUE!</v>
      </c>
    </row>
    <row r="35" spans="1:25" x14ac:dyDescent="0.35">
      <c r="A35" s="78"/>
      <c r="B35" s="47">
        <v>31</v>
      </c>
      <c r="C35" s="57"/>
      <c r="D35" s="74"/>
      <c r="E35" s="75"/>
      <c r="F35" s="76"/>
      <c r="G35" s="50"/>
      <c r="H35" s="75"/>
      <c r="I35" s="49"/>
      <c r="J35" s="50"/>
      <c r="K35" s="75"/>
      <c r="L35" s="76"/>
      <c r="M35" s="48">
        <f t="shared" si="68"/>
        <v>0</v>
      </c>
      <c r="N35" s="39">
        <f t="shared" si="18"/>
        <v>0</v>
      </c>
      <c r="O35" s="49">
        <f t="shared" si="1"/>
        <v>25.827600000000004</v>
      </c>
      <c r="P35" s="73">
        <f t="shared" si="69"/>
        <v>0</v>
      </c>
      <c r="Q35" s="40">
        <f t="shared" si="70"/>
        <v>0</v>
      </c>
      <c r="R35" s="51" t="e">
        <f t="shared" si="4"/>
        <v>#VALUE!</v>
      </c>
      <c r="S35" s="52">
        <f t="shared" si="5"/>
        <v>0</v>
      </c>
      <c r="T35" s="52">
        <f t="shared" si="6"/>
        <v>0</v>
      </c>
      <c r="U35" s="53" t="e">
        <f t="shared" si="71"/>
        <v>#VALUE!</v>
      </c>
      <c r="V35" s="54" t="e">
        <f t="shared" si="72"/>
        <v>#VALUE!</v>
      </c>
      <c r="W35" s="55">
        <f t="shared" si="73"/>
        <v>0</v>
      </c>
      <c r="X35" s="55">
        <f t="shared" si="74"/>
        <v>0</v>
      </c>
      <c r="Y35" s="56" t="e">
        <f t="shared" si="75"/>
        <v>#VALUE!</v>
      </c>
    </row>
    <row r="36" spans="1:25" x14ac:dyDescent="0.35">
      <c r="A36" s="78"/>
      <c r="B36" s="47">
        <v>32</v>
      </c>
      <c r="C36" s="57"/>
      <c r="D36" s="74"/>
      <c r="E36" s="75"/>
      <c r="F36" s="76"/>
      <c r="G36" s="50"/>
      <c r="H36" s="75"/>
      <c r="I36" s="49"/>
      <c r="J36" s="50"/>
      <c r="K36" s="75"/>
      <c r="L36" s="76"/>
      <c r="M36" s="48">
        <f t="shared" si="68"/>
        <v>0</v>
      </c>
      <c r="N36" s="39">
        <f t="shared" si="18"/>
        <v>0</v>
      </c>
      <c r="O36" s="49">
        <f t="shared" si="1"/>
        <v>25.827600000000004</v>
      </c>
      <c r="P36" s="73">
        <f t="shared" si="69"/>
        <v>0</v>
      </c>
      <c r="Q36" s="40">
        <f t="shared" si="70"/>
        <v>0</v>
      </c>
      <c r="R36" s="51" t="e">
        <f t="shared" si="4"/>
        <v>#VALUE!</v>
      </c>
      <c r="S36" s="52">
        <f t="shared" si="5"/>
        <v>0</v>
      </c>
      <c r="T36" s="52">
        <f t="shared" si="6"/>
        <v>0</v>
      </c>
      <c r="U36" s="53" t="e">
        <f t="shared" si="71"/>
        <v>#VALUE!</v>
      </c>
      <c r="V36" s="54" t="e">
        <f t="shared" si="72"/>
        <v>#VALUE!</v>
      </c>
      <c r="W36" s="55">
        <f t="shared" si="73"/>
        <v>0</v>
      </c>
      <c r="X36" s="55">
        <f t="shared" si="74"/>
        <v>0</v>
      </c>
      <c r="Y36" s="56" t="e">
        <f t="shared" si="75"/>
        <v>#VALUE!</v>
      </c>
    </row>
    <row r="37" spans="1:25" x14ac:dyDescent="0.35">
      <c r="A37" s="78"/>
      <c r="B37" s="47">
        <v>33</v>
      </c>
      <c r="C37" s="57"/>
      <c r="D37" s="74"/>
      <c r="E37" s="75"/>
      <c r="F37" s="76"/>
      <c r="G37" s="50"/>
      <c r="H37" s="75"/>
      <c r="I37" s="49"/>
      <c r="J37" s="50"/>
      <c r="K37" s="75"/>
      <c r="L37" s="76"/>
      <c r="M37" s="48">
        <f t="shared" si="68"/>
        <v>0</v>
      </c>
      <c r="N37" s="39">
        <f t="shared" si="18"/>
        <v>0</v>
      </c>
      <c r="O37" s="49">
        <f t="shared" si="1"/>
        <v>25.827600000000004</v>
      </c>
      <c r="P37" s="73">
        <f t="shared" si="69"/>
        <v>0</v>
      </c>
      <c r="Q37" s="40">
        <f t="shared" si="70"/>
        <v>0</v>
      </c>
      <c r="R37" s="51" t="e">
        <f t="shared" si="4"/>
        <v>#VALUE!</v>
      </c>
      <c r="S37" s="52">
        <f t="shared" si="5"/>
        <v>0</v>
      </c>
      <c r="T37" s="52">
        <f t="shared" si="6"/>
        <v>0</v>
      </c>
      <c r="U37" s="53" t="e">
        <f t="shared" si="71"/>
        <v>#VALUE!</v>
      </c>
      <c r="V37" s="54" t="e">
        <f t="shared" si="72"/>
        <v>#VALUE!</v>
      </c>
      <c r="W37" s="55">
        <f t="shared" si="73"/>
        <v>0</v>
      </c>
      <c r="X37" s="55">
        <f t="shared" si="74"/>
        <v>0</v>
      </c>
      <c r="Y37" s="56" t="e">
        <f t="shared" si="75"/>
        <v>#VALUE!</v>
      </c>
    </row>
    <row r="38" spans="1:25" x14ac:dyDescent="0.35">
      <c r="A38" s="78"/>
      <c r="B38" s="47">
        <v>34</v>
      </c>
      <c r="C38" s="57"/>
      <c r="D38" s="74"/>
      <c r="E38" s="75"/>
      <c r="F38" s="76"/>
      <c r="G38" s="50"/>
      <c r="H38" s="75"/>
      <c r="I38" s="49"/>
      <c r="J38" s="50"/>
      <c r="K38" s="75"/>
      <c r="L38" s="76"/>
      <c r="M38" s="48">
        <f t="shared" si="68"/>
        <v>0</v>
      </c>
      <c r="N38" s="39">
        <f t="shared" si="18"/>
        <v>0</v>
      </c>
      <c r="O38" s="49">
        <f t="shared" si="1"/>
        <v>25.827600000000004</v>
      </c>
      <c r="P38" s="73">
        <f t="shared" si="69"/>
        <v>0</v>
      </c>
      <c r="Q38" s="40">
        <f t="shared" si="70"/>
        <v>0</v>
      </c>
      <c r="R38" s="51" t="e">
        <f t="shared" si="4"/>
        <v>#VALUE!</v>
      </c>
      <c r="S38" s="52">
        <f t="shared" si="5"/>
        <v>0</v>
      </c>
      <c r="T38" s="52">
        <f t="shared" si="6"/>
        <v>0</v>
      </c>
      <c r="U38" s="53" t="e">
        <f t="shared" si="71"/>
        <v>#VALUE!</v>
      </c>
      <c r="V38" s="54" t="e">
        <f t="shared" si="72"/>
        <v>#VALUE!</v>
      </c>
      <c r="W38" s="55">
        <f t="shared" si="73"/>
        <v>0</v>
      </c>
      <c r="X38" s="55">
        <f t="shared" si="74"/>
        <v>0</v>
      </c>
      <c r="Y38" s="56" t="e">
        <f t="shared" si="75"/>
        <v>#VALUE!</v>
      </c>
    </row>
    <row r="39" spans="1:25" x14ac:dyDescent="0.35">
      <c r="A39" s="78"/>
      <c r="B39" s="47">
        <v>35</v>
      </c>
      <c r="C39" s="57"/>
      <c r="D39" s="74"/>
      <c r="E39" s="75"/>
      <c r="F39" s="76"/>
      <c r="G39" s="50"/>
      <c r="H39" s="75"/>
      <c r="I39" s="49"/>
      <c r="J39" s="50"/>
      <c r="K39" s="75"/>
      <c r="L39" s="76"/>
      <c r="M39" s="48">
        <f t="shared" si="68"/>
        <v>0</v>
      </c>
      <c r="N39" s="39">
        <f t="shared" si="18"/>
        <v>0</v>
      </c>
      <c r="O39" s="49">
        <f t="shared" si="1"/>
        <v>25.827600000000004</v>
      </c>
      <c r="P39" s="73">
        <f t="shared" si="69"/>
        <v>0</v>
      </c>
      <c r="Q39" s="40">
        <f t="shared" si="70"/>
        <v>0</v>
      </c>
      <c r="R39" s="51" t="e">
        <f t="shared" si="4"/>
        <v>#VALUE!</v>
      </c>
      <c r="S39" s="52">
        <f t="shared" si="5"/>
        <v>0</v>
      </c>
      <c r="T39" s="52">
        <f t="shared" si="6"/>
        <v>0</v>
      </c>
      <c r="U39" s="53" t="e">
        <f t="shared" si="71"/>
        <v>#VALUE!</v>
      </c>
      <c r="V39" s="54" t="e">
        <f t="shared" si="72"/>
        <v>#VALUE!</v>
      </c>
      <c r="W39" s="55">
        <f t="shared" si="73"/>
        <v>0</v>
      </c>
      <c r="X39" s="55">
        <f t="shared" si="74"/>
        <v>0</v>
      </c>
      <c r="Y39" s="56" t="e">
        <f t="shared" si="75"/>
        <v>#VALUE!</v>
      </c>
    </row>
    <row r="40" spans="1:25" x14ac:dyDescent="0.35">
      <c r="A40" s="78"/>
      <c r="B40" s="47">
        <v>36</v>
      </c>
      <c r="C40" s="57"/>
      <c r="D40" s="74"/>
      <c r="E40" s="75"/>
      <c r="F40" s="76"/>
      <c r="G40" s="50"/>
      <c r="H40" s="75"/>
      <c r="I40" s="49"/>
      <c r="J40" s="50"/>
      <c r="K40" s="75"/>
      <c r="L40" s="76"/>
      <c r="M40" s="48">
        <f t="shared" si="68"/>
        <v>0</v>
      </c>
      <c r="N40" s="39">
        <f t="shared" si="18"/>
        <v>0</v>
      </c>
      <c r="O40" s="49">
        <f t="shared" si="1"/>
        <v>25.827600000000004</v>
      </c>
      <c r="P40" s="73">
        <f t="shared" si="69"/>
        <v>0</v>
      </c>
      <c r="Q40" s="40">
        <f t="shared" si="70"/>
        <v>0</v>
      </c>
      <c r="R40" s="51" t="e">
        <f t="shared" si="4"/>
        <v>#VALUE!</v>
      </c>
      <c r="S40" s="52">
        <f t="shared" si="5"/>
        <v>0</v>
      </c>
      <c r="T40" s="52">
        <f t="shared" si="6"/>
        <v>0</v>
      </c>
      <c r="U40" s="53" t="e">
        <f t="shared" si="71"/>
        <v>#VALUE!</v>
      </c>
      <c r="V40" s="54" t="e">
        <f t="shared" si="72"/>
        <v>#VALUE!</v>
      </c>
      <c r="W40" s="55">
        <f t="shared" si="73"/>
        <v>0</v>
      </c>
      <c r="X40" s="55">
        <f t="shared" si="74"/>
        <v>0</v>
      </c>
      <c r="Y40" s="56" t="e">
        <f t="shared" si="75"/>
        <v>#VALUE!</v>
      </c>
    </row>
    <row r="41" spans="1:25" x14ac:dyDescent="0.35">
      <c r="A41" s="78"/>
      <c r="B41" s="47">
        <v>37</v>
      </c>
      <c r="C41" s="57"/>
      <c r="D41" s="74"/>
      <c r="E41" s="75"/>
      <c r="F41" s="76"/>
      <c r="G41" s="50"/>
      <c r="H41" s="75"/>
      <c r="I41" s="49"/>
      <c r="J41" s="50"/>
      <c r="K41" s="75"/>
      <c r="L41" s="76"/>
      <c r="M41" s="48">
        <f t="shared" si="68"/>
        <v>0</v>
      </c>
      <c r="N41" s="39">
        <f t="shared" si="18"/>
        <v>0</v>
      </c>
      <c r="O41" s="49">
        <f t="shared" si="1"/>
        <v>25.827600000000004</v>
      </c>
      <c r="P41" s="73">
        <f t="shared" si="69"/>
        <v>0</v>
      </c>
      <c r="Q41" s="40">
        <f t="shared" si="70"/>
        <v>0</v>
      </c>
      <c r="R41" s="51" t="e">
        <f t="shared" si="4"/>
        <v>#VALUE!</v>
      </c>
      <c r="S41" s="52">
        <f t="shared" si="5"/>
        <v>0</v>
      </c>
      <c r="T41" s="52">
        <f t="shared" si="6"/>
        <v>0</v>
      </c>
      <c r="U41" s="53" t="e">
        <f t="shared" si="71"/>
        <v>#VALUE!</v>
      </c>
      <c r="V41" s="54" t="e">
        <f t="shared" si="72"/>
        <v>#VALUE!</v>
      </c>
      <c r="W41" s="55">
        <f t="shared" si="73"/>
        <v>0</v>
      </c>
      <c r="X41" s="55">
        <f t="shared" si="74"/>
        <v>0</v>
      </c>
      <c r="Y41" s="56" t="e">
        <f t="shared" si="75"/>
        <v>#VALUE!</v>
      </c>
    </row>
    <row r="42" spans="1:25" x14ac:dyDescent="0.35">
      <c r="A42" s="78"/>
      <c r="B42" s="47">
        <v>38</v>
      </c>
      <c r="C42" s="57"/>
      <c r="D42" s="74"/>
      <c r="E42" s="75"/>
      <c r="F42" s="76"/>
      <c r="G42" s="50"/>
      <c r="H42" s="75"/>
      <c r="I42" s="49"/>
      <c r="J42" s="50"/>
      <c r="K42" s="75"/>
      <c r="L42" s="76"/>
      <c r="M42" s="48">
        <f t="shared" si="68"/>
        <v>0</v>
      </c>
      <c r="N42" s="39">
        <f t="shared" si="18"/>
        <v>0</v>
      </c>
      <c r="O42" s="49">
        <f t="shared" si="1"/>
        <v>25.827600000000004</v>
      </c>
      <c r="P42" s="73">
        <f t="shared" si="69"/>
        <v>0</v>
      </c>
      <c r="Q42" s="40">
        <f t="shared" si="70"/>
        <v>0</v>
      </c>
      <c r="R42" s="51" t="e">
        <f t="shared" si="4"/>
        <v>#VALUE!</v>
      </c>
      <c r="S42" s="52">
        <f t="shared" si="5"/>
        <v>0</v>
      </c>
      <c r="T42" s="52">
        <f t="shared" si="6"/>
        <v>0</v>
      </c>
      <c r="U42" s="53" t="e">
        <f t="shared" si="71"/>
        <v>#VALUE!</v>
      </c>
      <c r="V42" s="54" t="e">
        <f t="shared" si="72"/>
        <v>#VALUE!</v>
      </c>
      <c r="W42" s="55">
        <f t="shared" si="73"/>
        <v>0</v>
      </c>
      <c r="X42" s="55">
        <f t="shared" si="74"/>
        <v>0</v>
      </c>
      <c r="Y42" s="56" t="e">
        <f t="shared" si="75"/>
        <v>#VALUE!</v>
      </c>
    </row>
    <row r="43" spans="1:25" x14ac:dyDescent="0.35">
      <c r="A43" s="78"/>
      <c r="B43" s="47">
        <v>39</v>
      </c>
      <c r="C43" s="57"/>
      <c r="D43" s="74"/>
      <c r="E43" s="75"/>
      <c r="F43" s="76"/>
      <c r="G43" s="50"/>
      <c r="H43" s="75"/>
      <c r="I43" s="49"/>
      <c r="J43" s="50"/>
      <c r="K43" s="75"/>
      <c r="L43" s="76"/>
      <c r="M43" s="48">
        <f t="shared" si="68"/>
        <v>0</v>
      </c>
      <c r="N43" s="39">
        <f t="shared" si="18"/>
        <v>0</v>
      </c>
      <c r="O43" s="49">
        <f t="shared" si="1"/>
        <v>25.827600000000004</v>
      </c>
      <c r="P43" s="73">
        <f t="shared" si="69"/>
        <v>0</v>
      </c>
      <c r="Q43" s="40">
        <f t="shared" si="70"/>
        <v>0</v>
      </c>
      <c r="R43" s="51" t="e">
        <f t="shared" si="4"/>
        <v>#VALUE!</v>
      </c>
      <c r="S43" s="52">
        <f t="shared" si="5"/>
        <v>0</v>
      </c>
      <c r="T43" s="52">
        <f t="shared" si="6"/>
        <v>0</v>
      </c>
      <c r="U43" s="53" t="e">
        <f t="shared" si="71"/>
        <v>#VALUE!</v>
      </c>
      <c r="V43" s="54" t="e">
        <f t="shared" si="72"/>
        <v>#VALUE!</v>
      </c>
      <c r="W43" s="55">
        <f t="shared" si="73"/>
        <v>0</v>
      </c>
      <c r="X43" s="55">
        <f t="shared" si="74"/>
        <v>0</v>
      </c>
      <c r="Y43" s="56" t="e">
        <f t="shared" si="75"/>
        <v>#VALUE!</v>
      </c>
    </row>
    <row r="44" spans="1:25" x14ac:dyDescent="0.35">
      <c r="A44" s="78"/>
      <c r="B44" s="47">
        <v>40</v>
      </c>
      <c r="C44" s="57"/>
      <c r="D44" s="74"/>
      <c r="E44" s="75"/>
      <c r="F44" s="76"/>
      <c r="G44" s="50"/>
      <c r="H44" s="75"/>
      <c r="I44" s="49"/>
      <c r="J44" s="50"/>
      <c r="K44" s="75"/>
      <c r="L44" s="76"/>
      <c r="M44" s="48">
        <f t="shared" si="68"/>
        <v>0</v>
      </c>
      <c r="N44" s="39">
        <f t="shared" si="18"/>
        <v>0</v>
      </c>
      <c r="O44" s="49">
        <f t="shared" si="1"/>
        <v>25.827600000000004</v>
      </c>
      <c r="P44" s="73">
        <f t="shared" si="69"/>
        <v>0</v>
      </c>
      <c r="Q44" s="40">
        <f t="shared" si="70"/>
        <v>0</v>
      </c>
      <c r="R44" s="51" t="e">
        <f t="shared" si="4"/>
        <v>#VALUE!</v>
      </c>
      <c r="S44" s="52">
        <f t="shared" si="5"/>
        <v>0</v>
      </c>
      <c r="T44" s="52">
        <f t="shared" si="6"/>
        <v>0</v>
      </c>
      <c r="U44" s="53" t="e">
        <f t="shared" si="71"/>
        <v>#VALUE!</v>
      </c>
      <c r="V44" s="54" t="e">
        <f t="shared" si="72"/>
        <v>#VALUE!</v>
      </c>
      <c r="W44" s="55">
        <f t="shared" si="73"/>
        <v>0</v>
      </c>
      <c r="X44" s="55">
        <f t="shared" si="74"/>
        <v>0</v>
      </c>
      <c r="Y44" s="56" t="e">
        <f t="shared" si="75"/>
        <v>#VALUE!</v>
      </c>
    </row>
    <row r="45" spans="1:25" x14ac:dyDescent="0.35">
      <c r="A45" s="78"/>
      <c r="B45" s="47">
        <v>41</v>
      </c>
      <c r="C45" s="57"/>
      <c r="D45" s="74"/>
      <c r="E45" s="75"/>
      <c r="F45" s="76"/>
      <c r="G45" s="50"/>
      <c r="H45" s="75"/>
      <c r="I45" s="49"/>
      <c r="J45" s="50"/>
      <c r="K45" s="75"/>
      <c r="L45" s="76"/>
      <c r="M45" s="48">
        <f t="shared" si="68"/>
        <v>0</v>
      </c>
      <c r="N45" s="39">
        <f t="shared" si="18"/>
        <v>0</v>
      </c>
      <c r="O45" s="49">
        <f t="shared" si="1"/>
        <v>25.827600000000004</v>
      </c>
      <c r="P45" s="73">
        <f t="shared" si="69"/>
        <v>0</v>
      </c>
      <c r="Q45" s="40">
        <f t="shared" si="70"/>
        <v>0</v>
      </c>
      <c r="R45" s="51" t="e">
        <f t="shared" si="4"/>
        <v>#VALUE!</v>
      </c>
      <c r="S45" s="52">
        <f t="shared" si="5"/>
        <v>0</v>
      </c>
      <c r="T45" s="52">
        <f t="shared" si="6"/>
        <v>0</v>
      </c>
      <c r="U45" s="53" t="e">
        <f t="shared" si="71"/>
        <v>#VALUE!</v>
      </c>
      <c r="V45" s="54" t="e">
        <f t="shared" si="72"/>
        <v>#VALUE!</v>
      </c>
      <c r="W45" s="55">
        <f t="shared" si="73"/>
        <v>0</v>
      </c>
      <c r="X45" s="55">
        <f t="shared" si="74"/>
        <v>0</v>
      </c>
      <c r="Y45" s="56" t="e">
        <f t="shared" si="75"/>
        <v>#VALUE!</v>
      </c>
    </row>
    <row r="46" spans="1:25" x14ac:dyDescent="0.35">
      <c r="A46" s="78"/>
      <c r="B46" s="47">
        <v>42</v>
      </c>
      <c r="C46" s="57"/>
      <c r="D46" s="74"/>
      <c r="E46" s="75"/>
      <c r="F46" s="76"/>
      <c r="G46" s="50"/>
      <c r="H46" s="75"/>
      <c r="I46" s="49"/>
      <c r="J46" s="50"/>
      <c r="K46" s="75"/>
      <c r="L46" s="76"/>
      <c r="M46" s="48">
        <f t="shared" si="68"/>
        <v>0</v>
      </c>
      <c r="N46" s="39">
        <f t="shared" si="18"/>
        <v>0</v>
      </c>
      <c r="O46" s="49">
        <f t="shared" si="1"/>
        <v>25.827600000000004</v>
      </c>
      <c r="P46" s="73">
        <f t="shared" si="69"/>
        <v>0</v>
      </c>
      <c r="Q46" s="40">
        <f t="shared" si="70"/>
        <v>0</v>
      </c>
      <c r="R46" s="51"/>
      <c r="S46" s="52"/>
      <c r="T46" s="52"/>
      <c r="U46" s="53"/>
      <c r="V46" s="54"/>
      <c r="W46" s="55">
        <f t="shared" si="73"/>
        <v>0</v>
      </c>
      <c r="X46" s="55">
        <f t="shared" si="74"/>
        <v>0</v>
      </c>
      <c r="Y46" s="56"/>
    </row>
    <row r="47" spans="1:25" x14ac:dyDescent="0.35">
      <c r="A47" s="78"/>
      <c r="B47" s="47">
        <v>43</v>
      </c>
      <c r="C47" s="57"/>
      <c r="D47" s="74"/>
      <c r="E47" s="75"/>
      <c r="F47" s="76"/>
      <c r="G47" s="50"/>
      <c r="H47" s="75"/>
      <c r="I47" s="49"/>
      <c r="J47" s="50"/>
      <c r="K47" s="75"/>
      <c r="L47" s="76"/>
      <c r="M47" s="48">
        <f t="shared" ref="M47:M59" si="76">SUM(D47:L47)/40</f>
        <v>0</v>
      </c>
      <c r="N47" s="39">
        <f t="shared" si="18"/>
        <v>0</v>
      </c>
      <c r="O47" s="49">
        <f t="shared" si="1"/>
        <v>25.827600000000004</v>
      </c>
      <c r="P47" s="73">
        <f t="shared" ref="P47:P59" si="77">SUM(G47:I47)/20</f>
        <v>0</v>
      </c>
      <c r="Q47" s="40">
        <f t="shared" ref="Q47:Q59" si="78">SUM(J47:L47)/20</f>
        <v>0</v>
      </c>
      <c r="R47" s="51"/>
      <c r="S47" s="52"/>
      <c r="T47" s="52"/>
      <c r="U47" s="53"/>
      <c r="V47" s="54"/>
      <c r="W47" s="55">
        <f t="shared" ref="W47:W59" si="79">SUM(G47:I47)*$W$3</f>
        <v>0</v>
      </c>
      <c r="X47" s="55">
        <f t="shared" ref="X47:X59" si="80">SUM(J47:L47)*$X$3</f>
        <v>0</v>
      </c>
      <c r="Y47" s="56"/>
    </row>
    <row r="48" spans="1:25" x14ac:dyDescent="0.35">
      <c r="A48" s="78"/>
      <c r="B48" s="47">
        <v>44</v>
      </c>
      <c r="C48" s="57"/>
      <c r="D48" s="74"/>
      <c r="E48" s="75"/>
      <c r="F48" s="76"/>
      <c r="G48" s="50"/>
      <c r="H48" s="75"/>
      <c r="I48" s="49"/>
      <c r="J48" s="50"/>
      <c r="K48" s="75"/>
      <c r="L48" s="76"/>
      <c r="M48" s="48">
        <f t="shared" si="76"/>
        <v>0</v>
      </c>
      <c r="N48" s="39">
        <f t="shared" si="18"/>
        <v>0</v>
      </c>
      <c r="O48" s="49">
        <f t="shared" si="1"/>
        <v>25.827600000000004</v>
      </c>
      <c r="P48" s="73">
        <f t="shared" si="77"/>
        <v>0</v>
      </c>
      <c r="Q48" s="40">
        <f t="shared" si="78"/>
        <v>0</v>
      </c>
      <c r="R48" s="51"/>
      <c r="S48" s="52"/>
      <c r="T48" s="52"/>
      <c r="U48" s="53"/>
      <c r="V48" s="54"/>
      <c r="W48" s="55">
        <f t="shared" si="79"/>
        <v>0</v>
      </c>
      <c r="X48" s="55">
        <f t="shared" si="80"/>
        <v>0</v>
      </c>
      <c r="Y48" s="56"/>
    </row>
    <row r="49" spans="1:25" x14ac:dyDescent="0.35">
      <c r="A49" s="78"/>
      <c r="B49" s="47">
        <v>45</v>
      </c>
      <c r="C49" s="57"/>
      <c r="D49" s="74"/>
      <c r="E49" s="75"/>
      <c r="F49" s="76"/>
      <c r="G49" s="50"/>
      <c r="H49" s="75"/>
      <c r="I49" s="49"/>
      <c r="J49" s="50"/>
      <c r="K49" s="75"/>
      <c r="L49" s="76"/>
      <c r="M49" s="48">
        <f t="shared" si="76"/>
        <v>0</v>
      </c>
      <c r="N49" s="39">
        <f t="shared" si="18"/>
        <v>0</v>
      </c>
      <c r="O49" s="49">
        <f t="shared" si="1"/>
        <v>25.827600000000004</v>
      </c>
      <c r="P49" s="73">
        <f t="shared" si="77"/>
        <v>0</v>
      </c>
      <c r="Q49" s="40">
        <f t="shared" si="78"/>
        <v>0</v>
      </c>
      <c r="R49" s="51"/>
      <c r="S49" s="52"/>
      <c r="T49" s="52"/>
      <c r="U49" s="53"/>
      <c r="V49" s="54"/>
      <c r="W49" s="55">
        <f t="shared" si="79"/>
        <v>0</v>
      </c>
      <c r="X49" s="55">
        <f t="shared" si="80"/>
        <v>0</v>
      </c>
      <c r="Y49" s="56"/>
    </row>
    <row r="50" spans="1:25" x14ac:dyDescent="0.35">
      <c r="A50" s="78"/>
      <c r="B50" s="47">
        <v>46</v>
      </c>
      <c r="C50" s="57"/>
      <c r="D50" s="74"/>
      <c r="E50" s="75"/>
      <c r="F50" s="76"/>
      <c r="G50" s="50"/>
      <c r="H50" s="75"/>
      <c r="I50" s="49"/>
      <c r="J50" s="50"/>
      <c r="K50" s="75"/>
      <c r="L50" s="76"/>
      <c r="M50" s="48">
        <f t="shared" si="76"/>
        <v>0</v>
      </c>
      <c r="N50" s="39">
        <f t="shared" si="18"/>
        <v>0</v>
      </c>
      <c r="O50" s="49">
        <f t="shared" si="1"/>
        <v>25.827600000000004</v>
      </c>
      <c r="P50" s="73">
        <f t="shared" si="77"/>
        <v>0</v>
      </c>
      <c r="Q50" s="40">
        <f t="shared" si="78"/>
        <v>0</v>
      </c>
      <c r="R50" s="51"/>
      <c r="S50" s="52"/>
      <c r="T50" s="52"/>
      <c r="U50" s="53"/>
      <c r="V50" s="54"/>
      <c r="W50" s="55">
        <f t="shared" si="79"/>
        <v>0</v>
      </c>
      <c r="X50" s="55">
        <f t="shared" si="80"/>
        <v>0</v>
      </c>
      <c r="Y50" s="56"/>
    </row>
    <row r="51" spans="1:25" x14ac:dyDescent="0.35">
      <c r="A51" s="78"/>
      <c r="B51" s="47">
        <v>47</v>
      </c>
      <c r="C51" s="57"/>
      <c r="D51" s="74"/>
      <c r="E51" s="75"/>
      <c r="F51" s="76"/>
      <c r="G51" s="50"/>
      <c r="H51" s="75"/>
      <c r="I51" s="49"/>
      <c r="J51" s="50"/>
      <c r="K51" s="75"/>
      <c r="L51" s="76"/>
      <c r="M51" s="48">
        <f t="shared" si="76"/>
        <v>0</v>
      </c>
      <c r="N51" s="39">
        <f t="shared" si="18"/>
        <v>0</v>
      </c>
      <c r="O51" s="49">
        <f t="shared" si="1"/>
        <v>25.827600000000004</v>
      </c>
      <c r="P51" s="73">
        <f t="shared" si="77"/>
        <v>0</v>
      </c>
      <c r="Q51" s="40">
        <f t="shared" si="78"/>
        <v>0</v>
      </c>
      <c r="R51" s="51"/>
      <c r="S51" s="52"/>
      <c r="T51" s="52"/>
      <c r="U51" s="53"/>
      <c r="V51" s="54"/>
      <c r="W51" s="55">
        <f t="shared" si="79"/>
        <v>0</v>
      </c>
      <c r="X51" s="55">
        <f t="shared" si="80"/>
        <v>0</v>
      </c>
      <c r="Y51" s="56"/>
    </row>
    <row r="52" spans="1:25" x14ac:dyDescent="0.35">
      <c r="A52" s="78"/>
      <c r="B52" s="47">
        <v>48</v>
      </c>
      <c r="C52" s="57"/>
      <c r="D52" s="74"/>
      <c r="E52" s="75"/>
      <c r="F52" s="76"/>
      <c r="G52" s="50"/>
      <c r="H52" s="75"/>
      <c r="I52" s="49"/>
      <c r="J52" s="50"/>
      <c r="K52" s="75"/>
      <c r="L52" s="76"/>
      <c r="M52" s="48">
        <f t="shared" si="76"/>
        <v>0</v>
      </c>
      <c r="N52" s="39">
        <f t="shared" si="18"/>
        <v>0</v>
      </c>
      <c r="O52" s="49">
        <f t="shared" si="1"/>
        <v>25.827600000000004</v>
      </c>
      <c r="P52" s="73">
        <f t="shared" si="77"/>
        <v>0</v>
      </c>
      <c r="Q52" s="40">
        <f t="shared" si="78"/>
        <v>0</v>
      </c>
      <c r="R52" s="51"/>
      <c r="S52" s="52"/>
      <c r="T52" s="52"/>
      <c r="U52" s="53"/>
      <c r="V52" s="54"/>
      <c r="W52" s="55">
        <f t="shared" si="79"/>
        <v>0</v>
      </c>
      <c r="X52" s="55">
        <f t="shared" si="80"/>
        <v>0</v>
      </c>
      <c r="Y52" s="56"/>
    </row>
    <row r="53" spans="1:25" x14ac:dyDescent="0.35">
      <c r="A53" s="78"/>
      <c r="B53" s="47">
        <v>49</v>
      </c>
      <c r="C53" s="57"/>
      <c r="D53" s="74"/>
      <c r="E53" s="75"/>
      <c r="F53" s="76"/>
      <c r="G53" s="50"/>
      <c r="H53" s="75"/>
      <c r="I53" s="49"/>
      <c r="J53" s="50"/>
      <c r="K53" s="75"/>
      <c r="L53" s="76"/>
      <c r="M53" s="48">
        <f t="shared" si="76"/>
        <v>0</v>
      </c>
      <c r="N53" s="39">
        <f t="shared" si="18"/>
        <v>0</v>
      </c>
      <c r="O53" s="49">
        <f t="shared" si="1"/>
        <v>25.827600000000004</v>
      </c>
      <c r="P53" s="73">
        <f t="shared" si="77"/>
        <v>0</v>
      </c>
      <c r="Q53" s="40">
        <f t="shared" si="78"/>
        <v>0</v>
      </c>
      <c r="R53" s="51"/>
      <c r="S53" s="52"/>
      <c r="T53" s="52"/>
      <c r="U53" s="53"/>
      <c r="V53" s="54"/>
      <c r="W53" s="55">
        <f t="shared" si="79"/>
        <v>0</v>
      </c>
      <c r="X53" s="55">
        <f t="shared" si="80"/>
        <v>0</v>
      </c>
      <c r="Y53" s="56"/>
    </row>
    <row r="54" spans="1:25" x14ac:dyDescent="0.35">
      <c r="A54" s="78"/>
      <c r="B54" s="47">
        <v>50</v>
      </c>
      <c r="C54" s="57"/>
      <c r="D54" s="74"/>
      <c r="E54" s="75"/>
      <c r="F54" s="76"/>
      <c r="G54" s="50"/>
      <c r="H54" s="75"/>
      <c r="I54" s="49"/>
      <c r="J54" s="50"/>
      <c r="K54" s="75"/>
      <c r="L54" s="76"/>
      <c r="M54" s="48">
        <f t="shared" si="76"/>
        <v>0</v>
      </c>
      <c r="N54" s="39">
        <f t="shared" si="18"/>
        <v>0</v>
      </c>
      <c r="O54" s="49">
        <f t="shared" si="1"/>
        <v>25.827600000000004</v>
      </c>
      <c r="P54" s="73">
        <f t="shared" si="77"/>
        <v>0</v>
      </c>
      <c r="Q54" s="40">
        <f t="shared" si="78"/>
        <v>0</v>
      </c>
      <c r="R54" s="51"/>
      <c r="S54" s="52"/>
      <c r="T54" s="52"/>
      <c r="U54" s="53"/>
      <c r="V54" s="54"/>
      <c r="W54" s="55">
        <f t="shared" si="79"/>
        <v>0</v>
      </c>
      <c r="X54" s="55">
        <f t="shared" si="80"/>
        <v>0</v>
      </c>
      <c r="Y54" s="56"/>
    </row>
    <row r="55" spans="1:25" x14ac:dyDescent="0.35">
      <c r="A55" s="78"/>
      <c r="B55" s="47">
        <v>51</v>
      </c>
      <c r="C55" s="57"/>
      <c r="D55" s="74"/>
      <c r="E55" s="75"/>
      <c r="F55" s="76"/>
      <c r="G55" s="50"/>
      <c r="H55" s="75"/>
      <c r="I55" s="49"/>
      <c r="J55" s="50"/>
      <c r="K55" s="75"/>
      <c r="L55" s="76"/>
      <c r="M55" s="48">
        <f t="shared" si="76"/>
        <v>0</v>
      </c>
      <c r="N55" s="39">
        <f t="shared" si="18"/>
        <v>0</v>
      </c>
      <c r="O55" s="49">
        <f t="shared" si="1"/>
        <v>25.827600000000004</v>
      </c>
      <c r="P55" s="73">
        <f t="shared" si="77"/>
        <v>0</v>
      </c>
      <c r="Q55" s="40">
        <f t="shared" si="78"/>
        <v>0</v>
      </c>
      <c r="R55" s="51"/>
      <c r="S55" s="52"/>
      <c r="T55" s="52"/>
      <c r="U55" s="53"/>
      <c r="V55" s="54"/>
      <c r="W55" s="55">
        <f t="shared" si="79"/>
        <v>0</v>
      </c>
      <c r="X55" s="55">
        <f t="shared" si="80"/>
        <v>0</v>
      </c>
      <c r="Y55" s="56"/>
    </row>
    <row r="56" spans="1:25" x14ac:dyDescent="0.35">
      <c r="A56" s="78"/>
      <c r="B56" s="47">
        <v>52</v>
      </c>
      <c r="C56" s="57"/>
      <c r="D56" s="74"/>
      <c r="E56" s="75"/>
      <c r="F56" s="76"/>
      <c r="G56" s="50"/>
      <c r="H56" s="75"/>
      <c r="I56" s="49"/>
      <c r="J56" s="50"/>
      <c r="K56" s="75"/>
      <c r="L56" s="76"/>
      <c r="M56" s="48">
        <f t="shared" si="76"/>
        <v>0</v>
      </c>
      <c r="N56" s="39">
        <f t="shared" si="18"/>
        <v>0</v>
      </c>
      <c r="O56" s="49">
        <f t="shared" si="1"/>
        <v>25.827600000000004</v>
      </c>
      <c r="P56" s="73">
        <f t="shared" si="77"/>
        <v>0</v>
      </c>
      <c r="Q56" s="40">
        <f t="shared" si="78"/>
        <v>0</v>
      </c>
      <c r="R56" s="51"/>
      <c r="S56" s="52"/>
      <c r="T56" s="52"/>
      <c r="U56" s="53"/>
      <c r="V56" s="54"/>
      <c r="W56" s="55">
        <f t="shared" si="79"/>
        <v>0</v>
      </c>
      <c r="X56" s="55">
        <f t="shared" si="80"/>
        <v>0</v>
      </c>
      <c r="Y56" s="56"/>
    </row>
    <row r="57" spans="1:25" x14ac:dyDescent="0.35">
      <c r="A57" s="78"/>
      <c r="B57" s="47">
        <v>53</v>
      </c>
      <c r="C57" s="57"/>
      <c r="D57" s="75"/>
      <c r="E57" s="75"/>
      <c r="F57" s="75"/>
      <c r="G57" s="75"/>
      <c r="H57" s="75"/>
      <c r="I57" s="135"/>
      <c r="J57" s="75"/>
      <c r="K57" s="75"/>
      <c r="L57" s="75"/>
      <c r="M57" s="138">
        <f t="shared" si="76"/>
        <v>0</v>
      </c>
      <c r="N57" s="39">
        <f t="shared" si="18"/>
        <v>0</v>
      </c>
      <c r="O57" s="49">
        <f t="shared" si="1"/>
        <v>25.827600000000004</v>
      </c>
      <c r="P57" s="73">
        <f t="shared" si="77"/>
        <v>0</v>
      </c>
      <c r="Q57" s="40">
        <f t="shared" si="78"/>
        <v>0</v>
      </c>
      <c r="R57" s="51"/>
      <c r="S57" s="52"/>
      <c r="T57" s="52"/>
      <c r="U57" s="53"/>
      <c r="V57" s="54"/>
      <c r="W57" s="55">
        <f t="shared" si="79"/>
        <v>0</v>
      </c>
      <c r="X57" s="55">
        <f t="shared" si="80"/>
        <v>0</v>
      </c>
      <c r="Y57" s="56"/>
    </row>
    <row r="58" spans="1:25" x14ac:dyDescent="0.35">
      <c r="A58" s="78"/>
      <c r="B58" s="47">
        <v>54</v>
      </c>
      <c r="C58" s="57"/>
      <c r="D58" s="75"/>
      <c r="E58" s="75"/>
      <c r="F58" s="75"/>
      <c r="G58" s="75"/>
      <c r="H58" s="75"/>
      <c r="I58" s="135"/>
      <c r="J58" s="75"/>
      <c r="K58" s="75"/>
      <c r="L58" s="75"/>
      <c r="M58" s="138">
        <f t="shared" si="76"/>
        <v>0</v>
      </c>
      <c r="N58" s="39">
        <f t="shared" si="18"/>
        <v>0</v>
      </c>
      <c r="O58" s="49">
        <f t="shared" si="1"/>
        <v>25.827600000000004</v>
      </c>
      <c r="P58" s="73">
        <f t="shared" si="77"/>
        <v>0</v>
      </c>
      <c r="Q58" s="40">
        <f t="shared" si="78"/>
        <v>0</v>
      </c>
      <c r="R58" s="51"/>
      <c r="S58" s="52"/>
      <c r="T58" s="52"/>
      <c r="U58" s="53"/>
      <c r="V58" s="54"/>
      <c r="W58" s="55">
        <f t="shared" si="79"/>
        <v>0</v>
      </c>
      <c r="X58" s="55">
        <f t="shared" si="80"/>
        <v>0</v>
      </c>
      <c r="Y58" s="56"/>
    </row>
    <row r="59" spans="1:25" x14ac:dyDescent="0.35">
      <c r="A59" s="78"/>
      <c r="B59" s="47">
        <v>55</v>
      </c>
      <c r="C59" s="57"/>
      <c r="D59" s="75"/>
      <c r="E59" s="75"/>
      <c r="F59" s="75"/>
      <c r="G59" s="75"/>
      <c r="H59" s="75"/>
      <c r="I59" s="135"/>
      <c r="J59" s="75"/>
      <c r="K59" s="75"/>
      <c r="L59" s="75"/>
      <c r="M59" s="138">
        <f t="shared" si="76"/>
        <v>0</v>
      </c>
      <c r="N59" s="39">
        <f t="shared" si="18"/>
        <v>0</v>
      </c>
      <c r="O59" s="49">
        <f t="shared" si="1"/>
        <v>25.827600000000004</v>
      </c>
      <c r="P59" s="73">
        <f t="shared" si="77"/>
        <v>0</v>
      </c>
      <c r="Q59" s="40">
        <f t="shared" si="78"/>
        <v>0</v>
      </c>
      <c r="R59" s="51"/>
      <c r="S59" s="52"/>
      <c r="T59" s="52"/>
      <c r="U59" s="53"/>
      <c r="V59" s="54"/>
      <c r="W59" s="55">
        <f t="shared" si="79"/>
        <v>0</v>
      </c>
      <c r="X59" s="55">
        <f t="shared" si="80"/>
        <v>0</v>
      </c>
      <c r="Y59" s="56"/>
    </row>
    <row r="60" spans="1:25" x14ac:dyDescent="0.35">
      <c r="A60" s="78"/>
      <c r="B60" s="47">
        <v>56</v>
      </c>
      <c r="C60" s="57"/>
      <c r="D60" s="75"/>
      <c r="E60" s="75"/>
      <c r="F60" s="75"/>
      <c r="G60" s="75"/>
      <c r="H60" s="75"/>
      <c r="I60" s="135"/>
      <c r="J60" s="75"/>
      <c r="K60" s="75"/>
      <c r="L60" s="75"/>
      <c r="M60" s="138">
        <f t="shared" si="52"/>
        <v>0</v>
      </c>
      <c r="N60" s="39">
        <f t="shared" si="18"/>
        <v>0</v>
      </c>
      <c r="O60" s="49">
        <f t="shared" si="1"/>
        <v>25.827600000000004</v>
      </c>
      <c r="P60" s="73">
        <f t="shared" si="53"/>
        <v>0</v>
      </c>
      <c r="Q60" s="40">
        <f t="shared" si="54"/>
        <v>0</v>
      </c>
      <c r="R60" s="51" t="e">
        <f t="shared" si="4"/>
        <v>#VALUE!</v>
      </c>
      <c r="S60" s="52">
        <f t="shared" si="5"/>
        <v>0</v>
      </c>
      <c r="T60" s="52">
        <f t="shared" si="6"/>
        <v>0</v>
      </c>
      <c r="U60" s="53" t="e">
        <f t="shared" si="55"/>
        <v>#VALUE!</v>
      </c>
      <c r="V60" s="54" t="e">
        <f t="shared" si="56"/>
        <v>#VALUE!</v>
      </c>
      <c r="W60" s="55">
        <f t="shared" si="57"/>
        <v>0</v>
      </c>
      <c r="X60" s="55">
        <f t="shared" si="58"/>
        <v>0</v>
      </c>
      <c r="Y60" s="56" t="e">
        <f t="shared" si="59"/>
        <v>#VALUE!</v>
      </c>
    </row>
    <row r="61" spans="1:25" x14ac:dyDescent="0.35">
      <c r="A61" s="78"/>
      <c r="B61" s="47">
        <v>57</v>
      </c>
      <c r="C61" s="136"/>
      <c r="D61" s="75"/>
      <c r="E61" s="75"/>
      <c r="F61" s="75"/>
      <c r="G61" s="75"/>
      <c r="H61" s="75"/>
      <c r="I61" s="135"/>
      <c r="J61" s="75"/>
      <c r="K61" s="75"/>
      <c r="L61" s="75"/>
      <c r="M61" s="138">
        <f t="shared" ref="M61:M83" si="81">SUM(D61:L61)/40</f>
        <v>0</v>
      </c>
      <c r="N61" s="39">
        <f t="shared" si="18"/>
        <v>0</v>
      </c>
      <c r="O61" s="49">
        <f t="shared" si="1"/>
        <v>25.827600000000004</v>
      </c>
      <c r="P61" s="73">
        <f t="shared" ref="P61:P78" si="82">SUM(G61:I61)/20</f>
        <v>0</v>
      </c>
      <c r="Q61" s="40">
        <f t="shared" ref="Q61:Q78" si="83">SUM(J61:L61)/20</f>
        <v>0</v>
      </c>
      <c r="R61" s="51" t="e">
        <f t="shared" si="4"/>
        <v>#VALUE!</v>
      </c>
      <c r="S61" s="52">
        <f t="shared" si="5"/>
        <v>0</v>
      </c>
      <c r="T61" s="52">
        <f t="shared" si="6"/>
        <v>0</v>
      </c>
      <c r="U61" s="53" t="e">
        <f t="shared" ref="U61:U78" si="84">SUM(R61:T61)</f>
        <v>#VALUE!</v>
      </c>
      <c r="V61" s="54" t="e">
        <f t="shared" ref="V61:V78" si="85">SUM(D61:F61)*$V$3</f>
        <v>#VALUE!</v>
      </c>
      <c r="W61" s="55">
        <f t="shared" ref="W61:W78" si="86">SUM(G61:I61)*$W$3</f>
        <v>0</v>
      </c>
      <c r="X61" s="55">
        <f t="shared" ref="X61:X78" si="87">SUM(J61:L61)*$X$3</f>
        <v>0</v>
      </c>
      <c r="Y61" s="56" t="e">
        <f t="shared" ref="Y61:Y78" si="88">SUM(V61:X61)</f>
        <v>#VALUE!</v>
      </c>
    </row>
    <row r="62" spans="1:25" x14ac:dyDescent="0.35">
      <c r="A62" s="78"/>
      <c r="B62" s="47">
        <v>58</v>
      </c>
      <c r="C62" s="136"/>
      <c r="D62" s="75"/>
      <c r="E62" s="75"/>
      <c r="F62" s="75"/>
      <c r="G62" s="75"/>
      <c r="H62" s="75"/>
      <c r="I62" s="135"/>
      <c r="J62" s="75"/>
      <c r="K62" s="75"/>
      <c r="L62" s="75"/>
      <c r="M62" s="138">
        <f t="shared" si="81"/>
        <v>0</v>
      </c>
      <c r="N62" s="39">
        <f t="shared" si="18"/>
        <v>0</v>
      </c>
      <c r="O62" s="49">
        <f t="shared" si="1"/>
        <v>25.827600000000004</v>
      </c>
      <c r="P62" s="73">
        <f t="shared" si="82"/>
        <v>0</v>
      </c>
      <c r="Q62" s="40">
        <f t="shared" si="83"/>
        <v>0</v>
      </c>
      <c r="R62" s="51" t="e">
        <f t="shared" si="4"/>
        <v>#VALUE!</v>
      </c>
      <c r="S62" s="52">
        <f t="shared" si="5"/>
        <v>0</v>
      </c>
      <c r="T62" s="52">
        <f t="shared" si="6"/>
        <v>0</v>
      </c>
      <c r="U62" s="53" t="e">
        <f t="shared" si="84"/>
        <v>#VALUE!</v>
      </c>
      <c r="V62" s="54" t="e">
        <f t="shared" si="85"/>
        <v>#VALUE!</v>
      </c>
      <c r="W62" s="55">
        <f t="shared" si="86"/>
        <v>0</v>
      </c>
      <c r="X62" s="55">
        <f t="shared" si="87"/>
        <v>0</v>
      </c>
      <c r="Y62" s="56" t="e">
        <f t="shared" si="88"/>
        <v>#VALUE!</v>
      </c>
    </row>
    <row r="63" spans="1:25" x14ac:dyDescent="0.35">
      <c r="A63" s="78"/>
      <c r="B63" s="47">
        <v>59</v>
      </c>
      <c r="C63" s="136"/>
      <c r="D63" s="75"/>
      <c r="E63" s="75"/>
      <c r="F63" s="75"/>
      <c r="G63" s="75"/>
      <c r="H63" s="75"/>
      <c r="I63" s="135"/>
      <c r="J63" s="75"/>
      <c r="K63" s="75"/>
      <c r="L63" s="75"/>
      <c r="M63" s="138">
        <f t="shared" si="81"/>
        <v>0</v>
      </c>
      <c r="N63" s="39">
        <f t="shared" si="18"/>
        <v>0</v>
      </c>
      <c r="O63" s="49">
        <f t="shared" si="1"/>
        <v>25.827600000000004</v>
      </c>
      <c r="P63" s="73">
        <f t="shared" si="82"/>
        <v>0</v>
      </c>
      <c r="Q63" s="40">
        <f t="shared" si="83"/>
        <v>0</v>
      </c>
      <c r="R63" s="51" t="e">
        <f t="shared" si="4"/>
        <v>#VALUE!</v>
      </c>
      <c r="S63" s="52">
        <f t="shared" si="5"/>
        <v>0</v>
      </c>
      <c r="T63" s="52">
        <f t="shared" si="6"/>
        <v>0</v>
      </c>
      <c r="U63" s="53" t="e">
        <f t="shared" si="84"/>
        <v>#VALUE!</v>
      </c>
      <c r="V63" s="54" t="e">
        <f t="shared" si="85"/>
        <v>#VALUE!</v>
      </c>
      <c r="W63" s="55">
        <f t="shared" si="86"/>
        <v>0</v>
      </c>
      <c r="X63" s="55">
        <f t="shared" si="87"/>
        <v>0</v>
      </c>
      <c r="Y63" s="56" t="e">
        <f t="shared" si="88"/>
        <v>#VALUE!</v>
      </c>
    </row>
    <row r="64" spans="1:25" x14ac:dyDescent="0.35">
      <c r="A64" s="78"/>
      <c r="B64" s="47">
        <v>60</v>
      </c>
      <c r="C64" s="136"/>
      <c r="D64" s="75"/>
      <c r="E64" s="75"/>
      <c r="F64" s="75"/>
      <c r="G64" s="75"/>
      <c r="H64" s="75"/>
      <c r="I64" s="135"/>
      <c r="J64" s="75"/>
      <c r="K64" s="75"/>
      <c r="L64" s="75"/>
      <c r="M64" s="138">
        <f t="shared" si="81"/>
        <v>0</v>
      </c>
      <c r="N64" s="39">
        <f t="shared" si="18"/>
        <v>0</v>
      </c>
      <c r="O64" s="49">
        <f t="shared" si="1"/>
        <v>25.827600000000004</v>
      </c>
      <c r="P64" s="73">
        <f t="shared" si="82"/>
        <v>0</v>
      </c>
      <c r="Q64" s="40">
        <f t="shared" si="83"/>
        <v>0</v>
      </c>
      <c r="R64" s="51" t="e">
        <f t="shared" si="4"/>
        <v>#VALUE!</v>
      </c>
      <c r="S64" s="52">
        <f t="shared" si="5"/>
        <v>0</v>
      </c>
      <c r="T64" s="52">
        <f t="shared" si="6"/>
        <v>0</v>
      </c>
      <c r="U64" s="53" t="e">
        <f t="shared" si="84"/>
        <v>#VALUE!</v>
      </c>
      <c r="V64" s="54" t="e">
        <f t="shared" si="85"/>
        <v>#VALUE!</v>
      </c>
      <c r="W64" s="55">
        <f t="shared" si="86"/>
        <v>0</v>
      </c>
      <c r="X64" s="55">
        <f t="shared" si="87"/>
        <v>0</v>
      </c>
      <c r="Y64" s="56" t="e">
        <f t="shared" si="88"/>
        <v>#VALUE!</v>
      </c>
    </row>
    <row r="65" spans="1:25" x14ac:dyDescent="0.35">
      <c r="A65" s="78"/>
      <c r="B65" s="47">
        <v>61</v>
      </c>
      <c r="C65" s="136"/>
      <c r="D65" s="75"/>
      <c r="E65" s="75"/>
      <c r="F65" s="75"/>
      <c r="G65" s="75"/>
      <c r="H65" s="75"/>
      <c r="I65" s="135"/>
      <c r="J65" s="75"/>
      <c r="K65" s="75"/>
      <c r="L65" s="75"/>
      <c r="M65" s="138">
        <f t="shared" si="81"/>
        <v>0</v>
      </c>
      <c r="N65" s="39">
        <f t="shared" si="18"/>
        <v>0</v>
      </c>
      <c r="O65" s="49">
        <f t="shared" si="1"/>
        <v>25.827600000000004</v>
      </c>
      <c r="P65" s="73">
        <f t="shared" si="82"/>
        <v>0</v>
      </c>
      <c r="Q65" s="40">
        <f t="shared" si="83"/>
        <v>0</v>
      </c>
      <c r="R65" s="51" t="e">
        <f t="shared" si="4"/>
        <v>#VALUE!</v>
      </c>
      <c r="S65" s="52">
        <f t="shared" si="5"/>
        <v>0</v>
      </c>
      <c r="T65" s="52">
        <f t="shared" si="6"/>
        <v>0</v>
      </c>
      <c r="U65" s="53" t="e">
        <f t="shared" si="84"/>
        <v>#VALUE!</v>
      </c>
      <c r="V65" s="54" t="e">
        <f t="shared" si="85"/>
        <v>#VALUE!</v>
      </c>
      <c r="W65" s="55">
        <f t="shared" si="86"/>
        <v>0</v>
      </c>
      <c r="X65" s="55">
        <f t="shared" si="87"/>
        <v>0</v>
      </c>
      <c r="Y65" s="56" t="e">
        <f t="shared" si="88"/>
        <v>#VALUE!</v>
      </c>
    </row>
    <row r="66" spans="1:25" x14ac:dyDescent="0.35">
      <c r="A66" s="78"/>
      <c r="B66" s="47">
        <v>62</v>
      </c>
      <c r="C66" s="136"/>
      <c r="D66" s="75"/>
      <c r="E66" s="75"/>
      <c r="F66" s="75"/>
      <c r="G66" s="75"/>
      <c r="H66" s="75"/>
      <c r="I66" s="135"/>
      <c r="J66" s="75"/>
      <c r="K66" s="75"/>
      <c r="L66" s="75"/>
      <c r="M66" s="138">
        <f t="shared" si="81"/>
        <v>0</v>
      </c>
      <c r="N66" s="39">
        <f t="shared" si="18"/>
        <v>0</v>
      </c>
      <c r="O66" s="49">
        <f t="shared" si="1"/>
        <v>25.827600000000004</v>
      </c>
      <c r="P66" s="73">
        <f t="shared" si="82"/>
        <v>0</v>
      </c>
      <c r="Q66" s="40">
        <f t="shared" si="83"/>
        <v>0</v>
      </c>
      <c r="R66" s="51" t="e">
        <f t="shared" si="4"/>
        <v>#VALUE!</v>
      </c>
      <c r="S66" s="52">
        <f t="shared" si="5"/>
        <v>0</v>
      </c>
      <c r="T66" s="52">
        <f t="shared" si="6"/>
        <v>0</v>
      </c>
      <c r="U66" s="53" t="e">
        <f t="shared" si="84"/>
        <v>#VALUE!</v>
      </c>
      <c r="V66" s="54" t="e">
        <f t="shared" si="85"/>
        <v>#VALUE!</v>
      </c>
      <c r="W66" s="55">
        <f t="shared" si="86"/>
        <v>0</v>
      </c>
      <c r="X66" s="55">
        <f t="shared" si="87"/>
        <v>0</v>
      </c>
      <c r="Y66" s="56" t="e">
        <f t="shared" si="88"/>
        <v>#VALUE!</v>
      </c>
    </row>
    <row r="67" spans="1:25" x14ac:dyDescent="0.35">
      <c r="A67" s="78"/>
      <c r="B67" s="47">
        <v>63</v>
      </c>
      <c r="C67" s="136"/>
      <c r="D67" s="75"/>
      <c r="E67" s="75"/>
      <c r="F67" s="75"/>
      <c r="G67" s="75"/>
      <c r="H67" s="75"/>
      <c r="I67" s="135"/>
      <c r="J67" s="75"/>
      <c r="K67" s="75"/>
      <c r="L67" s="75"/>
      <c r="M67" s="138">
        <f t="shared" si="81"/>
        <v>0</v>
      </c>
      <c r="N67" s="39">
        <f t="shared" si="18"/>
        <v>0</v>
      </c>
      <c r="O67" s="49">
        <f t="shared" si="1"/>
        <v>25.827600000000004</v>
      </c>
      <c r="P67" s="73">
        <f t="shared" si="82"/>
        <v>0</v>
      </c>
      <c r="Q67" s="40">
        <f t="shared" si="83"/>
        <v>0</v>
      </c>
      <c r="R67" s="51" t="e">
        <f t="shared" si="4"/>
        <v>#VALUE!</v>
      </c>
      <c r="S67" s="52">
        <f t="shared" si="5"/>
        <v>0</v>
      </c>
      <c r="T67" s="52">
        <f t="shared" si="6"/>
        <v>0</v>
      </c>
      <c r="U67" s="53" t="e">
        <f t="shared" si="84"/>
        <v>#VALUE!</v>
      </c>
      <c r="V67" s="54" t="e">
        <f t="shared" si="85"/>
        <v>#VALUE!</v>
      </c>
      <c r="W67" s="55">
        <f t="shared" si="86"/>
        <v>0</v>
      </c>
      <c r="X67" s="55">
        <f t="shared" si="87"/>
        <v>0</v>
      </c>
      <c r="Y67" s="56" t="e">
        <f t="shared" si="88"/>
        <v>#VALUE!</v>
      </c>
    </row>
    <row r="68" spans="1:25" x14ac:dyDescent="0.35">
      <c r="A68" s="78"/>
      <c r="B68" s="47">
        <v>64</v>
      </c>
      <c r="C68" s="136"/>
      <c r="D68" s="75"/>
      <c r="E68" s="75"/>
      <c r="F68" s="75"/>
      <c r="G68" s="75"/>
      <c r="H68" s="75"/>
      <c r="I68" s="135"/>
      <c r="J68" s="75"/>
      <c r="K68" s="75"/>
      <c r="L68" s="75"/>
      <c r="M68" s="138">
        <f t="shared" si="81"/>
        <v>0</v>
      </c>
      <c r="N68" s="39">
        <f t="shared" si="18"/>
        <v>0</v>
      </c>
      <c r="O68" s="49">
        <f t="shared" si="1"/>
        <v>25.827600000000004</v>
      </c>
      <c r="P68" s="73">
        <f t="shared" si="82"/>
        <v>0</v>
      </c>
      <c r="Q68" s="40">
        <f t="shared" si="83"/>
        <v>0</v>
      </c>
      <c r="R68" s="51" t="e">
        <f t="shared" si="4"/>
        <v>#VALUE!</v>
      </c>
      <c r="S68" s="52">
        <f t="shared" si="5"/>
        <v>0</v>
      </c>
      <c r="T68" s="52">
        <f t="shared" si="6"/>
        <v>0</v>
      </c>
      <c r="U68" s="53" t="e">
        <f t="shared" si="84"/>
        <v>#VALUE!</v>
      </c>
      <c r="V68" s="54" t="e">
        <f t="shared" si="85"/>
        <v>#VALUE!</v>
      </c>
      <c r="W68" s="55">
        <f t="shared" si="86"/>
        <v>0</v>
      </c>
      <c r="X68" s="55">
        <f t="shared" si="87"/>
        <v>0</v>
      </c>
      <c r="Y68" s="56" t="e">
        <f t="shared" si="88"/>
        <v>#VALUE!</v>
      </c>
    </row>
    <row r="69" spans="1:25" x14ac:dyDescent="0.35">
      <c r="A69" s="78"/>
      <c r="B69" s="47">
        <v>65</v>
      </c>
      <c r="C69" s="136"/>
      <c r="D69" s="75"/>
      <c r="E69" s="75"/>
      <c r="F69" s="75"/>
      <c r="G69" s="75"/>
      <c r="H69" s="75"/>
      <c r="I69" s="135"/>
      <c r="J69" s="75"/>
      <c r="K69" s="75"/>
      <c r="L69" s="75"/>
      <c r="M69" s="138">
        <f t="shared" si="81"/>
        <v>0</v>
      </c>
      <c r="N69" s="39">
        <f t="shared" si="18"/>
        <v>0</v>
      </c>
      <c r="O69" s="49">
        <f t="shared" si="1"/>
        <v>25.827600000000004</v>
      </c>
      <c r="P69" s="73">
        <f t="shared" si="82"/>
        <v>0</v>
      </c>
      <c r="Q69" s="40">
        <f t="shared" si="83"/>
        <v>0</v>
      </c>
      <c r="R69" s="51" t="e">
        <f t="shared" si="4"/>
        <v>#VALUE!</v>
      </c>
      <c r="S69" s="52">
        <f t="shared" si="5"/>
        <v>0</v>
      </c>
      <c r="T69" s="52">
        <f t="shared" si="6"/>
        <v>0</v>
      </c>
      <c r="U69" s="53" t="e">
        <f t="shared" si="84"/>
        <v>#VALUE!</v>
      </c>
      <c r="V69" s="54" t="e">
        <f t="shared" si="85"/>
        <v>#VALUE!</v>
      </c>
      <c r="W69" s="55">
        <f t="shared" si="86"/>
        <v>0</v>
      </c>
      <c r="X69" s="55">
        <f t="shared" si="87"/>
        <v>0</v>
      </c>
      <c r="Y69" s="56" t="e">
        <f t="shared" si="88"/>
        <v>#VALUE!</v>
      </c>
    </row>
    <row r="70" spans="1:25" x14ac:dyDescent="0.35">
      <c r="A70" s="78"/>
      <c r="B70" s="47">
        <v>66</v>
      </c>
      <c r="C70" s="136"/>
      <c r="D70" s="75"/>
      <c r="E70" s="75"/>
      <c r="F70" s="75"/>
      <c r="G70" s="75"/>
      <c r="H70" s="75"/>
      <c r="I70" s="135"/>
      <c r="J70" s="75"/>
      <c r="K70" s="75"/>
      <c r="L70" s="75"/>
      <c r="M70" s="138">
        <f t="shared" si="81"/>
        <v>0</v>
      </c>
      <c r="N70" s="39">
        <f t="shared" si="18"/>
        <v>0</v>
      </c>
      <c r="O70" s="49">
        <f t="shared" si="1"/>
        <v>25.827600000000004</v>
      </c>
      <c r="P70" s="73">
        <f t="shared" si="82"/>
        <v>0</v>
      </c>
      <c r="Q70" s="40">
        <f t="shared" si="83"/>
        <v>0</v>
      </c>
      <c r="R70" s="51" t="e">
        <f t="shared" si="4"/>
        <v>#VALUE!</v>
      </c>
      <c r="S70" s="52">
        <f t="shared" si="5"/>
        <v>0</v>
      </c>
      <c r="T70" s="52">
        <f t="shared" si="6"/>
        <v>0</v>
      </c>
      <c r="U70" s="53" t="e">
        <f t="shared" si="84"/>
        <v>#VALUE!</v>
      </c>
      <c r="V70" s="54" t="e">
        <f t="shared" si="85"/>
        <v>#VALUE!</v>
      </c>
      <c r="W70" s="55">
        <f t="shared" si="86"/>
        <v>0</v>
      </c>
      <c r="X70" s="55">
        <f t="shared" si="87"/>
        <v>0</v>
      </c>
      <c r="Y70" s="56" t="e">
        <f t="shared" si="88"/>
        <v>#VALUE!</v>
      </c>
    </row>
    <row r="71" spans="1:25" x14ac:dyDescent="0.35">
      <c r="A71" s="78"/>
      <c r="B71" s="47">
        <v>67</v>
      </c>
      <c r="C71" s="136"/>
      <c r="D71" s="75"/>
      <c r="E71" s="75"/>
      <c r="F71" s="75"/>
      <c r="G71" s="75"/>
      <c r="H71" s="75"/>
      <c r="I71" s="135"/>
      <c r="J71" s="75"/>
      <c r="K71" s="75"/>
      <c r="L71" s="75"/>
      <c r="M71" s="138">
        <f t="shared" si="81"/>
        <v>0</v>
      </c>
      <c r="N71" s="39">
        <f t="shared" si="18"/>
        <v>0</v>
      </c>
      <c r="O71" s="49">
        <f t="shared" si="1"/>
        <v>25.827600000000004</v>
      </c>
      <c r="P71" s="73">
        <f t="shared" si="82"/>
        <v>0</v>
      </c>
      <c r="Q71" s="40">
        <f t="shared" si="83"/>
        <v>0</v>
      </c>
      <c r="R71" s="51" t="e">
        <f t="shared" si="4"/>
        <v>#VALUE!</v>
      </c>
      <c r="S71" s="52">
        <f t="shared" si="5"/>
        <v>0</v>
      </c>
      <c r="T71" s="52">
        <f t="shared" si="6"/>
        <v>0</v>
      </c>
      <c r="U71" s="53" t="e">
        <f t="shared" si="84"/>
        <v>#VALUE!</v>
      </c>
      <c r="V71" s="54" t="e">
        <f t="shared" si="85"/>
        <v>#VALUE!</v>
      </c>
      <c r="W71" s="55">
        <f t="shared" si="86"/>
        <v>0</v>
      </c>
      <c r="X71" s="55">
        <f t="shared" si="87"/>
        <v>0</v>
      </c>
      <c r="Y71" s="56" t="e">
        <f t="shared" si="88"/>
        <v>#VALUE!</v>
      </c>
    </row>
    <row r="72" spans="1:25" x14ac:dyDescent="0.35">
      <c r="A72" s="78"/>
      <c r="B72" s="47">
        <v>68</v>
      </c>
      <c r="C72" s="136"/>
      <c r="D72" s="75"/>
      <c r="E72" s="75"/>
      <c r="F72" s="75"/>
      <c r="G72" s="75"/>
      <c r="H72" s="75"/>
      <c r="I72" s="135"/>
      <c r="J72" s="75"/>
      <c r="K72" s="75"/>
      <c r="L72" s="75"/>
      <c r="M72" s="138">
        <f t="shared" si="81"/>
        <v>0</v>
      </c>
      <c r="N72" s="39">
        <f t="shared" si="18"/>
        <v>0</v>
      </c>
      <c r="O72" s="49">
        <f t="shared" si="1"/>
        <v>25.827600000000004</v>
      </c>
      <c r="P72" s="73">
        <f t="shared" si="82"/>
        <v>0</v>
      </c>
      <c r="Q72" s="40">
        <f t="shared" si="83"/>
        <v>0</v>
      </c>
      <c r="R72" s="51" t="e">
        <f t="shared" si="4"/>
        <v>#VALUE!</v>
      </c>
      <c r="S72" s="52">
        <f t="shared" si="5"/>
        <v>0</v>
      </c>
      <c r="T72" s="52">
        <f t="shared" si="6"/>
        <v>0</v>
      </c>
      <c r="U72" s="53" t="e">
        <f t="shared" si="84"/>
        <v>#VALUE!</v>
      </c>
      <c r="V72" s="54" t="e">
        <f t="shared" si="85"/>
        <v>#VALUE!</v>
      </c>
      <c r="W72" s="55">
        <f t="shared" si="86"/>
        <v>0</v>
      </c>
      <c r="X72" s="55">
        <f t="shared" si="87"/>
        <v>0</v>
      </c>
      <c r="Y72" s="56" t="e">
        <f t="shared" si="88"/>
        <v>#VALUE!</v>
      </c>
    </row>
    <row r="73" spans="1:25" x14ac:dyDescent="0.35">
      <c r="A73" s="78"/>
      <c r="B73" s="47">
        <v>69</v>
      </c>
      <c r="C73" s="136"/>
      <c r="D73" s="75"/>
      <c r="E73" s="75"/>
      <c r="F73" s="75"/>
      <c r="G73" s="75"/>
      <c r="H73" s="75"/>
      <c r="I73" s="135"/>
      <c r="J73" s="75"/>
      <c r="K73" s="75"/>
      <c r="L73" s="75"/>
      <c r="M73" s="138">
        <f t="shared" si="81"/>
        <v>0</v>
      </c>
      <c r="N73" s="39">
        <f t="shared" si="18"/>
        <v>0</v>
      </c>
      <c r="O73" s="49">
        <f t="shared" si="1"/>
        <v>25.827600000000004</v>
      </c>
      <c r="P73" s="73">
        <f t="shared" si="82"/>
        <v>0</v>
      </c>
      <c r="Q73" s="40">
        <f t="shared" si="83"/>
        <v>0</v>
      </c>
      <c r="R73" s="51" t="e">
        <f t="shared" si="4"/>
        <v>#VALUE!</v>
      </c>
      <c r="S73" s="52">
        <f t="shared" si="5"/>
        <v>0</v>
      </c>
      <c r="T73" s="52">
        <f t="shared" si="6"/>
        <v>0</v>
      </c>
      <c r="U73" s="53" t="e">
        <f t="shared" si="84"/>
        <v>#VALUE!</v>
      </c>
      <c r="V73" s="54" t="e">
        <f t="shared" si="85"/>
        <v>#VALUE!</v>
      </c>
      <c r="W73" s="55">
        <f t="shared" si="86"/>
        <v>0</v>
      </c>
      <c r="X73" s="55">
        <f t="shared" si="87"/>
        <v>0</v>
      </c>
      <c r="Y73" s="56" t="e">
        <f t="shared" si="88"/>
        <v>#VALUE!</v>
      </c>
    </row>
    <row r="74" spans="1:25" x14ac:dyDescent="0.35">
      <c r="A74" s="78"/>
      <c r="B74" s="47">
        <v>70</v>
      </c>
      <c r="C74" s="137"/>
      <c r="D74" s="75"/>
      <c r="E74" s="75"/>
      <c r="F74" s="50"/>
      <c r="G74" s="75"/>
      <c r="H74" s="75"/>
      <c r="I74" s="135"/>
      <c r="J74" s="75"/>
      <c r="K74" s="75"/>
      <c r="L74" s="75"/>
      <c r="M74" s="138">
        <f t="shared" si="81"/>
        <v>0</v>
      </c>
      <c r="N74" s="39">
        <f t="shared" si="18"/>
        <v>0</v>
      </c>
      <c r="O74" s="49">
        <f t="shared" si="1"/>
        <v>25.827600000000004</v>
      </c>
      <c r="P74" s="73">
        <f t="shared" si="82"/>
        <v>0</v>
      </c>
      <c r="Q74" s="40">
        <f t="shared" si="83"/>
        <v>0</v>
      </c>
      <c r="R74" s="51" t="e">
        <f t="shared" si="4"/>
        <v>#VALUE!</v>
      </c>
      <c r="S74" s="52">
        <f t="shared" si="5"/>
        <v>0</v>
      </c>
      <c r="T74" s="52">
        <f t="shared" si="6"/>
        <v>0</v>
      </c>
      <c r="U74" s="53" t="e">
        <f t="shared" si="84"/>
        <v>#VALUE!</v>
      </c>
      <c r="V74" s="54" t="e">
        <f t="shared" si="85"/>
        <v>#VALUE!</v>
      </c>
      <c r="W74" s="55">
        <f t="shared" si="86"/>
        <v>0</v>
      </c>
      <c r="X74" s="55">
        <f t="shared" si="87"/>
        <v>0</v>
      </c>
      <c r="Y74" s="56" t="e">
        <f t="shared" si="88"/>
        <v>#VALUE!</v>
      </c>
    </row>
    <row r="75" spans="1:25" x14ac:dyDescent="0.35">
      <c r="A75" s="78"/>
      <c r="B75" s="47">
        <v>71</v>
      </c>
      <c r="C75" s="137"/>
      <c r="D75" s="75"/>
      <c r="E75" s="50"/>
      <c r="F75" s="50"/>
      <c r="G75" s="75"/>
      <c r="H75" s="75"/>
      <c r="I75" s="135"/>
      <c r="J75" s="75"/>
      <c r="K75" s="75"/>
      <c r="L75" s="75"/>
      <c r="M75" s="138">
        <f t="shared" si="81"/>
        <v>0</v>
      </c>
      <c r="N75" s="39">
        <f t="shared" si="18"/>
        <v>0</v>
      </c>
      <c r="O75" s="49">
        <f t="shared" si="1"/>
        <v>25.827600000000004</v>
      </c>
      <c r="P75" s="73">
        <f t="shared" si="82"/>
        <v>0</v>
      </c>
      <c r="Q75" s="40">
        <f t="shared" si="83"/>
        <v>0</v>
      </c>
      <c r="R75" s="51" t="e">
        <f t="shared" si="4"/>
        <v>#VALUE!</v>
      </c>
      <c r="S75" s="52">
        <f t="shared" si="5"/>
        <v>0</v>
      </c>
      <c r="T75" s="52">
        <f t="shared" si="6"/>
        <v>0</v>
      </c>
      <c r="U75" s="53" t="e">
        <f t="shared" si="84"/>
        <v>#VALUE!</v>
      </c>
      <c r="V75" s="54" t="e">
        <f t="shared" si="85"/>
        <v>#VALUE!</v>
      </c>
      <c r="W75" s="55">
        <f t="shared" si="86"/>
        <v>0</v>
      </c>
      <c r="X75" s="55">
        <f t="shared" si="87"/>
        <v>0</v>
      </c>
      <c r="Y75" s="56" t="e">
        <f t="shared" si="88"/>
        <v>#VALUE!</v>
      </c>
    </row>
    <row r="76" spans="1:25" x14ac:dyDescent="0.35">
      <c r="A76" s="78"/>
      <c r="B76" s="47">
        <v>72</v>
      </c>
      <c r="C76" s="137"/>
      <c r="D76" s="75"/>
      <c r="E76" s="50"/>
      <c r="F76" s="50"/>
      <c r="G76" s="75"/>
      <c r="H76" s="75"/>
      <c r="I76" s="135"/>
      <c r="J76" s="75"/>
      <c r="K76" s="75"/>
      <c r="L76" s="75"/>
      <c r="M76" s="138">
        <f t="shared" si="81"/>
        <v>0</v>
      </c>
      <c r="N76" s="39">
        <f t="shared" si="18"/>
        <v>0</v>
      </c>
      <c r="O76" s="49">
        <f t="shared" si="1"/>
        <v>25.827600000000004</v>
      </c>
      <c r="P76" s="73">
        <f t="shared" si="82"/>
        <v>0</v>
      </c>
      <c r="Q76" s="40">
        <f t="shared" si="83"/>
        <v>0</v>
      </c>
      <c r="R76" s="51" t="e">
        <f t="shared" si="4"/>
        <v>#VALUE!</v>
      </c>
      <c r="S76" s="52">
        <f t="shared" si="5"/>
        <v>0</v>
      </c>
      <c r="T76" s="52">
        <f t="shared" si="6"/>
        <v>0</v>
      </c>
      <c r="U76" s="53" t="e">
        <f t="shared" si="84"/>
        <v>#VALUE!</v>
      </c>
      <c r="V76" s="54" t="e">
        <f t="shared" si="85"/>
        <v>#VALUE!</v>
      </c>
      <c r="W76" s="55">
        <f t="shared" si="86"/>
        <v>0</v>
      </c>
      <c r="X76" s="55">
        <f t="shared" si="87"/>
        <v>0</v>
      </c>
      <c r="Y76" s="56" t="e">
        <f t="shared" si="88"/>
        <v>#VALUE!</v>
      </c>
    </row>
    <row r="77" spans="1:25" x14ac:dyDescent="0.35">
      <c r="A77" s="78"/>
      <c r="B77" s="47">
        <v>73</v>
      </c>
      <c r="C77" s="137"/>
      <c r="D77" s="75"/>
      <c r="E77" s="50"/>
      <c r="F77" s="50"/>
      <c r="G77" s="50"/>
      <c r="H77" s="50"/>
      <c r="I77" s="138"/>
      <c r="J77" s="50"/>
      <c r="K77" s="50"/>
      <c r="L77" s="50"/>
      <c r="M77" s="138">
        <f t="shared" si="81"/>
        <v>0</v>
      </c>
      <c r="N77" s="39">
        <f t="shared" si="18"/>
        <v>0</v>
      </c>
      <c r="O77" s="49">
        <f t="shared" si="1"/>
        <v>25.827600000000004</v>
      </c>
      <c r="P77" s="73">
        <f t="shared" si="82"/>
        <v>0</v>
      </c>
      <c r="Q77" s="40">
        <f t="shared" si="83"/>
        <v>0</v>
      </c>
      <c r="R77" s="51" t="e">
        <f t="shared" si="4"/>
        <v>#VALUE!</v>
      </c>
      <c r="S77" s="52">
        <f t="shared" si="5"/>
        <v>0</v>
      </c>
      <c r="T77" s="52">
        <f t="shared" si="6"/>
        <v>0</v>
      </c>
      <c r="U77" s="53" t="e">
        <f t="shared" si="84"/>
        <v>#VALUE!</v>
      </c>
      <c r="V77" s="54" t="e">
        <f t="shared" si="85"/>
        <v>#VALUE!</v>
      </c>
      <c r="W77" s="55">
        <f t="shared" si="86"/>
        <v>0</v>
      </c>
      <c r="X77" s="55">
        <f t="shared" si="87"/>
        <v>0</v>
      </c>
      <c r="Y77" s="56" t="e">
        <f t="shared" si="88"/>
        <v>#VALUE!</v>
      </c>
    </row>
    <row r="78" spans="1:25" x14ac:dyDescent="0.35">
      <c r="A78" s="78"/>
      <c r="B78" s="47">
        <v>74</v>
      </c>
      <c r="C78" s="137"/>
      <c r="D78" s="75"/>
      <c r="E78" s="50"/>
      <c r="F78" s="50"/>
      <c r="G78" s="50"/>
      <c r="H78" s="50"/>
      <c r="I78" s="138"/>
      <c r="J78" s="50"/>
      <c r="K78" s="50"/>
      <c r="L78" s="50"/>
      <c r="M78" s="138">
        <f t="shared" si="81"/>
        <v>0</v>
      </c>
      <c r="N78" s="39">
        <f t="shared" si="18"/>
        <v>0</v>
      </c>
      <c r="O78" s="49">
        <f t="shared" si="1"/>
        <v>25.827600000000004</v>
      </c>
      <c r="P78" s="73">
        <f t="shared" si="82"/>
        <v>0</v>
      </c>
      <c r="Q78" s="40">
        <f t="shared" si="83"/>
        <v>0</v>
      </c>
      <c r="R78" s="51" t="e">
        <f t="shared" si="4"/>
        <v>#VALUE!</v>
      </c>
      <c r="S78" s="52">
        <f t="shared" si="5"/>
        <v>0</v>
      </c>
      <c r="T78" s="52">
        <f t="shared" si="6"/>
        <v>0</v>
      </c>
      <c r="U78" s="53" t="e">
        <f t="shared" si="84"/>
        <v>#VALUE!</v>
      </c>
      <c r="V78" s="54" t="e">
        <f t="shared" si="85"/>
        <v>#VALUE!</v>
      </c>
      <c r="W78" s="55">
        <f t="shared" si="86"/>
        <v>0</v>
      </c>
      <c r="X78" s="55">
        <f t="shared" si="87"/>
        <v>0</v>
      </c>
      <c r="Y78" s="56" t="e">
        <f t="shared" si="88"/>
        <v>#VALUE!</v>
      </c>
    </row>
    <row r="79" spans="1:25" x14ac:dyDescent="0.35">
      <c r="A79" s="78"/>
      <c r="B79" s="47">
        <v>75</v>
      </c>
      <c r="C79" s="136"/>
      <c r="D79" s="50"/>
      <c r="E79" s="50"/>
      <c r="F79" s="50"/>
      <c r="G79" s="50"/>
      <c r="H79" s="50"/>
      <c r="I79" s="138"/>
      <c r="J79" s="50"/>
      <c r="K79" s="50"/>
      <c r="L79" s="50"/>
      <c r="M79" s="138">
        <f t="shared" si="81"/>
        <v>0</v>
      </c>
      <c r="N79" s="39">
        <f t="shared" si="18"/>
        <v>0</v>
      </c>
      <c r="O79" s="49">
        <f t="shared" si="1"/>
        <v>25.827600000000004</v>
      </c>
      <c r="P79" s="73">
        <f t="shared" ref="P79:P83" si="89">SUM(G79:I79)/20</f>
        <v>0</v>
      </c>
      <c r="Q79" s="40">
        <f t="shared" ref="Q79:Q83" si="90">SUM(J79:L79)/20</f>
        <v>0</v>
      </c>
      <c r="R79" s="51" t="e">
        <f t="shared" si="4"/>
        <v>#VALUE!</v>
      </c>
      <c r="S79" s="52">
        <f t="shared" si="5"/>
        <v>0</v>
      </c>
      <c r="T79" s="52">
        <f t="shared" si="6"/>
        <v>0</v>
      </c>
      <c r="U79" s="53" t="e">
        <f t="shared" ref="U79:U83" si="91">SUM(R79:T79)</f>
        <v>#VALUE!</v>
      </c>
      <c r="V79" s="54" t="e">
        <f t="shared" ref="V79:V83" si="92">SUM(D79:F79)*$V$3</f>
        <v>#VALUE!</v>
      </c>
      <c r="W79" s="55">
        <f t="shared" ref="W79:W83" si="93">SUM(G79:I79)*$W$3</f>
        <v>0</v>
      </c>
      <c r="X79" s="55">
        <f t="shared" ref="X79:X83" si="94">SUM(J79:L79)*$X$3</f>
        <v>0</v>
      </c>
      <c r="Y79" s="56" t="e">
        <f t="shared" ref="Y79:Y83" si="95">SUM(V79:X79)</f>
        <v>#VALUE!</v>
      </c>
    </row>
    <row r="80" spans="1:25" x14ac:dyDescent="0.35">
      <c r="A80" s="78"/>
      <c r="B80" s="47">
        <v>76</v>
      </c>
      <c r="C80" s="136"/>
      <c r="D80" s="50"/>
      <c r="E80" s="50"/>
      <c r="F80" s="50"/>
      <c r="G80" s="50"/>
      <c r="H80" s="50"/>
      <c r="I80" s="138"/>
      <c r="J80" s="50"/>
      <c r="K80" s="50"/>
      <c r="L80" s="50"/>
      <c r="M80" s="138">
        <f t="shared" si="81"/>
        <v>0</v>
      </c>
      <c r="N80" s="39">
        <f t="shared" si="18"/>
        <v>0</v>
      </c>
      <c r="O80" s="49">
        <f t="shared" si="1"/>
        <v>25.827600000000004</v>
      </c>
      <c r="P80" s="73">
        <f t="shared" si="89"/>
        <v>0</v>
      </c>
      <c r="Q80" s="40">
        <f t="shared" si="90"/>
        <v>0</v>
      </c>
      <c r="R80" s="51" t="e">
        <f t="shared" si="4"/>
        <v>#VALUE!</v>
      </c>
      <c r="S80" s="52">
        <f t="shared" si="5"/>
        <v>0</v>
      </c>
      <c r="T80" s="52">
        <f t="shared" si="6"/>
        <v>0</v>
      </c>
      <c r="U80" s="53" t="e">
        <f t="shared" si="91"/>
        <v>#VALUE!</v>
      </c>
      <c r="V80" s="54" t="e">
        <f t="shared" si="92"/>
        <v>#VALUE!</v>
      </c>
      <c r="W80" s="55">
        <f t="shared" si="93"/>
        <v>0</v>
      </c>
      <c r="X80" s="55">
        <f t="shared" si="94"/>
        <v>0</v>
      </c>
      <c r="Y80" s="56" t="e">
        <f t="shared" si="95"/>
        <v>#VALUE!</v>
      </c>
    </row>
    <row r="81" spans="1:25" x14ac:dyDescent="0.35">
      <c r="A81" s="78"/>
      <c r="B81" s="47">
        <v>77</v>
      </c>
      <c r="C81" s="136"/>
      <c r="D81" s="50"/>
      <c r="E81" s="50"/>
      <c r="F81" s="50"/>
      <c r="G81" s="50"/>
      <c r="H81" s="50"/>
      <c r="I81" s="138"/>
      <c r="J81" s="50"/>
      <c r="K81" s="50"/>
      <c r="L81" s="50"/>
      <c r="M81" s="138">
        <f t="shared" si="81"/>
        <v>0</v>
      </c>
      <c r="N81" s="39">
        <f t="shared" si="18"/>
        <v>0</v>
      </c>
      <c r="O81" s="49">
        <f t="shared" si="1"/>
        <v>25.827600000000004</v>
      </c>
      <c r="P81" s="73">
        <f t="shared" si="89"/>
        <v>0</v>
      </c>
      <c r="Q81" s="40">
        <f t="shared" si="90"/>
        <v>0</v>
      </c>
      <c r="R81" s="51" t="e">
        <f t="shared" si="4"/>
        <v>#VALUE!</v>
      </c>
      <c r="S81" s="52">
        <f t="shared" si="5"/>
        <v>0</v>
      </c>
      <c r="T81" s="52">
        <f t="shared" si="6"/>
        <v>0</v>
      </c>
      <c r="U81" s="53" t="e">
        <f t="shared" si="91"/>
        <v>#VALUE!</v>
      </c>
      <c r="V81" s="54" t="e">
        <f t="shared" si="92"/>
        <v>#VALUE!</v>
      </c>
      <c r="W81" s="55">
        <f t="shared" si="93"/>
        <v>0</v>
      </c>
      <c r="X81" s="55">
        <f t="shared" si="94"/>
        <v>0</v>
      </c>
      <c r="Y81" s="56" t="e">
        <f t="shared" si="95"/>
        <v>#VALUE!</v>
      </c>
    </row>
    <row r="82" spans="1:25" x14ac:dyDescent="0.35">
      <c r="A82" s="78"/>
      <c r="B82" s="47">
        <v>78</v>
      </c>
      <c r="C82" s="136"/>
      <c r="D82" s="50"/>
      <c r="E82" s="50"/>
      <c r="F82" s="50"/>
      <c r="G82" s="50"/>
      <c r="H82" s="50"/>
      <c r="I82" s="138"/>
      <c r="J82" s="50"/>
      <c r="K82" s="50"/>
      <c r="L82" s="50"/>
      <c r="M82" s="138">
        <f t="shared" si="81"/>
        <v>0</v>
      </c>
      <c r="N82" s="39">
        <f t="shared" si="18"/>
        <v>0</v>
      </c>
      <c r="O82" s="49">
        <f t="shared" si="1"/>
        <v>25.827600000000004</v>
      </c>
      <c r="P82" s="73">
        <f t="shared" si="89"/>
        <v>0</v>
      </c>
      <c r="Q82" s="40">
        <f t="shared" si="90"/>
        <v>0</v>
      </c>
      <c r="R82" s="51" t="e">
        <f t="shared" si="4"/>
        <v>#VALUE!</v>
      </c>
      <c r="S82" s="52">
        <f t="shared" si="5"/>
        <v>0</v>
      </c>
      <c r="T82" s="52">
        <f t="shared" si="6"/>
        <v>0</v>
      </c>
      <c r="U82" s="53" t="e">
        <f t="shared" si="91"/>
        <v>#VALUE!</v>
      </c>
      <c r="V82" s="54" t="e">
        <f t="shared" si="92"/>
        <v>#VALUE!</v>
      </c>
      <c r="W82" s="55">
        <f t="shared" si="93"/>
        <v>0</v>
      </c>
      <c r="X82" s="55">
        <f t="shared" si="94"/>
        <v>0</v>
      </c>
      <c r="Y82" s="56" t="e">
        <f t="shared" si="95"/>
        <v>#VALUE!</v>
      </c>
    </row>
    <row r="83" spans="1:25" x14ac:dyDescent="0.35">
      <c r="A83" s="78"/>
      <c r="B83" s="47">
        <v>79</v>
      </c>
      <c r="C83" s="136"/>
      <c r="D83" s="50"/>
      <c r="E83" s="50"/>
      <c r="F83" s="50"/>
      <c r="G83" s="50"/>
      <c r="H83" s="50"/>
      <c r="I83" s="138"/>
      <c r="J83" s="50"/>
      <c r="K83" s="50"/>
      <c r="L83" s="50"/>
      <c r="M83" s="138">
        <f t="shared" si="81"/>
        <v>0</v>
      </c>
      <c r="N83" s="39">
        <f t="shared" si="18"/>
        <v>0</v>
      </c>
      <c r="O83" s="49">
        <f t="shared" si="1"/>
        <v>25.827600000000004</v>
      </c>
      <c r="P83" s="73">
        <f t="shared" si="89"/>
        <v>0</v>
      </c>
      <c r="Q83" s="40">
        <f t="shared" si="90"/>
        <v>0</v>
      </c>
      <c r="R83" s="51" t="e">
        <f t="shared" si="4"/>
        <v>#VALUE!</v>
      </c>
      <c r="S83" s="52">
        <f t="shared" si="5"/>
        <v>0</v>
      </c>
      <c r="T83" s="52">
        <f t="shared" si="6"/>
        <v>0</v>
      </c>
      <c r="U83" s="53" t="e">
        <f t="shared" si="91"/>
        <v>#VALUE!</v>
      </c>
      <c r="V83" s="54" t="e">
        <f t="shared" si="92"/>
        <v>#VALUE!</v>
      </c>
      <c r="W83" s="55">
        <f t="shared" si="93"/>
        <v>0</v>
      </c>
      <c r="X83" s="55">
        <f t="shared" si="94"/>
        <v>0</v>
      </c>
      <c r="Y83" s="56" t="e">
        <f t="shared" si="95"/>
        <v>#VALUE!</v>
      </c>
    </row>
    <row r="84" spans="1:25" x14ac:dyDescent="0.35">
      <c r="A84" s="78"/>
      <c r="B84" s="47">
        <v>80</v>
      </c>
      <c r="C84" s="136"/>
      <c r="D84" s="50"/>
      <c r="E84" s="50"/>
      <c r="F84" s="50"/>
      <c r="G84" s="50"/>
      <c r="H84" s="50"/>
      <c r="I84" s="138"/>
      <c r="J84" s="50"/>
      <c r="K84" s="50"/>
      <c r="L84" s="50"/>
      <c r="M84" s="138">
        <f t="shared" ref="M84:M131" si="96">SUM(D84:L84)/40</f>
        <v>0</v>
      </c>
      <c r="N84" s="39">
        <f t="shared" si="18"/>
        <v>0</v>
      </c>
      <c r="O84" s="49">
        <f t="shared" si="1"/>
        <v>25.827600000000004</v>
      </c>
      <c r="P84" s="73">
        <f t="shared" ref="P84:P131" si="97">SUM(G84:I84)/20</f>
        <v>0</v>
      </c>
      <c r="Q84" s="40">
        <f t="shared" ref="Q84:Q131" si="98">SUM(J84:L84)/20</f>
        <v>0</v>
      </c>
      <c r="R84" s="51" t="e">
        <f t="shared" si="4"/>
        <v>#VALUE!</v>
      </c>
      <c r="S84" s="52">
        <f t="shared" si="5"/>
        <v>0</v>
      </c>
      <c r="T84" s="52">
        <f t="shared" si="6"/>
        <v>0</v>
      </c>
      <c r="U84" s="53" t="e">
        <f t="shared" ref="U84:U131" si="99">SUM(R84:T84)</f>
        <v>#VALUE!</v>
      </c>
      <c r="V84" s="54" t="e">
        <f t="shared" ref="V84:V131" si="100">SUM(D84:F84)*$V$3</f>
        <v>#VALUE!</v>
      </c>
      <c r="W84" s="55">
        <f t="shared" ref="W84:W131" si="101">SUM(G84:I84)*$W$3</f>
        <v>0</v>
      </c>
      <c r="X84" s="55">
        <f t="shared" ref="X84:X131" si="102">SUM(J84:L84)*$X$3</f>
        <v>0</v>
      </c>
      <c r="Y84" s="56" t="e">
        <f t="shared" ref="Y84:Y131" si="103">SUM(V84:X84)</f>
        <v>#VALUE!</v>
      </c>
    </row>
    <row r="85" spans="1:25" x14ac:dyDescent="0.35">
      <c r="A85" s="78"/>
      <c r="B85" s="47">
        <v>81</v>
      </c>
      <c r="C85" s="136"/>
      <c r="D85" s="50"/>
      <c r="E85" s="50"/>
      <c r="F85" s="50"/>
      <c r="G85" s="50"/>
      <c r="H85" s="50"/>
      <c r="I85" s="138"/>
      <c r="J85" s="50"/>
      <c r="K85" s="50"/>
      <c r="L85" s="50"/>
      <c r="M85" s="138">
        <f t="shared" si="96"/>
        <v>0</v>
      </c>
      <c r="N85" s="39">
        <f t="shared" si="18"/>
        <v>0</v>
      </c>
      <c r="O85" s="49">
        <f t="shared" si="1"/>
        <v>25.827600000000004</v>
      </c>
      <c r="P85" s="73">
        <f t="shared" si="97"/>
        <v>0</v>
      </c>
      <c r="Q85" s="40">
        <f t="shared" si="98"/>
        <v>0</v>
      </c>
      <c r="R85" s="51" t="e">
        <f t="shared" si="4"/>
        <v>#VALUE!</v>
      </c>
      <c r="S85" s="52">
        <f t="shared" si="5"/>
        <v>0</v>
      </c>
      <c r="T85" s="52">
        <f t="shared" si="6"/>
        <v>0</v>
      </c>
      <c r="U85" s="53" t="e">
        <f t="shared" si="99"/>
        <v>#VALUE!</v>
      </c>
      <c r="V85" s="54" t="e">
        <f t="shared" si="100"/>
        <v>#VALUE!</v>
      </c>
      <c r="W85" s="55">
        <f t="shared" si="101"/>
        <v>0</v>
      </c>
      <c r="X85" s="55">
        <f t="shared" si="102"/>
        <v>0</v>
      </c>
      <c r="Y85" s="56" t="e">
        <f t="shared" si="103"/>
        <v>#VALUE!</v>
      </c>
    </row>
    <row r="86" spans="1:25" x14ac:dyDescent="0.35">
      <c r="A86" s="78"/>
      <c r="B86" s="47">
        <v>82</v>
      </c>
      <c r="C86" s="136"/>
      <c r="D86" s="50"/>
      <c r="E86" s="50"/>
      <c r="F86" s="50"/>
      <c r="G86" s="50"/>
      <c r="H86" s="50"/>
      <c r="I86" s="138"/>
      <c r="J86" s="50"/>
      <c r="K86" s="50"/>
      <c r="L86" s="50"/>
      <c r="M86" s="138">
        <f t="shared" si="96"/>
        <v>0</v>
      </c>
      <c r="N86" s="39">
        <f t="shared" si="18"/>
        <v>0</v>
      </c>
      <c r="O86" s="49">
        <f t="shared" si="1"/>
        <v>25.827600000000004</v>
      </c>
      <c r="P86" s="73">
        <f t="shared" si="97"/>
        <v>0</v>
      </c>
      <c r="Q86" s="40">
        <f t="shared" si="98"/>
        <v>0</v>
      </c>
      <c r="R86" s="51" t="e">
        <f t="shared" si="4"/>
        <v>#VALUE!</v>
      </c>
      <c r="S86" s="52">
        <f t="shared" si="5"/>
        <v>0</v>
      </c>
      <c r="T86" s="52">
        <f t="shared" si="6"/>
        <v>0</v>
      </c>
      <c r="U86" s="53" t="e">
        <f t="shared" si="99"/>
        <v>#VALUE!</v>
      </c>
      <c r="V86" s="54" t="e">
        <f t="shared" si="100"/>
        <v>#VALUE!</v>
      </c>
      <c r="W86" s="55">
        <f t="shared" si="101"/>
        <v>0</v>
      </c>
      <c r="X86" s="55">
        <f t="shared" si="102"/>
        <v>0</v>
      </c>
      <c r="Y86" s="56" t="e">
        <f t="shared" si="103"/>
        <v>#VALUE!</v>
      </c>
    </row>
    <row r="87" spans="1:25" x14ac:dyDescent="0.35">
      <c r="A87" s="78"/>
      <c r="B87" s="47">
        <v>83</v>
      </c>
      <c r="C87" s="136"/>
      <c r="D87" s="50"/>
      <c r="E87" s="50"/>
      <c r="F87" s="50"/>
      <c r="G87" s="50"/>
      <c r="H87" s="50"/>
      <c r="I87" s="138"/>
      <c r="J87" s="50"/>
      <c r="K87" s="50"/>
      <c r="L87" s="50"/>
      <c r="M87" s="138">
        <f t="shared" si="96"/>
        <v>0</v>
      </c>
      <c r="N87" s="39">
        <f t="shared" si="18"/>
        <v>0</v>
      </c>
      <c r="O87" s="49">
        <f t="shared" si="1"/>
        <v>25.827600000000004</v>
      </c>
      <c r="P87" s="73">
        <f t="shared" si="97"/>
        <v>0</v>
      </c>
      <c r="Q87" s="40">
        <f t="shared" si="98"/>
        <v>0</v>
      </c>
      <c r="R87" s="51" t="e">
        <f t="shared" si="4"/>
        <v>#VALUE!</v>
      </c>
      <c r="S87" s="52">
        <f t="shared" si="5"/>
        <v>0</v>
      </c>
      <c r="T87" s="52">
        <f t="shared" si="6"/>
        <v>0</v>
      </c>
      <c r="U87" s="53" t="e">
        <f t="shared" si="99"/>
        <v>#VALUE!</v>
      </c>
      <c r="V87" s="54" t="e">
        <f t="shared" si="100"/>
        <v>#VALUE!</v>
      </c>
      <c r="W87" s="55">
        <f t="shared" si="101"/>
        <v>0</v>
      </c>
      <c r="X87" s="55">
        <f t="shared" si="102"/>
        <v>0</v>
      </c>
      <c r="Y87" s="56" t="e">
        <f t="shared" si="103"/>
        <v>#VALUE!</v>
      </c>
    </row>
    <row r="88" spans="1:25" x14ac:dyDescent="0.35">
      <c r="A88" s="78"/>
      <c r="B88" s="47">
        <v>84</v>
      </c>
      <c r="C88" s="136"/>
      <c r="D88" s="50"/>
      <c r="E88" s="50"/>
      <c r="F88" s="50"/>
      <c r="G88" s="50"/>
      <c r="H88" s="50"/>
      <c r="I88" s="138"/>
      <c r="J88" s="50"/>
      <c r="K88" s="50"/>
      <c r="L88" s="50"/>
      <c r="M88" s="138">
        <f t="shared" si="96"/>
        <v>0</v>
      </c>
      <c r="N88" s="39">
        <f t="shared" si="18"/>
        <v>0</v>
      </c>
      <c r="O88" s="49">
        <f t="shared" si="1"/>
        <v>25.827600000000004</v>
      </c>
      <c r="P88" s="73">
        <f t="shared" si="97"/>
        <v>0</v>
      </c>
      <c r="Q88" s="40">
        <f t="shared" si="98"/>
        <v>0</v>
      </c>
      <c r="R88" s="51" t="e">
        <f t="shared" si="4"/>
        <v>#VALUE!</v>
      </c>
      <c r="S88" s="52">
        <f t="shared" si="5"/>
        <v>0</v>
      </c>
      <c r="T88" s="52">
        <f t="shared" si="6"/>
        <v>0</v>
      </c>
      <c r="U88" s="53" t="e">
        <f t="shared" si="99"/>
        <v>#VALUE!</v>
      </c>
      <c r="V88" s="54" t="e">
        <f t="shared" si="100"/>
        <v>#VALUE!</v>
      </c>
      <c r="W88" s="55">
        <f t="shared" si="101"/>
        <v>0</v>
      </c>
      <c r="X88" s="55">
        <f t="shared" si="102"/>
        <v>0</v>
      </c>
      <c r="Y88" s="56" t="e">
        <f t="shared" si="103"/>
        <v>#VALUE!</v>
      </c>
    </row>
    <row r="89" spans="1:25" x14ac:dyDescent="0.35">
      <c r="A89" s="78"/>
      <c r="B89" s="47">
        <v>85</v>
      </c>
      <c r="C89" s="136"/>
      <c r="D89" s="50"/>
      <c r="E89" s="50"/>
      <c r="F89" s="50"/>
      <c r="G89" s="50"/>
      <c r="H89" s="50"/>
      <c r="I89" s="138"/>
      <c r="J89" s="50"/>
      <c r="K89" s="50"/>
      <c r="L89" s="50"/>
      <c r="M89" s="138">
        <f t="shared" si="96"/>
        <v>0</v>
      </c>
      <c r="N89" s="39">
        <f t="shared" si="18"/>
        <v>0</v>
      </c>
      <c r="O89" s="49">
        <f t="shared" si="1"/>
        <v>25.827600000000004</v>
      </c>
      <c r="P89" s="73">
        <f t="shared" si="97"/>
        <v>0</v>
      </c>
      <c r="Q89" s="40">
        <f t="shared" si="98"/>
        <v>0</v>
      </c>
      <c r="R89" s="51" t="e">
        <f t="shared" si="4"/>
        <v>#VALUE!</v>
      </c>
      <c r="S89" s="52">
        <f t="shared" si="5"/>
        <v>0</v>
      </c>
      <c r="T89" s="52">
        <f t="shared" si="6"/>
        <v>0</v>
      </c>
      <c r="U89" s="53" t="e">
        <f t="shared" si="99"/>
        <v>#VALUE!</v>
      </c>
      <c r="V89" s="54" t="e">
        <f t="shared" si="100"/>
        <v>#VALUE!</v>
      </c>
      <c r="W89" s="55">
        <f t="shared" si="101"/>
        <v>0</v>
      </c>
      <c r="X89" s="55">
        <f t="shared" si="102"/>
        <v>0</v>
      </c>
      <c r="Y89" s="56" t="e">
        <f t="shared" si="103"/>
        <v>#VALUE!</v>
      </c>
    </row>
    <row r="90" spans="1:25" x14ac:dyDescent="0.35">
      <c r="A90" s="78"/>
      <c r="B90" s="47">
        <v>86</v>
      </c>
      <c r="C90" s="136"/>
      <c r="D90" s="50"/>
      <c r="E90" s="50"/>
      <c r="F90" s="50"/>
      <c r="G90" s="50"/>
      <c r="H90" s="50"/>
      <c r="I90" s="138"/>
      <c r="J90" s="50"/>
      <c r="K90" s="50"/>
      <c r="L90" s="50"/>
      <c r="M90" s="138">
        <f t="shared" si="96"/>
        <v>0</v>
      </c>
      <c r="N90" s="39">
        <f t="shared" si="18"/>
        <v>0</v>
      </c>
      <c r="O90" s="49">
        <f t="shared" si="1"/>
        <v>25.827600000000004</v>
      </c>
      <c r="P90" s="73">
        <f t="shared" si="97"/>
        <v>0</v>
      </c>
      <c r="Q90" s="40">
        <f t="shared" si="98"/>
        <v>0</v>
      </c>
      <c r="R90" s="51" t="e">
        <f t="shared" si="4"/>
        <v>#VALUE!</v>
      </c>
      <c r="S90" s="52">
        <f t="shared" si="5"/>
        <v>0</v>
      </c>
      <c r="T90" s="52">
        <f t="shared" si="6"/>
        <v>0</v>
      </c>
      <c r="U90" s="53" t="e">
        <f t="shared" si="99"/>
        <v>#VALUE!</v>
      </c>
      <c r="V90" s="54" t="e">
        <f t="shared" si="100"/>
        <v>#VALUE!</v>
      </c>
      <c r="W90" s="55">
        <f t="shared" si="101"/>
        <v>0</v>
      </c>
      <c r="X90" s="55">
        <f t="shared" si="102"/>
        <v>0</v>
      </c>
      <c r="Y90" s="56" t="e">
        <f t="shared" si="103"/>
        <v>#VALUE!</v>
      </c>
    </row>
    <row r="91" spans="1:25" x14ac:dyDescent="0.35">
      <c r="A91" s="78"/>
      <c r="B91" s="47">
        <v>87</v>
      </c>
      <c r="C91" s="136"/>
      <c r="D91" s="50"/>
      <c r="E91" s="50"/>
      <c r="F91" s="50"/>
      <c r="G91" s="50"/>
      <c r="H91" s="50"/>
      <c r="I91" s="138"/>
      <c r="J91" s="50"/>
      <c r="K91" s="50"/>
      <c r="L91" s="50"/>
      <c r="M91" s="138">
        <f t="shared" si="96"/>
        <v>0</v>
      </c>
      <c r="N91" s="39">
        <f t="shared" si="18"/>
        <v>0</v>
      </c>
      <c r="O91" s="49">
        <f t="shared" si="1"/>
        <v>25.827600000000004</v>
      </c>
      <c r="P91" s="73">
        <f t="shared" si="97"/>
        <v>0</v>
      </c>
      <c r="Q91" s="40">
        <f t="shared" si="98"/>
        <v>0</v>
      </c>
      <c r="R91" s="51" t="e">
        <f t="shared" si="4"/>
        <v>#VALUE!</v>
      </c>
      <c r="S91" s="52">
        <f t="shared" si="5"/>
        <v>0</v>
      </c>
      <c r="T91" s="52">
        <f t="shared" si="6"/>
        <v>0</v>
      </c>
      <c r="U91" s="53" t="e">
        <f t="shared" si="99"/>
        <v>#VALUE!</v>
      </c>
      <c r="V91" s="54" t="e">
        <f t="shared" si="100"/>
        <v>#VALUE!</v>
      </c>
      <c r="W91" s="55">
        <f t="shared" si="101"/>
        <v>0</v>
      </c>
      <c r="X91" s="55">
        <f t="shared" si="102"/>
        <v>0</v>
      </c>
      <c r="Y91" s="56" t="e">
        <f t="shared" si="103"/>
        <v>#VALUE!</v>
      </c>
    </row>
    <row r="92" spans="1:25" x14ac:dyDescent="0.35">
      <c r="A92" s="78"/>
      <c r="B92" s="47">
        <v>88</v>
      </c>
      <c r="C92" s="136"/>
      <c r="D92" s="50"/>
      <c r="E92" s="50"/>
      <c r="F92" s="50"/>
      <c r="G92" s="50"/>
      <c r="H92" s="50"/>
      <c r="I92" s="138"/>
      <c r="J92" s="50"/>
      <c r="K92" s="50"/>
      <c r="L92" s="50"/>
      <c r="M92" s="138">
        <f t="shared" si="96"/>
        <v>0</v>
      </c>
      <c r="N92" s="39">
        <f t="shared" si="18"/>
        <v>0</v>
      </c>
      <c r="O92" s="49">
        <f t="shared" si="1"/>
        <v>25.827600000000004</v>
      </c>
      <c r="P92" s="73">
        <f t="shared" si="97"/>
        <v>0</v>
      </c>
      <c r="Q92" s="40">
        <f t="shared" si="98"/>
        <v>0</v>
      </c>
      <c r="R92" s="51" t="e">
        <f t="shared" si="4"/>
        <v>#VALUE!</v>
      </c>
      <c r="S92" s="52">
        <f t="shared" si="5"/>
        <v>0</v>
      </c>
      <c r="T92" s="52">
        <f t="shared" si="6"/>
        <v>0</v>
      </c>
      <c r="U92" s="53" t="e">
        <f t="shared" si="99"/>
        <v>#VALUE!</v>
      </c>
      <c r="V92" s="54" t="e">
        <f t="shared" si="100"/>
        <v>#VALUE!</v>
      </c>
      <c r="W92" s="55">
        <f t="shared" si="101"/>
        <v>0</v>
      </c>
      <c r="X92" s="55">
        <f t="shared" si="102"/>
        <v>0</v>
      </c>
      <c r="Y92" s="56" t="e">
        <f t="shared" si="103"/>
        <v>#VALUE!</v>
      </c>
    </row>
    <row r="93" spans="1:25" x14ac:dyDescent="0.35">
      <c r="A93" s="78"/>
      <c r="B93" s="47">
        <v>89</v>
      </c>
      <c r="C93" s="136"/>
      <c r="D93" s="50"/>
      <c r="E93" s="50"/>
      <c r="F93" s="50"/>
      <c r="G93" s="50"/>
      <c r="H93" s="50"/>
      <c r="I93" s="138"/>
      <c r="J93" s="50"/>
      <c r="K93" s="50"/>
      <c r="L93" s="50"/>
      <c r="M93" s="138">
        <f t="shared" si="96"/>
        <v>0</v>
      </c>
      <c r="N93" s="39">
        <f t="shared" si="18"/>
        <v>0</v>
      </c>
      <c r="O93" s="49">
        <f t="shared" si="1"/>
        <v>25.827600000000004</v>
      </c>
      <c r="P93" s="73">
        <f t="shared" si="97"/>
        <v>0</v>
      </c>
      <c r="Q93" s="40">
        <f t="shared" si="98"/>
        <v>0</v>
      </c>
      <c r="R93" s="51" t="e">
        <f t="shared" si="4"/>
        <v>#VALUE!</v>
      </c>
      <c r="S93" s="52">
        <f t="shared" si="5"/>
        <v>0</v>
      </c>
      <c r="T93" s="52">
        <f t="shared" si="6"/>
        <v>0</v>
      </c>
      <c r="U93" s="53" t="e">
        <f t="shared" si="99"/>
        <v>#VALUE!</v>
      </c>
      <c r="V93" s="54" t="e">
        <f t="shared" si="100"/>
        <v>#VALUE!</v>
      </c>
      <c r="W93" s="55">
        <f t="shared" si="101"/>
        <v>0</v>
      </c>
      <c r="X93" s="55">
        <f t="shared" si="102"/>
        <v>0</v>
      </c>
      <c r="Y93" s="56" t="e">
        <f t="shared" si="103"/>
        <v>#VALUE!</v>
      </c>
    </row>
    <row r="94" spans="1:25" x14ac:dyDescent="0.35">
      <c r="A94" s="78"/>
      <c r="B94" s="47">
        <v>90</v>
      </c>
      <c r="C94" s="136"/>
      <c r="D94" s="50"/>
      <c r="E94" s="50"/>
      <c r="F94" s="50"/>
      <c r="G94" s="50"/>
      <c r="H94" s="50"/>
      <c r="I94" s="138"/>
      <c r="J94" s="50"/>
      <c r="K94" s="50"/>
      <c r="L94" s="50"/>
      <c r="M94" s="138">
        <f t="shared" si="96"/>
        <v>0</v>
      </c>
      <c r="N94" s="39">
        <f t="shared" si="18"/>
        <v>0</v>
      </c>
      <c r="O94" s="49">
        <f t="shared" si="1"/>
        <v>25.827600000000004</v>
      </c>
      <c r="P94" s="73">
        <f t="shared" si="97"/>
        <v>0</v>
      </c>
      <c r="Q94" s="40">
        <f t="shared" si="98"/>
        <v>0</v>
      </c>
      <c r="R94" s="51" t="e">
        <f t="shared" si="4"/>
        <v>#VALUE!</v>
      </c>
      <c r="S94" s="52">
        <f t="shared" si="5"/>
        <v>0</v>
      </c>
      <c r="T94" s="52">
        <f t="shared" si="6"/>
        <v>0</v>
      </c>
      <c r="U94" s="53" t="e">
        <f t="shared" si="99"/>
        <v>#VALUE!</v>
      </c>
      <c r="V94" s="54" t="e">
        <f t="shared" si="100"/>
        <v>#VALUE!</v>
      </c>
      <c r="W94" s="55">
        <f t="shared" si="101"/>
        <v>0</v>
      </c>
      <c r="X94" s="55">
        <f t="shared" si="102"/>
        <v>0</v>
      </c>
      <c r="Y94" s="56" t="e">
        <f t="shared" si="103"/>
        <v>#VALUE!</v>
      </c>
    </row>
    <row r="95" spans="1:25" x14ac:dyDescent="0.35">
      <c r="A95" s="78"/>
      <c r="B95" s="47">
        <v>91</v>
      </c>
      <c r="C95" s="136"/>
      <c r="D95" s="50"/>
      <c r="E95" s="50"/>
      <c r="F95" s="50"/>
      <c r="G95" s="50"/>
      <c r="H95" s="50"/>
      <c r="I95" s="138"/>
      <c r="J95" s="50"/>
      <c r="K95" s="50"/>
      <c r="L95" s="50"/>
      <c r="M95" s="138">
        <f t="shared" si="96"/>
        <v>0</v>
      </c>
      <c r="N95" s="39">
        <f t="shared" si="18"/>
        <v>0</v>
      </c>
      <c r="O95" s="49">
        <f t="shared" si="1"/>
        <v>25.827600000000004</v>
      </c>
      <c r="P95" s="73">
        <f t="shared" si="97"/>
        <v>0</v>
      </c>
      <c r="Q95" s="40">
        <f t="shared" si="98"/>
        <v>0</v>
      </c>
      <c r="R95" s="51" t="e">
        <f t="shared" si="4"/>
        <v>#VALUE!</v>
      </c>
      <c r="S95" s="52">
        <f t="shared" si="5"/>
        <v>0</v>
      </c>
      <c r="T95" s="52">
        <f t="shared" si="6"/>
        <v>0</v>
      </c>
      <c r="U95" s="53" t="e">
        <f t="shared" si="99"/>
        <v>#VALUE!</v>
      </c>
      <c r="V95" s="54" t="e">
        <f t="shared" si="100"/>
        <v>#VALUE!</v>
      </c>
      <c r="W95" s="55">
        <f t="shared" si="101"/>
        <v>0</v>
      </c>
      <c r="X95" s="55">
        <f t="shared" si="102"/>
        <v>0</v>
      </c>
      <c r="Y95" s="56" t="e">
        <f t="shared" si="103"/>
        <v>#VALUE!</v>
      </c>
    </row>
    <row r="96" spans="1:25" x14ac:dyDescent="0.35">
      <c r="A96" s="78"/>
      <c r="B96" s="47">
        <v>92</v>
      </c>
      <c r="C96" s="136"/>
      <c r="D96" s="50"/>
      <c r="E96" s="50"/>
      <c r="F96" s="50"/>
      <c r="G96" s="50"/>
      <c r="H96" s="50"/>
      <c r="I96" s="138"/>
      <c r="J96" s="50"/>
      <c r="K96" s="50"/>
      <c r="L96" s="50"/>
      <c r="M96" s="138">
        <f t="shared" si="96"/>
        <v>0</v>
      </c>
      <c r="N96" s="39">
        <f t="shared" si="18"/>
        <v>0</v>
      </c>
      <c r="O96" s="49">
        <f t="shared" si="1"/>
        <v>25.827600000000004</v>
      </c>
      <c r="P96" s="73">
        <f t="shared" si="97"/>
        <v>0</v>
      </c>
      <c r="Q96" s="40">
        <f t="shared" si="98"/>
        <v>0</v>
      </c>
      <c r="R96" s="51" t="e">
        <f t="shared" si="4"/>
        <v>#VALUE!</v>
      </c>
      <c r="S96" s="52">
        <f t="shared" si="5"/>
        <v>0</v>
      </c>
      <c r="T96" s="52">
        <f t="shared" si="6"/>
        <v>0</v>
      </c>
      <c r="U96" s="53" t="e">
        <f t="shared" si="99"/>
        <v>#VALUE!</v>
      </c>
      <c r="V96" s="54" t="e">
        <f t="shared" si="100"/>
        <v>#VALUE!</v>
      </c>
      <c r="W96" s="55">
        <f t="shared" si="101"/>
        <v>0</v>
      </c>
      <c r="X96" s="55">
        <f t="shared" si="102"/>
        <v>0</v>
      </c>
      <c r="Y96" s="56" t="e">
        <f t="shared" si="103"/>
        <v>#VALUE!</v>
      </c>
    </row>
    <row r="97" spans="1:25" x14ac:dyDescent="0.35">
      <c r="A97" s="78"/>
      <c r="B97" s="47">
        <v>93</v>
      </c>
      <c r="C97" s="136"/>
      <c r="D97" s="50"/>
      <c r="E97" s="50"/>
      <c r="F97" s="50"/>
      <c r="G97" s="50"/>
      <c r="H97" s="50"/>
      <c r="I97" s="138"/>
      <c r="J97" s="50"/>
      <c r="K97" s="50"/>
      <c r="L97" s="50"/>
      <c r="M97" s="138">
        <f t="shared" si="96"/>
        <v>0</v>
      </c>
      <c r="N97" s="39">
        <f t="shared" si="18"/>
        <v>0</v>
      </c>
      <c r="O97" s="49">
        <f t="shared" si="1"/>
        <v>25.827600000000004</v>
      </c>
      <c r="P97" s="73">
        <f t="shared" si="97"/>
        <v>0</v>
      </c>
      <c r="Q97" s="40">
        <f t="shared" si="98"/>
        <v>0</v>
      </c>
      <c r="R97" s="51" t="e">
        <f t="shared" si="4"/>
        <v>#VALUE!</v>
      </c>
      <c r="S97" s="52">
        <f t="shared" si="5"/>
        <v>0</v>
      </c>
      <c r="T97" s="52">
        <f t="shared" si="6"/>
        <v>0</v>
      </c>
      <c r="U97" s="53" t="e">
        <f t="shared" si="99"/>
        <v>#VALUE!</v>
      </c>
      <c r="V97" s="54" t="e">
        <f t="shared" si="100"/>
        <v>#VALUE!</v>
      </c>
      <c r="W97" s="55">
        <f t="shared" si="101"/>
        <v>0</v>
      </c>
      <c r="X97" s="55">
        <f t="shared" si="102"/>
        <v>0</v>
      </c>
      <c r="Y97" s="56" t="e">
        <f t="shared" si="103"/>
        <v>#VALUE!</v>
      </c>
    </row>
    <row r="98" spans="1:25" x14ac:dyDescent="0.35">
      <c r="A98" s="78"/>
      <c r="B98" s="47">
        <v>94</v>
      </c>
      <c r="C98" s="136"/>
      <c r="D98" s="50"/>
      <c r="E98" s="50"/>
      <c r="F98" s="50"/>
      <c r="G98" s="50"/>
      <c r="H98" s="50"/>
      <c r="I98" s="138"/>
      <c r="J98" s="50"/>
      <c r="K98" s="50"/>
      <c r="L98" s="50"/>
      <c r="M98" s="138">
        <f t="shared" si="96"/>
        <v>0</v>
      </c>
      <c r="N98" s="39">
        <f t="shared" si="18"/>
        <v>0</v>
      </c>
      <c r="O98" s="49">
        <f t="shared" si="1"/>
        <v>25.827600000000004</v>
      </c>
      <c r="P98" s="73">
        <f t="shared" si="97"/>
        <v>0</v>
      </c>
      <c r="Q98" s="40">
        <f t="shared" si="98"/>
        <v>0</v>
      </c>
      <c r="R98" s="51" t="e">
        <f t="shared" si="4"/>
        <v>#VALUE!</v>
      </c>
      <c r="S98" s="52">
        <f t="shared" si="5"/>
        <v>0</v>
      </c>
      <c r="T98" s="52">
        <f t="shared" si="6"/>
        <v>0</v>
      </c>
      <c r="U98" s="53" t="e">
        <f t="shared" si="99"/>
        <v>#VALUE!</v>
      </c>
      <c r="V98" s="54" t="e">
        <f t="shared" si="100"/>
        <v>#VALUE!</v>
      </c>
      <c r="W98" s="55">
        <f t="shared" si="101"/>
        <v>0</v>
      </c>
      <c r="X98" s="55">
        <f t="shared" si="102"/>
        <v>0</v>
      </c>
      <c r="Y98" s="56" t="e">
        <f t="shared" si="103"/>
        <v>#VALUE!</v>
      </c>
    </row>
    <row r="99" spans="1:25" x14ac:dyDescent="0.35">
      <c r="A99" s="78"/>
      <c r="B99" s="47">
        <v>95</v>
      </c>
      <c r="C99" s="136"/>
      <c r="D99" s="50"/>
      <c r="E99" s="50"/>
      <c r="F99" s="50"/>
      <c r="G99" s="50"/>
      <c r="H99" s="50"/>
      <c r="I99" s="138"/>
      <c r="J99" s="50"/>
      <c r="K99" s="50"/>
      <c r="L99" s="50"/>
      <c r="M99" s="138">
        <f t="shared" si="96"/>
        <v>0</v>
      </c>
      <c r="N99" s="39">
        <f t="shared" si="18"/>
        <v>0</v>
      </c>
      <c r="O99" s="49">
        <f t="shared" si="1"/>
        <v>25.827600000000004</v>
      </c>
      <c r="P99" s="73">
        <f t="shared" si="97"/>
        <v>0</v>
      </c>
      <c r="Q99" s="40">
        <f t="shared" si="98"/>
        <v>0</v>
      </c>
      <c r="R99" s="51" t="e">
        <f t="shared" si="4"/>
        <v>#VALUE!</v>
      </c>
      <c r="S99" s="52">
        <f t="shared" si="5"/>
        <v>0</v>
      </c>
      <c r="T99" s="52">
        <f t="shared" si="6"/>
        <v>0</v>
      </c>
      <c r="U99" s="53" t="e">
        <f t="shared" si="99"/>
        <v>#VALUE!</v>
      </c>
      <c r="V99" s="54" t="e">
        <f t="shared" si="100"/>
        <v>#VALUE!</v>
      </c>
      <c r="W99" s="55">
        <f t="shared" si="101"/>
        <v>0</v>
      </c>
      <c r="X99" s="55">
        <f t="shared" si="102"/>
        <v>0</v>
      </c>
      <c r="Y99" s="56" t="e">
        <f t="shared" si="103"/>
        <v>#VALUE!</v>
      </c>
    </row>
    <row r="100" spans="1:25" x14ac:dyDescent="0.35">
      <c r="A100" s="78"/>
      <c r="B100" s="47">
        <v>96</v>
      </c>
      <c r="C100" s="136"/>
      <c r="D100" s="50"/>
      <c r="E100" s="50"/>
      <c r="F100" s="50"/>
      <c r="G100" s="50"/>
      <c r="H100" s="50"/>
      <c r="I100" s="138"/>
      <c r="J100" s="50"/>
      <c r="K100" s="50"/>
      <c r="L100" s="50"/>
      <c r="M100" s="138">
        <f t="shared" si="96"/>
        <v>0</v>
      </c>
      <c r="N100" s="39">
        <f t="shared" si="18"/>
        <v>0</v>
      </c>
      <c r="O100" s="49">
        <f t="shared" si="1"/>
        <v>25.827600000000004</v>
      </c>
      <c r="P100" s="73">
        <f t="shared" si="97"/>
        <v>0</v>
      </c>
      <c r="Q100" s="40">
        <f t="shared" si="98"/>
        <v>0</v>
      </c>
      <c r="R100" s="51" t="e">
        <f t="shared" si="4"/>
        <v>#VALUE!</v>
      </c>
      <c r="S100" s="52">
        <f t="shared" si="5"/>
        <v>0</v>
      </c>
      <c r="T100" s="52">
        <f t="shared" si="6"/>
        <v>0</v>
      </c>
      <c r="U100" s="53" t="e">
        <f t="shared" si="99"/>
        <v>#VALUE!</v>
      </c>
      <c r="V100" s="54" t="e">
        <f t="shared" si="100"/>
        <v>#VALUE!</v>
      </c>
      <c r="W100" s="55">
        <f t="shared" si="101"/>
        <v>0</v>
      </c>
      <c r="X100" s="55">
        <f t="shared" si="102"/>
        <v>0</v>
      </c>
      <c r="Y100" s="56" t="e">
        <f t="shared" si="103"/>
        <v>#VALUE!</v>
      </c>
    </row>
    <row r="101" spans="1:25" x14ac:dyDescent="0.35">
      <c r="A101" s="78"/>
      <c r="B101" s="47">
        <v>97</v>
      </c>
      <c r="C101" s="136"/>
      <c r="D101" s="50"/>
      <c r="E101" s="50"/>
      <c r="F101" s="50"/>
      <c r="G101" s="50"/>
      <c r="H101" s="50"/>
      <c r="I101" s="138"/>
      <c r="J101" s="50"/>
      <c r="K101" s="50"/>
      <c r="L101" s="50"/>
      <c r="M101" s="138">
        <f t="shared" si="96"/>
        <v>0</v>
      </c>
      <c r="N101" s="39">
        <f t="shared" si="18"/>
        <v>0</v>
      </c>
      <c r="O101" s="49">
        <f t="shared" si="1"/>
        <v>25.827600000000004</v>
      </c>
      <c r="P101" s="73">
        <f t="shared" si="97"/>
        <v>0</v>
      </c>
      <c r="Q101" s="40">
        <f t="shared" si="98"/>
        <v>0</v>
      </c>
      <c r="R101" s="51" t="e">
        <f t="shared" si="4"/>
        <v>#VALUE!</v>
      </c>
      <c r="S101" s="52">
        <f t="shared" si="5"/>
        <v>0</v>
      </c>
      <c r="T101" s="52">
        <f t="shared" si="6"/>
        <v>0</v>
      </c>
      <c r="U101" s="53" t="e">
        <f t="shared" si="99"/>
        <v>#VALUE!</v>
      </c>
      <c r="V101" s="54" t="e">
        <f t="shared" si="100"/>
        <v>#VALUE!</v>
      </c>
      <c r="W101" s="55">
        <f t="shared" si="101"/>
        <v>0</v>
      </c>
      <c r="X101" s="55">
        <f t="shared" si="102"/>
        <v>0</v>
      </c>
      <c r="Y101" s="56" t="e">
        <f t="shared" si="103"/>
        <v>#VALUE!</v>
      </c>
    </row>
    <row r="102" spans="1:25" x14ac:dyDescent="0.35">
      <c r="A102" s="78"/>
      <c r="B102" s="47">
        <v>98</v>
      </c>
      <c r="C102" s="136"/>
      <c r="D102" s="50"/>
      <c r="E102" s="50"/>
      <c r="F102" s="50"/>
      <c r="G102" s="50"/>
      <c r="H102" s="50"/>
      <c r="I102" s="138"/>
      <c r="J102" s="50"/>
      <c r="K102" s="50"/>
      <c r="L102" s="50"/>
      <c r="M102" s="138">
        <f t="shared" si="96"/>
        <v>0</v>
      </c>
      <c r="N102" s="39">
        <f t="shared" si="18"/>
        <v>0</v>
      </c>
      <c r="O102" s="49">
        <f t="shared" si="1"/>
        <v>25.827600000000004</v>
      </c>
      <c r="P102" s="73">
        <f t="shared" si="97"/>
        <v>0</v>
      </c>
      <c r="Q102" s="40">
        <f t="shared" si="98"/>
        <v>0</v>
      </c>
      <c r="R102" s="51" t="e">
        <f t="shared" si="4"/>
        <v>#VALUE!</v>
      </c>
      <c r="S102" s="52">
        <f t="shared" si="5"/>
        <v>0</v>
      </c>
      <c r="T102" s="52">
        <f t="shared" si="6"/>
        <v>0</v>
      </c>
      <c r="U102" s="53" t="e">
        <f t="shared" si="99"/>
        <v>#VALUE!</v>
      </c>
      <c r="V102" s="54" t="e">
        <f t="shared" si="100"/>
        <v>#VALUE!</v>
      </c>
      <c r="W102" s="55">
        <f t="shared" si="101"/>
        <v>0</v>
      </c>
      <c r="X102" s="55">
        <f t="shared" si="102"/>
        <v>0</v>
      </c>
      <c r="Y102" s="56" t="e">
        <f t="shared" si="103"/>
        <v>#VALUE!</v>
      </c>
    </row>
    <row r="103" spans="1:25" x14ac:dyDescent="0.35">
      <c r="A103" s="78"/>
      <c r="B103" s="47">
        <v>99</v>
      </c>
      <c r="C103" s="136"/>
      <c r="D103" s="50"/>
      <c r="E103" s="50"/>
      <c r="F103" s="50"/>
      <c r="G103" s="50"/>
      <c r="H103" s="50"/>
      <c r="I103" s="138"/>
      <c r="J103" s="50"/>
      <c r="K103" s="50"/>
      <c r="L103" s="50"/>
      <c r="M103" s="138">
        <f t="shared" si="96"/>
        <v>0</v>
      </c>
      <c r="N103" s="39">
        <f t="shared" si="18"/>
        <v>0</v>
      </c>
      <c r="O103" s="49">
        <f t="shared" si="1"/>
        <v>25.827600000000004</v>
      </c>
      <c r="P103" s="73">
        <f t="shared" si="97"/>
        <v>0</v>
      </c>
      <c r="Q103" s="40">
        <f t="shared" si="98"/>
        <v>0</v>
      </c>
      <c r="R103" s="51" t="e">
        <f t="shared" si="4"/>
        <v>#VALUE!</v>
      </c>
      <c r="S103" s="52">
        <f t="shared" si="5"/>
        <v>0</v>
      </c>
      <c r="T103" s="52">
        <f t="shared" si="6"/>
        <v>0</v>
      </c>
      <c r="U103" s="53" t="e">
        <f t="shared" si="99"/>
        <v>#VALUE!</v>
      </c>
      <c r="V103" s="54" t="e">
        <f t="shared" si="100"/>
        <v>#VALUE!</v>
      </c>
      <c r="W103" s="55">
        <f t="shared" si="101"/>
        <v>0</v>
      </c>
      <c r="X103" s="55">
        <f t="shared" si="102"/>
        <v>0</v>
      </c>
      <c r="Y103" s="56" t="e">
        <f t="shared" si="103"/>
        <v>#VALUE!</v>
      </c>
    </row>
    <row r="104" spans="1:25" x14ac:dyDescent="0.35">
      <c r="A104" s="78"/>
      <c r="B104" s="47">
        <v>100</v>
      </c>
      <c r="C104" s="136"/>
      <c r="D104" s="50"/>
      <c r="E104" s="50"/>
      <c r="F104" s="50"/>
      <c r="G104" s="50"/>
      <c r="H104" s="50"/>
      <c r="I104" s="138"/>
      <c r="J104" s="50"/>
      <c r="K104" s="50"/>
      <c r="L104" s="50"/>
      <c r="M104" s="138">
        <f t="shared" si="96"/>
        <v>0</v>
      </c>
      <c r="N104" s="39">
        <f t="shared" si="18"/>
        <v>0</v>
      </c>
      <c r="O104" s="49">
        <f t="shared" si="1"/>
        <v>25.827600000000004</v>
      </c>
      <c r="P104" s="73">
        <f t="shared" si="97"/>
        <v>0</v>
      </c>
      <c r="Q104" s="40">
        <f t="shared" si="98"/>
        <v>0</v>
      </c>
      <c r="R104" s="51" t="e">
        <f t="shared" si="4"/>
        <v>#VALUE!</v>
      </c>
      <c r="S104" s="52">
        <f t="shared" si="5"/>
        <v>0</v>
      </c>
      <c r="T104" s="52">
        <f t="shared" si="6"/>
        <v>0</v>
      </c>
      <c r="U104" s="53" t="e">
        <f t="shared" si="99"/>
        <v>#VALUE!</v>
      </c>
      <c r="V104" s="54" t="e">
        <f t="shared" si="100"/>
        <v>#VALUE!</v>
      </c>
      <c r="W104" s="55">
        <f t="shared" si="101"/>
        <v>0</v>
      </c>
      <c r="X104" s="55">
        <f t="shared" si="102"/>
        <v>0</v>
      </c>
      <c r="Y104" s="56" t="e">
        <f t="shared" si="103"/>
        <v>#VALUE!</v>
      </c>
    </row>
    <row r="105" spans="1:25" x14ac:dyDescent="0.35">
      <c r="A105" s="78"/>
      <c r="B105" s="47">
        <v>101</v>
      </c>
      <c r="C105" s="136"/>
      <c r="D105" s="50"/>
      <c r="E105" s="50"/>
      <c r="F105" s="50"/>
      <c r="G105" s="50"/>
      <c r="H105" s="50"/>
      <c r="I105" s="138"/>
      <c r="J105" s="50"/>
      <c r="K105" s="50"/>
      <c r="L105" s="50"/>
      <c r="M105" s="138">
        <f t="shared" si="96"/>
        <v>0</v>
      </c>
      <c r="N105" s="39">
        <f t="shared" si="18"/>
        <v>0</v>
      </c>
      <c r="O105" s="49">
        <f t="shared" si="1"/>
        <v>25.827600000000004</v>
      </c>
      <c r="P105" s="73">
        <f t="shared" si="97"/>
        <v>0</v>
      </c>
      <c r="Q105" s="40">
        <f t="shared" si="98"/>
        <v>0</v>
      </c>
      <c r="R105" s="51" t="e">
        <f t="shared" si="4"/>
        <v>#VALUE!</v>
      </c>
      <c r="S105" s="52">
        <f t="shared" si="5"/>
        <v>0</v>
      </c>
      <c r="T105" s="52">
        <f t="shared" si="6"/>
        <v>0</v>
      </c>
      <c r="U105" s="53" t="e">
        <f t="shared" si="99"/>
        <v>#VALUE!</v>
      </c>
      <c r="V105" s="54" t="e">
        <f t="shared" si="100"/>
        <v>#VALUE!</v>
      </c>
      <c r="W105" s="55">
        <f t="shared" si="101"/>
        <v>0</v>
      </c>
      <c r="X105" s="55">
        <f t="shared" si="102"/>
        <v>0</v>
      </c>
      <c r="Y105" s="56" t="e">
        <f t="shared" si="103"/>
        <v>#VALUE!</v>
      </c>
    </row>
    <row r="106" spans="1:25" x14ac:dyDescent="0.35">
      <c r="A106" s="78"/>
      <c r="B106" s="47">
        <v>102</v>
      </c>
      <c r="C106" s="136"/>
      <c r="D106" s="50"/>
      <c r="E106" s="50"/>
      <c r="F106" s="50"/>
      <c r="G106" s="50"/>
      <c r="H106" s="50"/>
      <c r="I106" s="138"/>
      <c r="J106" s="50"/>
      <c r="K106" s="50"/>
      <c r="L106" s="50"/>
      <c r="M106" s="138">
        <f t="shared" si="96"/>
        <v>0</v>
      </c>
      <c r="N106" s="39">
        <f t="shared" si="18"/>
        <v>0</v>
      </c>
      <c r="O106" s="49">
        <f t="shared" si="1"/>
        <v>25.827600000000004</v>
      </c>
      <c r="P106" s="73">
        <f t="shared" si="97"/>
        <v>0</v>
      </c>
      <c r="Q106" s="40">
        <f t="shared" si="98"/>
        <v>0</v>
      </c>
      <c r="R106" s="51" t="e">
        <f t="shared" si="4"/>
        <v>#VALUE!</v>
      </c>
      <c r="S106" s="52">
        <f t="shared" si="5"/>
        <v>0</v>
      </c>
      <c r="T106" s="52">
        <f t="shared" si="6"/>
        <v>0</v>
      </c>
      <c r="U106" s="53" t="e">
        <f t="shared" si="99"/>
        <v>#VALUE!</v>
      </c>
      <c r="V106" s="54" t="e">
        <f t="shared" si="100"/>
        <v>#VALUE!</v>
      </c>
      <c r="W106" s="55">
        <f t="shared" si="101"/>
        <v>0</v>
      </c>
      <c r="X106" s="55">
        <f t="shared" si="102"/>
        <v>0</v>
      </c>
      <c r="Y106" s="56" t="e">
        <f t="shared" si="103"/>
        <v>#VALUE!</v>
      </c>
    </row>
    <row r="107" spans="1:25" x14ac:dyDescent="0.35">
      <c r="A107" s="78"/>
      <c r="B107" s="47">
        <v>103</v>
      </c>
      <c r="C107" s="136"/>
      <c r="D107" s="50"/>
      <c r="E107" s="50"/>
      <c r="F107" s="50"/>
      <c r="G107" s="50"/>
      <c r="H107" s="50"/>
      <c r="I107" s="138"/>
      <c r="J107" s="50"/>
      <c r="K107" s="50"/>
      <c r="L107" s="50"/>
      <c r="M107" s="138">
        <f t="shared" si="96"/>
        <v>0</v>
      </c>
      <c r="N107" s="39">
        <f t="shared" si="18"/>
        <v>0</v>
      </c>
      <c r="O107" s="49">
        <f t="shared" si="1"/>
        <v>25.827600000000004</v>
      </c>
      <c r="P107" s="73">
        <f t="shared" si="97"/>
        <v>0</v>
      </c>
      <c r="Q107" s="40">
        <f t="shared" si="98"/>
        <v>0</v>
      </c>
      <c r="R107" s="51" t="e">
        <f t="shared" si="4"/>
        <v>#VALUE!</v>
      </c>
      <c r="S107" s="52">
        <f t="shared" si="5"/>
        <v>0</v>
      </c>
      <c r="T107" s="52">
        <f t="shared" si="6"/>
        <v>0</v>
      </c>
      <c r="U107" s="53" t="e">
        <f t="shared" si="99"/>
        <v>#VALUE!</v>
      </c>
      <c r="V107" s="54" t="e">
        <f t="shared" si="100"/>
        <v>#VALUE!</v>
      </c>
      <c r="W107" s="55">
        <f t="shared" si="101"/>
        <v>0</v>
      </c>
      <c r="X107" s="55">
        <f t="shared" si="102"/>
        <v>0</v>
      </c>
      <c r="Y107" s="56" t="e">
        <f t="shared" si="103"/>
        <v>#VALUE!</v>
      </c>
    </row>
    <row r="108" spans="1:25" x14ac:dyDescent="0.35">
      <c r="A108" s="78"/>
      <c r="B108" s="47">
        <v>104</v>
      </c>
      <c r="C108" s="136"/>
      <c r="D108" s="50"/>
      <c r="E108" s="50"/>
      <c r="F108" s="50"/>
      <c r="G108" s="50"/>
      <c r="H108" s="50"/>
      <c r="I108" s="138"/>
      <c r="J108" s="50"/>
      <c r="K108" s="50"/>
      <c r="L108" s="50"/>
      <c r="M108" s="138">
        <f t="shared" si="96"/>
        <v>0</v>
      </c>
      <c r="N108" s="39">
        <f t="shared" si="18"/>
        <v>0</v>
      </c>
      <c r="O108" s="49">
        <f t="shared" si="1"/>
        <v>25.827600000000004</v>
      </c>
      <c r="P108" s="73">
        <f t="shared" si="97"/>
        <v>0</v>
      </c>
      <c r="Q108" s="40">
        <f t="shared" si="98"/>
        <v>0</v>
      </c>
      <c r="R108" s="51" t="e">
        <f t="shared" si="4"/>
        <v>#VALUE!</v>
      </c>
      <c r="S108" s="52">
        <f t="shared" si="5"/>
        <v>0</v>
      </c>
      <c r="T108" s="52">
        <f t="shared" si="6"/>
        <v>0</v>
      </c>
      <c r="U108" s="53" t="e">
        <f t="shared" si="99"/>
        <v>#VALUE!</v>
      </c>
      <c r="V108" s="54" t="e">
        <f t="shared" si="100"/>
        <v>#VALUE!</v>
      </c>
      <c r="W108" s="55">
        <f t="shared" si="101"/>
        <v>0</v>
      </c>
      <c r="X108" s="55">
        <f t="shared" si="102"/>
        <v>0</v>
      </c>
      <c r="Y108" s="56" t="e">
        <f t="shared" si="103"/>
        <v>#VALUE!</v>
      </c>
    </row>
    <row r="109" spans="1:25" x14ac:dyDescent="0.35">
      <c r="A109" s="78"/>
      <c r="B109" s="47">
        <v>105</v>
      </c>
      <c r="C109" s="136"/>
      <c r="D109" s="50"/>
      <c r="E109" s="50"/>
      <c r="F109" s="50"/>
      <c r="G109" s="50"/>
      <c r="H109" s="50"/>
      <c r="I109" s="138"/>
      <c r="J109" s="50"/>
      <c r="K109" s="50"/>
      <c r="L109" s="50"/>
      <c r="M109" s="138">
        <f t="shared" si="96"/>
        <v>0</v>
      </c>
      <c r="N109" s="39">
        <f t="shared" si="18"/>
        <v>0</v>
      </c>
      <c r="O109" s="49">
        <f t="shared" si="1"/>
        <v>25.827600000000004</v>
      </c>
      <c r="P109" s="73">
        <f t="shared" si="97"/>
        <v>0</v>
      </c>
      <c r="Q109" s="40">
        <f t="shared" si="98"/>
        <v>0</v>
      </c>
      <c r="R109" s="51" t="e">
        <f t="shared" si="4"/>
        <v>#VALUE!</v>
      </c>
      <c r="S109" s="52">
        <f t="shared" si="5"/>
        <v>0</v>
      </c>
      <c r="T109" s="52">
        <f t="shared" si="6"/>
        <v>0</v>
      </c>
      <c r="U109" s="53" t="e">
        <f t="shared" si="99"/>
        <v>#VALUE!</v>
      </c>
      <c r="V109" s="54" t="e">
        <f t="shared" si="100"/>
        <v>#VALUE!</v>
      </c>
      <c r="W109" s="55">
        <f t="shared" si="101"/>
        <v>0</v>
      </c>
      <c r="X109" s="55">
        <f t="shared" si="102"/>
        <v>0</v>
      </c>
      <c r="Y109" s="56" t="e">
        <f t="shared" si="103"/>
        <v>#VALUE!</v>
      </c>
    </row>
    <row r="110" spans="1:25" x14ac:dyDescent="0.35">
      <c r="A110" s="78"/>
      <c r="B110" s="47">
        <v>106</v>
      </c>
      <c r="C110" s="136"/>
      <c r="D110" s="50"/>
      <c r="E110" s="50"/>
      <c r="F110" s="50"/>
      <c r="G110" s="50"/>
      <c r="H110" s="50"/>
      <c r="I110" s="138"/>
      <c r="J110" s="50"/>
      <c r="K110" s="50"/>
      <c r="L110" s="50"/>
      <c r="M110" s="138">
        <f t="shared" si="96"/>
        <v>0</v>
      </c>
      <c r="N110" s="39">
        <f t="shared" si="18"/>
        <v>0</v>
      </c>
      <c r="O110" s="49">
        <f t="shared" si="1"/>
        <v>25.827600000000004</v>
      </c>
      <c r="P110" s="73">
        <f t="shared" si="97"/>
        <v>0</v>
      </c>
      <c r="Q110" s="40">
        <f t="shared" si="98"/>
        <v>0</v>
      </c>
      <c r="R110" s="51" t="e">
        <f t="shared" si="4"/>
        <v>#VALUE!</v>
      </c>
      <c r="S110" s="52">
        <f t="shared" si="5"/>
        <v>0</v>
      </c>
      <c r="T110" s="52">
        <f t="shared" si="6"/>
        <v>0</v>
      </c>
      <c r="U110" s="53" t="e">
        <f t="shared" si="99"/>
        <v>#VALUE!</v>
      </c>
      <c r="V110" s="54" t="e">
        <f t="shared" si="100"/>
        <v>#VALUE!</v>
      </c>
      <c r="W110" s="55">
        <f t="shared" si="101"/>
        <v>0</v>
      </c>
      <c r="X110" s="55">
        <f t="shared" si="102"/>
        <v>0</v>
      </c>
      <c r="Y110" s="56" t="e">
        <f t="shared" si="103"/>
        <v>#VALUE!</v>
      </c>
    </row>
    <row r="111" spans="1:25" x14ac:dyDescent="0.35">
      <c r="A111" s="78"/>
      <c r="B111" s="47">
        <v>107</v>
      </c>
      <c r="C111" s="136"/>
      <c r="D111" s="50"/>
      <c r="E111" s="50"/>
      <c r="F111" s="50"/>
      <c r="G111" s="50"/>
      <c r="H111" s="50"/>
      <c r="I111" s="138"/>
      <c r="J111" s="50"/>
      <c r="K111" s="50"/>
      <c r="L111" s="50"/>
      <c r="M111" s="138">
        <f t="shared" si="96"/>
        <v>0</v>
      </c>
      <c r="N111" s="39">
        <f t="shared" si="18"/>
        <v>0</v>
      </c>
      <c r="O111" s="49">
        <f t="shared" si="1"/>
        <v>25.827600000000004</v>
      </c>
      <c r="P111" s="73">
        <f t="shared" si="97"/>
        <v>0</v>
      </c>
      <c r="Q111" s="40">
        <f t="shared" si="98"/>
        <v>0</v>
      </c>
      <c r="R111" s="51" t="e">
        <f t="shared" si="4"/>
        <v>#VALUE!</v>
      </c>
      <c r="S111" s="52">
        <f t="shared" si="5"/>
        <v>0</v>
      </c>
      <c r="T111" s="52">
        <f t="shared" si="6"/>
        <v>0</v>
      </c>
      <c r="U111" s="53" t="e">
        <f t="shared" si="99"/>
        <v>#VALUE!</v>
      </c>
      <c r="V111" s="54" t="e">
        <f t="shared" si="100"/>
        <v>#VALUE!</v>
      </c>
      <c r="W111" s="55">
        <f t="shared" si="101"/>
        <v>0</v>
      </c>
      <c r="X111" s="55">
        <f t="shared" si="102"/>
        <v>0</v>
      </c>
      <c r="Y111" s="56" t="e">
        <f t="shared" si="103"/>
        <v>#VALUE!</v>
      </c>
    </row>
    <row r="112" spans="1:25" x14ac:dyDescent="0.35">
      <c r="A112" s="78"/>
      <c r="B112" s="47">
        <v>108</v>
      </c>
      <c r="C112" s="136"/>
      <c r="D112" s="50"/>
      <c r="E112" s="50"/>
      <c r="F112" s="50"/>
      <c r="G112" s="50"/>
      <c r="H112" s="50"/>
      <c r="I112" s="138"/>
      <c r="J112" s="50"/>
      <c r="K112" s="50"/>
      <c r="L112" s="50"/>
      <c r="M112" s="138">
        <f t="shared" si="96"/>
        <v>0</v>
      </c>
      <c r="N112" s="39">
        <f t="shared" si="18"/>
        <v>0</v>
      </c>
      <c r="O112" s="49">
        <f t="shared" si="1"/>
        <v>25.827600000000004</v>
      </c>
      <c r="P112" s="73">
        <f t="shared" si="97"/>
        <v>0</v>
      </c>
      <c r="Q112" s="40">
        <f t="shared" si="98"/>
        <v>0</v>
      </c>
      <c r="R112" s="51" t="e">
        <f t="shared" si="4"/>
        <v>#VALUE!</v>
      </c>
      <c r="S112" s="52">
        <f t="shared" si="5"/>
        <v>0</v>
      </c>
      <c r="T112" s="52">
        <f t="shared" si="6"/>
        <v>0</v>
      </c>
      <c r="U112" s="53" t="e">
        <f t="shared" si="99"/>
        <v>#VALUE!</v>
      </c>
      <c r="V112" s="54" t="e">
        <f t="shared" si="100"/>
        <v>#VALUE!</v>
      </c>
      <c r="W112" s="55">
        <f t="shared" si="101"/>
        <v>0</v>
      </c>
      <c r="X112" s="55">
        <f t="shared" si="102"/>
        <v>0</v>
      </c>
      <c r="Y112" s="56" t="e">
        <f t="shared" si="103"/>
        <v>#VALUE!</v>
      </c>
    </row>
    <row r="113" spans="1:25" x14ac:dyDescent="0.35">
      <c r="A113" s="78"/>
      <c r="B113" s="47">
        <v>109</v>
      </c>
      <c r="C113" s="136"/>
      <c r="D113" s="50"/>
      <c r="E113" s="50"/>
      <c r="F113" s="50"/>
      <c r="G113" s="50"/>
      <c r="H113" s="50"/>
      <c r="I113" s="138"/>
      <c r="J113" s="50"/>
      <c r="K113" s="50"/>
      <c r="L113" s="50"/>
      <c r="M113" s="138">
        <f t="shared" si="96"/>
        <v>0</v>
      </c>
      <c r="N113" s="39">
        <f t="shared" si="18"/>
        <v>0</v>
      </c>
      <c r="O113" s="49">
        <f t="shared" si="1"/>
        <v>25.827600000000004</v>
      </c>
      <c r="P113" s="73">
        <f t="shared" si="97"/>
        <v>0</v>
      </c>
      <c r="Q113" s="40">
        <f t="shared" si="98"/>
        <v>0</v>
      </c>
      <c r="R113" s="51" t="e">
        <f t="shared" si="4"/>
        <v>#VALUE!</v>
      </c>
      <c r="S113" s="52">
        <f t="shared" si="5"/>
        <v>0</v>
      </c>
      <c r="T113" s="52">
        <f t="shared" si="6"/>
        <v>0</v>
      </c>
      <c r="U113" s="53" t="e">
        <f t="shared" si="99"/>
        <v>#VALUE!</v>
      </c>
      <c r="V113" s="54" t="e">
        <f t="shared" si="100"/>
        <v>#VALUE!</v>
      </c>
      <c r="W113" s="55">
        <f t="shared" si="101"/>
        <v>0</v>
      </c>
      <c r="X113" s="55">
        <f t="shared" si="102"/>
        <v>0</v>
      </c>
      <c r="Y113" s="56" t="e">
        <f t="shared" si="103"/>
        <v>#VALUE!</v>
      </c>
    </row>
    <row r="114" spans="1:25" x14ac:dyDescent="0.35">
      <c r="A114" s="78"/>
      <c r="B114" s="47">
        <v>110</v>
      </c>
      <c r="C114" s="136"/>
      <c r="D114" s="50"/>
      <c r="E114" s="50"/>
      <c r="F114" s="50"/>
      <c r="G114" s="50"/>
      <c r="H114" s="50"/>
      <c r="I114" s="138"/>
      <c r="J114" s="50"/>
      <c r="K114" s="50"/>
      <c r="L114" s="50"/>
      <c r="M114" s="138">
        <f t="shared" si="96"/>
        <v>0</v>
      </c>
      <c r="N114" s="39">
        <f t="shared" si="18"/>
        <v>0</v>
      </c>
      <c r="O114" s="49">
        <f t="shared" si="1"/>
        <v>25.827600000000004</v>
      </c>
      <c r="P114" s="73">
        <f t="shared" si="97"/>
        <v>0</v>
      </c>
      <c r="Q114" s="40">
        <f t="shared" si="98"/>
        <v>0</v>
      </c>
      <c r="R114" s="51" t="e">
        <f t="shared" si="4"/>
        <v>#VALUE!</v>
      </c>
      <c r="S114" s="52">
        <f t="shared" si="5"/>
        <v>0</v>
      </c>
      <c r="T114" s="52">
        <f t="shared" si="6"/>
        <v>0</v>
      </c>
      <c r="U114" s="53" t="e">
        <f t="shared" si="99"/>
        <v>#VALUE!</v>
      </c>
      <c r="V114" s="54" t="e">
        <f t="shared" si="100"/>
        <v>#VALUE!</v>
      </c>
      <c r="W114" s="55">
        <f t="shared" si="101"/>
        <v>0</v>
      </c>
      <c r="X114" s="55">
        <f t="shared" si="102"/>
        <v>0</v>
      </c>
      <c r="Y114" s="56" t="e">
        <f t="shared" si="103"/>
        <v>#VALUE!</v>
      </c>
    </row>
    <row r="115" spans="1:25" x14ac:dyDescent="0.35">
      <c r="A115" s="78"/>
      <c r="B115" s="47">
        <v>111</v>
      </c>
      <c r="C115" s="136"/>
      <c r="D115" s="50"/>
      <c r="E115" s="50"/>
      <c r="F115" s="50"/>
      <c r="G115" s="50"/>
      <c r="H115" s="50"/>
      <c r="I115" s="138"/>
      <c r="J115" s="50"/>
      <c r="K115" s="50"/>
      <c r="L115" s="50"/>
      <c r="M115" s="138">
        <f t="shared" si="96"/>
        <v>0</v>
      </c>
      <c r="N115" s="39">
        <f t="shared" si="18"/>
        <v>0</v>
      </c>
      <c r="O115" s="49">
        <f t="shared" si="1"/>
        <v>25.827600000000004</v>
      </c>
      <c r="P115" s="73">
        <f t="shared" si="97"/>
        <v>0</v>
      </c>
      <c r="Q115" s="40">
        <f t="shared" si="98"/>
        <v>0</v>
      </c>
      <c r="R115" s="51" t="e">
        <f t="shared" si="4"/>
        <v>#VALUE!</v>
      </c>
      <c r="S115" s="52">
        <f t="shared" si="5"/>
        <v>0</v>
      </c>
      <c r="T115" s="52">
        <f t="shared" si="6"/>
        <v>0</v>
      </c>
      <c r="U115" s="53" t="e">
        <f t="shared" si="99"/>
        <v>#VALUE!</v>
      </c>
      <c r="V115" s="54" t="e">
        <f t="shared" si="100"/>
        <v>#VALUE!</v>
      </c>
      <c r="W115" s="55">
        <f t="shared" si="101"/>
        <v>0</v>
      </c>
      <c r="X115" s="55">
        <f t="shared" si="102"/>
        <v>0</v>
      </c>
      <c r="Y115" s="56" t="e">
        <f t="shared" si="103"/>
        <v>#VALUE!</v>
      </c>
    </row>
    <row r="116" spans="1:25" x14ac:dyDescent="0.35">
      <c r="A116" s="78"/>
      <c r="B116" s="47">
        <v>112</v>
      </c>
      <c r="C116" s="136"/>
      <c r="D116" s="50"/>
      <c r="E116" s="50"/>
      <c r="F116" s="50"/>
      <c r="G116" s="50"/>
      <c r="H116" s="50"/>
      <c r="I116" s="138"/>
      <c r="J116" s="50"/>
      <c r="K116" s="50"/>
      <c r="L116" s="50"/>
      <c r="M116" s="138">
        <f t="shared" si="96"/>
        <v>0</v>
      </c>
      <c r="N116" s="39">
        <f t="shared" si="18"/>
        <v>0</v>
      </c>
      <c r="O116" s="49">
        <f t="shared" si="1"/>
        <v>25.827600000000004</v>
      </c>
      <c r="P116" s="73">
        <f t="shared" si="97"/>
        <v>0</v>
      </c>
      <c r="Q116" s="40">
        <f t="shared" si="98"/>
        <v>0</v>
      </c>
      <c r="R116" s="51" t="e">
        <f t="shared" si="4"/>
        <v>#VALUE!</v>
      </c>
      <c r="S116" s="52">
        <f t="shared" si="5"/>
        <v>0</v>
      </c>
      <c r="T116" s="52">
        <f t="shared" si="6"/>
        <v>0</v>
      </c>
      <c r="U116" s="53" t="e">
        <f t="shared" si="99"/>
        <v>#VALUE!</v>
      </c>
      <c r="V116" s="54" t="e">
        <f t="shared" si="100"/>
        <v>#VALUE!</v>
      </c>
      <c r="W116" s="55">
        <f t="shared" si="101"/>
        <v>0</v>
      </c>
      <c r="X116" s="55">
        <f t="shared" si="102"/>
        <v>0</v>
      </c>
      <c r="Y116" s="56" t="e">
        <f t="shared" si="103"/>
        <v>#VALUE!</v>
      </c>
    </row>
    <row r="117" spans="1:25" x14ac:dyDescent="0.35">
      <c r="A117" s="78"/>
      <c r="B117" s="47">
        <v>113</v>
      </c>
      <c r="C117" s="136"/>
      <c r="D117" s="50"/>
      <c r="E117" s="50"/>
      <c r="F117" s="50"/>
      <c r="G117" s="50"/>
      <c r="H117" s="50"/>
      <c r="I117" s="138"/>
      <c r="J117" s="50"/>
      <c r="K117" s="50"/>
      <c r="L117" s="50"/>
      <c r="M117" s="138">
        <f t="shared" si="96"/>
        <v>0</v>
      </c>
      <c r="N117" s="39">
        <f t="shared" si="18"/>
        <v>0</v>
      </c>
      <c r="O117" s="49">
        <f t="shared" si="1"/>
        <v>25.827600000000004</v>
      </c>
      <c r="P117" s="73">
        <f t="shared" si="97"/>
        <v>0</v>
      </c>
      <c r="Q117" s="40">
        <f t="shared" si="98"/>
        <v>0</v>
      </c>
      <c r="R117" s="51" t="e">
        <f t="shared" si="4"/>
        <v>#VALUE!</v>
      </c>
      <c r="S117" s="52">
        <f t="shared" si="5"/>
        <v>0</v>
      </c>
      <c r="T117" s="52">
        <f t="shared" si="6"/>
        <v>0</v>
      </c>
      <c r="U117" s="53" t="e">
        <f t="shared" si="99"/>
        <v>#VALUE!</v>
      </c>
      <c r="V117" s="54" t="e">
        <f t="shared" si="100"/>
        <v>#VALUE!</v>
      </c>
      <c r="W117" s="55">
        <f t="shared" si="101"/>
        <v>0</v>
      </c>
      <c r="X117" s="55">
        <f t="shared" si="102"/>
        <v>0</v>
      </c>
      <c r="Y117" s="56" t="e">
        <f t="shared" si="103"/>
        <v>#VALUE!</v>
      </c>
    </row>
    <row r="118" spans="1:25" x14ac:dyDescent="0.35">
      <c r="A118" s="78"/>
      <c r="B118" s="47">
        <v>114</v>
      </c>
      <c r="C118" s="136"/>
      <c r="D118" s="50"/>
      <c r="E118" s="50"/>
      <c r="F118" s="50"/>
      <c r="G118" s="50"/>
      <c r="H118" s="50"/>
      <c r="I118" s="138"/>
      <c r="J118" s="50"/>
      <c r="K118" s="50"/>
      <c r="L118" s="50"/>
      <c r="M118" s="138">
        <f t="shared" si="96"/>
        <v>0</v>
      </c>
      <c r="N118" s="39">
        <f t="shared" si="18"/>
        <v>0</v>
      </c>
      <c r="O118" s="49">
        <f t="shared" si="1"/>
        <v>25.827600000000004</v>
      </c>
      <c r="P118" s="73">
        <f t="shared" si="97"/>
        <v>0</v>
      </c>
      <c r="Q118" s="40">
        <f t="shared" si="98"/>
        <v>0</v>
      </c>
      <c r="R118" s="51" t="e">
        <f t="shared" si="4"/>
        <v>#VALUE!</v>
      </c>
      <c r="S118" s="52">
        <f t="shared" si="5"/>
        <v>0</v>
      </c>
      <c r="T118" s="52">
        <f t="shared" si="6"/>
        <v>0</v>
      </c>
      <c r="U118" s="53" t="e">
        <f t="shared" si="99"/>
        <v>#VALUE!</v>
      </c>
      <c r="V118" s="54" t="e">
        <f t="shared" si="100"/>
        <v>#VALUE!</v>
      </c>
      <c r="W118" s="55">
        <f t="shared" si="101"/>
        <v>0</v>
      </c>
      <c r="X118" s="55">
        <f t="shared" si="102"/>
        <v>0</v>
      </c>
      <c r="Y118" s="56" t="e">
        <f t="shared" si="103"/>
        <v>#VALUE!</v>
      </c>
    </row>
    <row r="119" spans="1:25" x14ac:dyDescent="0.35">
      <c r="A119" s="78"/>
      <c r="B119" s="47">
        <v>115</v>
      </c>
      <c r="C119" s="136"/>
      <c r="D119" s="50"/>
      <c r="E119" s="50"/>
      <c r="F119" s="50"/>
      <c r="G119" s="50"/>
      <c r="H119" s="50"/>
      <c r="I119" s="138"/>
      <c r="J119" s="50"/>
      <c r="K119" s="50"/>
      <c r="L119" s="50"/>
      <c r="M119" s="138">
        <f t="shared" si="96"/>
        <v>0</v>
      </c>
      <c r="N119" s="39">
        <f t="shared" si="18"/>
        <v>0</v>
      </c>
      <c r="O119" s="49">
        <f t="shared" si="1"/>
        <v>25.827600000000004</v>
      </c>
      <c r="P119" s="73">
        <f t="shared" si="97"/>
        <v>0</v>
      </c>
      <c r="Q119" s="40">
        <f t="shared" si="98"/>
        <v>0</v>
      </c>
      <c r="R119" s="51" t="e">
        <f t="shared" si="4"/>
        <v>#VALUE!</v>
      </c>
      <c r="S119" s="52">
        <f t="shared" si="5"/>
        <v>0</v>
      </c>
      <c r="T119" s="52">
        <f t="shared" si="6"/>
        <v>0</v>
      </c>
      <c r="U119" s="53" t="e">
        <f t="shared" si="99"/>
        <v>#VALUE!</v>
      </c>
      <c r="V119" s="54" t="e">
        <f t="shared" si="100"/>
        <v>#VALUE!</v>
      </c>
      <c r="W119" s="55">
        <f t="shared" si="101"/>
        <v>0</v>
      </c>
      <c r="X119" s="55">
        <f t="shared" si="102"/>
        <v>0</v>
      </c>
      <c r="Y119" s="56" t="e">
        <f t="shared" si="103"/>
        <v>#VALUE!</v>
      </c>
    </row>
    <row r="120" spans="1:25" x14ac:dyDescent="0.35">
      <c r="A120" s="78"/>
      <c r="B120" s="47">
        <v>116</v>
      </c>
      <c r="C120" s="136"/>
      <c r="D120" s="50"/>
      <c r="E120" s="50"/>
      <c r="F120" s="50"/>
      <c r="G120" s="50"/>
      <c r="H120" s="50"/>
      <c r="I120" s="138"/>
      <c r="J120" s="50"/>
      <c r="K120" s="50"/>
      <c r="L120" s="50"/>
      <c r="M120" s="138">
        <f t="shared" si="96"/>
        <v>0</v>
      </c>
      <c r="N120" s="39">
        <f t="shared" si="18"/>
        <v>0</v>
      </c>
      <c r="O120" s="49">
        <f t="shared" si="1"/>
        <v>25.827600000000004</v>
      </c>
      <c r="P120" s="73">
        <f t="shared" si="97"/>
        <v>0</v>
      </c>
      <c r="Q120" s="40">
        <f t="shared" si="98"/>
        <v>0</v>
      </c>
      <c r="R120" s="51" t="e">
        <f t="shared" si="4"/>
        <v>#VALUE!</v>
      </c>
      <c r="S120" s="52">
        <f t="shared" si="5"/>
        <v>0</v>
      </c>
      <c r="T120" s="52">
        <f t="shared" si="6"/>
        <v>0</v>
      </c>
      <c r="U120" s="53" t="e">
        <f t="shared" si="99"/>
        <v>#VALUE!</v>
      </c>
      <c r="V120" s="54" t="e">
        <f t="shared" si="100"/>
        <v>#VALUE!</v>
      </c>
      <c r="W120" s="55">
        <f t="shared" si="101"/>
        <v>0</v>
      </c>
      <c r="X120" s="55">
        <f t="shared" si="102"/>
        <v>0</v>
      </c>
      <c r="Y120" s="56" t="e">
        <f t="shared" si="103"/>
        <v>#VALUE!</v>
      </c>
    </row>
    <row r="121" spans="1:25" x14ac:dyDescent="0.35">
      <c r="A121" s="78"/>
      <c r="B121" s="47">
        <v>117</v>
      </c>
      <c r="C121" s="136"/>
      <c r="D121" s="50"/>
      <c r="E121" s="50"/>
      <c r="F121" s="50"/>
      <c r="G121" s="50"/>
      <c r="H121" s="50"/>
      <c r="I121" s="138"/>
      <c r="J121" s="50"/>
      <c r="K121" s="50"/>
      <c r="L121" s="50"/>
      <c r="M121" s="138">
        <f t="shared" si="96"/>
        <v>0</v>
      </c>
      <c r="N121" s="39">
        <f t="shared" si="18"/>
        <v>0</v>
      </c>
      <c r="O121" s="49">
        <f t="shared" si="1"/>
        <v>25.827600000000004</v>
      </c>
      <c r="P121" s="73">
        <f t="shared" si="97"/>
        <v>0</v>
      </c>
      <c r="Q121" s="40">
        <f t="shared" si="98"/>
        <v>0</v>
      </c>
      <c r="R121" s="51" t="e">
        <f t="shared" si="4"/>
        <v>#VALUE!</v>
      </c>
      <c r="S121" s="52">
        <f t="shared" si="5"/>
        <v>0</v>
      </c>
      <c r="T121" s="52">
        <f t="shared" si="6"/>
        <v>0</v>
      </c>
      <c r="U121" s="53" t="e">
        <f t="shared" si="99"/>
        <v>#VALUE!</v>
      </c>
      <c r="V121" s="54" t="e">
        <f t="shared" si="100"/>
        <v>#VALUE!</v>
      </c>
      <c r="W121" s="55">
        <f t="shared" si="101"/>
        <v>0</v>
      </c>
      <c r="X121" s="55">
        <f t="shared" si="102"/>
        <v>0</v>
      </c>
      <c r="Y121" s="56" t="e">
        <f t="shared" si="103"/>
        <v>#VALUE!</v>
      </c>
    </row>
    <row r="122" spans="1:25" x14ac:dyDescent="0.35">
      <c r="A122" s="78"/>
      <c r="B122" s="47">
        <v>118</v>
      </c>
      <c r="C122" s="136"/>
      <c r="D122" s="50"/>
      <c r="E122" s="50"/>
      <c r="F122" s="50"/>
      <c r="G122" s="50"/>
      <c r="H122" s="50"/>
      <c r="I122" s="138"/>
      <c r="J122" s="50"/>
      <c r="K122" s="50"/>
      <c r="L122" s="50"/>
      <c r="M122" s="138">
        <f t="shared" si="96"/>
        <v>0</v>
      </c>
      <c r="N122" s="39">
        <f t="shared" si="18"/>
        <v>0</v>
      </c>
      <c r="O122" s="49">
        <f t="shared" si="1"/>
        <v>25.827600000000004</v>
      </c>
      <c r="P122" s="73">
        <f t="shared" si="97"/>
        <v>0</v>
      </c>
      <c r="Q122" s="40">
        <f t="shared" si="98"/>
        <v>0</v>
      </c>
      <c r="R122" s="51" t="e">
        <f t="shared" si="4"/>
        <v>#VALUE!</v>
      </c>
      <c r="S122" s="52">
        <f t="shared" si="5"/>
        <v>0</v>
      </c>
      <c r="T122" s="52">
        <f t="shared" si="6"/>
        <v>0</v>
      </c>
      <c r="U122" s="53" t="e">
        <f t="shared" si="99"/>
        <v>#VALUE!</v>
      </c>
      <c r="V122" s="54" t="e">
        <f t="shared" si="100"/>
        <v>#VALUE!</v>
      </c>
      <c r="W122" s="55">
        <f t="shared" si="101"/>
        <v>0</v>
      </c>
      <c r="X122" s="55">
        <f t="shared" si="102"/>
        <v>0</v>
      </c>
      <c r="Y122" s="56" t="e">
        <f t="shared" si="103"/>
        <v>#VALUE!</v>
      </c>
    </row>
    <row r="123" spans="1:25" x14ac:dyDescent="0.35">
      <c r="A123" s="78"/>
      <c r="B123" s="47">
        <v>119</v>
      </c>
      <c r="C123" s="136"/>
      <c r="D123" s="50"/>
      <c r="E123" s="50"/>
      <c r="F123" s="50"/>
      <c r="G123" s="50"/>
      <c r="H123" s="50"/>
      <c r="I123" s="138"/>
      <c r="J123" s="50"/>
      <c r="K123" s="50"/>
      <c r="L123" s="50"/>
      <c r="M123" s="138">
        <f t="shared" si="96"/>
        <v>0</v>
      </c>
      <c r="N123" s="39">
        <f t="shared" si="18"/>
        <v>0</v>
      </c>
      <c r="O123" s="49">
        <f t="shared" si="1"/>
        <v>25.827600000000004</v>
      </c>
      <c r="P123" s="73">
        <f t="shared" si="97"/>
        <v>0</v>
      </c>
      <c r="Q123" s="40">
        <f t="shared" si="98"/>
        <v>0</v>
      </c>
      <c r="R123" s="51" t="e">
        <f t="shared" si="4"/>
        <v>#VALUE!</v>
      </c>
      <c r="S123" s="52">
        <f t="shared" si="5"/>
        <v>0</v>
      </c>
      <c r="T123" s="52">
        <f t="shared" si="6"/>
        <v>0</v>
      </c>
      <c r="U123" s="53" t="e">
        <f t="shared" si="99"/>
        <v>#VALUE!</v>
      </c>
      <c r="V123" s="54" t="e">
        <f t="shared" si="100"/>
        <v>#VALUE!</v>
      </c>
      <c r="W123" s="55">
        <f t="shared" si="101"/>
        <v>0</v>
      </c>
      <c r="X123" s="55">
        <f t="shared" si="102"/>
        <v>0</v>
      </c>
      <c r="Y123" s="56" t="e">
        <f t="shared" si="103"/>
        <v>#VALUE!</v>
      </c>
    </row>
    <row r="124" spans="1:25" x14ac:dyDescent="0.35">
      <c r="A124" s="78"/>
      <c r="B124" s="112"/>
      <c r="C124" s="136"/>
      <c r="D124" s="50"/>
      <c r="E124" s="50"/>
      <c r="F124" s="50"/>
      <c r="G124" s="50"/>
      <c r="H124" s="50"/>
      <c r="I124" s="138"/>
      <c r="J124" s="50"/>
      <c r="K124" s="50"/>
      <c r="L124" s="50"/>
      <c r="M124" s="138">
        <f t="shared" si="96"/>
        <v>0</v>
      </c>
      <c r="N124" s="39">
        <f t="shared" si="18"/>
        <v>0</v>
      </c>
      <c r="O124" s="49">
        <f t="shared" si="1"/>
        <v>25.827600000000004</v>
      </c>
      <c r="P124" s="73">
        <f t="shared" si="97"/>
        <v>0</v>
      </c>
      <c r="Q124" s="40">
        <f t="shared" si="98"/>
        <v>0</v>
      </c>
      <c r="R124" s="51" t="e">
        <f t="shared" si="4"/>
        <v>#VALUE!</v>
      </c>
      <c r="S124" s="52">
        <f t="shared" si="5"/>
        <v>0</v>
      </c>
      <c r="T124" s="52">
        <f t="shared" si="6"/>
        <v>0</v>
      </c>
      <c r="U124" s="53" t="e">
        <f t="shared" si="99"/>
        <v>#VALUE!</v>
      </c>
      <c r="V124" s="54" t="e">
        <f t="shared" si="100"/>
        <v>#VALUE!</v>
      </c>
      <c r="W124" s="55">
        <f t="shared" si="101"/>
        <v>0</v>
      </c>
      <c r="X124" s="55">
        <f t="shared" si="102"/>
        <v>0</v>
      </c>
      <c r="Y124" s="56" t="e">
        <f t="shared" si="103"/>
        <v>#VALUE!</v>
      </c>
    </row>
    <row r="125" spans="1:25" x14ac:dyDescent="0.35">
      <c r="A125" s="78"/>
      <c r="B125" s="112"/>
      <c r="C125" s="136"/>
      <c r="D125" s="50"/>
      <c r="E125" s="50"/>
      <c r="F125" s="50"/>
      <c r="G125" s="50"/>
      <c r="H125" s="50"/>
      <c r="I125" s="138"/>
      <c r="J125" s="50"/>
      <c r="K125" s="50"/>
      <c r="L125" s="50"/>
      <c r="M125" s="138">
        <f t="shared" si="96"/>
        <v>0</v>
      </c>
      <c r="N125" s="39">
        <f t="shared" si="18"/>
        <v>0</v>
      </c>
      <c r="O125" s="49">
        <f t="shared" si="1"/>
        <v>25.827600000000004</v>
      </c>
      <c r="P125" s="73">
        <f t="shared" si="97"/>
        <v>0</v>
      </c>
      <c r="Q125" s="40">
        <f t="shared" si="98"/>
        <v>0</v>
      </c>
      <c r="R125" s="51" t="e">
        <f t="shared" si="4"/>
        <v>#VALUE!</v>
      </c>
      <c r="S125" s="52">
        <f t="shared" si="5"/>
        <v>0</v>
      </c>
      <c r="T125" s="52">
        <f t="shared" si="6"/>
        <v>0</v>
      </c>
      <c r="U125" s="53" t="e">
        <f t="shared" si="99"/>
        <v>#VALUE!</v>
      </c>
      <c r="V125" s="54" t="e">
        <f t="shared" si="100"/>
        <v>#VALUE!</v>
      </c>
      <c r="W125" s="55">
        <f t="shared" si="101"/>
        <v>0</v>
      </c>
      <c r="X125" s="55">
        <f t="shared" si="102"/>
        <v>0</v>
      </c>
      <c r="Y125" s="56" t="e">
        <f t="shared" si="103"/>
        <v>#VALUE!</v>
      </c>
    </row>
    <row r="126" spans="1:25" x14ac:dyDescent="0.35">
      <c r="A126" s="78"/>
      <c r="B126" s="112"/>
      <c r="C126" s="136"/>
      <c r="D126" s="50"/>
      <c r="E126" s="50"/>
      <c r="F126" s="50"/>
      <c r="G126" s="50"/>
      <c r="H126" s="50"/>
      <c r="I126" s="138"/>
      <c r="J126" s="50"/>
      <c r="K126" s="50"/>
      <c r="L126" s="50"/>
      <c r="M126" s="138">
        <f t="shared" si="96"/>
        <v>0</v>
      </c>
      <c r="N126" s="39">
        <f t="shared" si="18"/>
        <v>0</v>
      </c>
      <c r="O126" s="49">
        <f t="shared" si="1"/>
        <v>25.827600000000004</v>
      </c>
      <c r="P126" s="73">
        <f t="shared" si="97"/>
        <v>0</v>
      </c>
      <c r="Q126" s="40">
        <f t="shared" si="98"/>
        <v>0</v>
      </c>
      <c r="R126" s="51" t="e">
        <f t="shared" si="4"/>
        <v>#VALUE!</v>
      </c>
      <c r="S126" s="52">
        <f t="shared" si="5"/>
        <v>0</v>
      </c>
      <c r="T126" s="52">
        <f t="shared" si="6"/>
        <v>0</v>
      </c>
      <c r="U126" s="53" t="e">
        <f t="shared" si="99"/>
        <v>#VALUE!</v>
      </c>
      <c r="V126" s="54" t="e">
        <f t="shared" si="100"/>
        <v>#VALUE!</v>
      </c>
      <c r="W126" s="55">
        <f t="shared" si="101"/>
        <v>0</v>
      </c>
      <c r="X126" s="55">
        <f t="shared" si="102"/>
        <v>0</v>
      </c>
      <c r="Y126" s="56" t="e">
        <f t="shared" si="103"/>
        <v>#VALUE!</v>
      </c>
    </row>
    <row r="127" spans="1:25" x14ac:dyDescent="0.35">
      <c r="A127" s="78"/>
      <c r="B127" s="112"/>
      <c r="C127" s="136"/>
      <c r="D127" s="50"/>
      <c r="E127" s="50"/>
      <c r="F127" s="50"/>
      <c r="G127" s="50"/>
      <c r="H127" s="50"/>
      <c r="I127" s="138"/>
      <c r="J127" s="50"/>
      <c r="K127" s="50"/>
      <c r="L127" s="50"/>
      <c r="M127" s="138">
        <f t="shared" si="96"/>
        <v>0</v>
      </c>
      <c r="N127" s="39">
        <f t="shared" si="18"/>
        <v>0</v>
      </c>
      <c r="O127" s="49">
        <f t="shared" si="1"/>
        <v>25.827600000000004</v>
      </c>
      <c r="P127" s="73">
        <f t="shared" si="97"/>
        <v>0</v>
      </c>
      <c r="Q127" s="40">
        <f t="shared" si="98"/>
        <v>0</v>
      </c>
      <c r="R127" s="51" t="e">
        <f t="shared" si="4"/>
        <v>#VALUE!</v>
      </c>
      <c r="S127" s="52">
        <f t="shared" si="5"/>
        <v>0</v>
      </c>
      <c r="T127" s="52">
        <f t="shared" si="6"/>
        <v>0</v>
      </c>
      <c r="U127" s="53" t="e">
        <f t="shared" si="99"/>
        <v>#VALUE!</v>
      </c>
      <c r="V127" s="54" t="e">
        <f t="shared" si="100"/>
        <v>#VALUE!</v>
      </c>
      <c r="W127" s="55">
        <f t="shared" si="101"/>
        <v>0</v>
      </c>
      <c r="X127" s="55">
        <f t="shared" si="102"/>
        <v>0</v>
      </c>
      <c r="Y127" s="56" t="e">
        <f t="shared" si="103"/>
        <v>#VALUE!</v>
      </c>
    </row>
    <row r="128" spans="1:25" x14ac:dyDescent="0.35">
      <c r="A128" s="78"/>
      <c r="B128" s="112"/>
      <c r="C128" s="136"/>
      <c r="D128" s="50"/>
      <c r="E128" s="50"/>
      <c r="F128" s="50"/>
      <c r="G128" s="50"/>
      <c r="H128" s="50"/>
      <c r="I128" s="138"/>
      <c r="J128" s="50"/>
      <c r="K128" s="50"/>
      <c r="L128" s="50"/>
      <c r="M128" s="138">
        <f t="shared" si="96"/>
        <v>0</v>
      </c>
      <c r="N128" s="39">
        <f t="shared" si="18"/>
        <v>0</v>
      </c>
      <c r="O128" s="49">
        <f t="shared" si="1"/>
        <v>25.827600000000004</v>
      </c>
      <c r="P128" s="73">
        <f t="shared" si="97"/>
        <v>0</v>
      </c>
      <c r="Q128" s="40">
        <f t="shared" si="98"/>
        <v>0</v>
      </c>
      <c r="R128" s="51" t="e">
        <f t="shared" si="4"/>
        <v>#VALUE!</v>
      </c>
      <c r="S128" s="52">
        <f t="shared" si="5"/>
        <v>0</v>
      </c>
      <c r="T128" s="52">
        <f t="shared" si="6"/>
        <v>0</v>
      </c>
      <c r="U128" s="53" t="e">
        <f t="shared" si="99"/>
        <v>#VALUE!</v>
      </c>
      <c r="V128" s="54" t="e">
        <f t="shared" si="100"/>
        <v>#VALUE!</v>
      </c>
      <c r="W128" s="55">
        <f t="shared" si="101"/>
        <v>0</v>
      </c>
      <c r="X128" s="55">
        <f t="shared" si="102"/>
        <v>0</v>
      </c>
      <c r="Y128" s="56" t="e">
        <f t="shared" si="103"/>
        <v>#VALUE!</v>
      </c>
    </row>
    <row r="129" spans="1:25" x14ac:dyDescent="0.35">
      <c r="A129" s="78"/>
      <c r="B129" s="112"/>
      <c r="C129" s="136"/>
      <c r="D129" s="50"/>
      <c r="E129" s="50"/>
      <c r="F129" s="50"/>
      <c r="G129" s="50"/>
      <c r="H129" s="50"/>
      <c r="I129" s="138"/>
      <c r="J129" s="50"/>
      <c r="K129" s="50"/>
      <c r="L129" s="50"/>
      <c r="M129" s="138">
        <f t="shared" si="96"/>
        <v>0</v>
      </c>
      <c r="N129" s="39">
        <f t="shared" si="18"/>
        <v>0</v>
      </c>
      <c r="O129" s="49">
        <f t="shared" si="1"/>
        <v>25.827600000000004</v>
      </c>
      <c r="P129" s="73">
        <f t="shared" si="97"/>
        <v>0</v>
      </c>
      <c r="Q129" s="40">
        <f t="shared" si="98"/>
        <v>0</v>
      </c>
      <c r="R129" s="51" t="e">
        <f t="shared" si="4"/>
        <v>#VALUE!</v>
      </c>
      <c r="S129" s="52">
        <f t="shared" si="5"/>
        <v>0</v>
      </c>
      <c r="T129" s="52">
        <f t="shared" si="6"/>
        <v>0</v>
      </c>
      <c r="U129" s="53" t="e">
        <f t="shared" si="99"/>
        <v>#VALUE!</v>
      </c>
      <c r="V129" s="54" t="e">
        <f t="shared" si="100"/>
        <v>#VALUE!</v>
      </c>
      <c r="W129" s="55">
        <f t="shared" si="101"/>
        <v>0</v>
      </c>
      <c r="X129" s="55">
        <f t="shared" si="102"/>
        <v>0</v>
      </c>
      <c r="Y129" s="56" t="e">
        <f t="shared" si="103"/>
        <v>#VALUE!</v>
      </c>
    </row>
    <row r="130" spans="1:25" x14ac:dyDescent="0.35">
      <c r="A130" s="78"/>
      <c r="B130" s="112"/>
      <c r="C130" s="136"/>
      <c r="D130" s="50"/>
      <c r="E130" s="50"/>
      <c r="F130" s="50"/>
      <c r="G130" s="50"/>
      <c r="H130" s="50"/>
      <c r="I130" s="138"/>
      <c r="J130" s="50"/>
      <c r="K130" s="50"/>
      <c r="L130" s="50"/>
      <c r="M130" s="138">
        <f t="shared" si="96"/>
        <v>0</v>
      </c>
      <c r="N130" s="39">
        <f t="shared" si="18"/>
        <v>0</v>
      </c>
      <c r="O130" s="49">
        <f t="shared" si="1"/>
        <v>25.827600000000004</v>
      </c>
      <c r="P130" s="73">
        <f t="shared" si="97"/>
        <v>0</v>
      </c>
      <c r="Q130" s="40">
        <f t="shared" si="98"/>
        <v>0</v>
      </c>
      <c r="R130" s="51" t="e">
        <f t="shared" si="4"/>
        <v>#VALUE!</v>
      </c>
      <c r="S130" s="52">
        <f t="shared" si="5"/>
        <v>0</v>
      </c>
      <c r="T130" s="52">
        <f t="shared" si="6"/>
        <v>0</v>
      </c>
      <c r="U130" s="53" t="e">
        <f t="shared" si="99"/>
        <v>#VALUE!</v>
      </c>
      <c r="V130" s="54" t="e">
        <f t="shared" si="100"/>
        <v>#VALUE!</v>
      </c>
      <c r="W130" s="55">
        <f t="shared" si="101"/>
        <v>0</v>
      </c>
      <c r="X130" s="55">
        <f t="shared" si="102"/>
        <v>0</v>
      </c>
      <c r="Y130" s="56" t="e">
        <f t="shared" si="103"/>
        <v>#VALUE!</v>
      </c>
    </row>
    <row r="131" spans="1:25" x14ac:dyDescent="0.35">
      <c r="A131" s="78"/>
      <c r="B131" s="112"/>
      <c r="C131" s="136"/>
      <c r="D131" s="50"/>
      <c r="E131" s="50"/>
      <c r="F131" s="50"/>
      <c r="G131" s="50"/>
      <c r="H131" s="50"/>
      <c r="I131" s="138"/>
      <c r="J131" s="50"/>
      <c r="K131" s="50"/>
      <c r="L131" s="50"/>
      <c r="M131" s="138">
        <f t="shared" si="96"/>
        <v>0</v>
      </c>
      <c r="N131" s="39">
        <f t="shared" si="18"/>
        <v>0</v>
      </c>
      <c r="O131" s="49">
        <f t="shared" si="1"/>
        <v>25.827600000000004</v>
      </c>
      <c r="P131" s="73">
        <f t="shared" si="97"/>
        <v>0</v>
      </c>
      <c r="Q131" s="40">
        <f t="shared" si="98"/>
        <v>0</v>
      </c>
      <c r="R131" s="51" t="e">
        <f t="shared" si="4"/>
        <v>#VALUE!</v>
      </c>
      <c r="S131" s="52">
        <f t="shared" si="5"/>
        <v>0</v>
      </c>
      <c r="T131" s="52">
        <f t="shared" si="6"/>
        <v>0</v>
      </c>
      <c r="U131" s="53" t="e">
        <f t="shared" si="99"/>
        <v>#VALUE!</v>
      </c>
      <c r="V131" s="54" t="e">
        <f t="shared" si="100"/>
        <v>#VALUE!</v>
      </c>
      <c r="W131" s="55">
        <f t="shared" si="101"/>
        <v>0</v>
      </c>
      <c r="X131" s="55">
        <f t="shared" si="102"/>
        <v>0</v>
      </c>
      <c r="Y131" s="56" t="e">
        <f t="shared" si="103"/>
        <v>#VALUE!</v>
      </c>
    </row>
    <row r="132" spans="1:25" x14ac:dyDescent="0.35">
      <c r="A132" s="78"/>
      <c r="B132" s="162" t="s">
        <v>11</v>
      </c>
      <c r="C132" s="163"/>
      <c r="D132" s="88">
        <f t="shared" ref="D132:L132" si="104">SUM(D6:D60)</f>
        <v>0</v>
      </c>
      <c r="E132" s="88">
        <f t="shared" si="104"/>
        <v>0</v>
      </c>
      <c r="F132" s="88">
        <f t="shared" si="104"/>
        <v>0</v>
      </c>
      <c r="G132" s="88">
        <f t="shared" si="104"/>
        <v>878</v>
      </c>
      <c r="H132" s="88">
        <f t="shared" si="104"/>
        <v>877</v>
      </c>
      <c r="I132" s="88">
        <f t="shared" si="104"/>
        <v>0</v>
      </c>
      <c r="J132" s="88">
        <f t="shared" si="104"/>
        <v>1319</v>
      </c>
      <c r="K132" s="88">
        <f t="shared" si="104"/>
        <v>1038</v>
      </c>
      <c r="L132" s="88">
        <f t="shared" si="104"/>
        <v>1398</v>
      </c>
      <c r="M132" s="48">
        <f t="shared" ref="M132:M135" si="105">SUM(D132:L132)/40</f>
        <v>137.75</v>
      </c>
      <c r="N132" s="39">
        <f t="shared" si="18"/>
        <v>0</v>
      </c>
      <c r="O132" s="49">
        <f t="shared" si="1"/>
        <v>25.827600000000004</v>
      </c>
      <c r="P132" s="73">
        <f t="shared" ref="P132:P136" si="106">SUM(G132:I132)/20</f>
        <v>87.75</v>
      </c>
      <c r="Q132" s="40">
        <f t="shared" ref="Q132:Q136" si="107">SUM(J132:L132)/20</f>
        <v>187.75</v>
      </c>
      <c r="R132" s="51" t="e">
        <f t="shared" si="4"/>
        <v>#VALUE!</v>
      </c>
      <c r="S132" s="52">
        <f t="shared" si="5"/>
        <v>0</v>
      </c>
      <c r="T132" s="52">
        <f t="shared" si="6"/>
        <v>0</v>
      </c>
      <c r="U132" s="53" t="e">
        <f t="shared" si="19"/>
        <v>#VALUE!</v>
      </c>
      <c r="V132" s="54" t="e">
        <f t="shared" ref="V132:V136" si="108">SUM(D132:F132)*$V$3</f>
        <v>#VALUE!</v>
      </c>
      <c r="W132" s="55">
        <f t="shared" ref="W132:W136" si="109">SUM(G132:I132)*$W$3</f>
        <v>0</v>
      </c>
      <c r="X132" s="55">
        <f t="shared" ref="X132:X136" si="110">SUM(J132:L132)*$X$3</f>
        <v>0</v>
      </c>
      <c r="Y132" s="56" t="e">
        <f t="shared" si="44"/>
        <v>#VALUE!</v>
      </c>
    </row>
    <row r="133" spans="1:25" x14ac:dyDescent="0.35">
      <c r="A133" s="78"/>
      <c r="B133" s="112">
        <v>0</v>
      </c>
      <c r="C133" s="57" t="s">
        <v>72</v>
      </c>
      <c r="D133" s="113"/>
      <c r="E133" s="114"/>
      <c r="F133" s="115"/>
      <c r="G133" s="114"/>
      <c r="H133" s="114"/>
      <c r="I133" s="115"/>
      <c r="J133" s="114"/>
      <c r="K133" s="114"/>
      <c r="L133" s="115"/>
      <c r="M133" s="116">
        <f>SUM(D133:L133)</f>
        <v>0</v>
      </c>
      <c r="N133" s="39"/>
      <c r="O133" s="49"/>
      <c r="P133" s="73"/>
      <c r="Q133" s="40"/>
      <c r="R133" s="51"/>
      <c r="S133" s="52"/>
      <c r="T133" s="52"/>
      <c r="U133" s="53"/>
      <c r="V133" s="54"/>
      <c r="W133" s="55"/>
      <c r="X133" s="55"/>
      <c r="Y133" s="56"/>
    </row>
    <row r="134" spans="1:25" x14ac:dyDescent="0.35">
      <c r="A134" s="78"/>
      <c r="B134" s="47">
        <v>1</v>
      </c>
      <c r="C134" s="57" t="s">
        <v>33</v>
      </c>
      <c r="D134" s="74"/>
      <c r="E134" s="75"/>
      <c r="F134" s="76"/>
      <c r="G134" s="50"/>
      <c r="H134" s="75"/>
      <c r="I134" s="49"/>
      <c r="J134" s="50"/>
      <c r="K134" s="75"/>
      <c r="L134" s="76"/>
      <c r="M134" s="48">
        <f t="shared" si="105"/>
        <v>0</v>
      </c>
      <c r="N134" s="39">
        <f t="shared" si="18"/>
        <v>0</v>
      </c>
      <c r="O134" s="49">
        <f t="shared" si="1"/>
        <v>25.827600000000004</v>
      </c>
      <c r="P134" s="73">
        <f t="shared" si="106"/>
        <v>0</v>
      </c>
      <c r="Q134" s="40">
        <f t="shared" si="107"/>
        <v>0</v>
      </c>
      <c r="R134" s="51" t="e">
        <f t="shared" si="4"/>
        <v>#VALUE!</v>
      </c>
      <c r="S134" s="52">
        <f t="shared" si="5"/>
        <v>0</v>
      </c>
      <c r="T134" s="52">
        <f t="shared" si="6"/>
        <v>0</v>
      </c>
      <c r="U134" s="53" t="e">
        <f t="shared" si="19"/>
        <v>#VALUE!</v>
      </c>
      <c r="V134" s="54" t="e">
        <f t="shared" si="108"/>
        <v>#VALUE!</v>
      </c>
      <c r="W134" s="55">
        <f t="shared" si="109"/>
        <v>0</v>
      </c>
      <c r="X134" s="55">
        <f t="shared" si="110"/>
        <v>0</v>
      </c>
      <c r="Y134" s="56" t="e">
        <f t="shared" si="20"/>
        <v>#VALUE!</v>
      </c>
    </row>
    <row r="135" spans="1:25" x14ac:dyDescent="0.35">
      <c r="B135" s="47">
        <v>2</v>
      </c>
      <c r="C135" s="57" t="s">
        <v>26</v>
      </c>
      <c r="D135" s="74"/>
      <c r="E135" s="75"/>
      <c r="F135" s="76"/>
      <c r="G135" s="50"/>
      <c r="H135" s="75"/>
      <c r="I135" s="49"/>
      <c r="J135" s="50"/>
      <c r="K135" s="75"/>
      <c r="L135" s="76"/>
      <c r="M135" s="48">
        <f t="shared" si="105"/>
        <v>0</v>
      </c>
      <c r="N135" s="39">
        <f t="shared" si="18"/>
        <v>0</v>
      </c>
      <c r="O135" s="49">
        <f t="shared" si="1"/>
        <v>25.827600000000004</v>
      </c>
      <c r="P135" s="73">
        <f t="shared" si="106"/>
        <v>0</v>
      </c>
      <c r="Q135" s="40">
        <f t="shared" si="107"/>
        <v>0</v>
      </c>
      <c r="R135" s="51" t="e">
        <f t="shared" si="4"/>
        <v>#VALUE!</v>
      </c>
      <c r="S135" s="52">
        <f t="shared" si="5"/>
        <v>0</v>
      </c>
      <c r="T135" s="52">
        <f t="shared" si="6"/>
        <v>0</v>
      </c>
      <c r="U135" s="53" t="e">
        <f t="shared" si="19"/>
        <v>#VALUE!</v>
      </c>
      <c r="V135" s="54" t="e">
        <f t="shared" si="108"/>
        <v>#VALUE!</v>
      </c>
      <c r="W135" s="55">
        <f t="shared" si="109"/>
        <v>0</v>
      </c>
      <c r="X135" s="55">
        <f t="shared" si="110"/>
        <v>0</v>
      </c>
      <c r="Y135" s="56" t="e">
        <f t="shared" si="20"/>
        <v>#VALUE!</v>
      </c>
    </row>
    <row r="136" spans="1:25" ht="15" thickBot="1" x14ac:dyDescent="0.4">
      <c r="B136" s="175" t="s">
        <v>73</v>
      </c>
      <c r="C136" s="176"/>
      <c r="D136" s="87">
        <f>SUM(D134:D135)</f>
        <v>0</v>
      </c>
      <c r="E136" s="87">
        <f t="shared" ref="E136:L136" si="111">SUM(E134:E135)</f>
        <v>0</v>
      </c>
      <c r="F136" s="87">
        <f t="shared" si="111"/>
        <v>0</v>
      </c>
      <c r="G136" s="87">
        <f t="shared" si="111"/>
        <v>0</v>
      </c>
      <c r="H136" s="87">
        <f t="shared" si="111"/>
        <v>0</v>
      </c>
      <c r="I136" s="87">
        <f t="shared" si="111"/>
        <v>0</v>
      </c>
      <c r="J136" s="87">
        <f t="shared" si="111"/>
        <v>0</v>
      </c>
      <c r="K136" s="87">
        <f t="shared" si="111"/>
        <v>0</v>
      </c>
      <c r="L136" s="87">
        <f t="shared" si="111"/>
        <v>0</v>
      </c>
      <c r="M136" s="117">
        <f>SUM(M133:M135)</f>
        <v>0</v>
      </c>
      <c r="N136" s="59">
        <f t="shared" si="18"/>
        <v>0</v>
      </c>
      <c r="O136" s="58">
        <f t="shared" si="1"/>
        <v>25.827600000000004</v>
      </c>
      <c r="P136" s="73">
        <f t="shared" si="106"/>
        <v>0</v>
      </c>
      <c r="Q136" s="40">
        <f t="shared" si="107"/>
        <v>0</v>
      </c>
      <c r="R136" s="51" t="e">
        <f t="shared" si="4"/>
        <v>#VALUE!</v>
      </c>
      <c r="S136" s="52">
        <f t="shared" si="5"/>
        <v>0</v>
      </c>
      <c r="T136" s="52">
        <f t="shared" si="6"/>
        <v>0</v>
      </c>
      <c r="U136" s="53" t="e">
        <f t="shared" si="19"/>
        <v>#VALUE!</v>
      </c>
      <c r="V136" s="54" t="e">
        <f t="shared" si="108"/>
        <v>#VALUE!</v>
      </c>
      <c r="W136" s="55">
        <f t="shared" si="109"/>
        <v>0</v>
      </c>
      <c r="X136" s="55">
        <f t="shared" si="110"/>
        <v>0</v>
      </c>
      <c r="Y136" s="56" t="e">
        <f t="shared" si="20"/>
        <v>#VALUE!</v>
      </c>
    </row>
    <row r="137" spans="1:25" ht="15" thickBot="1" x14ac:dyDescent="0.4">
      <c r="B137" s="164" t="s">
        <v>11</v>
      </c>
      <c r="C137" s="165"/>
      <c r="D137" s="89">
        <f>SUM(D132,D136)</f>
        <v>0</v>
      </c>
      <c r="E137" s="89">
        <f t="shared" ref="E137:L137" si="112">SUM(E132,E136)</f>
        <v>0</v>
      </c>
      <c r="F137" s="89">
        <f t="shared" si="112"/>
        <v>0</v>
      </c>
      <c r="G137" s="89">
        <f t="shared" si="112"/>
        <v>878</v>
      </c>
      <c r="H137" s="89">
        <f t="shared" si="112"/>
        <v>877</v>
      </c>
      <c r="I137" s="89">
        <f t="shared" si="112"/>
        <v>0</v>
      </c>
      <c r="J137" s="89">
        <f t="shared" si="112"/>
        <v>1319</v>
      </c>
      <c r="K137" s="89">
        <f t="shared" si="112"/>
        <v>1038</v>
      </c>
      <c r="L137" s="89">
        <f t="shared" si="112"/>
        <v>1398</v>
      </c>
      <c r="M137" s="60">
        <f t="shared" si="0"/>
        <v>137.75</v>
      </c>
      <c r="N137" s="63">
        <f>SUM(N5:N136)</f>
        <v>0</v>
      </c>
      <c r="O137" s="61">
        <f t="shared" ref="O137:Y137" si="113">SUM(O5:O136)</f>
        <v>3383.4156000000062</v>
      </c>
      <c r="P137" s="62">
        <f t="shared" si="113"/>
        <v>179.5</v>
      </c>
      <c r="Q137" s="64">
        <f t="shared" si="113"/>
        <v>381.5</v>
      </c>
      <c r="R137" s="65" t="e">
        <f t="shared" si="113"/>
        <v>#VALUE!</v>
      </c>
      <c r="S137" s="66">
        <f t="shared" si="113"/>
        <v>0</v>
      </c>
      <c r="T137" s="66">
        <f t="shared" si="113"/>
        <v>0</v>
      </c>
      <c r="U137" s="67" t="e">
        <f t="shared" si="113"/>
        <v>#VALUE!</v>
      </c>
      <c r="V137" s="68" t="e">
        <f t="shared" si="113"/>
        <v>#VALUE!</v>
      </c>
      <c r="W137" s="69">
        <f t="shared" si="113"/>
        <v>0</v>
      </c>
      <c r="X137" s="69">
        <f t="shared" si="113"/>
        <v>0</v>
      </c>
      <c r="Y137" s="70" t="e">
        <f t="shared" si="113"/>
        <v>#VALUE!</v>
      </c>
    </row>
  </sheetData>
  <mergeCells count="11">
    <mergeCell ref="B137:C137"/>
    <mergeCell ref="M2:O2"/>
    <mergeCell ref="P2:Q2"/>
    <mergeCell ref="M3:O3"/>
    <mergeCell ref="A2:A4"/>
    <mergeCell ref="B136:C136"/>
    <mergeCell ref="B1:F1"/>
    <mergeCell ref="B2:B4"/>
    <mergeCell ref="R3:U3"/>
    <mergeCell ref="V3:Y3"/>
    <mergeCell ref="B132:C132"/>
  </mergeCells>
  <conditionalFormatting sqref="C45:C5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O25"/>
  <sheetViews>
    <sheetView tabSelected="1" zoomScale="85" zoomScaleNormal="85" workbookViewId="0">
      <selection activeCell="I9" sqref="I9"/>
    </sheetView>
  </sheetViews>
  <sheetFormatPr defaultRowHeight="14.5" x14ac:dyDescent="0.35"/>
  <cols>
    <col min="1" max="1" width="4.453125" customWidth="1"/>
    <col min="2" max="2" width="4.08984375" customWidth="1"/>
    <col min="3" max="3" width="10.7265625" customWidth="1"/>
    <col min="4" max="4" width="13.08984375" customWidth="1"/>
    <col min="5" max="6" width="12.36328125" customWidth="1"/>
    <col min="7" max="7" width="11.26953125" customWidth="1"/>
    <col min="8" max="8" width="10.90625" bestFit="1" customWidth="1"/>
    <col min="9" max="9" width="17.453125" bestFit="1" customWidth="1"/>
    <col min="11" max="11" width="38.6328125" bestFit="1" customWidth="1"/>
    <col min="12" max="12" width="6.08984375" bestFit="1" customWidth="1"/>
    <col min="13" max="14" width="15.81640625" bestFit="1" customWidth="1"/>
    <col min="15" max="15" width="17" bestFit="1" customWidth="1"/>
  </cols>
  <sheetData>
    <row r="2" spans="3:15" ht="15" thickBot="1" x14ac:dyDescent="0.4"/>
    <row r="3" spans="3:15" ht="30" customHeight="1" thickBot="1" x14ac:dyDescent="0.4">
      <c r="C3" s="177" t="s">
        <v>50</v>
      </c>
      <c r="D3" s="178"/>
      <c r="E3" s="178"/>
      <c r="F3" s="178"/>
      <c r="G3" s="179"/>
      <c r="H3" s="181" t="s">
        <v>65</v>
      </c>
      <c r="I3" s="182"/>
      <c r="K3" s="183" t="s">
        <v>69</v>
      </c>
      <c r="L3" s="183"/>
      <c r="M3" s="183"/>
      <c r="N3" s="183"/>
      <c r="O3" s="183"/>
    </row>
    <row r="4" spans="3:15" ht="29.5" customHeight="1" x14ac:dyDescent="0.55000000000000004">
      <c r="C4" s="103"/>
      <c r="D4" s="80" t="s">
        <v>46</v>
      </c>
      <c r="E4" s="80" t="s">
        <v>47</v>
      </c>
      <c r="F4" s="80" t="s">
        <v>61</v>
      </c>
      <c r="G4" s="104" t="s">
        <v>49</v>
      </c>
      <c r="H4" s="97" t="s">
        <v>65</v>
      </c>
      <c r="I4" s="98" t="s">
        <v>66</v>
      </c>
      <c r="K4" s="3" t="s">
        <v>0</v>
      </c>
      <c r="L4" s="4" t="s">
        <v>8</v>
      </c>
      <c r="M4" s="4" t="s">
        <v>9</v>
      </c>
      <c r="N4" s="4" t="s">
        <v>10</v>
      </c>
      <c r="O4" s="4" t="s">
        <v>70</v>
      </c>
    </row>
    <row r="5" spans="3:15" ht="32" customHeight="1" x14ac:dyDescent="0.55000000000000004">
      <c r="C5" s="105" t="s">
        <v>51</v>
      </c>
      <c r="D5" s="92">
        <v>108</v>
      </c>
      <c r="E5" s="79">
        <v>143</v>
      </c>
      <c r="F5" s="79"/>
      <c r="G5" s="106">
        <f>SUM(D5:F5)</f>
        <v>251</v>
      </c>
      <c r="H5" s="99"/>
      <c r="I5" s="100">
        <f>G5-H5</f>
        <v>251</v>
      </c>
      <c r="K5" s="1" t="s">
        <v>1</v>
      </c>
      <c r="L5" s="7">
        <v>70</v>
      </c>
      <c r="M5" s="5">
        <v>9586</v>
      </c>
      <c r="N5" s="6">
        <f t="shared" ref="N5:N11" si="0">M5/40</f>
        <v>239.65</v>
      </c>
      <c r="O5" s="81">
        <v>186</v>
      </c>
    </row>
    <row r="6" spans="3:15" ht="32" customHeight="1" thickBot="1" x14ac:dyDescent="0.6">
      <c r="C6" s="107" t="s">
        <v>52</v>
      </c>
      <c r="D6" s="108">
        <f>D5*40</f>
        <v>4320</v>
      </c>
      <c r="E6" s="109">
        <f>E5*40</f>
        <v>5720</v>
      </c>
      <c r="F6" s="109">
        <f>F5*40</f>
        <v>0</v>
      </c>
      <c r="G6" s="110">
        <f>SUM(D6:F6)</f>
        <v>10040</v>
      </c>
      <c r="H6" s="101">
        <f>H5*40</f>
        <v>0</v>
      </c>
      <c r="I6" s="102">
        <f>G6-H6</f>
        <v>10040</v>
      </c>
      <c r="K6" s="1" t="s">
        <v>2</v>
      </c>
      <c r="L6" s="7">
        <v>70</v>
      </c>
      <c r="M6" s="5">
        <v>10668</v>
      </c>
      <c r="N6" s="6">
        <f t="shared" si="0"/>
        <v>266.7</v>
      </c>
      <c r="O6" s="81">
        <v>103</v>
      </c>
    </row>
    <row r="7" spans="3:15" ht="32" customHeight="1" x14ac:dyDescent="0.55000000000000004">
      <c r="C7" s="90"/>
      <c r="K7" s="1" t="s">
        <v>3</v>
      </c>
      <c r="L7" s="7">
        <v>70</v>
      </c>
      <c r="M7" s="5"/>
      <c r="N7" s="6">
        <f t="shared" si="0"/>
        <v>0</v>
      </c>
      <c r="O7" s="81">
        <v>33</v>
      </c>
    </row>
    <row r="8" spans="3:15" ht="23.5" x14ac:dyDescent="0.55000000000000004">
      <c r="C8" s="82" t="s">
        <v>54</v>
      </c>
      <c r="K8" s="1" t="s">
        <v>4</v>
      </c>
      <c r="L8" s="7">
        <v>120</v>
      </c>
      <c r="M8" s="5">
        <v>10905</v>
      </c>
      <c r="N8" s="6">
        <f t="shared" si="0"/>
        <v>272.625</v>
      </c>
      <c r="O8" s="81">
        <v>63</v>
      </c>
    </row>
    <row r="9" spans="3:15" ht="23.5" x14ac:dyDescent="0.55000000000000004">
      <c r="C9" s="82" t="s">
        <v>55</v>
      </c>
      <c r="D9" s="111">
        <f>D8-D5</f>
        <v>-108</v>
      </c>
      <c r="E9" s="111">
        <f>E8-E5</f>
        <v>-143</v>
      </c>
      <c r="K9" s="1" t="s">
        <v>5</v>
      </c>
      <c r="L9" s="7">
        <v>120</v>
      </c>
      <c r="M9" s="5">
        <v>5595</v>
      </c>
      <c r="N9" s="6">
        <f t="shared" si="0"/>
        <v>139.875</v>
      </c>
      <c r="O9" s="81">
        <v>130</v>
      </c>
    </row>
    <row r="10" spans="3:15" ht="23.5" x14ac:dyDescent="0.55000000000000004">
      <c r="K10" s="1" t="s">
        <v>6</v>
      </c>
      <c r="L10" s="7">
        <v>120</v>
      </c>
      <c r="M10" s="5">
        <v>7110</v>
      </c>
      <c r="N10" s="6">
        <f t="shared" si="0"/>
        <v>177.75</v>
      </c>
      <c r="O10" s="81">
        <v>13</v>
      </c>
    </row>
    <row r="11" spans="3:15" ht="23.5" x14ac:dyDescent="0.55000000000000004">
      <c r="C11" s="180" t="s">
        <v>62</v>
      </c>
      <c r="D11" s="180"/>
      <c r="F11" s="180" t="s">
        <v>71</v>
      </c>
      <c r="G11" s="180"/>
      <c r="K11" s="1" t="s">
        <v>7</v>
      </c>
      <c r="L11" s="7">
        <v>60</v>
      </c>
      <c r="M11" s="5">
        <v>66124</v>
      </c>
      <c r="N11" s="6">
        <f t="shared" si="0"/>
        <v>1653.1</v>
      </c>
      <c r="O11" s="81">
        <v>20</v>
      </c>
    </row>
    <row r="12" spans="3:15" ht="23.5" x14ac:dyDescent="0.55000000000000004">
      <c r="C12" s="93" t="s">
        <v>51</v>
      </c>
      <c r="D12" s="91">
        <v>3434</v>
      </c>
      <c r="F12" s="93" t="s">
        <v>51</v>
      </c>
      <c r="G12" s="95">
        <f>D12+G5</f>
        <v>3685</v>
      </c>
      <c r="K12" s="1" t="s">
        <v>11</v>
      </c>
      <c r="L12" s="2"/>
      <c r="M12" s="8">
        <f>SUM(M5:M11)</f>
        <v>109988</v>
      </c>
      <c r="N12" s="9">
        <f>SUM(N5:N11)</f>
        <v>2749.7</v>
      </c>
      <c r="O12" s="9">
        <f>SUM(O5:O11)</f>
        <v>548</v>
      </c>
    </row>
    <row r="13" spans="3:15" ht="18.5" x14ac:dyDescent="0.35">
      <c r="C13" s="94" t="s">
        <v>52</v>
      </c>
      <c r="D13" s="95">
        <f>D12*40</f>
        <v>137360</v>
      </c>
      <c r="F13" s="94" t="s">
        <v>52</v>
      </c>
      <c r="G13" s="95">
        <f>G12*40</f>
        <v>147400</v>
      </c>
    </row>
    <row r="16" spans="3:15" ht="24" thickBot="1" x14ac:dyDescent="0.6">
      <c r="K16" s="122" t="s">
        <v>77</v>
      </c>
      <c r="L16" s="122" t="s">
        <v>8</v>
      </c>
      <c r="M16" s="122" t="s">
        <v>64</v>
      </c>
      <c r="N16" s="122" t="s">
        <v>76</v>
      </c>
      <c r="O16" s="122" t="s">
        <v>78</v>
      </c>
    </row>
    <row r="17" spans="11:15" ht="23.5" x14ac:dyDescent="0.55000000000000004">
      <c r="K17" s="118" t="s">
        <v>1</v>
      </c>
      <c r="L17" s="120">
        <v>70</v>
      </c>
      <c r="M17" s="119">
        <v>11562</v>
      </c>
      <c r="N17" s="126">
        <v>13270</v>
      </c>
      <c r="O17" s="127">
        <f>N17-M5</f>
        <v>3684</v>
      </c>
    </row>
    <row r="18" spans="11:15" ht="23.5" x14ac:dyDescent="0.55000000000000004">
      <c r="K18" s="1" t="s">
        <v>2</v>
      </c>
      <c r="L18" s="121">
        <v>70</v>
      </c>
      <c r="M18" s="5">
        <v>10770</v>
      </c>
      <c r="N18" s="5">
        <v>14352</v>
      </c>
      <c r="O18" s="127">
        <f>N18-M6</f>
        <v>3684</v>
      </c>
    </row>
    <row r="19" spans="11:15" ht="23.5" x14ac:dyDescent="0.55000000000000004">
      <c r="K19" s="1" t="s">
        <v>3</v>
      </c>
      <c r="L19" s="121">
        <v>70</v>
      </c>
      <c r="M19" s="5">
        <v>14619</v>
      </c>
      <c r="N19" s="5">
        <v>1010</v>
      </c>
      <c r="O19" s="127">
        <f t="shared" ref="O19:O23" si="1">N19-M7</f>
        <v>1010</v>
      </c>
    </row>
    <row r="20" spans="11:15" ht="23.5" x14ac:dyDescent="0.55000000000000004">
      <c r="K20" s="1" t="s">
        <v>4</v>
      </c>
      <c r="L20" s="121">
        <v>120</v>
      </c>
      <c r="M20" s="5">
        <v>19143</v>
      </c>
      <c r="N20" s="5">
        <v>12294</v>
      </c>
      <c r="O20" s="127">
        <f t="shared" si="1"/>
        <v>1389</v>
      </c>
    </row>
    <row r="21" spans="11:15" ht="23.5" x14ac:dyDescent="0.55000000000000004">
      <c r="K21" s="1" t="s">
        <v>5</v>
      </c>
      <c r="L21" s="121">
        <v>120</v>
      </c>
      <c r="M21" s="5">
        <v>17100</v>
      </c>
      <c r="N21" s="5">
        <v>6522</v>
      </c>
      <c r="O21" s="127">
        <f t="shared" si="1"/>
        <v>927</v>
      </c>
    </row>
    <row r="22" spans="11:15" ht="23.5" x14ac:dyDescent="0.55000000000000004">
      <c r="K22" s="1" t="s">
        <v>6</v>
      </c>
      <c r="L22" s="121">
        <v>120</v>
      </c>
      <c r="M22" s="5">
        <v>23404</v>
      </c>
      <c r="N22" s="5">
        <v>9539</v>
      </c>
      <c r="O22" s="127">
        <f t="shared" si="1"/>
        <v>2429</v>
      </c>
    </row>
    <row r="23" spans="11:15" ht="23.5" x14ac:dyDescent="0.55000000000000004">
      <c r="K23" s="1" t="s">
        <v>7</v>
      </c>
      <c r="L23" s="121">
        <v>60</v>
      </c>
      <c r="M23" s="5">
        <v>7379</v>
      </c>
      <c r="N23" s="5">
        <v>57991</v>
      </c>
      <c r="O23" s="127">
        <f t="shared" si="1"/>
        <v>-8133</v>
      </c>
    </row>
    <row r="24" spans="11:15" ht="24" thickBot="1" x14ac:dyDescent="0.6">
      <c r="K24" s="123" t="s">
        <v>74</v>
      </c>
      <c r="L24" s="124"/>
      <c r="M24" s="125">
        <f>SUM(M17:M23)</f>
        <v>103977</v>
      </c>
      <c r="N24" s="125">
        <f>SUM(N17:N23)</f>
        <v>114978</v>
      </c>
      <c r="O24" s="122">
        <f>SUM(O17:O23)</f>
        <v>4990</v>
      </c>
    </row>
    <row r="25" spans="11:15" ht="24" thickBot="1" x14ac:dyDescent="0.6">
      <c r="K25" s="123" t="s">
        <v>75</v>
      </c>
      <c r="L25" s="124"/>
      <c r="M25" s="125">
        <f>M24/40</f>
        <v>2599.4250000000002</v>
      </c>
      <c r="N25" s="125">
        <f>N24/40</f>
        <v>2874.45</v>
      </c>
      <c r="O25" s="122">
        <f>O24/40</f>
        <v>124.75</v>
      </c>
    </row>
  </sheetData>
  <mergeCells count="5">
    <mergeCell ref="C3:G3"/>
    <mergeCell ref="C11:D11"/>
    <mergeCell ref="H3:I3"/>
    <mergeCell ref="K3:O3"/>
    <mergeCell ref="F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51F5-4C5F-4082-9A98-9CA12EDC5193}">
  <dimension ref="A1:L25"/>
  <sheetViews>
    <sheetView topLeftCell="B1" zoomScale="115" zoomScaleNormal="115" workbookViewId="0">
      <selection activeCell="H9" sqref="H9"/>
    </sheetView>
  </sheetViews>
  <sheetFormatPr defaultRowHeight="14.5" x14ac:dyDescent="0.35"/>
  <cols>
    <col min="2" max="2" width="19.6328125" bestFit="1" customWidth="1"/>
    <col min="3" max="3" width="6.7265625" customWidth="1"/>
    <col min="4" max="4" width="5.6328125" customWidth="1"/>
    <col min="6" max="6" width="15.7265625" bestFit="1" customWidth="1"/>
    <col min="8" max="8" width="11" bestFit="1" customWidth="1"/>
    <col min="9" max="9" width="22.08984375" bestFit="1" customWidth="1"/>
    <col min="10" max="10" width="8.81640625" customWidth="1"/>
    <col min="11" max="11" width="11" bestFit="1" customWidth="1"/>
  </cols>
  <sheetData>
    <row r="1" spans="1:12" x14ac:dyDescent="0.35">
      <c r="A1" s="2" t="s">
        <v>37</v>
      </c>
      <c r="B1" s="81" t="s">
        <v>53</v>
      </c>
      <c r="C1" s="81" t="s">
        <v>48</v>
      </c>
      <c r="D1" s="81" t="s">
        <v>9</v>
      </c>
      <c r="I1" s="128" t="s">
        <v>81</v>
      </c>
      <c r="J1" s="128" t="s">
        <v>82</v>
      </c>
      <c r="K1" s="128" t="s">
        <v>80</v>
      </c>
    </row>
    <row r="2" spans="1:12" x14ac:dyDescent="0.35">
      <c r="A2" s="2" t="s">
        <v>79</v>
      </c>
      <c r="B2" s="2"/>
      <c r="C2" s="2"/>
      <c r="D2" s="2"/>
      <c r="I2" s="81" t="s">
        <v>99</v>
      </c>
      <c r="J2" s="81">
        <v>70</v>
      </c>
      <c r="K2" s="81" t="s">
        <v>100</v>
      </c>
      <c r="L2" t="s">
        <v>105</v>
      </c>
    </row>
    <row r="3" spans="1:12" x14ac:dyDescent="0.35">
      <c r="A3" s="2"/>
      <c r="B3" s="2"/>
      <c r="C3" s="2"/>
      <c r="D3" s="2"/>
      <c r="I3" s="139" t="s">
        <v>101</v>
      </c>
      <c r="J3" s="139">
        <v>10</v>
      </c>
      <c r="K3" s="139" t="s">
        <v>100</v>
      </c>
    </row>
    <row r="4" spans="1:12" x14ac:dyDescent="0.35">
      <c r="A4" s="2"/>
      <c r="B4" s="2"/>
      <c r="C4" s="2"/>
      <c r="D4" s="2"/>
      <c r="I4" s="139" t="s">
        <v>102</v>
      </c>
      <c r="J4" s="139">
        <v>9</v>
      </c>
      <c r="K4" s="139" t="s">
        <v>100</v>
      </c>
    </row>
    <row r="5" spans="1:12" x14ac:dyDescent="0.35">
      <c r="A5" s="2"/>
      <c r="B5" s="2"/>
      <c r="C5" s="2"/>
      <c r="D5" s="2"/>
      <c r="I5" s="139" t="s">
        <v>103</v>
      </c>
      <c r="J5" s="139">
        <v>18</v>
      </c>
      <c r="K5" s="139" t="s">
        <v>100</v>
      </c>
    </row>
    <row r="6" spans="1:12" x14ac:dyDescent="0.35">
      <c r="A6" s="2"/>
      <c r="B6" s="2"/>
      <c r="C6" s="2"/>
      <c r="D6" s="2"/>
      <c r="I6" s="139" t="s">
        <v>104</v>
      </c>
      <c r="J6" s="139">
        <v>5</v>
      </c>
      <c r="K6" s="139" t="s">
        <v>100</v>
      </c>
    </row>
    <row r="7" spans="1:12" x14ac:dyDescent="0.35">
      <c r="A7" s="2"/>
      <c r="B7" s="2"/>
      <c r="C7" s="2"/>
      <c r="D7" s="2"/>
      <c r="I7" s="81" t="s">
        <v>106</v>
      </c>
      <c r="J7" s="81">
        <v>14</v>
      </c>
      <c r="K7" s="81" t="s">
        <v>100</v>
      </c>
    </row>
    <row r="8" spans="1:12" x14ac:dyDescent="0.35">
      <c r="A8" s="2"/>
      <c r="B8" s="2"/>
      <c r="C8" s="2"/>
      <c r="D8" s="2"/>
      <c r="F8" s="81"/>
      <c r="G8" s="81"/>
      <c r="H8" s="81" t="s">
        <v>105</v>
      </c>
      <c r="I8" s="81" t="s">
        <v>107</v>
      </c>
      <c r="J8" s="81">
        <v>13</v>
      </c>
      <c r="K8" s="81" t="s">
        <v>100</v>
      </c>
      <c r="L8" s="133"/>
    </row>
    <row r="9" spans="1:12" x14ac:dyDescent="0.35">
      <c r="A9" s="2"/>
      <c r="B9" s="2"/>
      <c r="C9" s="2"/>
      <c r="D9" s="2"/>
      <c r="H9" t="s">
        <v>105</v>
      </c>
      <c r="I9" s="81" t="s">
        <v>108</v>
      </c>
      <c r="J9" s="81">
        <v>4</v>
      </c>
      <c r="K9" s="81" t="s">
        <v>100</v>
      </c>
      <c r="L9" s="133"/>
    </row>
    <row r="10" spans="1:12" x14ac:dyDescent="0.35">
      <c r="A10" s="2"/>
      <c r="B10" s="2"/>
      <c r="C10" s="2"/>
      <c r="D10" s="2"/>
      <c r="I10" s="151" t="s">
        <v>109</v>
      </c>
      <c r="J10" s="151">
        <v>12</v>
      </c>
      <c r="K10" s="151" t="s">
        <v>110</v>
      </c>
      <c r="L10" s="133"/>
    </row>
    <row r="11" spans="1:12" x14ac:dyDescent="0.35">
      <c r="A11" s="2"/>
      <c r="B11" s="2"/>
      <c r="C11" s="2"/>
      <c r="D11" s="2"/>
      <c r="I11" s="151" t="s">
        <v>109</v>
      </c>
      <c r="J11" s="151">
        <v>19</v>
      </c>
      <c r="K11" s="151" t="s">
        <v>110</v>
      </c>
      <c r="L11" s="133"/>
    </row>
    <row r="12" spans="1:12" x14ac:dyDescent="0.35">
      <c r="A12" s="2"/>
      <c r="B12" s="2"/>
      <c r="C12" s="2"/>
      <c r="D12" s="2"/>
      <c r="I12" s="81"/>
      <c r="J12" s="81"/>
      <c r="K12" s="81"/>
      <c r="L12" s="133"/>
    </row>
    <row r="13" spans="1:12" x14ac:dyDescent="0.35">
      <c r="A13" s="2"/>
      <c r="B13" s="2"/>
      <c r="C13" s="2"/>
      <c r="D13" s="2"/>
      <c r="I13" s="81"/>
      <c r="J13" s="81"/>
      <c r="K13" s="81"/>
      <c r="L13" s="133"/>
    </row>
    <row r="14" spans="1:12" x14ac:dyDescent="0.35">
      <c r="A14" s="2"/>
      <c r="B14" s="2"/>
      <c r="C14" s="2"/>
      <c r="D14" s="2"/>
      <c r="I14" s="81"/>
      <c r="J14" s="81"/>
      <c r="K14" s="81"/>
      <c r="L14" s="133"/>
    </row>
    <row r="15" spans="1:12" x14ac:dyDescent="0.35">
      <c r="A15" s="2"/>
      <c r="B15" s="2"/>
      <c r="C15" s="2"/>
      <c r="D15" s="2"/>
      <c r="I15" s="81"/>
      <c r="J15" s="81"/>
      <c r="K15" s="81"/>
    </row>
    <row r="16" spans="1:12" x14ac:dyDescent="0.35">
      <c r="A16" s="2"/>
      <c r="B16" s="2"/>
      <c r="C16" s="2"/>
      <c r="D16" s="2"/>
      <c r="I16" s="81"/>
      <c r="J16" s="81"/>
      <c r="K16" s="81"/>
      <c r="L16" s="134"/>
    </row>
    <row r="17" spans="1:11" x14ac:dyDescent="0.35">
      <c r="A17" s="2"/>
      <c r="B17" s="2"/>
      <c r="C17" s="2"/>
      <c r="D17" s="2"/>
      <c r="I17" s="81"/>
      <c r="J17" s="81"/>
      <c r="K17" s="81"/>
    </row>
    <row r="18" spans="1:11" x14ac:dyDescent="0.35">
      <c r="A18" s="2"/>
      <c r="B18" s="2"/>
      <c r="C18" s="2"/>
      <c r="D18" s="2"/>
      <c r="I18" s="81"/>
      <c r="J18" s="81"/>
      <c r="K18" s="81"/>
    </row>
    <row r="19" spans="1:11" ht="15" thickBot="1" x14ac:dyDescent="0.4">
      <c r="A19" s="83"/>
      <c r="B19" s="83"/>
      <c r="C19" s="83"/>
      <c r="D19" s="83"/>
      <c r="I19" s="81"/>
      <c r="J19" s="81"/>
      <c r="K19" s="81"/>
    </row>
    <row r="20" spans="1:11" ht="15" thickBot="1" x14ac:dyDescent="0.4">
      <c r="A20" s="84"/>
      <c r="B20" s="85"/>
      <c r="C20" s="85"/>
      <c r="D20" s="86"/>
      <c r="I20" s="81"/>
      <c r="J20" s="81"/>
      <c r="K20" s="81"/>
    </row>
    <row r="21" spans="1:11" x14ac:dyDescent="0.35">
      <c r="I21" s="81"/>
      <c r="J21" s="81"/>
      <c r="K21" s="81"/>
    </row>
    <row r="22" spans="1:11" x14ac:dyDescent="0.35">
      <c r="I22" s="81"/>
      <c r="J22" s="81"/>
      <c r="K22" s="81"/>
    </row>
    <row r="23" spans="1:11" x14ac:dyDescent="0.35">
      <c r="I23" s="81"/>
      <c r="J23" s="81"/>
      <c r="K23" s="81"/>
    </row>
    <row r="24" spans="1:11" x14ac:dyDescent="0.35">
      <c r="I24" s="81"/>
      <c r="J24" s="81"/>
      <c r="K24" s="81"/>
    </row>
    <row r="25" spans="1:11" x14ac:dyDescent="0.35">
      <c r="I25" s="81"/>
      <c r="J25" s="81"/>
      <c r="K25" s="8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0DF3CCA-0793-4D04-8BF6-1A26354907F3}">
          <x14:formula1>
            <xm:f>Sheet1!$B$10:$B$22</xm:f>
          </x14:formula1>
          <xm:sqref>B2:B20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LMT</vt:lpstr>
      <vt:lpstr>S-P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2026-06-06T05:30:02Z</cp:lastPrinted>
  <dcterms:created xsi:type="dcterms:W3CDTF">2026-05-23T04:02:39Z</dcterms:created>
  <dcterms:modified xsi:type="dcterms:W3CDTF">2026-07-03T13:40:18Z</dcterms:modified>
</cp:coreProperties>
</file>