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"/>
    </mc:Choice>
  </mc:AlternateContent>
  <xr:revisionPtr revIDLastSave="0" documentId="13_ncr:1_{5457CF98-FD11-44C8-A765-8B9375118901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</workbook>
</file>

<file path=xl/calcChain.xml><?xml version="1.0" encoding="utf-8"?>
<calcChain xmlns="http://schemas.openxmlformats.org/spreadsheetml/2006/main">
  <c r="B1" i="2" l="1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<sst xmlns="http://schemas.openxmlformats.org/spreadsheetml/2006/main" count="155" uniqueCount="114">
  <si>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</si>
  <si>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</si>
  <si>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</si>
  <si>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</si>
  <si>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</si>
  <si>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</si>
  <si>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</si>
  <si>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</si>
  <si>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</si>
  <si>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</si>
  <si>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</si>
  <si>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</si>
  <si>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</si>
  <si>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</si>
  <si>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</si>
  <si>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</si>
  <si>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</si>
  <si>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</si>
  <si>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</si>
  <si>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</si>
  <si>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</si>
  <si>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</si>
  <si>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</si>
  <si>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</si>
  <si>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</si>
  <si>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</si>
  <si>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</si>
  <si>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</si>
  <si>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</si>
  <si>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</si>
  <si>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</si>
  <si>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</si>
  <si>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</si>
  <si>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</si>
  <si>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</si>
  <si>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</si>
  <si>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</si>
  <si>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</si>
  <si>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</si>
  <si>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</si>
  <si>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</si>
  <si>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</si>
  <si>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</si>
  <si>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</si>
  <si>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</si>
  <si>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</si>
  <si>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</si>
  <si>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</si>
  <si>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</si>
  <si>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</si>
  <si>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</si>
  <si>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</si>
  <si>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</si>
  <si>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</si>
  <si>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</si>
  <si>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</si>
  <si>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</si>
  <si>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</si>
  <si>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</si>
  <si>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</si>
  <si>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</si>
  <si>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</si>
  <si>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</si>
  <si>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</si>
  <si>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</si>
  <si>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</si>
  <si>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</si>
  <si>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</si>
  <si>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</si>
  <si>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</si>
  <si>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</si>
  <si>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</si>
  <si>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</si>
  <si>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</si>
  <si>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</si>
  <si>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</si>
  <si>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</si>
  <si>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</si>
  <si>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</si>
  <si>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20-06-26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</si>
  <si>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</si>
  <si>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</si>
  <si>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</si>
  <si>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</si>
  <si>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</si>
  <si>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</si>
  <si>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</si>
  <si>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</si>
  <si>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</si>
  <si>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</si>
  <si>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</si>
  <si>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</si>
  <si>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</si>
  <si>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</si>
  <si>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</si>
  <si>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</si>
  <si>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</si>
  <si>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</si>
  <si>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</si>
  <si>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</si>
  <si>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</si>
  <si>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</si>
  <si>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</si>
  <si>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</si>
  <si>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</si>
  <si>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*</t>
  </si>
  <si>
    <t>Raheem Store</t>
  </si>
  <si>
    <t>Clinix</t>
  </si>
  <si>
    <t xml:space="preserve">Rainbow Model </t>
  </si>
  <si>
    <t xml:space="preserve">Rainbow Shadra </t>
  </si>
  <si>
    <t xml:space="preserve">On the way </t>
  </si>
  <si>
    <t>Manawan (Risen)</t>
  </si>
  <si>
    <t>Shadbagh (Risen)</t>
  </si>
  <si>
    <t xml:space="preserve">Umaima  paragon City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</si>
</sst>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0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/>
    </xf>
    <xf numFmtId="0" fontId="0" fillId="0" borderId="15" xfId="0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6" fillId="0" borderId="25" xfId="0" applyFont="1" applyFill="1" applyBorder="1" applyAlignment="1">
      <alignment horizontal="left"/>
    </xf>
    <xf numFmtId="0" fontId="5" fillId="0" borderId="26" xfId="0" applyFont="1" applyFill="1" applyBorder="1"/>
    <xf numFmtId="0" fontId="5" fillId="0" borderId="24" xfId="0" applyFont="1" applyFill="1" applyBorder="1"/>
    <xf numFmtId="0" fontId="5" fillId="0" borderId="27" xfId="0" applyFont="1" applyFill="1" applyBorder="1" applyAlignment="1">
      <alignment horizontal="center"/>
    </xf>
    <xf numFmtId="0" fontId="5" fillId="0" borderId="28" xfId="0" applyFont="1" applyFill="1" applyBorder="1"/>
    <xf numFmtId="0" fontId="5" fillId="0" borderId="27" xfId="0" applyFont="1" applyFill="1" applyBorder="1"/>
    <xf numFmtId="0" fontId="6" fillId="0" borderId="30" xfId="0" applyFont="1" applyFill="1" applyBorder="1" applyAlignment="1">
      <alignment horizontal="left"/>
    </xf>
    <xf numFmtId="0" fontId="5" fillId="0" borderId="31" xfId="0" applyFont="1" applyFill="1" applyBorder="1"/>
    <xf numFmtId="0" fontId="5" fillId="0" borderId="1" xfId="0" applyFont="1" applyFill="1" applyBorder="1"/>
    <xf numFmtId="0" fontId="5" fillId="0" borderId="32" xfId="0" applyFont="1" applyFill="1" applyBorder="1"/>
    <xf numFmtId="0" fontId="5" fillId="0" borderId="33" xfId="0" applyFont="1" applyFill="1" applyBorder="1"/>
    <xf numFmtId="0" fontId="5" fillId="0" borderId="32" xfId="0" applyFont="1" applyFill="1" applyBorder="1" applyAlignment="1">
      <alignment horizontal="center"/>
    </xf>
    <xf numFmtId="0" fontId="6" fillId="2" borderId="30" xfId="0" applyFont="1" applyFill="1" applyBorder="1" applyAlignment="1">
      <alignment horizontal="left"/>
    </xf>
    <xf numFmtId="0" fontId="5" fillId="2" borderId="31" xfId="0" applyFont="1" applyFill="1" applyBorder="1"/>
    <xf numFmtId="0" fontId="5" fillId="2" borderId="1" xfId="0" applyFont="1" applyFill="1" applyBorder="1"/>
    <xf numFmtId="0" fontId="5" fillId="2" borderId="32" xfId="0" applyFont="1" applyFill="1" applyBorder="1"/>
    <xf numFmtId="0" fontId="5" fillId="2" borderId="33" xfId="0" applyFont="1" applyFill="1" applyBorder="1"/>
    <xf numFmtId="0" fontId="5" fillId="2" borderId="32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4" sqref="F2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9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30"/>
      <c r="F10">
        <v>10000</v>
      </c>
    </row>
    <row r="11" spans="2:6" x14ac:dyDescent="0.35">
      <c r="B11" s="79" t="s">
        <v>26</v>
      </c>
      <c r="C11" s="79"/>
      <c r="D11" s="79"/>
      <c r="E11" s="130"/>
    </row>
    <row r="12" spans="2:6" x14ac:dyDescent="0.35">
      <c r="B12" s="79" t="s">
        <v>39</v>
      </c>
      <c r="C12" s="79" t="s">
        <v>38</v>
      </c>
      <c r="D12" s="92">
        <v>300426949714</v>
      </c>
      <c r="E12" s="130"/>
    </row>
    <row r="13" spans="2:6" x14ac:dyDescent="0.35">
      <c r="B13" s="79" t="s">
        <v>27</v>
      </c>
      <c r="C13" s="79" t="s">
        <v>40</v>
      </c>
      <c r="D13" s="92">
        <v>3277876126916</v>
      </c>
      <c r="E13" s="130"/>
    </row>
    <row r="14" spans="2:6" x14ac:dyDescent="0.35">
      <c r="B14" s="79" t="s">
        <v>28</v>
      </c>
      <c r="C14" s="79" t="s">
        <v>43</v>
      </c>
      <c r="D14" s="92">
        <v>3520255124113</v>
      </c>
      <c r="E14" s="130"/>
    </row>
    <row r="15" spans="2:6" x14ac:dyDescent="0.35">
      <c r="B15" s="79" t="s">
        <v>29</v>
      </c>
      <c r="C15" s="79" t="s">
        <v>43</v>
      </c>
      <c r="D15" s="92">
        <v>3520255124113</v>
      </c>
      <c r="E15" s="130"/>
    </row>
    <row r="16" spans="2:6" x14ac:dyDescent="0.35">
      <c r="B16" s="79" t="s">
        <v>30</v>
      </c>
      <c r="C16" s="79" t="s">
        <v>41</v>
      </c>
      <c r="D16" s="92">
        <v>3520268948847</v>
      </c>
      <c r="E16" s="130"/>
    </row>
    <row r="17" spans="2:5" x14ac:dyDescent="0.35">
      <c r="B17" s="79" t="s">
        <v>31</v>
      </c>
      <c r="C17" s="79" t="s">
        <v>44</v>
      </c>
      <c r="D17" s="79"/>
      <c r="E17" s="130"/>
    </row>
    <row r="18" spans="2:5" x14ac:dyDescent="0.35">
      <c r="B18" s="79" t="s">
        <v>33</v>
      </c>
      <c r="C18" s="79" t="s">
        <v>42</v>
      </c>
      <c r="D18" s="79" t="s">
        <v>45</v>
      </c>
      <c r="E18" s="130"/>
    </row>
    <row r="19" spans="2:5" ht="15" customHeight="1" x14ac:dyDescent="0.35">
      <c r="B19" s="131" t="s">
        <v>56</v>
      </c>
      <c r="C19" s="130" t="s">
        <v>57</v>
      </c>
      <c r="D19" s="130"/>
      <c r="E19" s="130"/>
    </row>
    <row r="20" spans="2:5" x14ac:dyDescent="0.35">
      <c r="B20" s="131" t="s">
        <v>58</v>
      </c>
      <c r="C20" s="130"/>
      <c r="D20" s="130"/>
      <c r="E20" s="130"/>
    </row>
    <row r="21" spans="2:5" x14ac:dyDescent="0.35">
      <c r="B21" s="131" t="s">
        <v>59</v>
      </c>
      <c r="C21" s="130"/>
      <c r="D21" s="130"/>
      <c r="E21" s="130"/>
    </row>
    <row r="22" spans="2:5" x14ac:dyDescent="0.35">
      <c r="B22" s="131" t="s">
        <v>60</v>
      </c>
      <c r="C22" s="130"/>
      <c r="D22" s="130"/>
      <c r="E22" s="130"/>
    </row>
    <row r="23" spans="2:5" x14ac:dyDescent="0.35">
      <c r="B23" s="131" t="s">
        <v>67</v>
      </c>
      <c r="C23" s="130" t="s">
        <v>68</v>
      </c>
      <c r="D23" s="132">
        <v>3277876231301</v>
      </c>
      <c r="E23" s="130"/>
    </row>
    <row r="24" spans="2:5" x14ac:dyDescent="0.35">
      <c r="B24" s="131" t="s">
        <v>83</v>
      </c>
      <c r="C24" s="130" t="s">
        <v>84</v>
      </c>
      <c r="D24" s="130"/>
      <c r="E24" s="130" t="s">
        <v>85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10" zoomScaleNormal="100" workbookViewId="0">
      <selection activeCell="A22" sqref="A22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52">
        <f ca="1">TODAY()</f>
        <v>46206</v>
      </c>
      <c r="C1" s="152"/>
      <c r="D1" s="152"/>
      <c r="E1" s="152"/>
      <c r="F1" s="15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49" t="s">
        <v>37</v>
      </c>
      <c r="B2" s="15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41"/>
      <c r="N2" s="142"/>
      <c r="O2" s="143"/>
      <c r="P2" s="144" t="s">
        <v>14</v>
      </c>
      <c r="Q2" s="145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49"/>
      <c r="B3" s="15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46" t="s">
        <v>11</v>
      </c>
      <c r="N3" s="147"/>
      <c r="O3" s="148"/>
      <c r="P3" s="71"/>
      <c r="Q3" s="72"/>
      <c r="R3" s="156" t="s">
        <v>16</v>
      </c>
      <c r="S3" s="157"/>
      <c r="T3" s="157"/>
      <c r="U3" s="158"/>
      <c r="V3" s="159" t="s">
        <v>17</v>
      </c>
      <c r="W3" s="160"/>
      <c r="X3" s="160"/>
      <c r="Y3" s="161"/>
    </row>
    <row r="4" spans="1:25" ht="15" thickBot="1" x14ac:dyDescent="0.4">
      <c r="A4" s="149"/>
      <c r="B4" s="15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72" t="s">
        <v>86</v>
      </c>
      <c r="D5" s="173"/>
      <c r="E5" s="174"/>
      <c r="F5" s="175"/>
      <c r="G5" s="176">
        <v>40</v>
      </c>
      <c r="H5" s="174">
        <v>40</v>
      </c>
      <c r="I5" s="175"/>
      <c r="J5" s="176">
        <v>40</v>
      </c>
      <c r="K5" s="174">
        <v>40</v>
      </c>
      <c r="L5" s="177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178" t="s">
        <v>87</v>
      </c>
      <c r="D6" s="179"/>
      <c r="E6" s="180"/>
      <c r="F6" s="181"/>
      <c r="G6" s="182">
        <v>80</v>
      </c>
      <c r="H6" s="180">
        <v>80</v>
      </c>
      <c r="I6" s="183"/>
      <c r="J6" s="182">
        <v>80</v>
      </c>
      <c r="K6" s="180">
        <v>80</v>
      </c>
      <c r="L6" s="181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178" t="s">
        <v>88</v>
      </c>
      <c r="D7" s="179"/>
      <c r="E7" s="180"/>
      <c r="F7" s="181"/>
      <c r="G7" s="182">
        <v>40</v>
      </c>
      <c r="H7" s="180">
        <v>40</v>
      </c>
      <c r="I7" s="183"/>
      <c r="J7" s="182">
        <v>40</v>
      </c>
      <c r="K7" s="180">
        <v>40</v>
      </c>
      <c r="L7" s="181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178" t="s">
        <v>89</v>
      </c>
      <c r="D8" s="179"/>
      <c r="E8" s="180"/>
      <c r="F8" s="181"/>
      <c r="G8" s="182">
        <v>40</v>
      </c>
      <c r="H8" s="180">
        <v>40</v>
      </c>
      <c r="I8" s="183"/>
      <c r="J8" s="182">
        <v>40</v>
      </c>
      <c r="K8" s="180">
        <v>40</v>
      </c>
      <c r="L8" s="181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178" t="s">
        <v>90</v>
      </c>
      <c r="D9" s="179"/>
      <c r="E9" s="180"/>
      <c r="F9" s="181"/>
      <c r="G9" s="182">
        <v>40</v>
      </c>
      <c r="H9" s="180">
        <v>40</v>
      </c>
      <c r="I9" s="183"/>
      <c r="J9" s="182">
        <v>40</v>
      </c>
      <c r="K9" s="180">
        <v>40</v>
      </c>
      <c r="L9" s="181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178" t="s">
        <v>91</v>
      </c>
      <c r="D10" s="179"/>
      <c r="E10" s="180"/>
      <c r="F10" s="181"/>
      <c r="G10" s="182">
        <v>40</v>
      </c>
      <c r="H10" s="180">
        <v>40</v>
      </c>
      <c r="I10" s="183"/>
      <c r="J10" s="182">
        <v>40</v>
      </c>
      <c r="K10" s="180">
        <v>40</v>
      </c>
      <c r="L10" s="181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178" t="s">
        <v>92</v>
      </c>
      <c r="D11" s="179"/>
      <c r="E11" s="180"/>
      <c r="F11" s="181"/>
      <c r="G11" s="182">
        <v>40</v>
      </c>
      <c r="H11" s="180">
        <v>40</v>
      </c>
      <c r="I11" s="183"/>
      <c r="J11" s="182">
        <v>40</v>
      </c>
      <c r="K11" s="180">
        <v>40</v>
      </c>
      <c r="L11" s="181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178" t="s">
        <v>93</v>
      </c>
      <c r="D12" s="179"/>
      <c r="E12" s="180"/>
      <c r="F12" s="181"/>
      <c r="G12" s="182">
        <v>40</v>
      </c>
      <c r="H12" s="180">
        <v>40</v>
      </c>
      <c r="I12" s="183"/>
      <c r="J12" s="182">
        <v>40</v>
      </c>
      <c r="K12" s="180">
        <v>40</v>
      </c>
      <c r="L12" s="181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178" t="s">
        <v>94</v>
      </c>
      <c r="D13" s="179"/>
      <c r="E13" s="180"/>
      <c r="F13" s="181"/>
      <c r="G13" s="182">
        <v>40</v>
      </c>
      <c r="H13" s="180">
        <v>40</v>
      </c>
      <c r="I13" s="183"/>
      <c r="J13" s="182">
        <v>40</v>
      </c>
      <c r="K13" s="180">
        <v>40</v>
      </c>
      <c r="L13" s="181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178" t="s">
        <v>95</v>
      </c>
      <c r="D14" s="179"/>
      <c r="E14" s="180"/>
      <c r="F14" s="181"/>
      <c r="G14" s="182">
        <v>40</v>
      </c>
      <c r="H14" s="180">
        <v>40</v>
      </c>
      <c r="I14" s="183"/>
      <c r="J14" s="182">
        <v>40</v>
      </c>
      <c r="K14" s="180">
        <v>40</v>
      </c>
      <c r="L14" s="181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178" t="s">
        <v>96</v>
      </c>
      <c r="D15" s="179"/>
      <c r="E15" s="180"/>
      <c r="F15" s="181"/>
      <c r="G15" s="182">
        <v>40</v>
      </c>
      <c r="H15" s="180">
        <v>40</v>
      </c>
      <c r="I15" s="183"/>
      <c r="J15" s="182">
        <v>40</v>
      </c>
      <c r="K15" s="180">
        <v>40</v>
      </c>
      <c r="L15" s="181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178" t="s">
        <v>97</v>
      </c>
      <c r="D16" s="179"/>
      <c r="E16" s="180"/>
      <c r="F16" s="181"/>
      <c r="G16" s="182">
        <v>40</v>
      </c>
      <c r="H16" s="180">
        <v>40</v>
      </c>
      <c r="I16" s="183"/>
      <c r="J16" s="182">
        <v>40</v>
      </c>
      <c r="K16" s="180">
        <v>40</v>
      </c>
      <c r="L16" s="181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178" t="s">
        <v>98</v>
      </c>
      <c r="D17" s="179"/>
      <c r="E17" s="180"/>
      <c r="F17" s="181"/>
      <c r="G17" s="182">
        <v>40</v>
      </c>
      <c r="H17" s="180">
        <v>40</v>
      </c>
      <c r="I17" s="183"/>
      <c r="J17" s="182">
        <v>40</v>
      </c>
      <c r="K17" s="180">
        <v>40</v>
      </c>
      <c r="L17" s="181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184" t="s">
        <v>111</v>
      </c>
      <c r="D18" s="185"/>
      <c r="E18" s="186"/>
      <c r="F18" s="187"/>
      <c r="G18" s="188">
        <v>120</v>
      </c>
      <c r="H18" s="186">
        <v>80</v>
      </c>
      <c r="I18" s="189"/>
      <c r="J18" s="188">
        <v>40</v>
      </c>
      <c r="K18" s="186">
        <v>40</v>
      </c>
      <c r="L18" s="187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184" t="s">
        <v>112</v>
      </c>
      <c r="D19" s="185"/>
      <c r="E19" s="186"/>
      <c r="F19" s="187"/>
      <c r="G19" s="188"/>
      <c r="H19" s="186"/>
      <c r="I19" s="189"/>
      <c r="J19" s="188">
        <v>120</v>
      </c>
      <c r="K19" s="186">
        <v>120</v>
      </c>
      <c r="L19" s="187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184" t="s">
        <v>103</v>
      </c>
      <c r="D20" s="185"/>
      <c r="E20" s="186"/>
      <c r="F20" s="187"/>
      <c r="G20" s="188"/>
      <c r="H20" s="186"/>
      <c r="I20" s="189"/>
      <c r="J20" s="188">
        <v>240</v>
      </c>
      <c r="K20" s="186">
        <v>240</v>
      </c>
      <c r="L20" s="187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184" t="s">
        <v>113</v>
      </c>
      <c r="D21" s="185"/>
      <c r="E21" s="186"/>
      <c r="F21" s="187"/>
      <c r="G21" s="188">
        <v>40</v>
      </c>
      <c r="H21" s="186">
        <v>40</v>
      </c>
      <c r="I21" s="189"/>
      <c r="J21" s="188">
        <v>40</v>
      </c>
      <c r="K21" s="186">
        <v>40</v>
      </c>
      <c r="L21" s="187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/>
      <c r="D22" s="74"/>
      <c r="E22" s="75"/>
      <c r="F22" s="76"/>
      <c r="G22" s="50"/>
      <c r="H22" s="75"/>
      <c r="I22" s="49"/>
      <c r="J22" s="50"/>
      <c r="K22" s="75"/>
      <c r="L22" s="76"/>
      <c r="M22" s="48">
        <f t="shared" si="37"/>
        <v>0</v>
      </c>
      <c r="N22" s="39">
        <f t="shared" si="18"/>
        <v>0</v>
      </c>
      <c r="O22" s="49">
        <f t="shared" si="1"/>
        <v>25.827600000000004</v>
      </c>
      <c r="P22" s="73">
        <f t="shared" si="38"/>
        <v>0</v>
      </c>
      <c r="Q22" s="40">
        <f t="shared" si="39"/>
        <v>0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/>
      <c r="D23" s="74"/>
      <c r="E23" s="75"/>
      <c r="F23" s="76"/>
      <c r="G23" s="50"/>
      <c r="H23" s="75"/>
      <c r="I23" s="49"/>
      <c r="J23" s="50"/>
      <c r="K23" s="75"/>
      <c r="L23" s="76"/>
      <c r="M23" s="48">
        <f t="shared" si="37"/>
        <v>0</v>
      </c>
      <c r="N23" s="39">
        <f t="shared" si="18"/>
        <v>0</v>
      </c>
      <c r="O23" s="49">
        <f t="shared" si="1"/>
        <v>25.827600000000004</v>
      </c>
      <c r="P23" s="73">
        <f t="shared" si="38"/>
        <v>0</v>
      </c>
      <c r="Q23" s="40">
        <f t="shared" si="39"/>
        <v>0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/>
      <c r="D24" s="74"/>
      <c r="E24" s="75"/>
      <c r="F24" s="76"/>
      <c r="G24" s="50"/>
      <c r="H24" s="75"/>
      <c r="I24" s="49"/>
      <c r="J24" s="50"/>
      <c r="K24" s="75"/>
      <c r="L24" s="76"/>
      <c r="M24" s="48">
        <f t="shared" ref="M24:M27" si="47">SUM(D24:L24)/40</f>
        <v>0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0</v>
      </c>
      <c r="Q24" s="40">
        <f t="shared" ref="Q24:Q27" si="49">SUM(J24:L24)/20</f>
        <v>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/>
      <c r="B25" s="47">
        <v>21</v>
      </c>
      <c r="C25" s="57"/>
      <c r="D25" s="74"/>
      <c r="E25" s="75"/>
      <c r="F25" s="76"/>
      <c r="G25" s="50"/>
      <c r="H25" s="75"/>
      <c r="I25" s="49"/>
      <c r="J25" s="50"/>
      <c r="K25" s="75"/>
      <c r="L25" s="76"/>
      <c r="M25" s="48">
        <f t="shared" si="47"/>
        <v>0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/>
      <c r="B26" s="47">
        <v>22</v>
      </c>
      <c r="C26" s="57"/>
      <c r="D26" s="74"/>
      <c r="E26" s="75"/>
      <c r="F26" s="76"/>
      <c r="G26" s="50"/>
      <c r="H26" s="75"/>
      <c r="I26" s="49"/>
      <c r="J26" s="50"/>
      <c r="K26" s="75"/>
      <c r="L26" s="76"/>
      <c r="M26" s="48">
        <f t="shared" si="47"/>
        <v>0</v>
      </c>
      <c r="N26" s="39">
        <f t="shared" si="18"/>
        <v>0</v>
      </c>
      <c r="O26" s="49">
        <f t="shared" si="1"/>
        <v>25.827600000000004</v>
      </c>
      <c r="P26" s="73">
        <f t="shared" si="48"/>
        <v>0</v>
      </c>
      <c r="Q26" s="40">
        <f t="shared" si="49"/>
        <v>0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/>
      <c r="B27" s="47">
        <v>23</v>
      </c>
      <c r="C27" s="57"/>
      <c r="D27" s="74"/>
      <c r="E27" s="75"/>
      <c r="F27" s="76"/>
      <c r="G27" s="50"/>
      <c r="H27" s="75"/>
      <c r="I27" s="49"/>
      <c r="J27" s="50"/>
      <c r="K27" s="75"/>
      <c r="L27" s="76"/>
      <c r="M27" s="48">
        <f t="shared" si="47"/>
        <v>0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0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/>
      <c r="B28" s="47">
        <v>24</v>
      </c>
      <c r="C28" s="57"/>
      <c r="D28" s="74"/>
      <c r="E28" s="75"/>
      <c r="F28" s="76"/>
      <c r="G28" s="50"/>
      <c r="H28" s="75"/>
      <c r="I28" s="49"/>
      <c r="J28" s="50"/>
      <c r="K28" s="75"/>
      <c r="L28" s="76"/>
      <c r="M28" s="48">
        <f t="shared" ref="M28:M60" si="52">SUM(D28:L28)/40</f>
        <v>0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0</v>
      </c>
      <c r="Q28" s="40">
        <f t="shared" ref="Q28:Q60" si="54">SUM(J28:L28)/20</f>
        <v>0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/>
      <c r="B29" s="47">
        <v>25</v>
      </c>
      <c r="C29" s="57"/>
      <c r="D29" s="74"/>
      <c r="E29" s="75"/>
      <c r="F29" s="76"/>
      <c r="G29" s="50"/>
      <c r="H29" s="75"/>
      <c r="I29" s="49"/>
      <c r="J29" s="50"/>
      <c r="K29" s="75"/>
      <c r="L29" s="76"/>
      <c r="M29" s="48">
        <f t="shared" ref="M29" si="60">SUM(D29:L29)/40</f>
        <v>0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0</v>
      </c>
      <c r="Q29" s="40">
        <f t="shared" ref="Q29" si="62">SUM(J29:L29)/20</f>
        <v>0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/>
      <c r="B30" s="47">
        <v>26</v>
      </c>
      <c r="C30" s="57"/>
      <c r="D30" s="74"/>
      <c r="E30" s="75"/>
      <c r="F30" s="76"/>
      <c r="G30" s="50"/>
      <c r="H30" s="75"/>
      <c r="I30" s="49"/>
      <c r="J30" s="50"/>
      <c r="K30" s="75"/>
      <c r="L30" s="76"/>
      <c r="M30" s="48">
        <f t="shared" si="52"/>
        <v>0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/>
      <c r="B31" s="47">
        <v>27</v>
      </c>
      <c r="C31" s="57"/>
      <c r="D31" s="74"/>
      <c r="E31" s="75"/>
      <c r="F31" s="76"/>
      <c r="G31" s="50"/>
      <c r="H31" s="75"/>
      <c r="I31" s="49"/>
      <c r="J31" s="50"/>
      <c r="K31" s="75"/>
      <c r="L31" s="76"/>
      <c r="M31" s="48">
        <f t="shared" si="52"/>
        <v>0</v>
      </c>
      <c r="N31" s="39">
        <f t="shared" si="18"/>
        <v>0</v>
      </c>
      <c r="O31" s="49">
        <f t="shared" si="1"/>
        <v>25.827600000000004</v>
      </c>
      <c r="P31" s="73">
        <f t="shared" si="53"/>
        <v>0</v>
      </c>
      <c r="Q31" s="40">
        <f t="shared" si="54"/>
        <v>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/>
      <c r="B32" s="47">
        <v>28</v>
      </c>
      <c r="C32" s="57"/>
      <c r="D32" s="74"/>
      <c r="E32" s="75"/>
      <c r="F32" s="76"/>
      <c r="G32" s="50"/>
      <c r="H32" s="75"/>
      <c r="I32" s="49"/>
      <c r="J32" s="50"/>
      <c r="K32" s="75"/>
      <c r="L32" s="76"/>
      <c r="M32" s="48">
        <f t="shared" si="52"/>
        <v>0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0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/>
      <c r="B33" s="47">
        <v>29</v>
      </c>
      <c r="C33" s="57"/>
      <c r="D33" s="74"/>
      <c r="E33" s="75"/>
      <c r="F33" s="76"/>
      <c r="G33" s="50"/>
      <c r="H33" s="75"/>
      <c r="I33" s="49"/>
      <c r="J33" s="50"/>
      <c r="K33" s="75"/>
      <c r="L33" s="76"/>
      <c r="M33" s="48">
        <f t="shared" si="52"/>
        <v>0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0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/>
      <c r="B34" s="47">
        <v>30</v>
      </c>
      <c r="C34" s="57"/>
      <c r="D34" s="74"/>
      <c r="E34" s="75"/>
      <c r="F34" s="76"/>
      <c r="G34" s="50"/>
      <c r="H34" s="75"/>
      <c r="I34" s="49"/>
      <c r="J34" s="50"/>
      <c r="K34" s="75"/>
      <c r="L34" s="76"/>
      <c r="M34" s="48">
        <f t="shared" ref="M34:M46" si="68">SUM(D34:L34)/40</f>
        <v>0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0</v>
      </c>
      <c r="Q34" s="40">
        <f t="shared" ref="Q34:Q46" si="70">SUM(J34:L34)/20</f>
        <v>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/>
      <c r="B35" s="47">
        <v>31</v>
      </c>
      <c r="C35" s="57"/>
      <c r="D35" s="74"/>
      <c r="E35" s="75"/>
      <c r="F35" s="76"/>
      <c r="G35" s="50"/>
      <c r="H35" s="75"/>
      <c r="I35" s="49"/>
      <c r="J35" s="50"/>
      <c r="K35" s="75"/>
      <c r="L35" s="76"/>
      <c r="M35" s="48">
        <f t="shared" si="68"/>
        <v>0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/>
      <c r="B36" s="47">
        <v>32</v>
      </c>
      <c r="C36" s="57"/>
      <c r="D36" s="74"/>
      <c r="E36" s="75"/>
      <c r="F36" s="76"/>
      <c r="G36" s="50"/>
      <c r="H36" s="75"/>
      <c r="I36" s="49"/>
      <c r="J36" s="50"/>
      <c r="K36" s="75"/>
      <c r="L36" s="76"/>
      <c r="M36" s="48">
        <f t="shared" si="68"/>
        <v>0</v>
      </c>
      <c r="N36" s="39">
        <f t="shared" si="18"/>
        <v>0</v>
      </c>
      <c r="O36" s="49">
        <f t="shared" si="1"/>
        <v>25.827600000000004</v>
      </c>
      <c r="P36" s="73">
        <f t="shared" si="69"/>
        <v>0</v>
      </c>
      <c r="Q36" s="40">
        <f t="shared" si="70"/>
        <v>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/>
      <c r="B37" s="47">
        <v>33</v>
      </c>
      <c r="C37" s="57"/>
      <c r="D37" s="74"/>
      <c r="E37" s="75"/>
      <c r="F37" s="76"/>
      <c r="G37" s="50"/>
      <c r="H37" s="75"/>
      <c r="I37" s="49"/>
      <c r="J37" s="50"/>
      <c r="K37" s="75"/>
      <c r="L37" s="76"/>
      <c r="M37" s="48">
        <f t="shared" si="68"/>
        <v>0</v>
      </c>
      <c r="N37" s="39">
        <f t="shared" si="18"/>
        <v>0</v>
      </c>
      <c r="O37" s="49">
        <f t="shared" si="1"/>
        <v>25.827600000000004</v>
      </c>
      <c r="P37" s="73">
        <f t="shared" si="69"/>
        <v>0</v>
      </c>
      <c r="Q37" s="40">
        <f t="shared" si="70"/>
        <v>0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/>
      <c r="B38" s="47">
        <v>34</v>
      </c>
      <c r="C38" s="57"/>
      <c r="D38" s="74"/>
      <c r="E38" s="75"/>
      <c r="F38" s="76"/>
      <c r="G38" s="50"/>
      <c r="H38" s="75"/>
      <c r="I38" s="49"/>
      <c r="J38" s="50"/>
      <c r="K38" s="75"/>
      <c r="L38" s="76"/>
      <c r="M38" s="48">
        <f t="shared" si="68"/>
        <v>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/>
      <c r="B39" s="47">
        <v>35</v>
      </c>
      <c r="C39" s="57"/>
      <c r="D39" s="74"/>
      <c r="E39" s="75"/>
      <c r="F39" s="76"/>
      <c r="G39" s="50"/>
      <c r="H39" s="75"/>
      <c r="I39" s="49"/>
      <c r="J39" s="50"/>
      <c r="K39" s="75"/>
      <c r="L39" s="76"/>
      <c r="M39" s="48">
        <f t="shared" si="68"/>
        <v>0</v>
      </c>
      <c r="N39" s="39">
        <f t="shared" si="18"/>
        <v>0</v>
      </c>
      <c r="O39" s="49">
        <f t="shared" si="1"/>
        <v>25.827600000000004</v>
      </c>
      <c r="P39" s="73">
        <f t="shared" si="69"/>
        <v>0</v>
      </c>
      <c r="Q39" s="40">
        <f t="shared" si="70"/>
        <v>0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/>
      <c r="B40" s="47">
        <v>36</v>
      </c>
      <c r="C40" s="57"/>
      <c r="D40" s="74"/>
      <c r="E40" s="75"/>
      <c r="F40" s="76"/>
      <c r="G40" s="50"/>
      <c r="H40" s="75"/>
      <c r="I40" s="49"/>
      <c r="J40" s="50"/>
      <c r="K40" s="75"/>
      <c r="L40" s="76"/>
      <c r="M40" s="48">
        <f t="shared" si="68"/>
        <v>0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/>
      <c r="B41" s="47">
        <v>37</v>
      </c>
      <c r="C41" s="57"/>
      <c r="D41" s="74"/>
      <c r="E41" s="75"/>
      <c r="F41" s="76"/>
      <c r="G41" s="50"/>
      <c r="H41" s="75"/>
      <c r="I41" s="49"/>
      <c r="J41" s="50"/>
      <c r="K41" s="75"/>
      <c r="L41" s="76"/>
      <c r="M41" s="48">
        <f t="shared" si="68"/>
        <v>0</v>
      </c>
      <c r="N41" s="39">
        <f t="shared" si="18"/>
        <v>0</v>
      </c>
      <c r="O41" s="49">
        <f t="shared" si="1"/>
        <v>25.827600000000004</v>
      </c>
      <c r="P41" s="73">
        <f t="shared" si="69"/>
        <v>0</v>
      </c>
      <c r="Q41" s="40">
        <f t="shared" si="70"/>
        <v>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/>
      <c r="B42" s="47">
        <v>38</v>
      </c>
      <c r="C42" s="57"/>
      <c r="D42" s="74"/>
      <c r="E42" s="75"/>
      <c r="F42" s="76"/>
      <c r="G42" s="50"/>
      <c r="H42" s="75"/>
      <c r="I42" s="49"/>
      <c r="J42" s="50"/>
      <c r="K42" s="75"/>
      <c r="L42" s="76"/>
      <c r="M42" s="48">
        <f t="shared" si="68"/>
        <v>0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0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/>
      <c r="B43" s="47">
        <v>39</v>
      </c>
      <c r="C43" s="57"/>
      <c r="D43" s="74"/>
      <c r="E43" s="75"/>
      <c r="F43" s="76"/>
      <c r="G43" s="50"/>
      <c r="H43" s="75"/>
      <c r="I43" s="49"/>
      <c r="J43" s="50"/>
      <c r="K43" s="75"/>
      <c r="L43" s="76"/>
      <c r="M43" s="48">
        <f t="shared" si="68"/>
        <v>0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0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/>
      <c r="B44" s="47">
        <v>40</v>
      </c>
      <c r="C44" s="57"/>
      <c r="D44" s="74"/>
      <c r="E44" s="75"/>
      <c r="F44" s="76"/>
      <c r="G44" s="50"/>
      <c r="H44" s="75"/>
      <c r="I44" s="49"/>
      <c r="J44" s="50"/>
      <c r="K44" s="75"/>
      <c r="L44" s="76"/>
      <c r="M44" s="48">
        <f t="shared" si="68"/>
        <v>0</v>
      </c>
      <c r="N44" s="39">
        <f t="shared" si="18"/>
        <v>0</v>
      </c>
      <c r="O44" s="49">
        <f t="shared" si="1"/>
        <v>25.827600000000004</v>
      </c>
      <c r="P44" s="73">
        <f t="shared" si="69"/>
        <v>0</v>
      </c>
      <c r="Q44" s="40">
        <f t="shared" si="70"/>
        <v>0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/>
      <c r="B45" s="47">
        <v>41</v>
      </c>
      <c r="C45" s="57"/>
      <c r="D45" s="74"/>
      <c r="E45" s="75"/>
      <c r="F45" s="76"/>
      <c r="G45" s="50"/>
      <c r="H45" s="75"/>
      <c r="I45" s="49"/>
      <c r="J45" s="50"/>
      <c r="K45" s="75"/>
      <c r="L45" s="76"/>
      <c r="M45" s="48">
        <f t="shared" si="68"/>
        <v>0</v>
      </c>
      <c r="N45" s="39">
        <f t="shared" si="18"/>
        <v>0</v>
      </c>
      <c r="O45" s="49">
        <f t="shared" si="1"/>
        <v>25.827600000000004</v>
      </c>
      <c r="P45" s="73">
        <f t="shared" si="69"/>
        <v>0</v>
      </c>
      <c r="Q45" s="40">
        <f t="shared" si="70"/>
        <v>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/>
      <c r="B46" s="47">
        <v>42</v>
      </c>
      <c r="C46" s="57"/>
      <c r="D46" s="74"/>
      <c r="E46" s="75"/>
      <c r="F46" s="76"/>
      <c r="G46" s="50"/>
      <c r="H46" s="75"/>
      <c r="I46" s="49"/>
      <c r="J46" s="50"/>
      <c r="K46" s="75"/>
      <c r="L46" s="76"/>
      <c r="M46" s="48">
        <f t="shared" si="68"/>
        <v>0</v>
      </c>
      <c r="N46" s="39">
        <f t="shared" si="18"/>
        <v>0</v>
      </c>
      <c r="O46" s="49">
        <f t="shared" si="1"/>
        <v>25.827600000000004</v>
      </c>
      <c r="P46" s="73">
        <f t="shared" si="69"/>
        <v>0</v>
      </c>
      <c r="Q46" s="40">
        <f t="shared" si="70"/>
        <v>0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/>
      <c r="B47" s="47">
        <v>43</v>
      </c>
      <c r="C47" s="57"/>
      <c r="D47" s="74"/>
      <c r="E47" s="75"/>
      <c r="F47" s="76"/>
      <c r="G47" s="50"/>
      <c r="H47" s="75"/>
      <c r="I47" s="49"/>
      <c r="J47" s="50"/>
      <c r="K47" s="75"/>
      <c r="L47" s="76"/>
      <c r="M47" s="48">
        <f t="shared" ref="M47:M59" si="76">SUM(D47:L47)/40</f>
        <v>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0</v>
      </c>
      <c r="Q47" s="40">
        <f t="shared" ref="Q47:Q59" si="78">SUM(J47:L47)/20</f>
        <v>0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/>
      <c r="B48" s="47">
        <v>44</v>
      </c>
      <c r="C48" s="57"/>
      <c r="D48" s="74"/>
      <c r="E48" s="75"/>
      <c r="F48" s="76"/>
      <c r="G48" s="50"/>
      <c r="H48" s="75"/>
      <c r="I48" s="49"/>
      <c r="J48" s="50"/>
      <c r="K48" s="75"/>
      <c r="L48" s="76"/>
      <c r="M48" s="48">
        <f t="shared" si="76"/>
        <v>0</v>
      </c>
      <c r="N48" s="39">
        <f t="shared" si="18"/>
        <v>0</v>
      </c>
      <c r="O48" s="49">
        <f t="shared" si="1"/>
        <v>25.827600000000004</v>
      </c>
      <c r="P48" s="73">
        <f t="shared" si="77"/>
        <v>0</v>
      </c>
      <c r="Q48" s="40">
        <f t="shared" si="78"/>
        <v>0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/>
      <c r="B49" s="47">
        <v>45</v>
      </c>
      <c r="C49" s="57"/>
      <c r="D49" s="74"/>
      <c r="E49" s="75"/>
      <c r="F49" s="76"/>
      <c r="G49" s="50"/>
      <c r="H49" s="75"/>
      <c r="I49" s="49"/>
      <c r="J49" s="50"/>
      <c r="K49" s="75"/>
      <c r="L49" s="76"/>
      <c r="M49" s="48">
        <f t="shared" si="76"/>
        <v>0</v>
      </c>
      <c r="N49" s="39">
        <f t="shared" si="18"/>
        <v>0</v>
      </c>
      <c r="O49" s="49">
        <f t="shared" si="1"/>
        <v>25.827600000000004</v>
      </c>
      <c r="P49" s="73">
        <f t="shared" si="77"/>
        <v>0</v>
      </c>
      <c r="Q49" s="40">
        <f t="shared" si="78"/>
        <v>0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/>
      <c r="B50" s="47">
        <v>46</v>
      </c>
      <c r="C50" s="57"/>
      <c r="D50" s="74"/>
      <c r="E50" s="75"/>
      <c r="F50" s="76"/>
      <c r="G50" s="50"/>
      <c r="H50" s="75"/>
      <c r="I50" s="49"/>
      <c r="J50" s="50"/>
      <c r="K50" s="75"/>
      <c r="L50" s="76"/>
      <c r="M50" s="48">
        <f t="shared" si="76"/>
        <v>0</v>
      </c>
      <c r="N50" s="39">
        <f t="shared" si="18"/>
        <v>0</v>
      </c>
      <c r="O50" s="49">
        <f t="shared" si="1"/>
        <v>25.827600000000004</v>
      </c>
      <c r="P50" s="73">
        <f t="shared" si="77"/>
        <v>0</v>
      </c>
      <c r="Q50" s="40">
        <f t="shared" si="78"/>
        <v>0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/>
      <c r="B51" s="47">
        <v>47</v>
      </c>
      <c r="C51" s="57"/>
      <c r="D51" s="74"/>
      <c r="E51" s="75"/>
      <c r="F51" s="76"/>
      <c r="G51" s="50"/>
      <c r="H51" s="75"/>
      <c r="I51" s="49"/>
      <c r="J51" s="50"/>
      <c r="K51" s="75"/>
      <c r="L51" s="76"/>
      <c r="M51" s="48">
        <f t="shared" si="76"/>
        <v>0</v>
      </c>
      <c r="N51" s="39">
        <f t="shared" si="18"/>
        <v>0</v>
      </c>
      <c r="O51" s="49">
        <f t="shared" si="1"/>
        <v>25.827600000000004</v>
      </c>
      <c r="P51" s="73">
        <f t="shared" si="77"/>
        <v>0</v>
      </c>
      <c r="Q51" s="40">
        <f t="shared" si="78"/>
        <v>0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/>
      <c r="B52" s="47">
        <v>48</v>
      </c>
      <c r="C52" s="57"/>
      <c r="D52" s="74"/>
      <c r="E52" s="75"/>
      <c r="F52" s="76"/>
      <c r="G52" s="50"/>
      <c r="H52" s="75"/>
      <c r="I52" s="49"/>
      <c r="J52" s="50"/>
      <c r="K52" s="75"/>
      <c r="L52" s="76"/>
      <c r="M52" s="48">
        <f t="shared" si="76"/>
        <v>0</v>
      </c>
      <c r="N52" s="39">
        <f t="shared" si="18"/>
        <v>0</v>
      </c>
      <c r="O52" s="49">
        <f t="shared" si="1"/>
        <v>25.827600000000004</v>
      </c>
      <c r="P52" s="73">
        <f t="shared" si="77"/>
        <v>0</v>
      </c>
      <c r="Q52" s="40">
        <f t="shared" si="78"/>
        <v>0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76"/>
        <v>0</v>
      </c>
      <c r="N53" s="39">
        <f t="shared" si="18"/>
        <v>0</v>
      </c>
      <c r="O53" s="49">
        <f t="shared" si="1"/>
        <v>25.827600000000004</v>
      </c>
      <c r="P53" s="73">
        <f t="shared" si="77"/>
        <v>0</v>
      </c>
      <c r="Q53" s="40">
        <f t="shared" si="78"/>
        <v>0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76"/>
        <v>0</v>
      </c>
      <c r="N54" s="39">
        <f t="shared" si="18"/>
        <v>0</v>
      </c>
      <c r="O54" s="49">
        <f t="shared" si="1"/>
        <v>25.827600000000004</v>
      </c>
      <c r="P54" s="73">
        <f t="shared" si="77"/>
        <v>0</v>
      </c>
      <c r="Q54" s="40">
        <f t="shared" si="78"/>
        <v>0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76"/>
        <v>0</v>
      </c>
      <c r="N55" s="39">
        <f t="shared" si="18"/>
        <v>0</v>
      </c>
      <c r="O55" s="49">
        <f t="shared" si="1"/>
        <v>25.827600000000004</v>
      </c>
      <c r="P55" s="73">
        <f t="shared" si="77"/>
        <v>0</v>
      </c>
      <c r="Q55" s="40">
        <f t="shared" si="78"/>
        <v>0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76"/>
        <v>0</v>
      </c>
      <c r="N56" s="39">
        <f t="shared" si="18"/>
        <v>0</v>
      </c>
      <c r="O56" s="49">
        <f t="shared" si="1"/>
        <v>25.827600000000004</v>
      </c>
      <c r="P56" s="73">
        <f t="shared" si="77"/>
        <v>0</v>
      </c>
      <c r="Q56" s="40">
        <f t="shared" si="78"/>
        <v>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/>
      <c r="B57" s="47">
        <v>53</v>
      </c>
      <c r="C57" s="57"/>
      <c r="D57" s="75"/>
      <c r="E57" s="75"/>
      <c r="F57" s="75"/>
      <c r="G57" s="75"/>
      <c r="H57" s="75"/>
      <c r="I57" s="135"/>
      <c r="J57" s="75"/>
      <c r="K57" s="75"/>
      <c r="L57" s="75"/>
      <c r="M57" s="138">
        <f t="shared" si="76"/>
        <v>0</v>
      </c>
      <c r="N57" s="39">
        <f t="shared" si="18"/>
        <v>0</v>
      </c>
      <c r="O57" s="49">
        <f t="shared" si="1"/>
        <v>25.827600000000004</v>
      </c>
      <c r="P57" s="73">
        <f t="shared" si="77"/>
        <v>0</v>
      </c>
      <c r="Q57" s="40">
        <f t="shared" si="78"/>
        <v>0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35"/>
      <c r="J58" s="75"/>
      <c r="K58" s="75"/>
      <c r="L58" s="75"/>
      <c r="M58" s="138">
        <f t="shared" si="76"/>
        <v>0</v>
      </c>
      <c r="N58" s="39">
        <f t="shared" si="18"/>
        <v>0</v>
      </c>
      <c r="O58" s="49">
        <f t="shared" si="1"/>
        <v>25.827600000000004</v>
      </c>
      <c r="P58" s="73">
        <f t="shared" si="77"/>
        <v>0</v>
      </c>
      <c r="Q58" s="40">
        <f t="shared" si="78"/>
        <v>0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35"/>
      <c r="J59" s="75"/>
      <c r="K59" s="75"/>
      <c r="L59" s="75"/>
      <c r="M59" s="138">
        <f t="shared" si="76"/>
        <v>0</v>
      </c>
      <c r="N59" s="39">
        <f t="shared" si="18"/>
        <v>0</v>
      </c>
      <c r="O59" s="49">
        <f t="shared" si="1"/>
        <v>25.827600000000004</v>
      </c>
      <c r="P59" s="73">
        <f t="shared" si="77"/>
        <v>0</v>
      </c>
      <c r="Q59" s="40">
        <f t="shared" si="78"/>
        <v>0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35"/>
      <c r="J60" s="75"/>
      <c r="K60" s="75"/>
      <c r="L60" s="75"/>
      <c r="M60" s="138">
        <f t="shared" si="52"/>
        <v>0</v>
      </c>
      <c r="N60" s="39">
        <f t="shared" si="18"/>
        <v>0</v>
      </c>
      <c r="O60" s="49">
        <f t="shared" si="1"/>
        <v>25.827600000000004</v>
      </c>
      <c r="P60" s="73">
        <f t="shared" si="53"/>
        <v>0</v>
      </c>
      <c r="Q60" s="40">
        <f t="shared" si="54"/>
        <v>0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/>
      <c r="B61" s="47">
        <v>57</v>
      </c>
      <c r="C61" s="136"/>
      <c r="D61" s="75"/>
      <c r="E61" s="75"/>
      <c r="F61" s="75"/>
      <c r="G61" s="75"/>
      <c r="H61" s="75"/>
      <c r="I61" s="135"/>
      <c r="J61" s="75"/>
      <c r="K61" s="75"/>
      <c r="L61" s="75"/>
      <c r="M61" s="138">
        <f t="shared" ref="M61:M83" si="81">SUM(D61:L61)/40</f>
        <v>0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0</v>
      </c>
      <c r="Q61" s="40">
        <f t="shared" ref="Q61:Q78" si="83">SUM(J61:L61)/20</f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/>
      <c r="B62" s="47">
        <v>58</v>
      </c>
      <c r="C62" s="136"/>
      <c r="D62" s="75"/>
      <c r="E62" s="75"/>
      <c r="F62" s="75"/>
      <c r="G62" s="75"/>
      <c r="H62" s="75"/>
      <c r="I62" s="135"/>
      <c r="J62" s="75"/>
      <c r="K62" s="75"/>
      <c r="L62" s="75"/>
      <c r="M62" s="138">
        <f t="shared" si="81"/>
        <v>0</v>
      </c>
      <c r="N62" s="39">
        <f t="shared" si="18"/>
        <v>0</v>
      </c>
      <c r="O62" s="49">
        <f t="shared" si="1"/>
        <v>25.827600000000004</v>
      </c>
      <c r="P62" s="73">
        <f t="shared" si="82"/>
        <v>0</v>
      </c>
      <c r="Q62" s="40">
        <f t="shared" si="83"/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/>
      <c r="B63" s="47">
        <v>59</v>
      </c>
      <c r="C63" s="136"/>
      <c r="D63" s="75"/>
      <c r="E63" s="75"/>
      <c r="F63" s="75"/>
      <c r="G63" s="75"/>
      <c r="H63" s="75"/>
      <c r="I63" s="135"/>
      <c r="J63" s="75"/>
      <c r="K63" s="75"/>
      <c r="L63" s="75"/>
      <c r="M63" s="138">
        <f t="shared" si="81"/>
        <v>0</v>
      </c>
      <c r="N63" s="39">
        <f t="shared" si="18"/>
        <v>0</v>
      </c>
      <c r="O63" s="49">
        <f t="shared" si="1"/>
        <v>25.827600000000004</v>
      </c>
      <c r="P63" s="73">
        <f t="shared" si="82"/>
        <v>0</v>
      </c>
      <c r="Q63" s="40">
        <f t="shared" si="83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/>
      <c r="B64" s="47">
        <v>60</v>
      </c>
      <c r="C64" s="136"/>
      <c r="D64" s="75"/>
      <c r="E64" s="75"/>
      <c r="F64" s="75"/>
      <c r="G64" s="75"/>
      <c r="H64" s="75"/>
      <c r="I64" s="135"/>
      <c r="J64" s="75"/>
      <c r="K64" s="75"/>
      <c r="L64" s="75"/>
      <c r="M64" s="138">
        <f t="shared" si="81"/>
        <v>0</v>
      </c>
      <c r="N64" s="39">
        <f t="shared" si="18"/>
        <v>0</v>
      </c>
      <c r="O64" s="49">
        <f t="shared" si="1"/>
        <v>25.827600000000004</v>
      </c>
      <c r="P64" s="73">
        <f t="shared" si="82"/>
        <v>0</v>
      </c>
      <c r="Q64" s="40">
        <f t="shared" si="83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/>
      <c r="B65" s="47">
        <v>61</v>
      </c>
      <c r="C65" s="136"/>
      <c r="D65" s="75"/>
      <c r="E65" s="75"/>
      <c r="F65" s="75"/>
      <c r="G65" s="75"/>
      <c r="H65" s="75"/>
      <c r="I65" s="135"/>
      <c r="J65" s="75"/>
      <c r="K65" s="75"/>
      <c r="L65" s="75"/>
      <c r="M65" s="138">
        <f t="shared" si="81"/>
        <v>0</v>
      </c>
      <c r="N65" s="39">
        <f t="shared" si="18"/>
        <v>0</v>
      </c>
      <c r="O65" s="49">
        <f t="shared" si="1"/>
        <v>25.827600000000004</v>
      </c>
      <c r="P65" s="73">
        <f t="shared" si="82"/>
        <v>0</v>
      </c>
      <c r="Q65" s="40">
        <f t="shared" si="83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/>
      <c r="B66" s="47">
        <v>62</v>
      </c>
      <c r="C66" s="136"/>
      <c r="D66" s="75"/>
      <c r="E66" s="75"/>
      <c r="F66" s="75"/>
      <c r="G66" s="75"/>
      <c r="H66" s="75"/>
      <c r="I66" s="135"/>
      <c r="J66" s="75"/>
      <c r="K66" s="75"/>
      <c r="L66" s="75"/>
      <c r="M66" s="138">
        <f t="shared" si="81"/>
        <v>0</v>
      </c>
      <c r="N66" s="39">
        <f t="shared" si="18"/>
        <v>0</v>
      </c>
      <c r="O66" s="49">
        <f t="shared" si="1"/>
        <v>25.827600000000004</v>
      </c>
      <c r="P66" s="73">
        <f t="shared" si="82"/>
        <v>0</v>
      </c>
      <c r="Q66" s="40">
        <f t="shared" si="83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/>
      <c r="B67" s="47">
        <v>63</v>
      </c>
      <c r="C67" s="136"/>
      <c r="D67" s="75"/>
      <c r="E67" s="75"/>
      <c r="F67" s="75"/>
      <c r="G67" s="75"/>
      <c r="H67" s="75"/>
      <c r="I67" s="135"/>
      <c r="J67" s="75"/>
      <c r="K67" s="75"/>
      <c r="L67" s="75"/>
      <c r="M67" s="138">
        <f t="shared" si="81"/>
        <v>0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/>
      <c r="B68" s="47">
        <v>64</v>
      </c>
      <c r="C68" s="136"/>
      <c r="D68" s="75"/>
      <c r="E68" s="75"/>
      <c r="F68" s="75"/>
      <c r="G68" s="75"/>
      <c r="H68" s="75"/>
      <c r="I68" s="135"/>
      <c r="J68" s="75"/>
      <c r="K68" s="75"/>
      <c r="L68" s="75"/>
      <c r="M68" s="138">
        <f t="shared" si="81"/>
        <v>0</v>
      </c>
      <c r="N68" s="39">
        <f t="shared" si="18"/>
        <v>0</v>
      </c>
      <c r="O68" s="49">
        <f t="shared" si="1"/>
        <v>25.827600000000004</v>
      </c>
      <c r="P68" s="73">
        <f t="shared" si="82"/>
        <v>0</v>
      </c>
      <c r="Q68" s="40">
        <f t="shared" si="83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/>
      <c r="B69" s="47">
        <v>65</v>
      </c>
      <c r="C69" s="136"/>
      <c r="D69" s="75"/>
      <c r="E69" s="75"/>
      <c r="F69" s="75"/>
      <c r="G69" s="75"/>
      <c r="H69" s="75"/>
      <c r="I69" s="135"/>
      <c r="J69" s="75"/>
      <c r="K69" s="75"/>
      <c r="L69" s="75"/>
      <c r="M69" s="138">
        <f t="shared" si="81"/>
        <v>0</v>
      </c>
      <c r="N69" s="39">
        <f t="shared" si="18"/>
        <v>0</v>
      </c>
      <c r="O69" s="49">
        <f t="shared" si="1"/>
        <v>25.827600000000004</v>
      </c>
      <c r="P69" s="73">
        <f t="shared" si="82"/>
        <v>0</v>
      </c>
      <c r="Q69" s="40">
        <f t="shared" si="83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/>
      <c r="B70" s="47">
        <v>66</v>
      </c>
      <c r="C70" s="136"/>
      <c r="D70" s="75"/>
      <c r="E70" s="75"/>
      <c r="F70" s="75"/>
      <c r="G70" s="75"/>
      <c r="H70" s="75"/>
      <c r="I70" s="135"/>
      <c r="J70" s="75"/>
      <c r="K70" s="75"/>
      <c r="L70" s="75"/>
      <c r="M70" s="138">
        <f t="shared" si="81"/>
        <v>0</v>
      </c>
      <c r="N70" s="39">
        <f t="shared" si="18"/>
        <v>0</v>
      </c>
      <c r="O70" s="49">
        <f t="shared" si="1"/>
        <v>25.827600000000004</v>
      </c>
      <c r="P70" s="73">
        <f t="shared" si="82"/>
        <v>0</v>
      </c>
      <c r="Q70" s="40">
        <f t="shared" si="83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/>
      <c r="B71" s="47">
        <v>67</v>
      </c>
      <c r="C71" s="136"/>
      <c r="D71" s="75"/>
      <c r="E71" s="75"/>
      <c r="F71" s="75"/>
      <c r="G71" s="75"/>
      <c r="H71" s="75"/>
      <c r="I71" s="135"/>
      <c r="J71" s="75"/>
      <c r="K71" s="75"/>
      <c r="L71" s="75"/>
      <c r="M71" s="138">
        <f t="shared" si="81"/>
        <v>0</v>
      </c>
      <c r="N71" s="39">
        <f t="shared" si="18"/>
        <v>0</v>
      </c>
      <c r="O71" s="49">
        <f t="shared" si="1"/>
        <v>25.827600000000004</v>
      </c>
      <c r="P71" s="73">
        <f t="shared" si="82"/>
        <v>0</v>
      </c>
      <c r="Q71" s="40">
        <f t="shared" si="83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/>
      <c r="B72" s="47">
        <v>68</v>
      </c>
      <c r="C72" s="136"/>
      <c r="D72" s="75"/>
      <c r="E72" s="75"/>
      <c r="F72" s="75"/>
      <c r="G72" s="75"/>
      <c r="H72" s="75"/>
      <c r="I72" s="135"/>
      <c r="J72" s="75"/>
      <c r="K72" s="75"/>
      <c r="L72" s="75"/>
      <c r="M72" s="138">
        <f t="shared" si="81"/>
        <v>0</v>
      </c>
      <c r="N72" s="39">
        <f t="shared" si="18"/>
        <v>0</v>
      </c>
      <c r="O72" s="49">
        <f t="shared" si="1"/>
        <v>25.827600000000004</v>
      </c>
      <c r="P72" s="73">
        <f t="shared" si="82"/>
        <v>0</v>
      </c>
      <c r="Q72" s="40">
        <f t="shared" si="83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/>
      <c r="B73" s="47">
        <v>69</v>
      </c>
      <c r="C73" s="136"/>
      <c r="D73" s="75"/>
      <c r="E73" s="75"/>
      <c r="F73" s="75"/>
      <c r="G73" s="75"/>
      <c r="H73" s="75"/>
      <c r="I73" s="135"/>
      <c r="J73" s="75"/>
      <c r="K73" s="75"/>
      <c r="L73" s="75"/>
      <c r="M73" s="138">
        <f t="shared" si="81"/>
        <v>0</v>
      </c>
      <c r="N73" s="39">
        <f t="shared" si="18"/>
        <v>0</v>
      </c>
      <c r="O73" s="49">
        <f t="shared" si="1"/>
        <v>25.827600000000004</v>
      </c>
      <c r="P73" s="73">
        <f t="shared" si="82"/>
        <v>0</v>
      </c>
      <c r="Q73" s="40">
        <f t="shared" si="83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/>
      <c r="B74" s="47">
        <v>70</v>
      </c>
      <c r="C74" s="137"/>
      <c r="D74" s="75"/>
      <c r="E74" s="75"/>
      <c r="F74" s="50"/>
      <c r="G74" s="75"/>
      <c r="H74" s="75"/>
      <c r="I74" s="135"/>
      <c r="J74" s="75"/>
      <c r="K74" s="75"/>
      <c r="L74" s="75"/>
      <c r="M74" s="138">
        <f t="shared" si="81"/>
        <v>0</v>
      </c>
      <c r="N74" s="39">
        <f t="shared" si="18"/>
        <v>0</v>
      </c>
      <c r="O74" s="49">
        <f t="shared" si="1"/>
        <v>25.827600000000004</v>
      </c>
      <c r="P74" s="73">
        <f t="shared" si="82"/>
        <v>0</v>
      </c>
      <c r="Q74" s="40">
        <f t="shared" si="83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7"/>
      <c r="D75" s="75"/>
      <c r="E75" s="50"/>
      <c r="F75" s="50"/>
      <c r="G75" s="75"/>
      <c r="H75" s="75"/>
      <c r="I75" s="135"/>
      <c r="J75" s="75"/>
      <c r="K75" s="75"/>
      <c r="L75" s="75"/>
      <c r="M75" s="138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7"/>
      <c r="D76" s="75"/>
      <c r="E76" s="50"/>
      <c r="F76" s="50"/>
      <c r="G76" s="75"/>
      <c r="H76" s="75"/>
      <c r="I76" s="135"/>
      <c r="J76" s="75"/>
      <c r="K76" s="75"/>
      <c r="L76" s="75"/>
      <c r="M76" s="138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7"/>
      <c r="D77" s="75"/>
      <c r="E77" s="50"/>
      <c r="F77" s="50"/>
      <c r="G77" s="50"/>
      <c r="H77" s="50"/>
      <c r="I77" s="138"/>
      <c r="J77" s="50"/>
      <c r="K77" s="50"/>
      <c r="L77" s="50"/>
      <c r="M77" s="138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7"/>
      <c r="D78" s="75"/>
      <c r="E78" s="50"/>
      <c r="F78" s="50"/>
      <c r="G78" s="50"/>
      <c r="H78" s="50"/>
      <c r="I78" s="138"/>
      <c r="J78" s="50"/>
      <c r="K78" s="50"/>
      <c r="L78" s="50"/>
      <c r="M78" s="138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6"/>
      <c r="D79" s="50"/>
      <c r="E79" s="50"/>
      <c r="F79" s="50"/>
      <c r="G79" s="50"/>
      <c r="H79" s="50"/>
      <c r="I79" s="138"/>
      <c r="J79" s="50"/>
      <c r="K79" s="50"/>
      <c r="L79" s="50"/>
      <c r="M79" s="138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6"/>
      <c r="D80" s="50"/>
      <c r="E80" s="50"/>
      <c r="F80" s="50"/>
      <c r="G80" s="50"/>
      <c r="H80" s="50"/>
      <c r="I80" s="138"/>
      <c r="J80" s="50"/>
      <c r="K80" s="50"/>
      <c r="L80" s="50"/>
      <c r="M80" s="138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6"/>
      <c r="D81" s="50"/>
      <c r="E81" s="50"/>
      <c r="F81" s="50"/>
      <c r="G81" s="50"/>
      <c r="H81" s="50"/>
      <c r="I81" s="138"/>
      <c r="J81" s="50"/>
      <c r="K81" s="50"/>
      <c r="L81" s="50"/>
      <c r="M81" s="138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6"/>
      <c r="D82" s="50"/>
      <c r="E82" s="50"/>
      <c r="F82" s="50"/>
      <c r="G82" s="50"/>
      <c r="H82" s="50"/>
      <c r="I82" s="138"/>
      <c r="J82" s="50"/>
      <c r="K82" s="50"/>
      <c r="L82" s="50"/>
      <c r="M82" s="138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6"/>
      <c r="D83" s="50"/>
      <c r="E83" s="50"/>
      <c r="F83" s="50"/>
      <c r="G83" s="50"/>
      <c r="H83" s="50"/>
      <c r="I83" s="138"/>
      <c r="J83" s="50"/>
      <c r="K83" s="50"/>
      <c r="L83" s="50"/>
      <c r="M83" s="138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6"/>
      <c r="D84" s="50"/>
      <c r="E84" s="50"/>
      <c r="F84" s="50"/>
      <c r="G84" s="50"/>
      <c r="H84" s="50"/>
      <c r="I84" s="138"/>
      <c r="J84" s="50"/>
      <c r="K84" s="50"/>
      <c r="L84" s="50"/>
      <c r="M84" s="138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6"/>
      <c r="D85" s="50"/>
      <c r="E85" s="50"/>
      <c r="F85" s="50"/>
      <c r="G85" s="50"/>
      <c r="H85" s="50"/>
      <c r="I85" s="138"/>
      <c r="J85" s="50"/>
      <c r="K85" s="50"/>
      <c r="L85" s="50"/>
      <c r="M85" s="138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6"/>
      <c r="D86" s="50"/>
      <c r="E86" s="50"/>
      <c r="F86" s="50"/>
      <c r="G86" s="50"/>
      <c r="H86" s="50"/>
      <c r="I86" s="138"/>
      <c r="J86" s="50"/>
      <c r="K86" s="50"/>
      <c r="L86" s="50"/>
      <c r="M86" s="138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6"/>
      <c r="D87" s="50"/>
      <c r="E87" s="50"/>
      <c r="F87" s="50"/>
      <c r="G87" s="50"/>
      <c r="H87" s="50"/>
      <c r="I87" s="138"/>
      <c r="J87" s="50"/>
      <c r="K87" s="50"/>
      <c r="L87" s="50"/>
      <c r="M87" s="138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6"/>
      <c r="D88" s="50"/>
      <c r="E88" s="50"/>
      <c r="F88" s="50"/>
      <c r="G88" s="50"/>
      <c r="H88" s="50"/>
      <c r="I88" s="138"/>
      <c r="J88" s="50"/>
      <c r="K88" s="50"/>
      <c r="L88" s="50"/>
      <c r="M88" s="138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6"/>
      <c r="D89" s="50"/>
      <c r="E89" s="50"/>
      <c r="F89" s="50"/>
      <c r="G89" s="50"/>
      <c r="H89" s="50"/>
      <c r="I89" s="138"/>
      <c r="J89" s="50"/>
      <c r="K89" s="50"/>
      <c r="L89" s="50"/>
      <c r="M89" s="138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6"/>
      <c r="D90" s="50"/>
      <c r="E90" s="50"/>
      <c r="F90" s="50"/>
      <c r="G90" s="50"/>
      <c r="H90" s="50"/>
      <c r="I90" s="138"/>
      <c r="J90" s="50"/>
      <c r="K90" s="50"/>
      <c r="L90" s="50"/>
      <c r="M90" s="138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6"/>
      <c r="D91" s="50"/>
      <c r="E91" s="50"/>
      <c r="F91" s="50"/>
      <c r="G91" s="50"/>
      <c r="H91" s="50"/>
      <c r="I91" s="138"/>
      <c r="J91" s="50"/>
      <c r="K91" s="50"/>
      <c r="L91" s="50"/>
      <c r="M91" s="138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6"/>
      <c r="D92" s="50"/>
      <c r="E92" s="50"/>
      <c r="F92" s="50"/>
      <c r="G92" s="50"/>
      <c r="H92" s="50"/>
      <c r="I92" s="138"/>
      <c r="J92" s="50"/>
      <c r="K92" s="50"/>
      <c r="L92" s="50"/>
      <c r="M92" s="138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6"/>
      <c r="D93" s="50"/>
      <c r="E93" s="50"/>
      <c r="F93" s="50"/>
      <c r="G93" s="50"/>
      <c r="H93" s="50"/>
      <c r="I93" s="138"/>
      <c r="J93" s="50"/>
      <c r="K93" s="50"/>
      <c r="L93" s="50"/>
      <c r="M93" s="138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6"/>
      <c r="D94" s="50"/>
      <c r="E94" s="50"/>
      <c r="F94" s="50"/>
      <c r="G94" s="50"/>
      <c r="H94" s="50"/>
      <c r="I94" s="138"/>
      <c r="J94" s="50"/>
      <c r="K94" s="50"/>
      <c r="L94" s="50"/>
      <c r="M94" s="138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6"/>
      <c r="D95" s="50"/>
      <c r="E95" s="50"/>
      <c r="F95" s="50"/>
      <c r="G95" s="50"/>
      <c r="H95" s="50"/>
      <c r="I95" s="138"/>
      <c r="J95" s="50"/>
      <c r="K95" s="50"/>
      <c r="L95" s="50"/>
      <c r="M95" s="138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6"/>
      <c r="D96" s="50"/>
      <c r="E96" s="50"/>
      <c r="F96" s="50"/>
      <c r="G96" s="50"/>
      <c r="H96" s="50"/>
      <c r="I96" s="138"/>
      <c r="J96" s="50"/>
      <c r="K96" s="50"/>
      <c r="L96" s="50"/>
      <c r="M96" s="138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6"/>
      <c r="D97" s="50"/>
      <c r="E97" s="50"/>
      <c r="F97" s="50"/>
      <c r="G97" s="50"/>
      <c r="H97" s="50"/>
      <c r="I97" s="138"/>
      <c r="J97" s="50"/>
      <c r="K97" s="50"/>
      <c r="L97" s="50"/>
      <c r="M97" s="138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6"/>
      <c r="D98" s="50"/>
      <c r="E98" s="50"/>
      <c r="F98" s="50"/>
      <c r="G98" s="50"/>
      <c r="H98" s="50"/>
      <c r="I98" s="138"/>
      <c r="J98" s="50"/>
      <c r="K98" s="50"/>
      <c r="L98" s="50"/>
      <c r="M98" s="138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6"/>
      <c r="D99" s="50"/>
      <c r="E99" s="50"/>
      <c r="F99" s="50"/>
      <c r="G99" s="50"/>
      <c r="H99" s="50"/>
      <c r="I99" s="138"/>
      <c r="J99" s="50"/>
      <c r="K99" s="50"/>
      <c r="L99" s="50"/>
      <c r="M99" s="138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6"/>
      <c r="D100" s="50"/>
      <c r="E100" s="50"/>
      <c r="F100" s="50"/>
      <c r="G100" s="50"/>
      <c r="H100" s="50"/>
      <c r="I100" s="138"/>
      <c r="J100" s="50"/>
      <c r="K100" s="50"/>
      <c r="L100" s="50"/>
      <c r="M100" s="138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6"/>
      <c r="D101" s="50"/>
      <c r="E101" s="50"/>
      <c r="F101" s="50"/>
      <c r="G101" s="50"/>
      <c r="H101" s="50"/>
      <c r="I101" s="138"/>
      <c r="J101" s="50"/>
      <c r="K101" s="50"/>
      <c r="L101" s="50"/>
      <c r="M101" s="138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6"/>
      <c r="D102" s="50"/>
      <c r="E102" s="50"/>
      <c r="F102" s="50"/>
      <c r="G102" s="50"/>
      <c r="H102" s="50"/>
      <c r="I102" s="138"/>
      <c r="J102" s="50"/>
      <c r="K102" s="50"/>
      <c r="L102" s="50"/>
      <c r="M102" s="138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6"/>
      <c r="D103" s="50"/>
      <c r="E103" s="50"/>
      <c r="F103" s="50"/>
      <c r="G103" s="50"/>
      <c r="H103" s="50"/>
      <c r="I103" s="138"/>
      <c r="J103" s="50"/>
      <c r="K103" s="50"/>
      <c r="L103" s="50"/>
      <c r="M103" s="138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6"/>
      <c r="D104" s="50"/>
      <c r="E104" s="50"/>
      <c r="F104" s="50"/>
      <c r="G104" s="50"/>
      <c r="H104" s="50"/>
      <c r="I104" s="138"/>
      <c r="J104" s="50"/>
      <c r="K104" s="50"/>
      <c r="L104" s="50"/>
      <c r="M104" s="138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6"/>
      <c r="D105" s="50"/>
      <c r="E105" s="50"/>
      <c r="F105" s="50"/>
      <c r="G105" s="50"/>
      <c r="H105" s="50"/>
      <c r="I105" s="138"/>
      <c r="J105" s="50"/>
      <c r="K105" s="50"/>
      <c r="L105" s="50"/>
      <c r="M105" s="138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6"/>
      <c r="D106" s="50"/>
      <c r="E106" s="50"/>
      <c r="F106" s="50"/>
      <c r="G106" s="50"/>
      <c r="H106" s="50"/>
      <c r="I106" s="138"/>
      <c r="J106" s="50"/>
      <c r="K106" s="50"/>
      <c r="L106" s="50"/>
      <c r="M106" s="138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6"/>
      <c r="D107" s="50"/>
      <c r="E107" s="50"/>
      <c r="F107" s="50"/>
      <c r="G107" s="50"/>
      <c r="H107" s="50"/>
      <c r="I107" s="138"/>
      <c r="J107" s="50"/>
      <c r="K107" s="50"/>
      <c r="L107" s="50"/>
      <c r="M107" s="138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6"/>
      <c r="D108" s="50"/>
      <c r="E108" s="50"/>
      <c r="F108" s="50"/>
      <c r="G108" s="50"/>
      <c r="H108" s="50"/>
      <c r="I108" s="138"/>
      <c r="J108" s="50"/>
      <c r="K108" s="50"/>
      <c r="L108" s="50"/>
      <c r="M108" s="138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6"/>
      <c r="D109" s="50"/>
      <c r="E109" s="50"/>
      <c r="F109" s="50"/>
      <c r="G109" s="50"/>
      <c r="H109" s="50"/>
      <c r="I109" s="138"/>
      <c r="J109" s="50"/>
      <c r="K109" s="50"/>
      <c r="L109" s="50"/>
      <c r="M109" s="138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6"/>
      <c r="D110" s="50"/>
      <c r="E110" s="50"/>
      <c r="F110" s="50"/>
      <c r="G110" s="50"/>
      <c r="H110" s="50"/>
      <c r="I110" s="138"/>
      <c r="J110" s="50"/>
      <c r="K110" s="50"/>
      <c r="L110" s="50"/>
      <c r="M110" s="138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6"/>
      <c r="D111" s="50"/>
      <c r="E111" s="50"/>
      <c r="F111" s="50"/>
      <c r="G111" s="50"/>
      <c r="H111" s="50"/>
      <c r="I111" s="138"/>
      <c r="J111" s="50"/>
      <c r="K111" s="50"/>
      <c r="L111" s="50"/>
      <c r="M111" s="138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6"/>
      <c r="D112" s="50"/>
      <c r="E112" s="50"/>
      <c r="F112" s="50"/>
      <c r="G112" s="50"/>
      <c r="H112" s="50"/>
      <c r="I112" s="138"/>
      <c r="J112" s="50"/>
      <c r="K112" s="50"/>
      <c r="L112" s="50"/>
      <c r="M112" s="138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6"/>
      <c r="D113" s="50"/>
      <c r="E113" s="50"/>
      <c r="F113" s="50"/>
      <c r="G113" s="50"/>
      <c r="H113" s="50"/>
      <c r="I113" s="138"/>
      <c r="J113" s="50"/>
      <c r="K113" s="50"/>
      <c r="L113" s="50"/>
      <c r="M113" s="138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6"/>
      <c r="D114" s="50"/>
      <c r="E114" s="50"/>
      <c r="F114" s="50"/>
      <c r="G114" s="50"/>
      <c r="H114" s="50"/>
      <c r="I114" s="138"/>
      <c r="J114" s="50"/>
      <c r="K114" s="50"/>
      <c r="L114" s="50"/>
      <c r="M114" s="138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6"/>
      <c r="D115" s="50"/>
      <c r="E115" s="50"/>
      <c r="F115" s="50"/>
      <c r="G115" s="50"/>
      <c r="H115" s="50"/>
      <c r="I115" s="138"/>
      <c r="J115" s="50"/>
      <c r="K115" s="50"/>
      <c r="L115" s="50"/>
      <c r="M115" s="138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6"/>
      <c r="D116" s="50"/>
      <c r="E116" s="50"/>
      <c r="F116" s="50"/>
      <c r="G116" s="50"/>
      <c r="H116" s="50"/>
      <c r="I116" s="138"/>
      <c r="J116" s="50"/>
      <c r="K116" s="50"/>
      <c r="L116" s="50"/>
      <c r="M116" s="138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6"/>
      <c r="D117" s="50"/>
      <c r="E117" s="50"/>
      <c r="F117" s="50"/>
      <c r="G117" s="50"/>
      <c r="H117" s="50"/>
      <c r="I117" s="138"/>
      <c r="J117" s="50"/>
      <c r="K117" s="50"/>
      <c r="L117" s="50"/>
      <c r="M117" s="138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6"/>
      <c r="D118" s="50"/>
      <c r="E118" s="50"/>
      <c r="F118" s="50"/>
      <c r="G118" s="50"/>
      <c r="H118" s="50"/>
      <c r="I118" s="138"/>
      <c r="J118" s="50"/>
      <c r="K118" s="50"/>
      <c r="L118" s="50"/>
      <c r="M118" s="138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6"/>
      <c r="D119" s="50"/>
      <c r="E119" s="50"/>
      <c r="F119" s="50"/>
      <c r="G119" s="50"/>
      <c r="H119" s="50"/>
      <c r="I119" s="138"/>
      <c r="J119" s="50"/>
      <c r="K119" s="50"/>
      <c r="L119" s="50"/>
      <c r="M119" s="138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6"/>
      <c r="D120" s="50"/>
      <c r="E120" s="50"/>
      <c r="F120" s="50"/>
      <c r="G120" s="50"/>
      <c r="H120" s="50"/>
      <c r="I120" s="138"/>
      <c r="J120" s="50"/>
      <c r="K120" s="50"/>
      <c r="L120" s="50"/>
      <c r="M120" s="138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6"/>
      <c r="D121" s="50"/>
      <c r="E121" s="50"/>
      <c r="F121" s="50"/>
      <c r="G121" s="50"/>
      <c r="H121" s="50"/>
      <c r="I121" s="138"/>
      <c r="J121" s="50"/>
      <c r="K121" s="50"/>
      <c r="L121" s="50"/>
      <c r="M121" s="138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6"/>
      <c r="D122" s="50"/>
      <c r="E122" s="50"/>
      <c r="F122" s="50"/>
      <c r="G122" s="50"/>
      <c r="H122" s="50"/>
      <c r="I122" s="138"/>
      <c r="J122" s="50"/>
      <c r="K122" s="50"/>
      <c r="L122" s="50"/>
      <c r="M122" s="138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6"/>
      <c r="D123" s="50"/>
      <c r="E123" s="50"/>
      <c r="F123" s="50"/>
      <c r="G123" s="50"/>
      <c r="H123" s="50"/>
      <c r="I123" s="138"/>
      <c r="J123" s="50"/>
      <c r="K123" s="50"/>
      <c r="L123" s="50"/>
      <c r="M123" s="138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6"/>
      <c r="D124" s="50"/>
      <c r="E124" s="50"/>
      <c r="F124" s="50"/>
      <c r="G124" s="50"/>
      <c r="H124" s="50"/>
      <c r="I124" s="138"/>
      <c r="J124" s="50"/>
      <c r="K124" s="50"/>
      <c r="L124" s="50"/>
      <c r="M124" s="138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6"/>
      <c r="D125" s="50"/>
      <c r="E125" s="50"/>
      <c r="F125" s="50"/>
      <c r="G125" s="50"/>
      <c r="H125" s="50"/>
      <c r="I125" s="138"/>
      <c r="J125" s="50"/>
      <c r="K125" s="50"/>
      <c r="L125" s="50"/>
      <c r="M125" s="138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6"/>
      <c r="D126" s="50"/>
      <c r="E126" s="50"/>
      <c r="F126" s="50"/>
      <c r="G126" s="50"/>
      <c r="H126" s="50"/>
      <c r="I126" s="138"/>
      <c r="J126" s="50"/>
      <c r="K126" s="50"/>
      <c r="L126" s="50"/>
      <c r="M126" s="138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6"/>
      <c r="D127" s="50"/>
      <c r="E127" s="50"/>
      <c r="F127" s="50"/>
      <c r="G127" s="50"/>
      <c r="H127" s="50"/>
      <c r="I127" s="138"/>
      <c r="J127" s="50"/>
      <c r="K127" s="50"/>
      <c r="L127" s="50"/>
      <c r="M127" s="138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6"/>
      <c r="D128" s="50"/>
      <c r="E128" s="50"/>
      <c r="F128" s="50"/>
      <c r="G128" s="50"/>
      <c r="H128" s="50"/>
      <c r="I128" s="138"/>
      <c r="J128" s="50"/>
      <c r="K128" s="50"/>
      <c r="L128" s="50"/>
      <c r="M128" s="138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6"/>
      <c r="D129" s="50"/>
      <c r="E129" s="50"/>
      <c r="F129" s="50"/>
      <c r="G129" s="50"/>
      <c r="H129" s="50"/>
      <c r="I129" s="138"/>
      <c r="J129" s="50"/>
      <c r="K129" s="50"/>
      <c r="L129" s="50"/>
      <c r="M129" s="138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6"/>
      <c r="D130" s="50"/>
      <c r="E130" s="50"/>
      <c r="F130" s="50"/>
      <c r="G130" s="50"/>
      <c r="H130" s="50"/>
      <c r="I130" s="138"/>
      <c r="J130" s="50"/>
      <c r="K130" s="50"/>
      <c r="L130" s="50"/>
      <c r="M130" s="138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6"/>
      <c r="D131" s="50"/>
      <c r="E131" s="50"/>
      <c r="F131" s="50"/>
      <c r="G131" s="50"/>
      <c r="H131" s="50"/>
      <c r="I131" s="138"/>
      <c r="J131" s="50"/>
      <c r="K131" s="50"/>
      <c r="L131" s="50"/>
      <c r="M131" s="138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62" t="s">
        <v>11</v>
      </c>
      <c r="C132" s="163"/>
      <c r="D132" s="88">
        <f t="shared" ref="D132:L132" si="104">SUM(D6:D60)</f>
        <v>0</v>
      </c>
      <c r="E132" s="88">
        <f t="shared" si="104"/>
        <v>0</v>
      </c>
      <c r="F132" s="88">
        <f t="shared" si="104"/>
        <v>0</v>
      </c>
      <c r="G132" s="88">
        <f t="shared" si="104"/>
        <v>680</v>
      </c>
      <c r="H132" s="88">
        <f t="shared" si="104"/>
        <v>640</v>
      </c>
      <c r="I132" s="88">
        <f t="shared" si="104"/>
        <v>0</v>
      </c>
      <c r="J132" s="88">
        <f t="shared" si="104"/>
        <v>960</v>
      </c>
      <c r="K132" s="88">
        <f t="shared" si="104"/>
        <v>960</v>
      </c>
      <c r="L132" s="88">
        <f t="shared" si="104"/>
        <v>1040</v>
      </c>
      <c r="M132" s="48">
        <f t="shared" ref="M132:M135" si="105">SUM(D132:L132)/40</f>
        <v>107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66</v>
      </c>
      <c r="Q132" s="40">
        <f t="shared" ref="Q132:Q136" si="107">SUM(J132:L132)/20</f>
        <v>148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50" t="s">
        <v>73</v>
      </c>
      <c r="C136" s="151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39" t="s">
        <v>11</v>
      </c>
      <c r="C137" s="140"/>
      <c r="D137" s="89">
        <f>SUM(D132,D136)</f>
        <v>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680</v>
      </c>
      <c r="H137" s="89">
        <f t="shared" si="112"/>
        <v>640</v>
      </c>
      <c r="I137" s="89">
        <f t="shared" si="112"/>
        <v>0</v>
      </c>
      <c r="J137" s="89">
        <f t="shared" si="112"/>
        <v>960</v>
      </c>
      <c r="K137" s="89">
        <f t="shared" si="112"/>
        <v>960</v>
      </c>
      <c r="L137" s="89">
        <f t="shared" si="112"/>
        <v>1040</v>
      </c>
      <c r="M137" s="60">
        <f t="shared" si="0"/>
        <v>107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136</v>
      </c>
      <c r="Q137" s="64">
        <f t="shared" si="113"/>
        <v>302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O25"/>
  <sheetViews>
    <sheetView zoomScale="85" zoomScaleNormal="85" workbookViewId="0">
      <selection activeCell="G7" sqref="G7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3.08984375" customWidth="1"/>
    <col min="5" max="6" width="12.36328125" customWidth="1"/>
    <col min="7" max="7" width="11.26953125" customWidth="1"/>
    <col min="8" max="8" width="10.90625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</cols>
  <sheetData>
    <row r="2" spans="3:15" ht="15" thickBot="1" x14ac:dyDescent="0.4"/>
    <row r="3" spans="3:15" ht="30" customHeight="1" thickBot="1" x14ac:dyDescent="0.4">
      <c r="C3" s="164" t="s">
        <v>50</v>
      </c>
      <c r="D3" s="165"/>
      <c r="E3" s="165"/>
      <c r="F3" s="165"/>
      <c r="G3" s="166"/>
      <c r="H3" s="168" t="s">
        <v>65</v>
      </c>
      <c r="I3" s="169"/>
      <c r="K3" s="170" t="s">
        <v>69</v>
      </c>
      <c r="L3" s="170"/>
      <c r="M3" s="170"/>
      <c r="N3" s="170"/>
      <c r="O3" s="170"/>
    </row>
    <row r="4" spans="3:15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</row>
    <row r="5" spans="3:15" ht="32" customHeight="1" x14ac:dyDescent="0.55000000000000004">
      <c r="C5" s="105" t="s">
        <v>51</v>
      </c>
      <c r="D5" s="92">
        <v>35.85</v>
      </c>
      <c r="E5" s="79">
        <v>70</v>
      </c>
      <c r="F5" s="79"/>
      <c r="G5" s="106">
        <f>SUM(D5:F5)</f>
        <v>105.85</v>
      </c>
      <c r="H5" s="99"/>
      <c r="I5" s="100">
        <f>G5-H5</f>
        <v>105.85</v>
      </c>
      <c r="K5" s="1" t="s">
        <v>1</v>
      </c>
      <c r="L5" s="7">
        <v>70</v>
      </c>
      <c r="M5" s="5"/>
      <c r="N5" s="6">
        <f t="shared" ref="N5:N11" si="0">M5/40</f>
        <v>0</v>
      </c>
      <c r="O5" s="81"/>
    </row>
    <row r="6" spans="3:15" ht="32" customHeight="1" thickBot="1" x14ac:dyDescent="0.6">
      <c r="C6" s="107" t="s">
        <v>52</v>
      </c>
      <c r="D6" s="108">
        <f>D5*40</f>
        <v>1434</v>
      </c>
      <c r="E6" s="109">
        <f>E5*40</f>
        <v>2800</v>
      </c>
      <c r="F6" s="109">
        <f>F5*40</f>
        <v>0</v>
      </c>
      <c r="G6" s="110">
        <f>SUM(D6:F6)</f>
        <v>4234</v>
      </c>
      <c r="H6" s="101">
        <f>H5*40</f>
        <v>0</v>
      </c>
      <c r="I6" s="102">
        <f>G6-H6</f>
        <v>4234</v>
      </c>
      <c r="K6" s="1" t="s">
        <v>2</v>
      </c>
      <c r="L6" s="7">
        <v>70</v>
      </c>
      <c r="M6" s="5"/>
      <c r="N6" s="6">
        <f t="shared" si="0"/>
        <v>0</v>
      </c>
      <c r="O6" s="81"/>
    </row>
    <row r="7" spans="3:15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/>
    </row>
    <row r="8" spans="3:15" ht="23.5" x14ac:dyDescent="0.55000000000000004">
      <c r="C8" s="82" t="s">
        <v>54</v>
      </c>
      <c r="K8" s="1" t="s">
        <v>4</v>
      </c>
      <c r="L8" s="7">
        <v>120</v>
      </c>
      <c r="M8" s="5"/>
      <c r="N8" s="6">
        <f t="shared" si="0"/>
        <v>0</v>
      </c>
      <c r="O8" s="81"/>
    </row>
    <row r="9" spans="3:15" ht="23.5" x14ac:dyDescent="0.55000000000000004">
      <c r="C9" s="82" t="s">
        <v>55</v>
      </c>
      <c r="D9" s="111">
        <f>D8-D5</f>
        <v>-35.85</v>
      </c>
      <c r="E9" s="111">
        <f>E8-E5</f>
        <v>-70</v>
      </c>
      <c r="K9" s="1" t="s">
        <v>5</v>
      </c>
      <c r="L9" s="7">
        <v>120</v>
      </c>
      <c r="M9" s="5"/>
      <c r="N9" s="6">
        <f t="shared" si="0"/>
        <v>0</v>
      </c>
      <c r="O9" s="81"/>
    </row>
    <row r="10" spans="3:15" ht="23.5" x14ac:dyDescent="0.55000000000000004">
      <c r="K10" s="1" t="s">
        <v>6</v>
      </c>
      <c r="L10" s="7">
        <v>120</v>
      </c>
      <c r="M10" s="5"/>
      <c r="N10" s="6">
        <f t="shared" si="0"/>
        <v>0</v>
      </c>
      <c r="O10" s="81"/>
    </row>
    <row r="11" spans="3:15" ht="23.5" x14ac:dyDescent="0.55000000000000004">
      <c r="C11" s="167" t="s">
        <v>62</v>
      </c>
      <c r="D11" s="167"/>
      <c r="F11" s="167" t="s">
        <v>71</v>
      </c>
      <c r="G11" s="167"/>
      <c r="K11" s="1" t="s">
        <v>7</v>
      </c>
      <c r="L11" s="7">
        <v>60</v>
      </c>
      <c r="M11" s="5"/>
      <c r="N11" s="6">
        <f t="shared" si="0"/>
        <v>0</v>
      </c>
      <c r="O11" s="81"/>
    </row>
    <row r="12" spans="3:15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3539.85</v>
      </c>
      <c r="K12" s="1" t="s">
        <v>11</v>
      </c>
      <c r="L12" s="2"/>
      <c r="M12" s="8">
        <f>SUM(M5:M11)</f>
        <v>0</v>
      </c>
      <c r="N12" s="9">
        <f>SUM(N5:N11)</f>
        <v>0</v>
      </c>
      <c r="O12" s="9">
        <f>SUM(O5:O11)</f>
        <v>0</v>
      </c>
    </row>
    <row r="13" spans="3:15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141594</v>
      </c>
    </row>
    <row r="16" spans="3:15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11:15" ht="23.5" x14ac:dyDescent="0.55000000000000004">
      <c r="K17" s="118" t="s">
        <v>1</v>
      </c>
      <c r="L17" s="120">
        <v>70</v>
      </c>
      <c r="M17" s="119">
        <v>11562</v>
      </c>
      <c r="N17" s="126">
        <v>13270</v>
      </c>
      <c r="O17" s="127">
        <f>N17-M5</f>
        <v>13270</v>
      </c>
    </row>
    <row r="18" spans="11:15" ht="23.5" x14ac:dyDescent="0.55000000000000004">
      <c r="K18" s="1" t="s">
        <v>2</v>
      </c>
      <c r="L18" s="121">
        <v>70</v>
      </c>
      <c r="M18" s="5">
        <v>10770</v>
      </c>
      <c r="N18" s="5">
        <v>14352</v>
      </c>
      <c r="O18" s="127">
        <f>N18-M6</f>
        <v>14352</v>
      </c>
    </row>
    <row r="19" spans="11:15" ht="23.5" x14ac:dyDescent="0.55000000000000004">
      <c r="K19" s="1" t="s">
        <v>3</v>
      </c>
      <c r="L19" s="121">
        <v>70</v>
      </c>
      <c r="M19" s="5">
        <v>14619</v>
      </c>
      <c r="N19" s="5">
        <v>1010</v>
      </c>
      <c r="O19" s="127">
        <f t="shared" ref="O19:O23" si="1">N19-M7</f>
        <v>1010</v>
      </c>
    </row>
    <row r="20" spans="11:15" ht="23.5" x14ac:dyDescent="0.55000000000000004">
      <c r="K20" s="1" t="s">
        <v>4</v>
      </c>
      <c r="L20" s="121">
        <v>120</v>
      </c>
      <c r="M20" s="5">
        <v>19143</v>
      </c>
      <c r="N20" s="5">
        <v>12294</v>
      </c>
      <c r="O20" s="127">
        <f t="shared" si="1"/>
        <v>12294</v>
      </c>
    </row>
    <row r="21" spans="11:15" ht="23.5" x14ac:dyDescent="0.55000000000000004">
      <c r="K21" s="1" t="s">
        <v>5</v>
      </c>
      <c r="L21" s="121">
        <v>120</v>
      </c>
      <c r="M21" s="5">
        <v>17100</v>
      </c>
      <c r="N21" s="5">
        <v>6522</v>
      </c>
      <c r="O21" s="127">
        <f t="shared" si="1"/>
        <v>6522</v>
      </c>
    </row>
    <row r="22" spans="11:15" ht="23.5" x14ac:dyDescent="0.55000000000000004">
      <c r="K22" s="1" t="s">
        <v>6</v>
      </c>
      <c r="L22" s="121">
        <v>120</v>
      </c>
      <c r="M22" s="5">
        <v>23404</v>
      </c>
      <c r="N22" s="5">
        <v>9539</v>
      </c>
      <c r="O22" s="127">
        <f t="shared" si="1"/>
        <v>9539</v>
      </c>
    </row>
    <row r="23" spans="11:15" ht="23.5" x14ac:dyDescent="0.55000000000000004">
      <c r="K23" s="1" t="s">
        <v>7</v>
      </c>
      <c r="L23" s="121">
        <v>60</v>
      </c>
      <c r="M23" s="5">
        <v>7379</v>
      </c>
      <c r="N23" s="5">
        <v>57991</v>
      </c>
      <c r="O23" s="127">
        <f t="shared" si="1"/>
        <v>57991</v>
      </c>
    </row>
    <row r="24" spans="11:15" ht="24" thickBot="1" x14ac:dyDescent="0.6">
      <c r="K24" s="123" t="s">
        <v>74</v>
      </c>
      <c r="L24" s="124"/>
      <c r="M24" s="125">
        <f>SUM(M17:M23)</f>
        <v>103977</v>
      </c>
      <c r="N24" s="125">
        <f>SUM(N17:N23)</f>
        <v>114978</v>
      </c>
      <c r="O24" s="122">
        <f>SUM(O17:O23)</f>
        <v>114978</v>
      </c>
    </row>
    <row r="25" spans="11:15" ht="24" thickBot="1" x14ac:dyDescent="0.6">
      <c r="K25" s="123" t="s">
        <v>75</v>
      </c>
      <c r="L25" s="124"/>
      <c r="M25" s="125">
        <f>M24/40</f>
        <v>2599.4250000000002</v>
      </c>
      <c r="N25" s="125">
        <f>N24/40</f>
        <v>2874.45</v>
      </c>
      <c r="O25" s="122">
        <f>O24/40</f>
        <v>2874.45</v>
      </c>
    </row>
  </sheetData>
  <mergeCells count="5">
    <mergeCell ref="C3:G3"/>
    <mergeCell ref="C11:D11"/>
    <mergeCell ref="H3:I3"/>
    <mergeCell ref="K3:O3"/>
    <mergeCell ref="F11:G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L25"/>
  <sheetViews>
    <sheetView tabSelected="1" topLeftCell="B1" zoomScale="115" zoomScaleNormal="115" workbookViewId="0">
      <selection activeCell="L4" sqref="L4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2.08984375" bestFit="1" customWidth="1"/>
    <col min="10" max="10" width="8.81640625" customWidth="1"/>
    <col min="11" max="11" width="11" bestFit="1" customWidth="1"/>
  </cols>
  <sheetData>
    <row r="1" spans="1:12" x14ac:dyDescent="0.35">
      <c r="A1" s="2" t="s">
        <v>37</v>
      </c>
      <c r="B1" s="81" t="s">
        <v>53</v>
      </c>
      <c r="C1" s="81" t="s">
        <v>48</v>
      </c>
      <c r="D1" s="81" t="s">
        <v>9</v>
      </c>
      <c r="I1" s="128" t="s">
        <v>81</v>
      </c>
      <c r="J1" s="128" t="s">
        <v>82</v>
      </c>
      <c r="K1" s="128" t="s">
        <v>80</v>
      </c>
    </row>
    <row r="2" spans="1:12" x14ac:dyDescent="0.35">
      <c r="A2" s="2" t="s">
        <v>79</v>
      </c>
      <c r="B2" s="2"/>
      <c r="C2" s="2"/>
      <c r="D2" s="2"/>
      <c r="I2" s="81" t="s">
        <v>99</v>
      </c>
      <c r="J2" s="81">
        <v>70</v>
      </c>
      <c r="K2" s="81" t="s">
        <v>100</v>
      </c>
      <c r="L2" t="s">
        <v>105</v>
      </c>
    </row>
    <row r="3" spans="1:12" x14ac:dyDescent="0.35">
      <c r="A3" s="2"/>
      <c r="B3" s="2"/>
      <c r="C3" s="2"/>
      <c r="D3" s="2"/>
      <c r="I3" s="171" t="s">
        <v>101</v>
      </c>
      <c r="J3" s="171">
        <v>10</v>
      </c>
      <c r="K3" s="171" t="s">
        <v>100</v>
      </c>
    </row>
    <row r="4" spans="1:12" x14ac:dyDescent="0.35">
      <c r="A4" s="2"/>
      <c r="B4" s="2"/>
      <c r="C4" s="2"/>
      <c r="D4" s="2"/>
      <c r="I4" s="171" t="s">
        <v>102</v>
      </c>
      <c r="J4" s="171">
        <v>9</v>
      </c>
      <c r="K4" s="171" t="s">
        <v>100</v>
      </c>
    </row>
    <row r="5" spans="1:12" x14ac:dyDescent="0.35">
      <c r="A5" s="2"/>
      <c r="B5" s="2"/>
      <c r="C5" s="2"/>
      <c r="D5" s="2"/>
      <c r="I5" s="171" t="s">
        <v>103</v>
      </c>
      <c r="J5" s="171">
        <v>18</v>
      </c>
      <c r="K5" s="171" t="s">
        <v>100</v>
      </c>
    </row>
    <row r="6" spans="1:12" x14ac:dyDescent="0.35">
      <c r="A6" s="2"/>
      <c r="B6" s="2"/>
      <c r="C6" s="2"/>
      <c r="D6" s="2"/>
      <c r="I6" s="171" t="s">
        <v>104</v>
      </c>
      <c r="J6" s="171">
        <v>5</v>
      </c>
      <c r="K6" s="171" t="s">
        <v>100</v>
      </c>
    </row>
    <row r="7" spans="1:12" x14ac:dyDescent="0.35">
      <c r="A7" s="2"/>
      <c r="B7" s="2"/>
      <c r="C7" s="2"/>
      <c r="D7" s="2"/>
      <c r="I7" s="81" t="s">
        <v>106</v>
      </c>
      <c r="J7" s="81">
        <v>14</v>
      </c>
      <c r="K7" s="81" t="s">
        <v>110</v>
      </c>
    </row>
    <row r="8" spans="1:12" x14ac:dyDescent="0.35">
      <c r="A8" s="2"/>
      <c r="B8" s="2"/>
      <c r="C8" s="2"/>
      <c r="D8" s="2"/>
      <c r="F8" s="81"/>
      <c r="G8" s="81"/>
      <c r="H8" s="81"/>
      <c r="I8" s="81" t="s">
        <v>107</v>
      </c>
      <c r="J8" s="81">
        <v>13</v>
      </c>
      <c r="K8" s="81" t="s">
        <v>110</v>
      </c>
      <c r="L8" s="133"/>
    </row>
    <row r="9" spans="1:12" x14ac:dyDescent="0.35">
      <c r="A9" s="2"/>
      <c r="B9" s="2"/>
      <c r="C9" s="2"/>
      <c r="D9" s="2"/>
      <c r="I9" s="81" t="s">
        <v>108</v>
      </c>
      <c r="J9" s="81">
        <v>4</v>
      </c>
      <c r="K9" s="81" t="s">
        <v>110</v>
      </c>
      <c r="L9" s="133"/>
    </row>
    <row r="10" spans="1:12" x14ac:dyDescent="0.35">
      <c r="A10" s="2"/>
      <c r="B10" s="2"/>
      <c r="C10" s="2"/>
      <c r="D10" s="2"/>
      <c r="I10" s="81" t="s">
        <v>109</v>
      </c>
      <c r="J10" s="81">
        <v>12</v>
      </c>
      <c r="K10" s="81" t="s">
        <v>110</v>
      </c>
      <c r="L10" s="133"/>
    </row>
    <row r="11" spans="1:12" x14ac:dyDescent="0.35">
      <c r="A11" s="2"/>
      <c r="B11" s="2"/>
      <c r="C11" s="2"/>
      <c r="D11" s="2"/>
      <c r="I11" s="81" t="s">
        <v>109</v>
      </c>
      <c r="J11" s="81">
        <v>19</v>
      </c>
      <c r="K11" s="81" t="s">
        <v>110</v>
      </c>
      <c r="L11" s="133"/>
    </row>
    <row r="12" spans="1:12" x14ac:dyDescent="0.35">
      <c r="A12" s="2"/>
      <c r="B12" s="2"/>
      <c r="C12" s="2"/>
      <c r="D12" s="2"/>
      <c r="I12" s="81"/>
      <c r="J12" s="81"/>
      <c r="K12" s="81"/>
      <c r="L12" s="133"/>
    </row>
    <row r="13" spans="1:12" x14ac:dyDescent="0.35">
      <c r="A13" s="2"/>
      <c r="B13" s="2"/>
      <c r="C13" s="2"/>
      <c r="D13" s="2"/>
      <c r="I13" s="81"/>
      <c r="J13" s="81"/>
      <c r="K13" s="81"/>
      <c r="L13" s="133"/>
    </row>
    <row r="14" spans="1:12" x14ac:dyDescent="0.35">
      <c r="A14" s="2"/>
      <c r="B14" s="2"/>
      <c r="C14" s="2"/>
      <c r="D14" s="2"/>
      <c r="I14" s="81"/>
      <c r="J14" s="81"/>
      <c r="K14" s="81"/>
      <c r="L14" s="133"/>
    </row>
    <row r="15" spans="1:12" x14ac:dyDescent="0.35">
      <c r="A15" s="2"/>
      <c r="B15" s="2"/>
      <c r="C15" s="2"/>
      <c r="D15" s="2"/>
      <c r="I15" s="81"/>
      <c r="J15" s="81"/>
      <c r="K15" s="81"/>
    </row>
    <row r="16" spans="1:12" x14ac:dyDescent="0.35">
      <c r="A16" s="2"/>
      <c r="B16" s="2"/>
      <c r="C16" s="2"/>
      <c r="D16" s="2"/>
      <c r="I16" s="81"/>
      <c r="J16" s="81"/>
      <c r="K16" s="81"/>
      <c r="L16" s="134"/>
    </row>
    <row r="17" spans="1:11" x14ac:dyDescent="0.35">
      <c r="A17" s="2"/>
      <c r="B17" s="2"/>
      <c r="C17" s="2"/>
      <c r="D17" s="2"/>
      <c r="I17" s="81"/>
      <c r="J17" s="81"/>
      <c r="K17" s="81"/>
    </row>
    <row r="18" spans="1:11" x14ac:dyDescent="0.35">
      <c r="A18" s="2"/>
      <c r="B18" s="2"/>
      <c r="C18" s="2"/>
      <c r="D18" s="2"/>
      <c r="I18" s="81"/>
      <c r="J18" s="81"/>
      <c r="K18" s="81"/>
    </row>
    <row r="19" spans="1:11" ht="15" thickBot="1" x14ac:dyDescent="0.4">
      <c r="A19" s="83"/>
      <c r="B19" s="83"/>
      <c r="C19" s="83"/>
      <c r="D19" s="83"/>
      <c r="I19" s="81"/>
      <c r="J19" s="81"/>
      <c r="K19" s="81"/>
    </row>
    <row r="20" spans="1:11" ht="15" thickBot="1" x14ac:dyDescent="0.4">
      <c r="A20" s="84"/>
      <c r="B20" s="85"/>
      <c r="C20" s="85"/>
      <c r="D20" s="86"/>
      <c r="I20" s="81"/>
      <c r="J20" s="81"/>
      <c r="K20" s="81"/>
    </row>
    <row r="21" spans="1:11" x14ac:dyDescent="0.35">
      <c r="I21" s="81"/>
      <c r="J21" s="81"/>
      <c r="K21" s="81"/>
    </row>
    <row r="22" spans="1:11" x14ac:dyDescent="0.35">
      <c r="I22" s="81"/>
      <c r="J22" s="81"/>
      <c r="K22" s="81"/>
    </row>
    <row r="23" spans="1:11" x14ac:dyDescent="0.35">
      <c r="I23" s="81"/>
      <c r="J23" s="81"/>
      <c r="K23" s="81"/>
    </row>
    <row r="24" spans="1:11" x14ac:dyDescent="0.35">
      <c r="I24" s="81"/>
      <c r="J24" s="81"/>
      <c r="K24" s="81"/>
    </row>
    <row r="25" spans="1:11" x14ac:dyDescent="0.35">
      <c r="I25" s="81"/>
      <c r="J25" s="81"/>
      <c r="K25" s="81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2026-07-03T05:50:50Z</dcterms:modified>
</cp:coreProperties>
</file>