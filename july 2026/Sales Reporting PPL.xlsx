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4ACD3B83-7EDD-4374-AA4F-4D990A937E5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(03-07-26)" sheetId="8" r:id="rId1"/>
    <sheet name="(02-07-26)" sheetId="7" r:id="rId2"/>
    <sheet name="(01-07-26)" sheetId="6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8" l="1"/>
  <c r="V24" i="8" l="1"/>
  <c r="S24" i="8"/>
  <c r="S25" i="8" s="1"/>
  <c r="P24" i="8"/>
  <c r="N24" i="8"/>
  <c r="K24" i="8"/>
  <c r="M24" i="8" s="1"/>
  <c r="J24" i="8"/>
  <c r="H24" i="8"/>
  <c r="I24" i="8" s="1"/>
  <c r="G24" i="8"/>
  <c r="U23" i="8"/>
  <c r="R23" i="8"/>
  <c r="T23" i="8" s="1"/>
  <c r="O23" i="8"/>
  <c r="Q23" i="8" s="1"/>
  <c r="M23" i="8"/>
  <c r="L23" i="8"/>
  <c r="I23" i="8"/>
  <c r="U22" i="8"/>
  <c r="T22" i="8"/>
  <c r="R22" i="8"/>
  <c r="O22" i="8"/>
  <c r="Q22" i="8" s="1"/>
  <c r="M22" i="8"/>
  <c r="L22" i="8"/>
  <c r="I22" i="8"/>
  <c r="U21" i="8"/>
  <c r="T21" i="8"/>
  <c r="R21" i="8"/>
  <c r="O21" i="8"/>
  <c r="Q21" i="8" s="1"/>
  <c r="M21" i="8"/>
  <c r="L21" i="8"/>
  <c r="I21" i="8"/>
  <c r="U20" i="8"/>
  <c r="R20" i="8"/>
  <c r="R24" i="8" s="1"/>
  <c r="O20" i="8"/>
  <c r="O24" i="8" s="1"/>
  <c r="M20" i="8"/>
  <c r="L20" i="8"/>
  <c r="I20" i="8"/>
  <c r="V19" i="8"/>
  <c r="S19" i="8"/>
  <c r="U19" i="8" s="1"/>
  <c r="P19" i="8"/>
  <c r="N19" i="8"/>
  <c r="K19" i="8"/>
  <c r="M19" i="8" s="1"/>
  <c r="J19" i="8"/>
  <c r="L19" i="8" s="1"/>
  <c r="I19" i="8"/>
  <c r="H19" i="8"/>
  <c r="G19" i="8"/>
  <c r="U18" i="8"/>
  <c r="T18" i="8"/>
  <c r="R18" i="8"/>
  <c r="O18" i="8"/>
  <c r="Q18" i="8" s="1"/>
  <c r="M18" i="8"/>
  <c r="L18" i="8"/>
  <c r="I18" i="8"/>
  <c r="U17" i="8"/>
  <c r="R17" i="8"/>
  <c r="T17" i="8" s="1"/>
  <c r="O17" i="8"/>
  <c r="Q17" i="8" s="1"/>
  <c r="M17" i="8"/>
  <c r="L17" i="8"/>
  <c r="I17" i="8"/>
  <c r="U16" i="8"/>
  <c r="R16" i="8"/>
  <c r="T16" i="8" s="1"/>
  <c r="O16" i="8"/>
  <c r="Q16" i="8" s="1"/>
  <c r="M16" i="8"/>
  <c r="L16" i="8"/>
  <c r="I16" i="8"/>
  <c r="U15" i="8"/>
  <c r="R15" i="8"/>
  <c r="T15" i="8" s="1"/>
  <c r="O15" i="8"/>
  <c r="Q15" i="8" s="1"/>
  <c r="M15" i="8"/>
  <c r="L15" i="8"/>
  <c r="I15" i="8"/>
  <c r="U14" i="8"/>
  <c r="T14" i="8"/>
  <c r="R14" i="8"/>
  <c r="O14" i="8"/>
  <c r="M14" i="8"/>
  <c r="L14" i="8"/>
  <c r="I14" i="8"/>
  <c r="S13" i="8"/>
  <c r="P13" i="8"/>
  <c r="U13" i="8" s="1"/>
  <c r="K13" i="8"/>
  <c r="J13" i="8"/>
  <c r="H13" i="8"/>
  <c r="G13" i="8"/>
  <c r="U12" i="8"/>
  <c r="R12" i="8"/>
  <c r="T12" i="8" s="1"/>
  <c r="O12" i="8"/>
  <c r="Q12" i="8" s="1"/>
  <c r="M12" i="8"/>
  <c r="L12" i="8"/>
  <c r="I12" i="8"/>
  <c r="U11" i="8"/>
  <c r="R11" i="8"/>
  <c r="T11" i="8" s="1"/>
  <c r="O11" i="8"/>
  <c r="Q11" i="8" s="1"/>
  <c r="M11" i="8"/>
  <c r="L11" i="8"/>
  <c r="I11" i="8"/>
  <c r="U10" i="8"/>
  <c r="R10" i="8"/>
  <c r="T10" i="8" s="1"/>
  <c r="O10" i="8"/>
  <c r="Q10" i="8" s="1"/>
  <c r="M10" i="8"/>
  <c r="L10" i="8"/>
  <c r="I10" i="8"/>
  <c r="U9" i="8"/>
  <c r="R9" i="8"/>
  <c r="T9" i="8" s="1"/>
  <c r="O9" i="8"/>
  <c r="Q9" i="8" s="1"/>
  <c r="M9" i="8"/>
  <c r="L9" i="8"/>
  <c r="N9" i="8" s="1"/>
  <c r="I9" i="8"/>
  <c r="U8" i="8"/>
  <c r="R8" i="8"/>
  <c r="T8" i="8" s="1"/>
  <c r="O8" i="8"/>
  <c r="Q8" i="8" s="1"/>
  <c r="M8" i="8"/>
  <c r="L8" i="8"/>
  <c r="I8" i="8"/>
  <c r="U7" i="8"/>
  <c r="R7" i="8"/>
  <c r="T7" i="8" s="1"/>
  <c r="O7" i="8"/>
  <c r="Q7" i="8" s="1"/>
  <c r="M7" i="8"/>
  <c r="I7" i="8"/>
  <c r="U6" i="8"/>
  <c r="R6" i="8"/>
  <c r="T6" i="8" s="1"/>
  <c r="O6" i="8"/>
  <c r="Q6" i="8" s="1"/>
  <c r="M6" i="8"/>
  <c r="L6" i="8"/>
  <c r="I6" i="8"/>
  <c r="N6" i="8" s="1"/>
  <c r="U5" i="8"/>
  <c r="R5" i="8"/>
  <c r="T5" i="8" s="1"/>
  <c r="O5" i="8"/>
  <c r="Q5" i="8" s="1"/>
  <c r="M5" i="8"/>
  <c r="L5" i="8"/>
  <c r="I5" i="8"/>
  <c r="U4" i="8"/>
  <c r="R4" i="8"/>
  <c r="O4" i="8"/>
  <c r="M4" i="8"/>
  <c r="L4" i="8"/>
  <c r="I4" i="8"/>
  <c r="N4" i="8" s="1"/>
  <c r="V24" i="7"/>
  <c r="S24" i="7"/>
  <c r="P24" i="7"/>
  <c r="N24" i="7"/>
  <c r="K24" i="7"/>
  <c r="J24" i="7"/>
  <c r="J25" i="7" s="1"/>
  <c r="H24" i="7"/>
  <c r="G24" i="7"/>
  <c r="U23" i="7"/>
  <c r="R23" i="7"/>
  <c r="T23" i="7" s="1"/>
  <c r="O23" i="7"/>
  <c r="Q23" i="7" s="1"/>
  <c r="M23" i="7"/>
  <c r="L23" i="7"/>
  <c r="I23" i="7"/>
  <c r="U22" i="7"/>
  <c r="R22" i="7"/>
  <c r="T22" i="7" s="1"/>
  <c r="Q22" i="7"/>
  <c r="O22" i="7"/>
  <c r="M22" i="7"/>
  <c r="L22" i="7"/>
  <c r="I22" i="7"/>
  <c r="U21" i="7"/>
  <c r="R21" i="7"/>
  <c r="T21" i="7" s="1"/>
  <c r="O21" i="7"/>
  <c r="Q21" i="7" s="1"/>
  <c r="M21" i="7"/>
  <c r="L21" i="7"/>
  <c r="I21" i="7"/>
  <c r="U20" i="7"/>
  <c r="R20" i="7"/>
  <c r="Q20" i="7"/>
  <c r="O20" i="7"/>
  <c r="O24" i="7" s="1"/>
  <c r="M20" i="7"/>
  <c r="L20" i="7"/>
  <c r="I20" i="7"/>
  <c r="V19" i="7"/>
  <c r="S19" i="7"/>
  <c r="P19" i="7"/>
  <c r="N19" i="7"/>
  <c r="K19" i="7"/>
  <c r="L19" i="7" s="1"/>
  <c r="J19" i="7"/>
  <c r="H19" i="7"/>
  <c r="G19" i="7"/>
  <c r="U18" i="7"/>
  <c r="R18" i="7"/>
  <c r="T18" i="7" s="1"/>
  <c r="O18" i="7"/>
  <c r="Q18" i="7" s="1"/>
  <c r="M18" i="7"/>
  <c r="L18" i="7"/>
  <c r="I18" i="7"/>
  <c r="U17" i="7"/>
  <c r="R17" i="7"/>
  <c r="T17" i="7" s="1"/>
  <c r="O17" i="7"/>
  <c r="Q17" i="7" s="1"/>
  <c r="M17" i="7"/>
  <c r="L17" i="7"/>
  <c r="I17" i="7"/>
  <c r="U16" i="7"/>
  <c r="R16" i="7"/>
  <c r="T16" i="7" s="1"/>
  <c r="Q16" i="7"/>
  <c r="O16" i="7"/>
  <c r="M16" i="7"/>
  <c r="L16" i="7"/>
  <c r="I16" i="7"/>
  <c r="U15" i="7"/>
  <c r="R15" i="7"/>
  <c r="T15" i="7" s="1"/>
  <c r="O15" i="7"/>
  <c r="Q15" i="7" s="1"/>
  <c r="M15" i="7"/>
  <c r="L15" i="7"/>
  <c r="I15" i="7"/>
  <c r="U14" i="7"/>
  <c r="R14" i="7"/>
  <c r="O14" i="7"/>
  <c r="O19" i="7" s="1"/>
  <c r="M14" i="7"/>
  <c r="L14" i="7"/>
  <c r="I14" i="7"/>
  <c r="S13" i="7"/>
  <c r="P13" i="7"/>
  <c r="K13" i="7"/>
  <c r="J13" i="7"/>
  <c r="H13" i="7"/>
  <c r="G13" i="7"/>
  <c r="U12" i="7"/>
  <c r="R12" i="7"/>
  <c r="T12" i="7" s="1"/>
  <c r="O12" i="7"/>
  <c r="Q12" i="7" s="1"/>
  <c r="M12" i="7"/>
  <c r="L12" i="7"/>
  <c r="N12" i="7" s="1"/>
  <c r="I12" i="7"/>
  <c r="U11" i="7"/>
  <c r="T11" i="7"/>
  <c r="R11" i="7"/>
  <c r="O11" i="7"/>
  <c r="Q11" i="7" s="1"/>
  <c r="V11" i="7" s="1"/>
  <c r="M11" i="7"/>
  <c r="L11" i="7"/>
  <c r="N11" i="7" s="1"/>
  <c r="I11" i="7"/>
  <c r="U10" i="7"/>
  <c r="R10" i="7"/>
  <c r="T10" i="7" s="1"/>
  <c r="O10" i="7"/>
  <c r="Q10" i="7" s="1"/>
  <c r="M10" i="7"/>
  <c r="L10" i="7"/>
  <c r="I10" i="7"/>
  <c r="U9" i="7"/>
  <c r="R9" i="7"/>
  <c r="T9" i="7" s="1"/>
  <c r="O9" i="7"/>
  <c r="Q9" i="7" s="1"/>
  <c r="M9" i="7"/>
  <c r="L9" i="7"/>
  <c r="I9" i="7"/>
  <c r="U8" i="7"/>
  <c r="R8" i="7"/>
  <c r="T8" i="7" s="1"/>
  <c r="O8" i="7"/>
  <c r="Q8" i="7" s="1"/>
  <c r="M8" i="7"/>
  <c r="L8" i="7"/>
  <c r="I8" i="7"/>
  <c r="U7" i="7"/>
  <c r="R7" i="7"/>
  <c r="T7" i="7" s="1"/>
  <c r="O7" i="7"/>
  <c r="Q7" i="7" s="1"/>
  <c r="M7" i="7"/>
  <c r="L7" i="7"/>
  <c r="I7" i="7"/>
  <c r="N7" i="7" s="1"/>
  <c r="U6" i="7"/>
  <c r="R6" i="7"/>
  <c r="T6" i="7" s="1"/>
  <c r="O6" i="7"/>
  <c r="Q6" i="7" s="1"/>
  <c r="M6" i="7"/>
  <c r="L6" i="7"/>
  <c r="I6" i="7"/>
  <c r="U5" i="7"/>
  <c r="R5" i="7"/>
  <c r="T5" i="7" s="1"/>
  <c r="O5" i="7"/>
  <c r="Q5" i="7" s="1"/>
  <c r="M5" i="7"/>
  <c r="L5" i="7"/>
  <c r="I5" i="7"/>
  <c r="U4" i="7"/>
  <c r="R4" i="7"/>
  <c r="O4" i="7"/>
  <c r="Q4" i="7" s="1"/>
  <c r="M4" i="7"/>
  <c r="L4" i="7"/>
  <c r="I4" i="7"/>
  <c r="V25" i="6"/>
  <c r="U25" i="6"/>
  <c r="S25" i="6"/>
  <c r="P25" i="6"/>
  <c r="N25" i="6"/>
  <c r="M25" i="6"/>
  <c r="K25" i="6"/>
  <c r="L25" i="6" s="1"/>
  <c r="J25" i="6"/>
  <c r="J26" i="6" s="1"/>
  <c r="I25" i="6"/>
  <c r="H25" i="6"/>
  <c r="G25" i="6"/>
  <c r="G26" i="6" s="1"/>
  <c r="U24" i="6"/>
  <c r="T24" i="6"/>
  <c r="R24" i="6"/>
  <c r="O24" i="6"/>
  <c r="Q24" i="6" s="1"/>
  <c r="M24" i="6"/>
  <c r="L24" i="6"/>
  <c r="I24" i="6"/>
  <c r="U23" i="6"/>
  <c r="T23" i="6"/>
  <c r="R23" i="6"/>
  <c r="O23" i="6"/>
  <c r="Q23" i="6" s="1"/>
  <c r="M23" i="6"/>
  <c r="L23" i="6"/>
  <c r="I23" i="6"/>
  <c r="U22" i="6"/>
  <c r="T22" i="6"/>
  <c r="R22" i="6"/>
  <c r="O22" i="6"/>
  <c r="Q22" i="6" s="1"/>
  <c r="M22" i="6"/>
  <c r="L22" i="6"/>
  <c r="I22" i="6"/>
  <c r="U21" i="6"/>
  <c r="T21" i="6"/>
  <c r="R21" i="6"/>
  <c r="R25" i="6" s="1"/>
  <c r="O21" i="6"/>
  <c r="O25" i="6" s="1"/>
  <c r="M21" i="6"/>
  <c r="L21" i="6"/>
  <c r="I21" i="6"/>
  <c r="V20" i="6"/>
  <c r="U20" i="6"/>
  <c r="S20" i="6"/>
  <c r="T20" i="6" s="1"/>
  <c r="R20" i="6"/>
  <c r="P20" i="6"/>
  <c r="N20" i="6"/>
  <c r="M20" i="6"/>
  <c r="K20" i="6"/>
  <c r="L20" i="6" s="1"/>
  <c r="J20" i="6"/>
  <c r="I20" i="6"/>
  <c r="H20" i="6"/>
  <c r="G20" i="6"/>
  <c r="U19" i="6"/>
  <c r="T19" i="6"/>
  <c r="R19" i="6"/>
  <c r="O19" i="6"/>
  <c r="Q19" i="6" s="1"/>
  <c r="M19" i="6"/>
  <c r="L19" i="6"/>
  <c r="I19" i="6"/>
  <c r="U18" i="6"/>
  <c r="T18" i="6"/>
  <c r="R18" i="6"/>
  <c r="O18" i="6"/>
  <c r="Q18" i="6" s="1"/>
  <c r="M18" i="6"/>
  <c r="L18" i="6"/>
  <c r="I18" i="6"/>
  <c r="U17" i="6"/>
  <c r="T17" i="6"/>
  <c r="R17" i="6"/>
  <c r="O17" i="6"/>
  <c r="Q17" i="6" s="1"/>
  <c r="M17" i="6"/>
  <c r="L17" i="6"/>
  <c r="I17" i="6"/>
  <c r="U16" i="6"/>
  <c r="T16" i="6"/>
  <c r="R16" i="6"/>
  <c r="O16" i="6"/>
  <c r="Q16" i="6" s="1"/>
  <c r="M16" i="6"/>
  <c r="L16" i="6"/>
  <c r="I16" i="6"/>
  <c r="U15" i="6"/>
  <c r="T15" i="6"/>
  <c r="R15" i="6"/>
  <c r="O15" i="6"/>
  <c r="O20" i="6" s="1"/>
  <c r="Q20" i="6" s="1"/>
  <c r="M15" i="6"/>
  <c r="L15" i="6"/>
  <c r="I15" i="6"/>
  <c r="S14" i="6"/>
  <c r="P14" i="6"/>
  <c r="K14" i="6"/>
  <c r="J14" i="6"/>
  <c r="H14" i="6"/>
  <c r="I14" i="6" s="1"/>
  <c r="G14" i="6"/>
  <c r="U13" i="6"/>
  <c r="R13" i="6"/>
  <c r="T13" i="6" s="1"/>
  <c r="O13" i="6"/>
  <c r="Q13" i="6" s="1"/>
  <c r="M13" i="6"/>
  <c r="L13" i="6"/>
  <c r="N13" i="6" s="1"/>
  <c r="I13" i="6"/>
  <c r="U12" i="6"/>
  <c r="R12" i="6"/>
  <c r="T12" i="6" s="1"/>
  <c r="O12" i="6"/>
  <c r="Q12" i="6" s="1"/>
  <c r="M12" i="6"/>
  <c r="L12" i="6"/>
  <c r="N12" i="6" s="1"/>
  <c r="I12" i="6"/>
  <c r="U11" i="6"/>
  <c r="R11" i="6"/>
  <c r="T11" i="6" s="1"/>
  <c r="O11" i="6"/>
  <c r="Q11" i="6" s="1"/>
  <c r="M11" i="6"/>
  <c r="L11" i="6"/>
  <c r="N11" i="6" s="1"/>
  <c r="I11" i="6"/>
  <c r="U10" i="6"/>
  <c r="R10" i="6"/>
  <c r="T10" i="6" s="1"/>
  <c r="V10" i="6" s="1"/>
  <c r="O10" i="6"/>
  <c r="Q10" i="6" s="1"/>
  <c r="N10" i="6"/>
  <c r="M10" i="6"/>
  <c r="L10" i="6"/>
  <c r="I10" i="6"/>
  <c r="U9" i="6"/>
  <c r="R9" i="6"/>
  <c r="T9" i="6" s="1"/>
  <c r="O9" i="6"/>
  <c r="Q9" i="6" s="1"/>
  <c r="M9" i="6"/>
  <c r="L9" i="6"/>
  <c r="N9" i="6" s="1"/>
  <c r="I9" i="6"/>
  <c r="U8" i="6"/>
  <c r="R8" i="6"/>
  <c r="T8" i="6" s="1"/>
  <c r="O8" i="6"/>
  <c r="Q8" i="6" s="1"/>
  <c r="M8" i="6"/>
  <c r="L8" i="6"/>
  <c r="I8" i="6"/>
  <c r="U7" i="6"/>
  <c r="R7" i="6"/>
  <c r="T7" i="6" s="1"/>
  <c r="O7" i="6"/>
  <c r="Q7" i="6" s="1"/>
  <c r="M7" i="6"/>
  <c r="L7" i="6"/>
  <c r="I7" i="6"/>
  <c r="U6" i="6"/>
  <c r="R6" i="6"/>
  <c r="T6" i="6" s="1"/>
  <c r="O6" i="6"/>
  <c r="Q6" i="6" s="1"/>
  <c r="M6" i="6"/>
  <c r="L6" i="6"/>
  <c r="I6" i="6"/>
  <c r="U5" i="6"/>
  <c r="R5" i="6"/>
  <c r="T5" i="6" s="1"/>
  <c r="O5" i="6"/>
  <c r="Q5" i="6" s="1"/>
  <c r="M5" i="6"/>
  <c r="L5" i="6"/>
  <c r="I5" i="6"/>
  <c r="U4" i="6"/>
  <c r="R4" i="6"/>
  <c r="O4" i="6"/>
  <c r="Q4" i="6" s="1"/>
  <c r="M4" i="6"/>
  <c r="L4" i="6"/>
  <c r="I4" i="6"/>
  <c r="O13" i="8" l="1"/>
  <c r="N8" i="8"/>
  <c r="O19" i="8"/>
  <c r="Q19" i="8" s="1"/>
  <c r="T20" i="8"/>
  <c r="U24" i="8"/>
  <c r="R19" i="8"/>
  <c r="T19" i="8" s="1"/>
  <c r="L24" i="8"/>
  <c r="N11" i="8"/>
  <c r="G25" i="8"/>
  <c r="R13" i="8"/>
  <c r="T13" i="8" s="1"/>
  <c r="N9" i="7"/>
  <c r="I13" i="7"/>
  <c r="V12" i="7"/>
  <c r="Q14" i="7"/>
  <c r="I19" i="7"/>
  <c r="G25" i="7"/>
  <c r="V9" i="7"/>
  <c r="N10" i="7"/>
  <c r="L13" i="7"/>
  <c r="R19" i="7"/>
  <c r="Q19" i="7"/>
  <c r="R24" i="7"/>
  <c r="T24" i="7" s="1"/>
  <c r="I24" i="7"/>
  <c r="P25" i="8"/>
  <c r="Q13" i="8"/>
  <c r="V12" i="8"/>
  <c r="V7" i="8"/>
  <c r="M13" i="8"/>
  <c r="K25" i="8"/>
  <c r="V10" i="8"/>
  <c r="L13" i="8"/>
  <c r="V5" i="8"/>
  <c r="Q4" i="8"/>
  <c r="N5" i="8"/>
  <c r="V6" i="8"/>
  <c r="N12" i="8"/>
  <c r="I13" i="8"/>
  <c r="N10" i="8"/>
  <c r="V11" i="8"/>
  <c r="V9" i="8"/>
  <c r="H25" i="8"/>
  <c r="N7" i="8"/>
  <c r="V8" i="8"/>
  <c r="T24" i="8"/>
  <c r="U25" i="8"/>
  <c r="N13" i="8"/>
  <c r="Q24" i="8"/>
  <c r="T4" i="8"/>
  <c r="J25" i="8"/>
  <c r="Q14" i="8"/>
  <c r="Q20" i="8"/>
  <c r="N5" i="7"/>
  <c r="V10" i="7"/>
  <c r="V6" i="7"/>
  <c r="R13" i="7"/>
  <c r="T13" i="7" s="1"/>
  <c r="V8" i="7"/>
  <c r="V7" i="7"/>
  <c r="N8" i="7"/>
  <c r="N6" i="7"/>
  <c r="V5" i="7"/>
  <c r="S25" i="7"/>
  <c r="P25" i="7"/>
  <c r="K25" i="7"/>
  <c r="L25" i="7" s="1"/>
  <c r="T4" i="7"/>
  <c r="V4" i="7" s="1"/>
  <c r="N4" i="7"/>
  <c r="T19" i="7"/>
  <c r="O13" i="7"/>
  <c r="O25" i="7" s="1"/>
  <c r="H25" i="7"/>
  <c r="I25" i="7" s="1"/>
  <c r="M13" i="7"/>
  <c r="U13" i="7"/>
  <c r="T14" i="7"/>
  <c r="M19" i="7"/>
  <c r="U19" i="7"/>
  <c r="T20" i="7"/>
  <c r="M24" i="7"/>
  <c r="Q24" i="7"/>
  <c r="U24" i="7"/>
  <c r="L24" i="7"/>
  <c r="U14" i="6"/>
  <c r="L14" i="6"/>
  <c r="N8" i="6"/>
  <c r="N6" i="6"/>
  <c r="R14" i="6"/>
  <c r="T14" i="6" s="1"/>
  <c r="N5" i="6"/>
  <c r="P26" i="6"/>
  <c r="V7" i="6"/>
  <c r="N4" i="6"/>
  <c r="N14" i="6" s="1"/>
  <c r="N7" i="6"/>
  <c r="M14" i="6"/>
  <c r="H26" i="6"/>
  <c r="I26" i="6" s="1"/>
  <c r="Q25" i="6"/>
  <c r="V9" i="6"/>
  <c r="V12" i="6"/>
  <c r="T25" i="6"/>
  <c r="V6" i="6"/>
  <c r="V11" i="6"/>
  <c r="V5" i="6"/>
  <c r="V8" i="6"/>
  <c r="V13" i="6"/>
  <c r="T4" i="6"/>
  <c r="V4" i="6" s="1"/>
  <c r="S26" i="6"/>
  <c r="O14" i="6"/>
  <c r="Q14" i="6" s="1"/>
  <c r="Q15" i="6"/>
  <c r="Q21" i="6"/>
  <c r="K26" i="6"/>
  <c r="M25" i="8" l="1"/>
  <c r="O25" i="8"/>
  <c r="Q25" i="8" s="1"/>
  <c r="R25" i="8"/>
  <c r="T25" i="8" s="1"/>
  <c r="L25" i="8"/>
  <c r="I25" i="8"/>
  <c r="V4" i="8"/>
  <c r="V13" i="8" s="1"/>
  <c r="N13" i="7"/>
  <c r="V13" i="7"/>
  <c r="R25" i="7"/>
  <c r="T25" i="7"/>
  <c r="Q25" i="7"/>
  <c r="U25" i="7"/>
  <c r="M25" i="7"/>
  <c r="Q13" i="7"/>
  <c r="R26" i="6"/>
  <c r="U26" i="6"/>
  <c r="T26" i="6"/>
  <c r="L26" i="6"/>
  <c r="M26" i="6"/>
  <c r="O26" i="6"/>
  <c r="Q26" i="6" s="1"/>
  <c r="V14" i="6"/>
</calcChain>
</file>

<file path=xl/sharedStrings.xml><?xml version="1.0" encoding="utf-8"?>
<sst xmlns="http://schemas.openxmlformats.org/spreadsheetml/2006/main" count="461" uniqueCount="51">
  <si>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</si>
  <si>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</si>
  <si>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</si>
  <si>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</si>
  <si>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</si>
  <si>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</si>
  <si>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</si>
  <si>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</si>
  <si>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</si>
  <si>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</si>
  <si>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</si>
  <si>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</si>
  <si>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</si>
  <si>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</si>
  <si>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</si>
  <si>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</si>
  <si>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</si>
  <si>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</si>
  <si>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</si>
  <si>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</si>
  <si>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</si>
  <si>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</si>
  <si>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</si>
  <si>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</si>
  <si>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</si>
  <si>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</si>
  <si>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</si>
  <si>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</si>
  <si>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</si>
  <si>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</si>
  <si>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</si>
  <si>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</si>
  <si>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</si>
  <si>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</si>
  <si>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</si>
  <si>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</si>
  <si>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</si>
  <si>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</si>
  <si>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Muhammad Saleh</t>
  </si>
  <si>
    <t>Lahore Total</t>
  </si>
  <si>
    <t>Noman Younus</t>
  </si>
  <si>
    <t>Shahzad Nayyar</t>
  </si>
  <si>
    <t xml:space="preserve">Muhammad Hassan </t>
  </si>
  <si>
    <t xml:space="preserve">Umar Nawaz </t>
  </si>
  <si>
    <t>Booked CTN</t>
  </si>
  <si>
    <t>Executed Orders</t>
  </si>
  <si>
    <t>Executed CTN</t>
  </si>
  <si>
    <t>Booked    Orders</t>
  </si>
  <si>
    <t>Sales man unavailable</t>
  </si>
  <si>
    <t>Pendings Executed</t>
  </si>
  <si>
    <t xml:space="preserve">Qasim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</si>
</sst>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5" xfId="0" applyBorder="1"/>
    <xf numFmtId="0" fontId="0" fillId="0" borderId="6" xfId="0" applyBorder="1"/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9" fontId="0" fillId="0" borderId="16" xfId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1" fontId="2" fillId="5" borderId="20" xfId="0" applyNumberFormat="1" applyFont="1" applyFill="1" applyBorder="1" applyAlignment="1">
      <alignment horizontal="center"/>
    </xf>
    <xf numFmtId="1" fontId="2" fillId="5" borderId="18" xfId="0" applyNumberFormat="1" applyFont="1" applyFill="1" applyBorder="1" applyAlignment="1">
      <alignment horizontal="center"/>
    </xf>
    <xf numFmtId="9" fontId="2" fillId="5" borderId="21" xfId="1" applyFont="1" applyFill="1" applyBorder="1" applyAlignment="1">
      <alignment horizontal="center"/>
    </xf>
    <xf numFmtId="1" fontId="2" fillId="5" borderId="22" xfId="0" applyNumberFormat="1" applyFont="1" applyFill="1" applyBorder="1" applyAlignment="1">
      <alignment horizontal="center"/>
    </xf>
    <xf numFmtId="1" fontId="2" fillId="5" borderId="21" xfId="0" applyNumberFormat="1" applyFont="1" applyFill="1" applyBorder="1" applyAlignment="1">
      <alignment horizontal="center"/>
    </xf>
    <xf numFmtId="1" fontId="2" fillId="5" borderId="25" xfId="0" applyNumberFormat="1" applyFont="1" applyFill="1" applyBorder="1" applyAlignment="1">
      <alignment horizontal="center"/>
    </xf>
    <xf numFmtId="1" fontId="2" fillId="5" borderId="23" xfId="0" applyNumberFormat="1" applyFont="1" applyFill="1" applyBorder="1" applyAlignment="1">
      <alignment horizontal="center"/>
    </xf>
    <xf numFmtId="9" fontId="2" fillId="5" borderId="26" xfId="1" applyFont="1" applyFill="1" applyBorder="1" applyAlignment="1">
      <alignment horizontal="center"/>
    </xf>
    <xf numFmtId="1" fontId="2" fillId="5" borderId="27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6" borderId="13" xfId="0" applyFill="1" applyBorder="1" applyAlignment="1">
      <alignment vertical="center"/>
    </xf>
    <xf numFmtId="0" fontId="3" fillId="6" borderId="14" xfId="0" applyFont="1" applyFill="1" applyBorder="1"/>
    <xf numFmtId="0" fontId="0" fillId="6" borderId="18" xfId="0" applyFill="1" applyBorder="1" applyAlignment="1">
      <alignment vertical="center"/>
    </xf>
    <xf numFmtId="0" fontId="3" fillId="6" borderId="19" xfId="0" applyFont="1" applyFill="1" applyBorder="1"/>
    <xf numFmtId="0" fontId="4" fillId="6" borderId="19" xfId="0" applyFont="1" applyFill="1" applyBorder="1"/>
    <xf numFmtId="0" fontId="0" fillId="6" borderId="23" xfId="0" applyFill="1" applyBorder="1" applyAlignment="1">
      <alignment vertical="center"/>
    </xf>
    <xf numFmtId="1" fontId="2" fillId="7" borderId="8" xfId="0" applyNumberFormat="1" applyFont="1" applyFill="1" applyBorder="1" applyAlignment="1">
      <alignment horizontal="center"/>
    </xf>
    <xf numFmtId="1" fontId="2" fillId="7" borderId="9" xfId="0" applyNumberFormat="1" applyFont="1" applyFill="1" applyBorder="1" applyAlignment="1">
      <alignment horizontal="center"/>
    </xf>
    <xf numFmtId="9" fontId="2" fillId="7" borderId="11" xfId="1" applyFont="1" applyFill="1" applyBorder="1" applyAlignment="1">
      <alignment horizontal="center"/>
    </xf>
    <xf numFmtId="1" fontId="2" fillId="7" borderId="12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" fontId="0" fillId="7" borderId="15" xfId="0" applyNumberFormat="1" applyFill="1" applyBorder="1" applyAlignment="1">
      <alignment horizontal="center"/>
    </xf>
    <xf numFmtId="1" fontId="0" fillId="7" borderId="20" xfId="0" applyNumberFormat="1" applyFill="1" applyBorder="1" applyAlignment="1">
      <alignment horizontal="center"/>
    </xf>
    <xf numFmtId="1" fontId="0" fillId="5" borderId="13" xfId="0" applyNumberFormat="1" applyFill="1" applyBorder="1" applyAlignment="1">
      <alignment horizontal="center"/>
    </xf>
    <xf numFmtId="1" fontId="0" fillId="5" borderId="18" xfId="0" applyNumberFormat="1" applyFill="1" applyBorder="1" applyAlignment="1">
      <alignment horizontal="center"/>
    </xf>
    <xf numFmtId="1" fontId="0" fillId="7" borderId="17" xfId="0" applyNumberFormat="1" applyFill="1" applyBorder="1" applyAlignment="1">
      <alignment horizontal="center"/>
    </xf>
    <xf numFmtId="1" fontId="0" fillId="7" borderId="22" xfId="0" applyNumberFormat="1" applyFill="1" applyBorder="1" applyAlignment="1">
      <alignment horizontal="center"/>
    </xf>
    <xf numFmtId="1" fontId="0" fillId="8" borderId="15" xfId="0" applyNumberFormat="1" applyFill="1" applyBorder="1" applyAlignment="1">
      <alignment horizontal="center"/>
    </xf>
    <xf numFmtId="1" fontId="0" fillId="8" borderId="20" xfId="0" applyNumberFormat="1" applyFill="1" applyBorder="1" applyAlignment="1">
      <alignment horizontal="center"/>
    </xf>
    <xf numFmtId="0" fontId="2" fillId="7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1" fontId="0" fillId="8" borderId="13" xfId="0" applyNumberFormat="1" applyFill="1" applyBorder="1" applyAlignment="1">
      <alignment horizontal="center"/>
    </xf>
    <xf numFmtId="1" fontId="0" fillId="8" borderId="18" xfId="0" applyNumberFormat="1" applyFill="1" applyBorder="1" applyAlignment="1">
      <alignment horizontal="center"/>
    </xf>
    <xf numFmtId="1" fontId="2" fillId="8" borderId="22" xfId="0" applyNumberFormat="1" applyFont="1" applyFill="1" applyBorder="1" applyAlignment="1">
      <alignment horizontal="center"/>
    </xf>
    <xf numFmtId="164" fontId="0" fillId="8" borderId="13" xfId="0" applyNumberFormat="1" applyFill="1" applyBorder="1" applyAlignment="1">
      <alignment horizontal="center"/>
    </xf>
    <xf numFmtId="164" fontId="0" fillId="8" borderId="17" xfId="0" applyNumberFormat="1" applyFill="1" applyBorder="1" applyAlignment="1">
      <alignment horizontal="center"/>
    </xf>
    <xf numFmtId="164" fontId="0" fillId="5" borderId="13" xfId="0" applyNumberFormat="1" applyFill="1" applyBorder="1" applyAlignment="1">
      <alignment horizontal="center"/>
    </xf>
    <xf numFmtId="164" fontId="0" fillId="8" borderId="18" xfId="0" applyNumberFormat="1" applyFill="1" applyBorder="1" applyAlignment="1">
      <alignment horizontal="center"/>
    </xf>
    <xf numFmtId="164" fontId="0" fillId="5" borderId="18" xfId="0" applyNumberFormat="1" applyFill="1" applyBorder="1" applyAlignment="1">
      <alignment horizontal="center"/>
    </xf>
    <xf numFmtId="164" fontId="0" fillId="8" borderId="22" xfId="0" applyNumberFormat="1" applyFill="1" applyBorder="1" applyAlignment="1">
      <alignment horizontal="center"/>
    </xf>
    <xf numFmtId="164" fontId="2" fillId="5" borderId="18" xfId="0" applyNumberFormat="1" applyFont="1" applyFill="1" applyBorder="1" applyAlignment="1">
      <alignment horizontal="center"/>
    </xf>
    <xf numFmtId="164" fontId="2" fillId="5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271ED-7F2A-4809-9496-83165F147D40}">
  <dimension ref="A1:W25"/>
  <sheetViews>
    <sheetView tabSelected="1" topLeftCell="D1" zoomScale="85" zoomScaleNormal="85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P12" sqref="P12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7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18.7265625" bestFit="1" customWidth="1"/>
  </cols>
  <sheetData>
    <row r="1" spans="1:23" ht="15" thickBot="1" x14ac:dyDescent="0.4">
      <c r="G1" s="68" t="s">
        <v>0</v>
      </c>
      <c r="H1" s="69"/>
      <c r="I1" s="69"/>
      <c r="J1" s="69"/>
      <c r="K1" s="69"/>
      <c r="L1" s="69"/>
      <c r="M1" s="69"/>
      <c r="N1" s="70"/>
      <c r="O1" s="71" t="s">
        <v>1</v>
      </c>
      <c r="P1" s="72"/>
      <c r="Q1" s="72"/>
      <c r="R1" s="72"/>
      <c r="S1" s="72"/>
      <c r="T1" s="72"/>
      <c r="U1" s="72"/>
      <c r="V1" s="73"/>
    </row>
    <row r="2" spans="1:23" ht="16" thickBot="1" x14ac:dyDescent="0.4">
      <c r="E2" s="74">
        <v>46088</v>
      </c>
      <c r="F2" s="75"/>
      <c r="G2" s="76" t="s">
        <v>2</v>
      </c>
      <c r="H2" s="77"/>
      <c r="I2" s="78"/>
      <c r="J2" s="77" t="s">
        <v>3</v>
      </c>
      <c r="K2" s="77"/>
      <c r="L2" s="78"/>
      <c r="M2" s="1"/>
      <c r="N2" s="2"/>
      <c r="O2" s="76" t="s">
        <v>2</v>
      </c>
      <c r="P2" s="77"/>
      <c r="Q2" s="78"/>
      <c r="R2" s="77" t="s">
        <v>3</v>
      </c>
      <c r="S2" s="77"/>
      <c r="T2" s="78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6" t="s">
        <v>10</v>
      </c>
      <c r="H3" s="49" t="s">
        <v>11</v>
      </c>
      <c r="I3" s="8" t="s">
        <v>12</v>
      </c>
      <c r="J3" s="48" t="s">
        <v>13</v>
      </c>
      <c r="K3" s="49" t="s">
        <v>44</v>
      </c>
      <c r="L3" s="8" t="s">
        <v>12</v>
      </c>
      <c r="M3" s="9" t="s">
        <v>14</v>
      </c>
      <c r="N3" s="8" t="s">
        <v>15</v>
      </c>
      <c r="O3" s="49" t="s">
        <v>47</v>
      </c>
      <c r="P3" s="47" t="s">
        <v>45</v>
      </c>
      <c r="Q3" s="8" t="s">
        <v>12</v>
      </c>
      <c r="R3" s="50" t="s">
        <v>44</v>
      </c>
      <c r="S3" s="47" t="s">
        <v>46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6" t="s">
        <v>19</v>
      </c>
      <c r="C4" s="26" t="s">
        <v>20</v>
      </c>
      <c r="D4" s="26" t="s">
        <v>18</v>
      </c>
      <c r="E4" s="26" t="s">
        <v>21</v>
      </c>
      <c r="F4" s="27" t="s">
        <v>22</v>
      </c>
      <c r="G4" s="38">
        <v>50</v>
      </c>
      <c r="H4" s="51">
        <v>9</v>
      </c>
      <c r="I4" s="10">
        <f t="shared" ref="I4:I25" si="0">H4/G4</f>
        <v>0.18</v>
      </c>
      <c r="J4" s="42">
        <v>40</v>
      </c>
      <c r="K4" s="54">
        <v>12.25</v>
      </c>
      <c r="L4" s="10">
        <f t="shared" ref="L4:L23" si="1">K4/J4</f>
        <v>0.30625000000000002</v>
      </c>
      <c r="M4" s="11">
        <f t="shared" ref="M4:N12" si="2">K4/H4</f>
        <v>1.3611111111111112</v>
      </c>
      <c r="N4" s="12">
        <f t="shared" si="2"/>
        <v>1.7013888888888891</v>
      </c>
      <c r="O4" s="44">
        <f>H4</f>
        <v>9</v>
      </c>
      <c r="P4" s="40"/>
      <c r="Q4" s="10">
        <f t="shared" ref="Q4:Q25" si="3">P4/O4</f>
        <v>0</v>
      </c>
      <c r="R4" s="55">
        <f>K4</f>
        <v>12.25</v>
      </c>
      <c r="S4" s="56"/>
      <c r="T4" s="10">
        <f t="shared" ref="T4:T12" si="4">S4/R4</f>
        <v>0</v>
      </c>
      <c r="U4" s="11" t="e">
        <f t="shared" ref="U4:V12" si="5">S4/P4</f>
        <v>#DIV/0!</v>
      </c>
      <c r="V4" s="12" t="e">
        <f t="shared" si="5"/>
        <v>#DIV/0!</v>
      </c>
      <c r="W4" s="12"/>
    </row>
    <row r="5" spans="1:23" ht="16.5" x14ac:dyDescent="0.45">
      <c r="A5" t="s">
        <v>19</v>
      </c>
      <c r="B5" s="28" t="s">
        <v>19</v>
      </c>
      <c r="C5" s="28" t="s">
        <v>20</v>
      </c>
      <c r="D5" s="28" t="s">
        <v>18</v>
      </c>
      <c r="E5" s="28" t="s">
        <v>21</v>
      </c>
      <c r="F5" s="29" t="s">
        <v>23</v>
      </c>
      <c r="G5" s="39">
        <v>50</v>
      </c>
      <c r="H5" s="52">
        <v>7</v>
      </c>
      <c r="I5" s="13">
        <f t="shared" si="0"/>
        <v>0.14000000000000001</v>
      </c>
      <c r="J5" s="43">
        <v>30</v>
      </c>
      <c r="K5" s="57">
        <v>5.55</v>
      </c>
      <c r="L5" s="13">
        <f t="shared" si="1"/>
        <v>0.185</v>
      </c>
      <c r="M5" s="14">
        <f t="shared" si="2"/>
        <v>0.79285714285714282</v>
      </c>
      <c r="N5" s="15">
        <f t="shared" si="2"/>
        <v>1.3214285714285714</v>
      </c>
      <c r="O5" s="44">
        <f t="shared" ref="O5:O12" si="6">H5</f>
        <v>7</v>
      </c>
      <c r="P5" s="41"/>
      <c r="Q5" s="13">
        <f t="shared" si="3"/>
        <v>0</v>
      </c>
      <c r="R5" s="55">
        <f t="shared" ref="R5:R12" si="7">K5</f>
        <v>5.55</v>
      </c>
      <c r="S5" s="58"/>
      <c r="T5" s="13">
        <f t="shared" si="4"/>
        <v>0</v>
      </c>
      <c r="U5" s="14" t="e">
        <f t="shared" si="5"/>
        <v>#DIV/0!</v>
      </c>
      <c r="V5" s="15" t="e">
        <f t="shared" si="5"/>
        <v>#DIV/0!</v>
      </c>
      <c r="W5" s="15"/>
    </row>
    <row r="6" spans="1:23" ht="16.5" x14ac:dyDescent="0.45">
      <c r="A6" t="s">
        <v>19</v>
      </c>
      <c r="B6" s="28" t="s">
        <v>19</v>
      </c>
      <c r="C6" s="28" t="s">
        <v>20</v>
      </c>
      <c r="D6" s="28" t="s">
        <v>18</v>
      </c>
      <c r="E6" s="28" t="s">
        <v>21</v>
      </c>
      <c r="F6" s="29" t="s">
        <v>24</v>
      </c>
      <c r="G6" s="39">
        <v>50</v>
      </c>
      <c r="H6" s="52">
        <v>4</v>
      </c>
      <c r="I6" s="13">
        <f t="shared" si="0"/>
        <v>0.08</v>
      </c>
      <c r="J6" s="43">
        <v>25</v>
      </c>
      <c r="K6" s="57">
        <v>13.35</v>
      </c>
      <c r="L6" s="13">
        <f t="shared" si="1"/>
        <v>0.53400000000000003</v>
      </c>
      <c r="M6" s="14">
        <f t="shared" si="2"/>
        <v>3.3374999999999999</v>
      </c>
      <c r="N6" s="15">
        <f t="shared" si="2"/>
        <v>6.6749999999999998</v>
      </c>
      <c r="O6" s="44">
        <f t="shared" si="6"/>
        <v>4</v>
      </c>
      <c r="P6" s="41"/>
      <c r="Q6" s="13">
        <f t="shared" si="3"/>
        <v>0</v>
      </c>
      <c r="R6" s="55">
        <f t="shared" si="7"/>
        <v>13.35</v>
      </c>
      <c r="S6" s="58"/>
      <c r="T6" s="13">
        <f t="shared" si="4"/>
        <v>0</v>
      </c>
      <c r="U6" s="14" t="e">
        <f t="shared" si="5"/>
        <v>#DIV/0!</v>
      </c>
      <c r="V6" s="15" t="e">
        <f t="shared" si="5"/>
        <v>#DIV/0!</v>
      </c>
      <c r="W6" s="15"/>
    </row>
    <row r="7" spans="1:23" ht="16.5" x14ac:dyDescent="0.45">
      <c r="A7" t="s">
        <v>19</v>
      </c>
      <c r="B7" s="28" t="s">
        <v>19</v>
      </c>
      <c r="C7" s="28" t="s">
        <v>20</v>
      </c>
      <c r="D7" s="28" t="s">
        <v>18</v>
      </c>
      <c r="E7" s="28" t="s">
        <v>21</v>
      </c>
      <c r="F7" s="29" t="s">
        <v>25</v>
      </c>
      <c r="G7" s="39">
        <v>50</v>
      </c>
      <c r="H7" s="52">
        <v>7</v>
      </c>
      <c r="I7" s="13">
        <f t="shared" si="0"/>
        <v>0.14000000000000001</v>
      </c>
      <c r="J7" s="43">
        <v>30</v>
      </c>
      <c r="K7" s="57">
        <v>7.8</v>
      </c>
      <c r="L7" s="13">
        <f t="shared" si="1"/>
        <v>0.26</v>
      </c>
      <c r="M7" s="14">
        <f t="shared" si="2"/>
        <v>1.1142857142857143</v>
      </c>
      <c r="N7" s="15">
        <f t="shared" si="2"/>
        <v>1.857142857142857</v>
      </c>
      <c r="O7" s="44">
        <f t="shared" si="6"/>
        <v>7</v>
      </c>
      <c r="P7" s="41"/>
      <c r="Q7" s="13">
        <f t="shared" si="3"/>
        <v>0</v>
      </c>
      <c r="R7" s="55">
        <f t="shared" si="7"/>
        <v>7.8</v>
      </c>
      <c r="S7" s="58"/>
      <c r="T7" s="13">
        <f t="shared" si="4"/>
        <v>0</v>
      </c>
      <c r="U7" s="14" t="e">
        <f t="shared" si="5"/>
        <v>#DIV/0!</v>
      </c>
      <c r="V7" s="15" t="e">
        <f t="shared" si="5"/>
        <v>#DIV/0!</v>
      </c>
      <c r="W7" s="15"/>
    </row>
    <row r="8" spans="1:23" ht="16.5" x14ac:dyDescent="0.45">
      <c r="A8" t="s">
        <v>19</v>
      </c>
      <c r="B8" s="28" t="s">
        <v>19</v>
      </c>
      <c r="C8" s="28" t="s">
        <v>20</v>
      </c>
      <c r="D8" s="28" t="s">
        <v>18</v>
      </c>
      <c r="E8" s="28" t="s">
        <v>21</v>
      </c>
      <c r="F8" s="29" t="s">
        <v>26</v>
      </c>
      <c r="G8" s="39">
        <v>50</v>
      </c>
      <c r="H8" s="52">
        <v>8</v>
      </c>
      <c r="I8" s="13">
        <f t="shared" si="0"/>
        <v>0.16</v>
      </c>
      <c r="J8" s="43">
        <v>20</v>
      </c>
      <c r="K8" s="57">
        <v>26.3</v>
      </c>
      <c r="L8" s="13">
        <f t="shared" si="1"/>
        <v>1.3149999999999999</v>
      </c>
      <c r="M8" s="14">
        <f t="shared" si="2"/>
        <v>3.2875000000000001</v>
      </c>
      <c r="N8" s="15">
        <f t="shared" si="2"/>
        <v>8.21875</v>
      </c>
      <c r="O8" s="44">
        <f t="shared" si="6"/>
        <v>8</v>
      </c>
      <c r="P8" s="41"/>
      <c r="Q8" s="13">
        <f t="shared" si="3"/>
        <v>0</v>
      </c>
      <c r="R8" s="55">
        <f t="shared" si="7"/>
        <v>26.3</v>
      </c>
      <c r="S8" s="58"/>
      <c r="T8" s="13">
        <f t="shared" si="4"/>
        <v>0</v>
      </c>
      <c r="U8" s="14" t="e">
        <f t="shared" si="5"/>
        <v>#DIV/0!</v>
      </c>
      <c r="V8" s="15" t="e">
        <f t="shared" si="5"/>
        <v>#DIV/0!</v>
      </c>
      <c r="W8" s="15"/>
    </row>
    <row r="9" spans="1:23" ht="16.5" x14ac:dyDescent="0.45">
      <c r="A9" t="s">
        <v>19</v>
      </c>
      <c r="B9" s="28" t="s">
        <v>19</v>
      </c>
      <c r="C9" s="28" t="s">
        <v>20</v>
      </c>
      <c r="D9" s="28" t="s">
        <v>18</v>
      </c>
      <c r="E9" s="28" t="s">
        <v>21</v>
      </c>
      <c r="F9" s="29" t="s">
        <v>27</v>
      </c>
      <c r="G9" s="39">
        <v>0</v>
      </c>
      <c r="H9" s="52"/>
      <c r="I9" s="13" t="e">
        <f t="shared" si="0"/>
        <v>#DIV/0!</v>
      </c>
      <c r="J9" s="43">
        <v>0</v>
      </c>
      <c r="K9" s="57"/>
      <c r="L9" s="13" t="e">
        <f t="shared" si="1"/>
        <v>#DIV/0!</v>
      </c>
      <c r="M9" s="14" t="e">
        <f t="shared" si="2"/>
        <v>#DIV/0!</v>
      </c>
      <c r="N9" s="15" t="e">
        <f t="shared" si="2"/>
        <v>#DIV/0!</v>
      </c>
      <c r="O9" s="44">
        <f t="shared" si="6"/>
        <v>0</v>
      </c>
      <c r="P9" s="41"/>
      <c r="Q9" s="13" t="e">
        <f t="shared" si="3"/>
        <v>#DIV/0!</v>
      </c>
      <c r="R9" s="55">
        <f t="shared" si="7"/>
        <v>0</v>
      </c>
      <c r="S9" s="58"/>
      <c r="T9" s="13" t="e">
        <f t="shared" si="4"/>
        <v>#DIV/0!</v>
      </c>
      <c r="U9" s="14" t="e">
        <f t="shared" si="5"/>
        <v>#DIV/0!</v>
      </c>
      <c r="V9" s="15" t="e">
        <f t="shared" si="5"/>
        <v>#DIV/0!</v>
      </c>
      <c r="W9" s="15"/>
    </row>
    <row r="10" spans="1:23" ht="16.5" x14ac:dyDescent="0.45">
      <c r="A10" t="s">
        <v>19</v>
      </c>
      <c r="B10" s="28" t="s">
        <v>19</v>
      </c>
      <c r="C10" s="28" t="s">
        <v>20</v>
      </c>
      <c r="D10" s="28" t="s">
        <v>18</v>
      </c>
      <c r="E10" s="28" t="s">
        <v>21</v>
      </c>
      <c r="F10" s="29" t="s">
        <v>28</v>
      </c>
      <c r="G10" s="39">
        <v>25</v>
      </c>
      <c r="H10" s="52">
        <v>5</v>
      </c>
      <c r="I10" s="13">
        <f t="shared" si="0"/>
        <v>0.2</v>
      </c>
      <c r="J10" s="43">
        <v>200</v>
      </c>
      <c r="K10" s="57">
        <v>65</v>
      </c>
      <c r="L10" s="13">
        <f t="shared" si="1"/>
        <v>0.32500000000000001</v>
      </c>
      <c r="M10" s="14">
        <f t="shared" si="2"/>
        <v>13</v>
      </c>
      <c r="N10" s="15">
        <f t="shared" si="2"/>
        <v>1.625</v>
      </c>
      <c r="O10" s="44">
        <f t="shared" si="6"/>
        <v>5</v>
      </c>
      <c r="P10" s="41"/>
      <c r="Q10" s="13">
        <f t="shared" si="3"/>
        <v>0</v>
      </c>
      <c r="R10" s="55">
        <f t="shared" si="7"/>
        <v>65</v>
      </c>
      <c r="S10" s="58"/>
      <c r="T10" s="13">
        <f t="shared" si="4"/>
        <v>0</v>
      </c>
      <c r="U10" s="14" t="e">
        <f t="shared" si="5"/>
        <v>#DIV/0!</v>
      </c>
      <c r="V10" s="15" t="e">
        <f t="shared" si="5"/>
        <v>#DIV/0!</v>
      </c>
      <c r="W10" s="15"/>
    </row>
    <row r="11" spans="1:23" ht="16.5" x14ac:dyDescent="0.45">
      <c r="A11" t="s">
        <v>19</v>
      </c>
      <c r="B11" s="28" t="s">
        <v>19</v>
      </c>
      <c r="C11" s="28" t="s">
        <v>20</v>
      </c>
      <c r="D11" s="28" t="s">
        <v>18</v>
      </c>
      <c r="E11" s="28" t="s">
        <v>21</v>
      </c>
      <c r="F11" s="29" t="s">
        <v>29</v>
      </c>
      <c r="G11" s="39">
        <v>50</v>
      </c>
      <c r="H11" s="52">
        <v>20</v>
      </c>
      <c r="I11" s="13">
        <f t="shared" si="0"/>
        <v>0.4</v>
      </c>
      <c r="J11" s="43">
        <v>30</v>
      </c>
      <c r="K11" s="57">
        <v>30</v>
      </c>
      <c r="L11" s="13">
        <f t="shared" si="1"/>
        <v>1</v>
      </c>
      <c r="M11" s="14">
        <f t="shared" si="2"/>
        <v>1.5</v>
      </c>
      <c r="N11" s="15">
        <f t="shared" si="2"/>
        <v>2.5</v>
      </c>
      <c r="O11" s="44">
        <f t="shared" si="6"/>
        <v>20</v>
      </c>
      <c r="P11" s="41"/>
      <c r="Q11" s="13">
        <f t="shared" si="3"/>
        <v>0</v>
      </c>
      <c r="R11" s="55">
        <f t="shared" si="7"/>
        <v>30</v>
      </c>
      <c r="S11" s="58"/>
      <c r="T11" s="13">
        <f t="shared" si="4"/>
        <v>0</v>
      </c>
      <c r="U11" s="14" t="e">
        <f t="shared" si="5"/>
        <v>#DIV/0!</v>
      </c>
      <c r="V11" s="15" t="e">
        <f t="shared" si="5"/>
        <v>#DIV/0!</v>
      </c>
      <c r="W11" s="15"/>
    </row>
    <row r="12" spans="1:23" ht="16.5" x14ac:dyDescent="0.45">
      <c r="A12" t="s">
        <v>19</v>
      </c>
      <c r="B12" s="28" t="s">
        <v>19</v>
      </c>
      <c r="C12" s="28" t="s">
        <v>20</v>
      </c>
      <c r="D12" s="28" t="s">
        <v>18</v>
      </c>
      <c r="E12" s="28" t="s">
        <v>21</v>
      </c>
      <c r="F12" s="29" t="s">
        <v>50</v>
      </c>
      <c r="G12" s="39">
        <v>0</v>
      </c>
      <c r="H12" s="52">
        <v>15</v>
      </c>
      <c r="I12" s="13" t="e">
        <f t="shared" si="0"/>
        <v>#DIV/0!</v>
      </c>
      <c r="J12" s="43">
        <v>0</v>
      </c>
      <c r="K12" s="57">
        <v>13</v>
      </c>
      <c r="L12" s="13" t="e">
        <f t="shared" si="1"/>
        <v>#DIV/0!</v>
      </c>
      <c r="M12" s="14">
        <f t="shared" si="2"/>
        <v>0.8666666666666667</v>
      </c>
      <c r="N12" s="15" t="e">
        <f t="shared" si="2"/>
        <v>#DIV/0!</v>
      </c>
      <c r="O12" s="44">
        <f t="shared" si="6"/>
        <v>15</v>
      </c>
      <c r="P12" s="41"/>
      <c r="Q12" s="13">
        <f t="shared" si="3"/>
        <v>0</v>
      </c>
      <c r="R12" s="55">
        <f t="shared" si="7"/>
        <v>13</v>
      </c>
      <c r="S12" s="58"/>
      <c r="T12" s="13">
        <f t="shared" si="4"/>
        <v>0</v>
      </c>
      <c r="U12" s="14" t="e">
        <f t="shared" si="5"/>
        <v>#DIV/0!</v>
      </c>
      <c r="V12" s="15" t="e">
        <f t="shared" si="5"/>
        <v>#DIV/0!</v>
      </c>
      <c r="W12" s="15"/>
    </row>
    <row r="13" spans="1:23" x14ac:dyDescent="0.35">
      <c r="A13" t="s">
        <v>19</v>
      </c>
      <c r="B13" s="28" t="s">
        <v>19</v>
      </c>
      <c r="C13" s="28" t="s">
        <v>20</v>
      </c>
      <c r="D13" s="62" t="s">
        <v>17</v>
      </c>
      <c r="E13" s="62"/>
      <c r="F13" s="63"/>
      <c r="G13" s="16">
        <f>SUM(G4:G12)</f>
        <v>325</v>
      </c>
      <c r="H13" s="17">
        <f>SUM(H4:H12)</f>
        <v>75</v>
      </c>
      <c r="I13" s="18">
        <f t="shared" si="0"/>
        <v>0.23076923076923078</v>
      </c>
      <c r="J13" s="19">
        <f>SUM(J4:J12)</f>
        <v>375</v>
      </c>
      <c r="K13" s="60">
        <f>SUM(K4:K12)</f>
        <v>173.25</v>
      </c>
      <c r="L13" s="18">
        <f>K13/J13</f>
        <v>0.46200000000000002</v>
      </c>
      <c r="M13" s="19">
        <f>K13/H13</f>
        <v>2.31</v>
      </c>
      <c r="N13" s="20" t="e">
        <f>AVERAGE(N4:N12)</f>
        <v>#DIV/0!</v>
      </c>
      <c r="O13" s="16">
        <f>SUM(O4:O12)</f>
        <v>75</v>
      </c>
      <c r="P13" s="17">
        <f>SUM(P4:P12)</f>
        <v>0</v>
      </c>
      <c r="Q13" s="18">
        <f t="shared" si="3"/>
        <v>0</v>
      </c>
      <c r="R13" s="61">
        <f>SUM(R4:R12)</f>
        <v>173.25</v>
      </c>
      <c r="S13" s="60">
        <f>SUM(S4:S12)</f>
        <v>0</v>
      </c>
      <c r="T13" s="18">
        <f>S13/R13</f>
        <v>0</v>
      </c>
      <c r="U13" s="19" t="e">
        <f>S13/P13</f>
        <v>#DIV/0!</v>
      </c>
      <c r="V13" s="20" t="e">
        <f>AVERAGE(V4:V12)</f>
        <v>#DIV/0!</v>
      </c>
      <c r="W13" s="20"/>
    </row>
    <row r="14" spans="1:23" ht="16.5" x14ac:dyDescent="0.45">
      <c r="A14" t="s">
        <v>19</v>
      </c>
      <c r="B14" s="28" t="s">
        <v>19</v>
      </c>
      <c r="C14" s="28" t="s">
        <v>20</v>
      </c>
      <c r="D14" s="28" t="s">
        <v>30</v>
      </c>
      <c r="E14" s="28" t="s">
        <v>31</v>
      </c>
      <c r="F14" s="30" t="s">
        <v>32</v>
      </c>
      <c r="G14" s="39">
        <v>50</v>
      </c>
      <c r="H14" s="52"/>
      <c r="I14" s="13">
        <f t="shared" si="0"/>
        <v>0</v>
      </c>
      <c r="J14" s="43">
        <v>30</v>
      </c>
      <c r="K14" s="57"/>
      <c r="L14" s="13">
        <f t="shared" si="1"/>
        <v>0</v>
      </c>
      <c r="M14" s="14" t="e">
        <f t="shared" ref="M14:M18" si="8">K14/H14</f>
        <v>#DIV/0!</v>
      </c>
      <c r="N14" s="15">
        <v>1</v>
      </c>
      <c r="O14" s="45">
        <f>H14</f>
        <v>0</v>
      </c>
      <c r="P14" s="41"/>
      <c r="Q14" s="13" t="e">
        <f t="shared" si="3"/>
        <v>#DIV/0!</v>
      </c>
      <c r="R14" s="59">
        <f>K14</f>
        <v>0</v>
      </c>
      <c r="S14" s="58"/>
      <c r="T14" s="13" t="e">
        <f t="shared" ref="T14:T18" si="9">S14/R14</f>
        <v>#DIV/0!</v>
      </c>
      <c r="U14" s="14" t="e">
        <f t="shared" ref="U14:U18" si="10">S14/P14</f>
        <v>#DIV/0!</v>
      </c>
      <c r="V14" s="15">
        <v>1</v>
      </c>
      <c r="W14" s="15"/>
    </row>
    <row r="15" spans="1:23" ht="16.5" x14ac:dyDescent="0.45">
      <c r="A15" t="s">
        <v>19</v>
      </c>
      <c r="B15" s="28" t="s">
        <v>19</v>
      </c>
      <c r="C15" s="28" t="s">
        <v>20</v>
      </c>
      <c r="D15" s="28" t="s">
        <v>30</v>
      </c>
      <c r="E15" s="28" t="s">
        <v>31</v>
      </c>
      <c r="F15" s="30" t="s">
        <v>33</v>
      </c>
      <c r="G15" s="39">
        <v>50</v>
      </c>
      <c r="H15" s="52"/>
      <c r="I15" s="13">
        <f t="shared" si="0"/>
        <v>0</v>
      </c>
      <c r="J15" s="43">
        <v>30</v>
      </c>
      <c r="K15" s="57"/>
      <c r="L15" s="13">
        <f t="shared" si="1"/>
        <v>0</v>
      </c>
      <c r="M15" s="14" t="e">
        <f t="shared" si="8"/>
        <v>#DIV/0!</v>
      </c>
      <c r="N15" s="15">
        <v>1</v>
      </c>
      <c r="O15" s="45">
        <f t="shared" ref="O15:O18" si="11">H15</f>
        <v>0</v>
      </c>
      <c r="P15" s="41"/>
      <c r="Q15" s="13" t="e">
        <f t="shared" si="3"/>
        <v>#DIV/0!</v>
      </c>
      <c r="R15" s="59">
        <f t="shared" ref="R15:R18" si="12">K15</f>
        <v>0</v>
      </c>
      <c r="S15" s="58"/>
      <c r="T15" s="13" t="e">
        <f t="shared" si="9"/>
        <v>#DIV/0!</v>
      </c>
      <c r="U15" s="14" t="e">
        <f t="shared" si="10"/>
        <v>#DIV/0!</v>
      </c>
      <c r="V15" s="15">
        <v>1</v>
      </c>
      <c r="W15" s="15"/>
    </row>
    <row r="16" spans="1:23" ht="16.5" x14ac:dyDescent="0.45">
      <c r="A16" t="s">
        <v>19</v>
      </c>
      <c r="B16" s="28" t="s">
        <v>19</v>
      </c>
      <c r="C16" s="28" t="s">
        <v>20</v>
      </c>
      <c r="D16" s="28" t="s">
        <v>30</v>
      </c>
      <c r="E16" s="28" t="s">
        <v>31</v>
      </c>
      <c r="F16" s="30" t="s">
        <v>34</v>
      </c>
      <c r="G16" s="39">
        <v>50</v>
      </c>
      <c r="H16" s="52"/>
      <c r="I16" s="13">
        <f t="shared" si="0"/>
        <v>0</v>
      </c>
      <c r="J16" s="43">
        <v>30</v>
      </c>
      <c r="K16" s="57"/>
      <c r="L16" s="13">
        <f t="shared" si="1"/>
        <v>0</v>
      </c>
      <c r="M16" s="14" t="e">
        <f t="shared" si="8"/>
        <v>#DIV/0!</v>
      </c>
      <c r="N16" s="15">
        <v>1</v>
      </c>
      <c r="O16" s="45">
        <f t="shared" si="11"/>
        <v>0</v>
      </c>
      <c r="P16" s="41"/>
      <c r="Q16" s="13" t="e">
        <f t="shared" si="3"/>
        <v>#DIV/0!</v>
      </c>
      <c r="R16" s="59">
        <f t="shared" si="12"/>
        <v>0</v>
      </c>
      <c r="S16" s="58"/>
      <c r="T16" s="13" t="e">
        <f t="shared" si="9"/>
        <v>#DIV/0!</v>
      </c>
      <c r="U16" s="14" t="e">
        <f t="shared" si="10"/>
        <v>#DIV/0!</v>
      </c>
      <c r="V16" s="15">
        <v>1</v>
      </c>
      <c r="W16" s="15"/>
    </row>
    <row r="17" spans="1:23" ht="16.5" x14ac:dyDescent="0.45">
      <c r="A17" t="s">
        <v>19</v>
      </c>
      <c r="B17" s="28" t="s">
        <v>19</v>
      </c>
      <c r="C17" s="28" t="s">
        <v>20</v>
      </c>
      <c r="D17" s="28" t="s">
        <v>30</v>
      </c>
      <c r="E17" s="28" t="s">
        <v>31</v>
      </c>
      <c r="F17" s="30" t="s">
        <v>35</v>
      </c>
      <c r="G17" s="39">
        <v>50</v>
      </c>
      <c r="H17" s="52"/>
      <c r="I17" s="13">
        <f t="shared" si="0"/>
        <v>0</v>
      </c>
      <c r="J17" s="43">
        <v>30</v>
      </c>
      <c r="K17" s="57"/>
      <c r="L17" s="13">
        <f t="shared" si="1"/>
        <v>0</v>
      </c>
      <c r="M17" s="14" t="e">
        <f t="shared" si="8"/>
        <v>#DIV/0!</v>
      </c>
      <c r="N17" s="15">
        <v>1</v>
      </c>
      <c r="O17" s="45">
        <f t="shared" si="11"/>
        <v>0</v>
      </c>
      <c r="P17" s="41"/>
      <c r="Q17" s="13" t="e">
        <f t="shared" si="3"/>
        <v>#DIV/0!</v>
      </c>
      <c r="R17" s="59">
        <f t="shared" si="12"/>
        <v>0</v>
      </c>
      <c r="S17" s="58"/>
      <c r="T17" s="13" t="e">
        <f t="shared" si="9"/>
        <v>#DIV/0!</v>
      </c>
      <c r="U17" s="14" t="e">
        <f t="shared" si="10"/>
        <v>#DIV/0!</v>
      </c>
      <c r="V17" s="15">
        <v>1</v>
      </c>
      <c r="W17" s="15"/>
    </row>
    <row r="18" spans="1:23" ht="16.5" x14ac:dyDescent="0.45">
      <c r="A18" t="s">
        <v>19</v>
      </c>
      <c r="B18" s="28" t="s">
        <v>19</v>
      </c>
      <c r="C18" s="28" t="s">
        <v>20</v>
      </c>
      <c r="D18" s="28" t="s">
        <v>30</v>
      </c>
      <c r="E18" s="28" t="s">
        <v>31</v>
      </c>
      <c r="F18" s="30" t="s">
        <v>40</v>
      </c>
      <c r="G18" s="39">
        <v>50</v>
      </c>
      <c r="H18" s="52"/>
      <c r="I18" s="13">
        <f t="shared" si="0"/>
        <v>0</v>
      </c>
      <c r="J18" s="43">
        <v>30</v>
      </c>
      <c r="K18" s="57"/>
      <c r="L18" s="13">
        <f t="shared" si="1"/>
        <v>0</v>
      </c>
      <c r="M18" s="14" t="e">
        <f t="shared" si="8"/>
        <v>#DIV/0!</v>
      </c>
      <c r="N18" s="15">
        <v>1</v>
      </c>
      <c r="O18" s="45">
        <f t="shared" si="11"/>
        <v>0</v>
      </c>
      <c r="P18" s="41"/>
      <c r="Q18" s="13" t="e">
        <f t="shared" si="3"/>
        <v>#DIV/0!</v>
      </c>
      <c r="R18" s="59">
        <f t="shared" si="12"/>
        <v>0</v>
      </c>
      <c r="S18" s="58"/>
      <c r="T18" s="13" t="e">
        <f t="shared" si="9"/>
        <v>#DIV/0!</v>
      </c>
      <c r="U18" s="14" t="e">
        <f t="shared" si="10"/>
        <v>#DIV/0!</v>
      </c>
      <c r="V18" s="15">
        <v>1</v>
      </c>
      <c r="W18" s="15"/>
    </row>
    <row r="19" spans="1:23" x14ac:dyDescent="0.35">
      <c r="A19" t="s">
        <v>19</v>
      </c>
      <c r="B19" s="28" t="s">
        <v>19</v>
      </c>
      <c r="C19" s="28" t="s">
        <v>20</v>
      </c>
      <c r="D19" s="62" t="s">
        <v>17</v>
      </c>
      <c r="E19" s="62"/>
      <c r="F19" s="63"/>
      <c r="G19" s="16">
        <f>SUM(G14:G18)</f>
        <v>250</v>
      </c>
      <c r="H19" s="17">
        <f t="shared" ref="H19:K19" si="13">SUM(H14:H18)</f>
        <v>0</v>
      </c>
      <c r="I19" s="18">
        <f t="shared" si="0"/>
        <v>0</v>
      </c>
      <c r="J19" s="19">
        <f t="shared" si="13"/>
        <v>150</v>
      </c>
      <c r="K19" s="17">
        <f t="shared" si="13"/>
        <v>0</v>
      </c>
      <c r="L19" s="18">
        <f>K19/J19</f>
        <v>0</v>
      </c>
      <c r="M19" s="19" t="e">
        <f>K19/H19</f>
        <v>#DIV/0!</v>
      </c>
      <c r="N19" s="20">
        <f>AVERAGE(N14:N18)</f>
        <v>1</v>
      </c>
      <c r="O19" s="16">
        <f>SUM(O14:O18)</f>
        <v>0</v>
      </c>
      <c r="P19" s="17">
        <f t="shared" ref="P19" si="14">SUM(P14:P18)</f>
        <v>0</v>
      </c>
      <c r="Q19" s="18" t="e">
        <f t="shared" si="3"/>
        <v>#DIV/0!</v>
      </c>
      <c r="R19" s="53">
        <f t="shared" ref="R19:S19" si="15">SUM(R14:R18)</f>
        <v>0</v>
      </c>
      <c r="S19" s="17">
        <f t="shared" si="15"/>
        <v>0</v>
      </c>
      <c r="T19" s="18" t="e">
        <f>S19/R19</f>
        <v>#DIV/0!</v>
      </c>
      <c r="U19" s="19" t="e">
        <f>S19/P19</f>
        <v>#DIV/0!</v>
      </c>
      <c r="V19" s="20">
        <f>AVERAGE(V14:V18)</f>
        <v>1</v>
      </c>
      <c r="W19" s="20"/>
    </row>
    <row r="20" spans="1:23" ht="16.5" x14ac:dyDescent="0.45">
      <c r="A20" t="s">
        <v>19</v>
      </c>
      <c r="B20" s="28" t="s">
        <v>19</v>
      </c>
      <c r="C20" s="28" t="s">
        <v>20</v>
      </c>
      <c r="D20" s="28" t="s">
        <v>36</v>
      </c>
      <c r="E20" s="28" t="s">
        <v>37</v>
      </c>
      <c r="F20" s="30" t="s">
        <v>41</v>
      </c>
      <c r="G20" s="39">
        <v>50</v>
      </c>
      <c r="H20" s="52">
        <v>14</v>
      </c>
      <c r="I20" s="13">
        <f t="shared" si="0"/>
        <v>0.28000000000000003</v>
      </c>
      <c r="J20" s="43">
        <v>60</v>
      </c>
      <c r="K20" s="57">
        <v>25</v>
      </c>
      <c r="L20" s="13">
        <f t="shared" si="1"/>
        <v>0.41666666666666669</v>
      </c>
      <c r="M20" s="14">
        <f t="shared" ref="M20:M23" si="16">K20/H20</f>
        <v>1.7857142857142858</v>
      </c>
      <c r="N20" s="15">
        <v>1</v>
      </c>
      <c r="O20" s="45">
        <f>H20</f>
        <v>14</v>
      </c>
      <c r="P20" s="41">
        <v>7</v>
      </c>
      <c r="Q20" s="13">
        <f t="shared" si="3"/>
        <v>0.5</v>
      </c>
      <c r="R20" s="59">
        <f>K20</f>
        <v>25</v>
      </c>
      <c r="S20" s="58">
        <v>15</v>
      </c>
      <c r="T20" s="13">
        <f t="shared" ref="T20:T23" si="17">S20/R20</f>
        <v>0.6</v>
      </c>
      <c r="U20" s="14">
        <f t="shared" ref="U20:U23" si="18">S20/P20</f>
        <v>2.1428571428571428</v>
      </c>
      <c r="V20" s="15">
        <v>1</v>
      </c>
      <c r="W20" s="15"/>
    </row>
    <row r="21" spans="1:23" ht="16.5" x14ac:dyDescent="0.45">
      <c r="A21" t="s">
        <v>19</v>
      </c>
      <c r="B21" s="28" t="s">
        <v>19</v>
      </c>
      <c r="C21" s="28" t="s">
        <v>20</v>
      </c>
      <c r="D21" s="28" t="s">
        <v>36</v>
      </c>
      <c r="E21" s="28" t="s">
        <v>37</v>
      </c>
      <c r="F21" s="30" t="s">
        <v>42</v>
      </c>
      <c r="G21" s="39">
        <v>50</v>
      </c>
      <c r="H21" s="52">
        <v>4</v>
      </c>
      <c r="I21" s="13">
        <f t="shared" si="0"/>
        <v>0.08</v>
      </c>
      <c r="J21" s="43">
        <v>40</v>
      </c>
      <c r="K21" s="57">
        <v>7</v>
      </c>
      <c r="L21" s="13">
        <f t="shared" si="1"/>
        <v>0.17499999999999999</v>
      </c>
      <c r="M21" s="14">
        <f t="shared" si="16"/>
        <v>1.75</v>
      </c>
      <c r="N21" s="15">
        <v>1</v>
      </c>
      <c r="O21" s="45">
        <f t="shared" ref="O21:O23" si="19">H21</f>
        <v>4</v>
      </c>
      <c r="P21" s="41">
        <v>3</v>
      </c>
      <c r="Q21" s="13">
        <f t="shared" si="3"/>
        <v>0.75</v>
      </c>
      <c r="R21" s="59">
        <f t="shared" ref="R21:R23" si="20">K21</f>
        <v>7</v>
      </c>
      <c r="S21" s="58">
        <v>6</v>
      </c>
      <c r="T21" s="13">
        <f t="shared" si="17"/>
        <v>0.8571428571428571</v>
      </c>
      <c r="U21" s="14">
        <f t="shared" si="18"/>
        <v>2</v>
      </c>
      <c r="V21" s="15">
        <v>1</v>
      </c>
      <c r="W21" s="15"/>
    </row>
    <row r="22" spans="1:23" ht="16.5" x14ac:dyDescent="0.45">
      <c r="A22" t="s">
        <v>19</v>
      </c>
      <c r="B22" s="28" t="s">
        <v>19</v>
      </c>
      <c r="C22" s="28" t="s">
        <v>20</v>
      </c>
      <c r="D22" s="28" t="s">
        <v>36</v>
      </c>
      <c r="E22" s="28" t="s">
        <v>37</v>
      </c>
      <c r="F22" s="30" t="s">
        <v>38</v>
      </c>
      <c r="G22" s="39">
        <v>50</v>
      </c>
      <c r="H22" s="52">
        <v>4</v>
      </c>
      <c r="I22" s="13">
        <f t="shared" si="0"/>
        <v>0.08</v>
      </c>
      <c r="J22" s="43">
        <v>40</v>
      </c>
      <c r="K22" s="57">
        <v>7</v>
      </c>
      <c r="L22" s="13">
        <f t="shared" si="1"/>
        <v>0.17499999999999999</v>
      </c>
      <c r="M22" s="14">
        <f t="shared" si="16"/>
        <v>1.75</v>
      </c>
      <c r="N22" s="15">
        <v>1</v>
      </c>
      <c r="O22" s="45">
        <f t="shared" si="19"/>
        <v>4</v>
      </c>
      <c r="P22" s="41">
        <v>3</v>
      </c>
      <c r="Q22" s="13">
        <f t="shared" si="3"/>
        <v>0.75</v>
      </c>
      <c r="R22" s="59">
        <f t="shared" si="20"/>
        <v>7</v>
      </c>
      <c r="S22" s="58">
        <v>4</v>
      </c>
      <c r="T22" s="13">
        <f t="shared" si="17"/>
        <v>0.5714285714285714</v>
      </c>
      <c r="U22" s="14">
        <f t="shared" si="18"/>
        <v>1.3333333333333333</v>
      </c>
      <c r="V22" s="15">
        <v>1</v>
      </c>
      <c r="W22" s="15"/>
    </row>
    <row r="23" spans="1:23" ht="16.5" x14ac:dyDescent="0.45">
      <c r="A23" t="s">
        <v>19</v>
      </c>
      <c r="B23" s="28" t="s">
        <v>19</v>
      </c>
      <c r="C23" s="28" t="s">
        <v>20</v>
      </c>
      <c r="D23" s="28" t="s">
        <v>36</v>
      </c>
      <c r="E23" s="28" t="s">
        <v>37</v>
      </c>
      <c r="F23" s="30" t="s">
        <v>27</v>
      </c>
      <c r="G23" s="39">
        <v>50</v>
      </c>
      <c r="H23" s="52">
        <v>0</v>
      </c>
      <c r="I23" s="13">
        <f t="shared" si="0"/>
        <v>0</v>
      </c>
      <c r="J23" s="43">
        <v>30</v>
      </c>
      <c r="K23" s="57">
        <v>0</v>
      </c>
      <c r="L23" s="13">
        <f t="shared" si="1"/>
        <v>0</v>
      </c>
      <c r="M23" s="14" t="e">
        <f t="shared" si="16"/>
        <v>#DIV/0!</v>
      </c>
      <c r="N23" s="15">
        <v>1</v>
      </c>
      <c r="O23" s="45">
        <f t="shared" si="19"/>
        <v>0</v>
      </c>
      <c r="P23" s="41">
        <v>0</v>
      </c>
      <c r="Q23" s="13" t="e">
        <f t="shared" si="3"/>
        <v>#DIV/0!</v>
      </c>
      <c r="R23" s="59">
        <f t="shared" si="20"/>
        <v>0</v>
      </c>
      <c r="S23" s="58">
        <v>0</v>
      </c>
      <c r="T23" s="13" t="e">
        <f t="shared" si="17"/>
        <v>#DIV/0!</v>
      </c>
      <c r="U23" s="14" t="e">
        <f t="shared" si="18"/>
        <v>#DIV/0!</v>
      </c>
      <c r="V23" s="15">
        <v>1</v>
      </c>
      <c r="W23" s="15"/>
    </row>
    <row r="24" spans="1:23" ht="15" thickBot="1" x14ac:dyDescent="0.4">
      <c r="A24" t="s">
        <v>19</v>
      </c>
      <c r="B24" s="31" t="s">
        <v>19</v>
      </c>
      <c r="C24" s="31" t="s">
        <v>20</v>
      </c>
      <c r="D24" s="64" t="s">
        <v>17</v>
      </c>
      <c r="E24" s="64"/>
      <c r="F24" s="65"/>
      <c r="G24" s="21">
        <f>SUM(G20:G23)</f>
        <v>200</v>
      </c>
      <c r="H24" s="22">
        <f t="shared" ref="H24:K24" si="21">SUM(H20:H23)</f>
        <v>22</v>
      </c>
      <c r="I24" s="23">
        <f t="shared" si="0"/>
        <v>0.11</v>
      </c>
      <c r="J24" s="24">
        <f t="shared" si="21"/>
        <v>170</v>
      </c>
      <c r="K24" s="22">
        <f t="shared" si="21"/>
        <v>39</v>
      </c>
      <c r="L24" s="23">
        <f>K24/J24</f>
        <v>0.22941176470588234</v>
      </c>
      <c r="M24" s="24">
        <f>K24/H24</f>
        <v>1.7727272727272727</v>
      </c>
      <c r="N24" s="25">
        <f>AVERAGE(N20:N23)</f>
        <v>1</v>
      </c>
      <c r="O24" s="21">
        <f>SUM(O20:O23)</f>
        <v>22</v>
      </c>
      <c r="P24" s="22">
        <f t="shared" ref="P24" si="22">SUM(P20:P23)</f>
        <v>13</v>
      </c>
      <c r="Q24" s="23">
        <f t="shared" si="3"/>
        <v>0.59090909090909094</v>
      </c>
      <c r="R24" s="24">
        <f t="shared" ref="R24:S24" si="23">SUM(R20:R23)</f>
        <v>39</v>
      </c>
      <c r="S24" s="22">
        <f t="shared" si="23"/>
        <v>25</v>
      </c>
      <c r="T24" s="23">
        <f>S24/R24</f>
        <v>0.64102564102564108</v>
      </c>
      <c r="U24" s="24">
        <f>S24/P24</f>
        <v>1.9230769230769231</v>
      </c>
      <c r="V24" s="25">
        <f>AVERAGE(V20:V23)</f>
        <v>1</v>
      </c>
      <c r="W24" s="25"/>
    </row>
    <row r="25" spans="1:23" ht="15" thickBot="1" x14ac:dyDescent="0.4">
      <c r="A25" t="s">
        <v>19</v>
      </c>
      <c r="B25" s="66" t="s">
        <v>39</v>
      </c>
      <c r="C25" s="67"/>
      <c r="D25" s="67"/>
      <c r="E25" s="67"/>
      <c r="F25" s="67"/>
      <c r="G25" s="32">
        <f>+G24+G19+G13</f>
        <v>775</v>
      </c>
      <c r="H25" s="33">
        <f t="shared" ref="H25:K25" si="24">+H24+H19+H13</f>
        <v>97</v>
      </c>
      <c r="I25" s="34">
        <f t="shared" si="0"/>
        <v>0.12516129032258064</v>
      </c>
      <c r="J25" s="35">
        <f t="shared" si="24"/>
        <v>695</v>
      </c>
      <c r="K25" s="33">
        <f t="shared" si="24"/>
        <v>212.25</v>
      </c>
      <c r="L25" s="34">
        <f>K25/J25</f>
        <v>0.30539568345323742</v>
      </c>
      <c r="M25" s="35">
        <f>K25/H25</f>
        <v>2.1881443298969074</v>
      </c>
      <c r="N25" s="36"/>
      <c r="O25" s="32">
        <f>+O24+O19+O13</f>
        <v>97</v>
      </c>
      <c r="P25" s="33">
        <f t="shared" ref="P25" si="25">+P24+P19+P13</f>
        <v>13</v>
      </c>
      <c r="Q25" s="34">
        <f t="shared" si="3"/>
        <v>0.13402061855670103</v>
      </c>
      <c r="R25" s="35">
        <f t="shared" ref="R25:S25" si="26">+R24+R19+R13</f>
        <v>212.25</v>
      </c>
      <c r="S25" s="33">
        <f t="shared" si="26"/>
        <v>25</v>
      </c>
      <c r="T25" s="34">
        <f>S25/R25</f>
        <v>0.11778563015312132</v>
      </c>
      <c r="U25" s="35">
        <f>S25/P25</f>
        <v>1.9230769230769231</v>
      </c>
      <c r="V25" s="36"/>
      <c r="W25" s="36"/>
    </row>
  </sheetData>
  <mergeCells count="11">
    <mergeCell ref="O1:V1"/>
    <mergeCell ref="E2:F2"/>
    <mergeCell ref="G2:I2"/>
    <mergeCell ref="J2:L2"/>
    <mergeCell ref="O2:Q2"/>
    <mergeCell ref="R2:T2"/>
    <mergeCell ref="D13:F13"/>
    <mergeCell ref="D19:F19"/>
    <mergeCell ref="D24:F24"/>
    <mergeCell ref="B25:F25"/>
    <mergeCell ref="G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F35F4-4440-427D-9243-0FB2FAE88C4F}">
  <dimension ref="A1:W25"/>
  <sheetViews>
    <sheetView topLeftCell="D1" zoomScale="85" zoomScaleNormal="85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P17" sqref="P17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7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18.7265625" bestFit="1" customWidth="1"/>
  </cols>
  <sheetData>
    <row r="1" spans="1:23" ht="15" thickBot="1" x14ac:dyDescent="0.4">
      <c r="G1" s="68" t="s">
        <v>0</v>
      </c>
      <c r="H1" s="69"/>
      <c r="I1" s="69"/>
      <c r="J1" s="69"/>
      <c r="K1" s="69"/>
      <c r="L1" s="69"/>
      <c r="M1" s="69"/>
      <c r="N1" s="70"/>
      <c r="O1" s="71" t="s">
        <v>1</v>
      </c>
      <c r="P1" s="72"/>
      <c r="Q1" s="72"/>
      <c r="R1" s="72"/>
      <c r="S1" s="72"/>
      <c r="T1" s="72"/>
      <c r="U1" s="72"/>
      <c r="V1" s="73"/>
    </row>
    <row r="2" spans="1:23" ht="16" thickBot="1" x14ac:dyDescent="0.4">
      <c r="E2" s="74">
        <v>46060</v>
      </c>
      <c r="F2" s="75"/>
      <c r="G2" s="76" t="s">
        <v>2</v>
      </c>
      <c r="H2" s="77"/>
      <c r="I2" s="78"/>
      <c r="J2" s="77" t="s">
        <v>3</v>
      </c>
      <c r="K2" s="77"/>
      <c r="L2" s="78"/>
      <c r="M2" s="1"/>
      <c r="N2" s="2"/>
      <c r="O2" s="76" t="s">
        <v>2</v>
      </c>
      <c r="P2" s="77"/>
      <c r="Q2" s="78"/>
      <c r="R2" s="77" t="s">
        <v>3</v>
      </c>
      <c r="S2" s="77"/>
      <c r="T2" s="78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6" t="s">
        <v>10</v>
      </c>
      <c r="H3" s="49" t="s">
        <v>11</v>
      </c>
      <c r="I3" s="8" t="s">
        <v>12</v>
      </c>
      <c r="J3" s="48" t="s">
        <v>13</v>
      </c>
      <c r="K3" s="49" t="s">
        <v>44</v>
      </c>
      <c r="L3" s="8" t="s">
        <v>12</v>
      </c>
      <c r="M3" s="9" t="s">
        <v>14</v>
      </c>
      <c r="N3" s="8" t="s">
        <v>15</v>
      </c>
      <c r="O3" s="49" t="s">
        <v>47</v>
      </c>
      <c r="P3" s="47" t="s">
        <v>45</v>
      </c>
      <c r="Q3" s="8" t="s">
        <v>12</v>
      </c>
      <c r="R3" s="50" t="s">
        <v>44</v>
      </c>
      <c r="S3" s="47" t="s">
        <v>46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6" t="s">
        <v>19</v>
      </c>
      <c r="C4" s="26" t="s">
        <v>20</v>
      </c>
      <c r="D4" s="26" t="s">
        <v>18</v>
      </c>
      <c r="E4" s="26" t="s">
        <v>21</v>
      </c>
      <c r="F4" s="27" t="s">
        <v>22</v>
      </c>
      <c r="G4" s="38">
        <v>50</v>
      </c>
      <c r="H4" s="51">
        <v>9</v>
      </c>
      <c r="I4" s="10">
        <f t="shared" ref="I4:I25" si="0">H4/G4</f>
        <v>0.18</v>
      </c>
      <c r="J4" s="42">
        <v>40</v>
      </c>
      <c r="K4" s="54">
        <v>9</v>
      </c>
      <c r="L4" s="10">
        <f t="shared" ref="L4:L23" si="1">K4/J4</f>
        <v>0.22500000000000001</v>
      </c>
      <c r="M4" s="11">
        <f t="shared" ref="M4:N12" si="2">K4/H4</f>
        <v>1</v>
      </c>
      <c r="N4" s="12">
        <f t="shared" si="2"/>
        <v>1.25</v>
      </c>
      <c r="O4" s="44">
        <f>H4</f>
        <v>9</v>
      </c>
      <c r="P4" s="40">
        <v>8</v>
      </c>
      <c r="Q4" s="10">
        <f t="shared" ref="Q4:Q25" si="3">P4/O4</f>
        <v>0.88888888888888884</v>
      </c>
      <c r="R4" s="55">
        <f>K4</f>
        <v>9</v>
      </c>
      <c r="S4" s="56">
        <v>8.75</v>
      </c>
      <c r="T4" s="10">
        <f t="shared" ref="T4:T12" si="4">S4/R4</f>
        <v>0.97222222222222221</v>
      </c>
      <c r="U4" s="11">
        <f t="shared" ref="U4:V12" si="5">S4/P4</f>
        <v>1.09375</v>
      </c>
      <c r="V4" s="12">
        <f t="shared" si="5"/>
        <v>1.09375</v>
      </c>
      <c r="W4" s="12"/>
    </row>
    <row r="5" spans="1:23" ht="16.5" x14ac:dyDescent="0.45">
      <c r="A5" t="s">
        <v>19</v>
      </c>
      <c r="B5" s="28" t="s">
        <v>19</v>
      </c>
      <c r="C5" s="28" t="s">
        <v>20</v>
      </c>
      <c r="D5" s="28" t="s">
        <v>18</v>
      </c>
      <c r="E5" s="28" t="s">
        <v>21</v>
      </c>
      <c r="F5" s="29" t="s">
        <v>23</v>
      </c>
      <c r="G5" s="39">
        <v>50</v>
      </c>
      <c r="H5" s="52">
        <v>8</v>
      </c>
      <c r="I5" s="13">
        <f t="shared" si="0"/>
        <v>0.16</v>
      </c>
      <c r="J5" s="43">
        <v>30</v>
      </c>
      <c r="K5" s="57">
        <v>12</v>
      </c>
      <c r="L5" s="13">
        <f t="shared" si="1"/>
        <v>0.4</v>
      </c>
      <c r="M5" s="14">
        <f t="shared" si="2"/>
        <v>1.5</v>
      </c>
      <c r="N5" s="15">
        <f t="shared" si="2"/>
        <v>2.5</v>
      </c>
      <c r="O5" s="44">
        <f t="shared" ref="O5:O12" si="6">H5</f>
        <v>8</v>
      </c>
      <c r="P5" s="41">
        <v>6</v>
      </c>
      <c r="Q5" s="13">
        <f t="shared" si="3"/>
        <v>0.75</v>
      </c>
      <c r="R5" s="55">
        <f t="shared" ref="R5:R12" si="7">K5</f>
        <v>12</v>
      </c>
      <c r="S5" s="58">
        <v>9</v>
      </c>
      <c r="T5" s="13">
        <f t="shared" si="4"/>
        <v>0.75</v>
      </c>
      <c r="U5" s="14">
        <f t="shared" si="5"/>
        <v>1.5</v>
      </c>
      <c r="V5" s="15">
        <f t="shared" si="5"/>
        <v>1</v>
      </c>
      <c r="W5" s="15"/>
    </row>
    <row r="6" spans="1:23" ht="16.5" x14ac:dyDescent="0.45">
      <c r="A6" t="s">
        <v>19</v>
      </c>
      <c r="B6" s="28" t="s">
        <v>19</v>
      </c>
      <c r="C6" s="28" t="s">
        <v>20</v>
      </c>
      <c r="D6" s="28" t="s">
        <v>18</v>
      </c>
      <c r="E6" s="28" t="s">
        <v>21</v>
      </c>
      <c r="F6" s="29" t="s">
        <v>24</v>
      </c>
      <c r="G6" s="39">
        <v>50</v>
      </c>
      <c r="H6" s="52">
        <v>9</v>
      </c>
      <c r="I6" s="13">
        <f t="shared" si="0"/>
        <v>0.18</v>
      </c>
      <c r="J6" s="43">
        <v>25</v>
      </c>
      <c r="K6" s="57">
        <v>14.3</v>
      </c>
      <c r="L6" s="13">
        <f t="shared" si="1"/>
        <v>0.57200000000000006</v>
      </c>
      <c r="M6" s="14">
        <f t="shared" si="2"/>
        <v>1.588888888888889</v>
      </c>
      <c r="N6" s="15">
        <f t="shared" si="2"/>
        <v>3.177777777777778</v>
      </c>
      <c r="O6" s="44">
        <f t="shared" si="6"/>
        <v>9</v>
      </c>
      <c r="P6" s="41">
        <v>7</v>
      </c>
      <c r="Q6" s="13">
        <f t="shared" si="3"/>
        <v>0.77777777777777779</v>
      </c>
      <c r="R6" s="55">
        <f t="shared" si="7"/>
        <v>14.3</v>
      </c>
      <c r="S6" s="58">
        <v>11.2</v>
      </c>
      <c r="T6" s="13">
        <f t="shared" si="4"/>
        <v>0.78321678321678312</v>
      </c>
      <c r="U6" s="14">
        <f t="shared" si="5"/>
        <v>1.5999999999999999</v>
      </c>
      <c r="V6" s="15">
        <f t="shared" si="5"/>
        <v>1.0069930069930069</v>
      </c>
      <c r="W6" s="15" t="s">
        <v>49</v>
      </c>
    </row>
    <row r="7" spans="1:23" ht="16.5" x14ac:dyDescent="0.45">
      <c r="A7" t="s">
        <v>19</v>
      </c>
      <c r="B7" s="28" t="s">
        <v>19</v>
      </c>
      <c r="C7" s="28" t="s">
        <v>20</v>
      </c>
      <c r="D7" s="28" t="s">
        <v>18</v>
      </c>
      <c r="E7" s="28" t="s">
        <v>21</v>
      </c>
      <c r="F7" s="29" t="s">
        <v>25</v>
      </c>
      <c r="G7" s="39">
        <v>50</v>
      </c>
      <c r="H7" s="52">
        <v>13</v>
      </c>
      <c r="I7" s="13">
        <f t="shared" si="0"/>
        <v>0.26</v>
      </c>
      <c r="J7" s="43">
        <v>30</v>
      </c>
      <c r="K7" s="57">
        <v>11.92</v>
      </c>
      <c r="L7" s="13">
        <f t="shared" si="1"/>
        <v>0.39733333333333332</v>
      </c>
      <c r="M7" s="14">
        <f t="shared" si="2"/>
        <v>0.91692307692307695</v>
      </c>
      <c r="N7" s="15">
        <f t="shared" si="2"/>
        <v>1.5282051282051281</v>
      </c>
      <c r="O7" s="44">
        <f t="shared" si="6"/>
        <v>13</v>
      </c>
      <c r="P7" s="41">
        <v>10</v>
      </c>
      <c r="Q7" s="13">
        <f t="shared" si="3"/>
        <v>0.76923076923076927</v>
      </c>
      <c r="R7" s="55">
        <f t="shared" si="7"/>
        <v>11.92</v>
      </c>
      <c r="S7" s="58">
        <v>12.87</v>
      </c>
      <c r="T7" s="13">
        <f t="shared" si="4"/>
        <v>1.0796979865771812</v>
      </c>
      <c r="U7" s="14">
        <f t="shared" si="5"/>
        <v>1.2869999999999999</v>
      </c>
      <c r="V7" s="15">
        <f t="shared" si="5"/>
        <v>1.4036073825503355</v>
      </c>
      <c r="W7" s="15"/>
    </row>
    <row r="8" spans="1:23" ht="16.5" x14ac:dyDescent="0.45">
      <c r="A8" t="s">
        <v>19</v>
      </c>
      <c r="B8" s="28" t="s">
        <v>19</v>
      </c>
      <c r="C8" s="28" t="s">
        <v>20</v>
      </c>
      <c r="D8" s="28" t="s">
        <v>18</v>
      </c>
      <c r="E8" s="28" t="s">
        <v>21</v>
      </c>
      <c r="F8" s="29" t="s">
        <v>26</v>
      </c>
      <c r="G8" s="39">
        <v>50</v>
      </c>
      <c r="H8" s="52">
        <v>10</v>
      </c>
      <c r="I8" s="13">
        <f t="shared" si="0"/>
        <v>0.2</v>
      </c>
      <c r="J8" s="43">
        <v>20</v>
      </c>
      <c r="K8" s="57">
        <v>12.9</v>
      </c>
      <c r="L8" s="13">
        <f t="shared" si="1"/>
        <v>0.64500000000000002</v>
      </c>
      <c r="M8" s="14">
        <f t="shared" si="2"/>
        <v>1.29</v>
      </c>
      <c r="N8" s="15">
        <f t="shared" si="2"/>
        <v>3.2250000000000001</v>
      </c>
      <c r="O8" s="44">
        <f t="shared" si="6"/>
        <v>10</v>
      </c>
      <c r="P8" s="41">
        <v>10</v>
      </c>
      <c r="Q8" s="13">
        <f t="shared" si="3"/>
        <v>1</v>
      </c>
      <c r="R8" s="55">
        <f t="shared" si="7"/>
        <v>12.9</v>
      </c>
      <c r="S8" s="58">
        <v>12.87</v>
      </c>
      <c r="T8" s="13">
        <f t="shared" si="4"/>
        <v>0.99767441860465111</v>
      </c>
      <c r="U8" s="14">
        <f t="shared" si="5"/>
        <v>1.2869999999999999</v>
      </c>
      <c r="V8" s="15">
        <f t="shared" si="5"/>
        <v>0.99767441860465111</v>
      </c>
      <c r="W8" s="15"/>
    </row>
    <row r="9" spans="1:23" ht="16.5" x14ac:dyDescent="0.45">
      <c r="A9" t="s">
        <v>19</v>
      </c>
      <c r="B9" s="28" t="s">
        <v>19</v>
      </c>
      <c r="C9" s="28" t="s">
        <v>20</v>
      </c>
      <c r="D9" s="28" t="s">
        <v>18</v>
      </c>
      <c r="E9" s="28" t="s">
        <v>21</v>
      </c>
      <c r="F9" s="29" t="s">
        <v>27</v>
      </c>
      <c r="G9" s="39">
        <v>0</v>
      </c>
      <c r="H9" s="52"/>
      <c r="I9" s="13" t="e">
        <f t="shared" si="0"/>
        <v>#DIV/0!</v>
      </c>
      <c r="J9" s="43">
        <v>0</v>
      </c>
      <c r="K9" s="57"/>
      <c r="L9" s="13" t="e">
        <f t="shared" si="1"/>
        <v>#DIV/0!</v>
      </c>
      <c r="M9" s="14" t="e">
        <f t="shared" si="2"/>
        <v>#DIV/0!</v>
      </c>
      <c r="N9" s="15" t="e">
        <f t="shared" si="2"/>
        <v>#DIV/0!</v>
      </c>
      <c r="O9" s="44">
        <f t="shared" si="6"/>
        <v>0</v>
      </c>
      <c r="P9" s="41"/>
      <c r="Q9" s="13" t="e">
        <f t="shared" si="3"/>
        <v>#DIV/0!</v>
      </c>
      <c r="R9" s="55">
        <f t="shared" si="7"/>
        <v>0</v>
      </c>
      <c r="S9" s="58"/>
      <c r="T9" s="13" t="e">
        <f t="shared" si="4"/>
        <v>#DIV/0!</v>
      </c>
      <c r="U9" s="14" t="e">
        <f t="shared" si="5"/>
        <v>#DIV/0!</v>
      </c>
      <c r="V9" s="15" t="e">
        <f t="shared" si="5"/>
        <v>#DIV/0!</v>
      </c>
      <c r="W9" s="15"/>
    </row>
    <row r="10" spans="1:23" ht="16.5" x14ac:dyDescent="0.45">
      <c r="A10" t="s">
        <v>19</v>
      </c>
      <c r="B10" s="28" t="s">
        <v>19</v>
      </c>
      <c r="C10" s="28" t="s">
        <v>20</v>
      </c>
      <c r="D10" s="28" t="s">
        <v>18</v>
      </c>
      <c r="E10" s="28" t="s">
        <v>21</v>
      </c>
      <c r="F10" s="29" t="s">
        <v>28</v>
      </c>
      <c r="G10" s="39">
        <v>25</v>
      </c>
      <c r="H10" s="52">
        <v>7</v>
      </c>
      <c r="I10" s="13">
        <f t="shared" si="0"/>
        <v>0.28000000000000003</v>
      </c>
      <c r="J10" s="43">
        <v>200</v>
      </c>
      <c r="K10" s="57">
        <v>70</v>
      </c>
      <c r="L10" s="13">
        <f t="shared" si="1"/>
        <v>0.35</v>
      </c>
      <c r="M10" s="14">
        <f t="shared" si="2"/>
        <v>10</v>
      </c>
      <c r="N10" s="15">
        <f t="shared" si="2"/>
        <v>1.2499999999999998</v>
      </c>
      <c r="O10" s="44">
        <f t="shared" si="6"/>
        <v>7</v>
      </c>
      <c r="P10" s="41">
        <v>4</v>
      </c>
      <c r="Q10" s="13">
        <f t="shared" si="3"/>
        <v>0.5714285714285714</v>
      </c>
      <c r="R10" s="55">
        <f t="shared" si="7"/>
        <v>70</v>
      </c>
      <c r="S10" s="58">
        <v>42</v>
      </c>
      <c r="T10" s="13">
        <f t="shared" si="4"/>
        <v>0.6</v>
      </c>
      <c r="U10" s="14">
        <f t="shared" si="5"/>
        <v>10.5</v>
      </c>
      <c r="V10" s="15">
        <f t="shared" si="5"/>
        <v>1.05</v>
      </c>
      <c r="W10" s="15"/>
    </row>
    <row r="11" spans="1:23" ht="16.5" x14ac:dyDescent="0.45">
      <c r="A11" t="s">
        <v>19</v>
      </c>
      <c r="B11" s="28" t="s">
        <v>19</v>
      </c>
      <c r="C11" s="28" t="s">
        <v>20</v>
      </c>
      <c r="D11" s="28" t="s">
        <v>18</v>
      </c>
      <c r="E11" s="28" t="s">
        <v>21</v>
      </c>
      <c r="F11" s="29" t="s">
        <v>29</v>
      </c>
      <c r="G11" s="39">
        <v>50</v>
      </c>
      <c r="H11" s="52"/>
      <c r="I11" s="13">
        <f t="shared" si="0"/>
        <v>0</v>
      </c>
      <c r="J11" s="43">
        <v>30</v>
      </c>
      <c r="K11" s="57"/>
      <c r="L11" s="13">
        <f t="shared" si="1"/>
        <v>0</v>
      </c>
      <c r="M11" s="14" t="e">
        <f t="shared" si="2"/>
        <v>#DIV/0!</v>
      </c>
      <c r="N11" s="15" t="e">
        <f t="shared" si="2"/>
        <v>#DIV/0!</v>
      </c>
      <c r="O11" s="44">
        <f t="shared" si="6"/>
        <v>0</v>
      </c>
      <c r="P11" s="41"/>
      <c r="Q11" s="13" t="e">
        <f t="shared" si="3"/>
        <v>#DIV/0!</v>
      </c>
      <c r="R11" s="55">
        <f t="shared" si="7"/>
        <v>0</v>
      </c>
      <c r="S11" s="58"/>
      <c r="T11" s="13" t="e">
        <f t="shared" si="4"/>
        <v>#DIV/0!</v>
      </c>
      <c r="U11" s="14" t="e">
        <f t="shared" si="5"/>
        <v>#DIV/0!</v>
      </c>
      <c r="V11" s="15" t="e">
        <f t="shared" si="5"/>
        <v>#DIV/0!</v>
      </c>
      <c r="W11" s="15"/>
    </row>
    <row r="12" spans="1:23" ht="16.5" x14ac:dyDescent="0.45">
      <c r="A12" t="s">
        <v>19</v>
      </c>
      <c r="B12" s="28" t="s">
        <v>19</v>
      </c>
      <c r="C12" s="28" t="s">
        <v>20</v>
      </c>
      <c r="D12" s="28" t="s">
        <v>18</v>
      </c>
      <c r="E12" s="28" t="s">
        <v>21</v>
      </c>
      <c r="F12" s="29" t="s">
        <v>27</v>
      </c>
      <c r="G12" s="39">
        <v>0</v>
      </c>
      <c r="H12" s="52">
        <v>0</v>
      </c>
      <c r="I12" s="13" t="e">
        <f t="shared" si="0"/>
        <v>#DIV/0!</v>
      </c>
      <c r="J12" s="43">
        <v>0</v>
      </c>
      <c r="K12" s="57">
        <v>0</v>
      </c>
      <c r="L12" s="13" t="e">
        <f t="shared" si="1"/>
        <v>#DIV/0!</v>
      </c>
      <c r="M12" s="14" t="e">
        <f t="shared" si="2"/>
        <v>#DIV/0!</v>
      </c>
      <c r="N12" s="15" t="e">
        <f t="shared" si="2"/>
        <v>#DIV/0!</v>
      </c>
      <c r="O12" s="44">
        <f t="shared" si="6"/>
        <v>0</v>
      </c>
      <c r="P12" s="41"/>
      <c r="Q12" s="13" t="e">
        <f t="shared" si="3"/>
        <v>#DIV/0!</v>
      </c>
      <c r="R12" s="55">
        <f t="shared" si="7"/>
        <v>0</v>
      </c>
      <c r="S12" s="58"/>
      <c r="T12" s="13" t="e">
        <f t="shared" si="4"/>
        <v>#DIV/0!</v>
      </c>
      <c r="U12" s="14" t="e">
        <f t="shared" si="5"/>
        <v>#DIV/0!</v>
      </c>
      <c r="V12" s="15" t="e">
        <f t="shared" si="5"/>
        <v>#DIV/0!</v>
      </c>
      <c r="W12" s="15"/>
    </row>
    <row r="13" spans="1:23" x14ac:dyDescent="0.35">
      <c r="A13" t="s">
        <v>19</v>
      </c>
      <c r="B13" s="28" t="s">
        <v>19</v>
      </c>
      <c r="C13" s="28" t="s">
        <v>20</v>
      </c>
      <c r="D13" s="62" t="s">
        <v>17</v>
      </c>
      <c r="E13" s="62"/>
      <c r="F13" s="63"/>
      <c r="G13" s="16">
        <f>SUM(G4:G12)</f>
        <v>325</v>
      </c>
      <c r="H13" s="17">
        <f>SUM(H4:H12)</f>
        <v>56</v>
      </c>
      <c r="I13" s="18">
        <f t="shared" si="0"/>
        <v>0.1723076923076923</v>
      </c>
      <c r="J13" s="19">
        <f>SUM(J4:J12)</f>
        <v>375</v>
      </c>
      <c r="K13" s="60">
        <f>SUM(K4:K12)</f>
        <v>130.12</v>
      </c>
      <c r="L13" s="18">
        <f>K13/J13</f>
        <v>0.34698666666666667</v>
      </c>
      <c r="M13" s="19">
        <f>K13/H13</f>
        <v>2.3235714285714288</v>
      </c>
      <c r="N13" s="20" t="e">
        <f>AVERAGE(N4:N12)</f>
        <v>#DIV/0!</v>
      </c>
      <c r="O13" s="16">
        <f>SUM(O4:O12)</f>
        <v>56</v>
      </c>
      <c r="P13" s="17">
        <f>SUM(P4:P12)</f>
        <v>45</v>
      </c>
      <c r="Q13" s="18">
        <f t="shared" si="3"/>
        <v>0.8035714285714286</v>
      </c>
      <c r="R13" s="61">
        <f>SUM(R4:R12)</f>
        <v>130.12</v>
      </c>
      <c r="S13" s="60">
        <f>SUM(S4:S12)</f>
        <v>96.69</v>
      </c>
      <c r="T13" s="18">
        <f>S13/R13</f>
        <v>0.74308330771595443</v>
      </c>
      <c r="U13" s="19">
        <f>S13/P13</f>
        <v>2.1486666666666667</v>
      </c>
      <c r="V13" s="20" t="e">
        <f>AVERAGE(V4:V12)</f>
        <v>#DIV/0!</v>
      </c>
      <c r="W13" s="20"/>
    </row>
    <row r="14" spans="1:23" ht="16.5" x14ac:dyDescent="0.45">
      <c r="A14" t="s">
        <v>19</v>
      </c>
      <c r="B14" s="28" t="s">
        <v>19</v>
      </c>
      <c r="C14" s="28" t="s">
        <v>20</v>
      </c>
      <c r="D14" s="28" t="s">
        <v>30</v>
      </c>
      <c r="E14" s="28" t="s">
        <v>31</v>
      </c>
      <c r="F14" s="30" t="s">
        <v>32</v>
      </c>
      <c r="G14" s="39">
        <v>50</v>
      </c>
      <c r="H14" s="52"/>
      <c r="I14" s="13">
        <f t="shared" si="0"/>
        <v>0</v>
      </c>
      <c r="J14" s="43">
        <v>30</v>
      </c>
      <c r="K14" s="57"/>
      <c r="L14" s="13">
        <f t="shared" si="1"/>
        <v>0</v>
      </c>
      <c r="M14" s="14" t="e">
        <f t="shared" ref="M14:M18" si="8">K14/H14</f>
        <v>#DIV/0!</v>
      </c>
      <c r="N14" s="15">
        <v>1</v>
      </c>
      <c r="O14" s="45">
        <f>H14</f>
        <v>0</v>
      </c>
      <c r="P14" s="41"/>
      <c r="Q14" s="13" t="e">
        <f t="shared" si="3"/>
        <v>#DIV/0!</v>
      </c>
      <c r="R14" s="59">
        <f>K14</f>
        <v>0</v>
      </c>
      <c r="S14" s="58"/>
      <c r="T14" s="13" t="e">
        <f t="shared" ref="T14:T18" si="9">S14/R14</f>
        <v>#DIV/0!</v>
      </c>
      <c r="U14" s="14" t="e">
        <f t="shared" ref="U14:U18" si="10">S14/P14</f>
        <v>#DIV/0!</v>
      </c>
      <c r="V14" s="15">
        <v>1</v>
      </c>
      <c r="W14" s="15"/>
    </row>
    <row r="15" spans="1:23" ht="16.5" x14ac:dyDescent="0.45">
      <c r="A15" t="s">
        <v>19</v>
      </c>
      <c r="B15" s="28" t="s">
        <v>19</v>
      </c>
      <c r="C15" s="28" t="s">
        <v>20</v>
      </c>
      <c r="D15" s="28" t="s">
        <v>30</v>
      </c>
      <c r="E15" s="28" t="s">
        <v>31</v>
      </c>
      <c r="F15" s="30" t="s">
        <v>33</v>
      </c>
      <c r="G15" s="39">
        <v>50</v>
      </c>
      <c r="H15" s="52"/>
      <c r="I15" s="13">
        <f t="shared" si="0"/>
        <v>0</v>
      </c>
      <c r="J15" s="43">
        <v>30</v>
      </c>
      <c r="K15" s="57"/>
      <c r="L15" s="13">
        <f t="shared" si="1"/>
        <v>0</v>
      </c>
      <c r="M15" s="14" t="e">
        <f t="shared" si="8"/>
        <v>#DIV/0!</v>
      </c>
      <c r="N15" s="15">
        <v>1</v>
      </c>
      <c r="O15" s="45">
        <f t="shared" ref="O15:O18" si="11">H15</f>
        <v>0</v>
      </c>
      <c r="P15" s="41"/>
      <c r="Q15" s="13" t="e">
        <f t="shared" si="3"/>
        <v>#DIV/0!</v>
      </c>
      <c r="R15" s="59">
        <f t="shared" ref="R15:R18" si="12">K15</f>
        <v>0</v>
      </c>
      <c r="S15" s="58"/>
      <c r="T15" s="13" t="e">
        <f t="shared" si="9"/>
        <v>#DIV/0!</v>
      </c>
      <c r="U15" s="14" t="e">
        <f t="shared" si="10"/>
        <v>#DIV/0!</v>
      </c>
      <c r="V15" s="15">
        <v>1</v>
      </c>
      <c r="W15" s="15"/>
    </row>
    <row r="16" spans="1:23" ht="16.5" x14ac:dyDescent="0.45">
      <c r="A16" t="s">
        <v>19</v>
      </c>
      <c r="B16" s="28" t="s">
        <v>19</v>
      </c>
      <c r="C16" s="28" t="s">
        <v>20</v>
      </c>
      <c r="D16" s="28" t="s">
        <v>30</v>
      </c>
      <c r="E16" s="28" t="s">
        <v>31</v>
      </c>
      <c r="F16" s="30" t="s">
        <v>34</v>
      </c>
      <c r="G16" s="39">
        <v>50</v>
      </c>
      <c r="H16" s="52"/>
      <c r="I16" s="13">
        <f t="shared" si="0"/>
        <v>0</v>
      </c>
      <c r="J16" s="43">
        <v>30</v>
      </c>
      <c r="K16" s="57"/>
      <c r="L16" s="13">
        <f t="shared" si="1"/>
        <v>0</v>
      </c>
      <c r="M16" s="14" t="e">
        <f t="shared" si="8"/>
        <v>#DIV/0!</v>
      </c>
      <c r="N16" s="15">
        <v>1</v>
      </c>
      <c r="O16" s="45">
        <f t="shared" si="11"/>
        <v>0</v>
      </c>
      <c r="P16" s="41"/>
      <c r="Q16" s="13" t="e">
        <f t="shared" si="3"/>
        <v>#DIV/0!</v>
      </c>
      <c r="R16" s="59">
        <f t="shared" si="12"/>
        <v>0</v>
      </c>
      <c r="S16" s="58"/>
      <c r="T16" s="13" t="e">
        <f t="shared" si="9"/>
        <v>#DIV/0!</v>
      </c>
      <c r="U16" s="14" t="e">
        <f t="shared" si="10"/>
        <v>#DIV/0!</v>
      </c>
      <c r="V16" s="15">
        <v>1</v>
      </c>
      <c r="W16" s="15"/>
    </row>
    <row r="17" spans="1:23" ht="16.5" x14ac:dyDescent="0.45">
      <c r="A17" t="s">
        <v>19</v>
      </c>
      <c r="B17" s="28" t="s">
        <v>19</v>
      </c>
      <c r="C17" s="28" t="s">
        <v>20</v>
      </c>
      <c r="D17" s="28" t="s">
        <v>30</v>
      </c>
      <c r="E17" s="28" t="s">
        <v>31</v>
      </c>
      <c r="F17" s="30" t="s">
        <v>35</v>
      </c>
      <c r="G17" s="39">
        <v>50</v>
      </c>
      <c r="H17" s="52"/>
      <c r="I17" s="13">
        <f t="shared" si="0"/>
        <v>0</v>
      </c>
      <c r="J17" s="43">
        <v>30</v>
      </c>
      <c r="K17" s="57"/>
      <c r="L17" s="13">
        <f t="shared" si="1"/>
        <v>0</v>
      </c>
      <c r="M17" s="14" t="e">
        <f t="shared" si="8"/>
        <v>#DIV/0!</v>
      </c>
      <c r="N17" s="15">
        <v>1</v>
      </c>
      <c r="O17" s="45">
        <f t="shared" si="11"/>
        <v>0</v>
      </c>
      <c r="P17" s="41"/>
      <c r="Q17" s="13" t="e">
        <f t="shared" si="3"/>
        <v>#DIV/0!</v>
      </c>
      <c r="R17" s="59">
        <f t="shared" si="12"/>
        <v>0</v>
      </c>
      <c r="S17" s="58"/>
      <c r="T17" s="13" t="e">
        <f t="shared" si="9"/>
        <v>#DIV/0!</v>
      </c>
      <c r="U17" s="14" t="e">
        <f t="shared" si="10"/>
        <v>#DIV/0!</v>
      </c>
      <c r="V17" s="15">
        <v>1</v>
      </c>
      <c r="W17" s="15"/>
    </row>
    <row r="18" spans="1:23" ht="16.5" x14ac:dyDescent="0.45">
      <c r="A18" t="s">
        <v>19</v>
      </c>
      <c r="B18" s="28" t="s">
        <v>19</v>
      </c>
      <c r="C18" s="28" t="s">
        <v>20</v>
      </c>
      <c r="D18" s="28" t="s">
        <v>30</v>
      </c>
      <c r="E18" s="28" t="s">
        <v>31</v>
      </c>
      <c r="F18" s="30" t="s">
        <v>40</v>
      </c>
      <c r="G18" s="39">
        <v>50</v>
      </c>
      <c r="H18" s="52"/>
      <c r="I18" s="13">
        <f t="shared" si="0"/>
        <v>0</v>
      </c>
      <c r="J18" s="43">
        <v>30</v>
      </c>
      <c r="K18" s="57"/>
      <c r="L18" s="13">
        <f t="shared" si="1"/>
        <v>0</v>
      </c>
      <c r="M18" s="14" t="e">
        <f t="shared" si="8"/>
        <v>#DIV/0!</v>
      </c>
      <c r="N18" s="15">
        <v>1</v>
      </c>
      <c r="O18" s="45">
        <f t="shared" si="11"/>
        <v>0</v>
      </c>
      <c r="P18" s="41"/>
      <c r="Q18" s="13" t="e">
        <f t="shared" si="3"/>
        <v>#DIV/0!</v>
      </c>
      <c r="R18" s="59">
        <f t="shared" si="12"/>
        <v>0</v>
      </c>
      <c r="S18" s="58"/>
      <c r="T18" s="13" t="e">
        <f t="shared" si="9"/>
        <v>#DIV/0!</v>
      </c>
      <c r="U18" s="14" t="e">
        <f t="shared" si="10"/>
        <v>#DIV/0!</v>
      </c>
      <c r="V18" s="15">
        <v>1</v>
      </c>
      <c r="W18" s="15"/>
    </row>
    <row r="19" spans="1:23" x14ac:dyDescent="0.35">
      <c r="A19" t="s">
        <v>19</v>
      </c>
      <c r="B19" s="28" t="s">
        <v>19</v>
      </c>
      <c r="C19" s="28" t="s">
        <v>20</v>
      </c>
      <c r="D19" s="62" t="s">
        <v>17</v>
      </c>
      <c r="E19" s="62"/>
      <c r="F19" s="63"/>
      <c r="G19" s="16">
        <f>SUM(G14:G18)</f>
        <v>250</v>
      </c>
      <c r="H19" s="17">
        <f t="shared" ref="H19:K19" si="13">SUM(H14:H18)</f>
        <v>0</v>
      </c>
      <c r="I19" s="18">
        <f t="shared" si="0"/>
        <v>0</v>
      </c>
      <c r="J19" s="19">
        <f t="shared" si="13"/>
        <v>150</v>
      </c>
      <c r="K19" s="17">
        <f t="shared" si="13"/>
        <v>0</v>
      </c>
      <c r="L19" s="18">
        <f>K19/J19</f>
        <v>0</v>
      </c>
      <c r="M19" s="19" t="e">
        <f>K19/H19</f>
        <v>#DIV/0!</v>
      </c>
      <c r="N19" s="20">
        <f>AVERAGE(N14:N18)</f>
        <v>1</v>
      </c>
      <c r="O19" s="16">
        <f>SUM(O14:O18)</f>
        <v>0</v>
      </c>
      <c r="P19" s="17">
        <f t="shared" ref="P19" si="14">SUM(P14:P18)</f>
        <v>0</v>
      </c>
      <c r="Q19" s="18" t="e">
        <f t="shared" si="3"/>
        <v>#DIV/0!</v>
      </c>
      <c r="R19" s="53">
        <f t="shared" ref="R19:S19" si="15">SUM(R14:R18)</f>
        <v>0</v>
      </c>
      <c r="S19" s="17">
        <f t="shared" si="15"/>
        <v>0</v>
      </c>
      <c r="T19" s="18" t="e">
        <f>S19/R19</f>
        <v>#DIV/0!</v>
      </c>
      <c r="U19" s="19" t="e">
        <f>S19/P19</f>
        <v>#DIV/0!</v>
      </c>
      <c r="V19" s="20">
        <f>AVERAGE(V14:V18)</f>
        <v>1</v>
      </c>
      <c r="W19" s="20"/>
    </row>
    <row r="20" spans="1:23" ht="16.5" x14ac:dyDescent="0.45">
      <c r="A20" t="s">
        <v>19</v>
      </c>
      <c r="B20" s="28" t="s">
        <v>19</v>
      </c>
      <c r="C20" s="28" t="s">
        <v>20</v>
      </c>
      <c r="D20" s="28" t="s">
        <v>36</v>
      </c>
      <c r="E20" s="28" t="s">
        <v>37</v>
      </c>
      <c r="F20" s="30" t="s">
        <v>41</v>
      </c>
      <c r="G20" s="39">
        <v>50</v>
      </c>
      <c r="H20" s="52">
        <v>14</v>
      </c>
      <c r="I20" s="13">
        <f t="shared" si="0"/>
        <v>0.28000000000000003</v>
      </c>
      <c r="J20" s="43">
        <v>60</v>
      </c>
      <c r="K20" s="57">
        <v>25</v>
      </c>
      <c r="L20" s="13">
        <f t="shared" si="1"/>
        <v>0.41666666666666669</v>
      </c>
      <c r="M20" s="14">
        <f t="shared" ref="M20:M23" si="16">K20/H20</f>
        <v>1.7857142857142858</v>
      </c>
      <c r="N20" s="15">
        <v>1</v>
      </c>
      <c r="O20" s="45">
        <f>H20</f>
        <v>14</v>
      </c>
      <c r="P20" s="41">
        <v>7</v>
      </c>
      <c r="Q20" s="13">
        <f t="shared" si="3"/>
        <v>0.5</v>
      </c>
      <c r="R20" s="59">
        <f>K20</f>
        <v>25</v>
      </c>
      <c r="S20" s="58">
        <v>15</v>
      </c>
      <c r="T20" s="13">
        <f t="shared" ref="T20:T23" si="17">S20/R20</f>
        <v>0.6</v>
      </c>
      <c r="U20" s="14">
        <f t="shared" ref="U20:U23" si="18">S20/P20</f>
        <v>2.1428571428571428</v>
      </c>
      <c r="V20" s="15">
        <v>1</v>
      </c>
      <c r="W20" s="15"/>
    </row>
    <row r="21" spans="1:23" ht="16.5" x14ac:dyDescent="0.45">
      <c r="A21" t="s">
        <v>19</v>
      </c>
      <c r="B21" s="28" t="s">
        <v>19</v>
      </c>
      <c r="C21" s="28" t="s">
        <v>20</v>
      </c>
      <c r="D21" s="28" t="s">
        <v>36</v>
      </c>
      <c r="E21" s="28" t="s">
        <v>37</v>
      </c>
      <c r="F21" s="30" t="s">
        <v>42</v>
      </c>
      <c r="G21" s="39">
        <v>50</v>
      </c>
      <c r="H21" s="52">
        <v>4</v>
      </c>
      <c r="I21" s="13">
        <f t="shared" si="0"/>
        <v>0.08</v>
      </c>
      <c r="J21" s="43">
        <v>40</v>
      </c>
      <c r="K21" s="57">
        <v>7</v>
      </c>
      <c r="L21" s="13">
        <f t="shared" si="1"/>
        <v>0.17499999999999999</v>
      </c>
      <c r="M21" s="14">
        <f t="shared" si="16"/>
        <v>1.75</v>
      </c>
      <c r="N21" s="15">
        <v>1</v>
      </c>
      <c r="O21" s="45">
        <f t="shared" ref="O21:O23" si="19">H21</f>
        <v>4</v>
      </c>
      <c r="P21" s="41">
        <v>3</v>
      </c>
      <c r="Q21" s="13">
        <f t="shared" si="3"/>
        <v>0.75</v>
      </c>
      <c r="R21" s="59">
        <f t="shared" ref="R21:R23" si="20">K21</f>
        <v>7</v>
      </c>
      <c r="S21" s="58">
        <v>6</v>
      </c>
      <c r="T21" s="13">
        <f t="shared" si="17"/>
        <v>0.8571428571428571</v>
      </c>
      <c r="U21" s="14">
        <f t="shared" si="18"/>
        <v>2</v>
      </c>
      <c r="V21" s="15">
        <v>1</v>
      </c>
      <c r="W21" s="15"/>
    </row>
    <row r="22" spans="1:23" ht="16.5" x14ac:dyDescent="0.45">
      <c r="A22" t="s">
        <v>19</v>
      </c>
      <c r="B22" s="28" t="s">
        <v>19</v>
      </c>
      <c r="C22" s="28" t="s">
        <v>20</v>
      </c>
      <c r="D22" s="28" t="s">
        <v>36</v>
      </c>
      <c r="E22" s="28" t="s">
        <v>37</v>
      </c>
      <c r="F22" s="30" t="s">
        <v>38</v>
      </c>
      <c r="G22" s="39">
        <v>50</v>
      </c>
      <c r="H22" s="52">
        <v>4</v>
      </c>
      <c r="I22" s="13">
        <f t="shared" si="0"/>
        <v>0.08</v>
      </c>
      <c r="J22" s="43">
        <v>40</v>
      </c>
      <c r="K22" s="57">
        <v>7</v>
      </c>
      <c r="L22" s="13">
        <f t="shared" si="1"/>
        <v>0.17499999999999999</v>
      </c>
      <c r="M22" s="14">
        <f t="shared" si="16"/>
        <v>1.75</v>
      </c>
      <c r="N22" s="15">
        <v>1</v>
      </c>
      <c r="O22" s="45">
        <f t="shared" si="19"/>
        <v>4</v>
      </c>
      <c r="P22" s="41">
        <v>3</v>
      </c>
      <c r="Q22" s="13">
        <f t="shared" si="3"/>
        <v>0.75</v>
      </c>
      <c r="R22" s="59">
        <f t="shared" si="20"/>
        <v>7</v>
      </c>
      <c r="S22" s="58">
        <v>4</v>
      </c>
      <c r="T22" s="13">
        <f t="shared" si="17"/>
        <v>0.5714285714285714</v>
      </c>
      <c r="U22" s="14">
        <f t="shared" si="18"/>
        <v>1.3333333333333333</v>
      </c>
      <c r="V22" s="15">
        <v>1</v>
      </c>
      <c r="W22" s="15"/>
    </row>
    <row r="23" spans="1:23" ht="16.5" x14ac:dyDescent="0.45">
      <c r="A23" t="s">
        <v>19</v>
      </c>
      <c r="B23" s="28" t="s">
        <v>19</v>
      </c>
      <c r="C23" s="28" t="s">
        <v>20</v>
      </c>
      <c r="D23" s="28" t="s">
        <v>36</v>
      </c>
      <c r="E23" s="28" t="s">
        <v>37</v>
      </c>
      <c r="F23" s="30" t="s">
        <v>27</v>
      </c>
      <c r="G23" s="39">
        <v>50</v>
      </c>
      <c r="H23" s="52">
        <v>0</v>
      </c>
      <c r="I23" s="13">
        <f t="shared" si="0"/>
        <v>0</v>
      </c>
      <c r="J23" s="43">
        <v>30</v>
      </c>
      <c r="K23" s="57">
        <v>0</v>
      </c>
      <c r="L23" s="13">
        <f t="shared" si="1"/>
        <v>0</v>
      </c>
      <c r="M23" s="14" t="e">
        <f t="shared" si="16"/>
        <v>#DIV/0!</v>
      </c>
      <c r="N23" s="15">
        <v>1</v>
      </c>
      <c r="O23" s="45">
        <f t="shared" si="19"/>
        <v>0</v>
      </c>
      <c r="P23" s="41">
        <v>0</v>
      </c>
      <c r="Q23" s="13" t="e">
        <f t="shared" si="3"/>
        <v>#DIV/0!</v>
      </c>
      <c r="R23" s="59">
        <f t="shared" si="20"/>
        <v>0</v>
      </c>
      <c r="S23" s="58">
        <v>0</v>
      </c>
      <c r="T23" s="13" t="e">
        <f t="shared" si="17"/>
        <v>#DIV/0!</v>
      </c>
      <c r="U23" s="14" t="e">
        <f t="shared" si="18"/>
        <v>#DIV/0!</v>
      </c>
      <c r="V23" s="15">
        <v>1</v>
      </c>
      <c r="W23" s="15"/>
    </row>
    <row r="24" spans="1:23" ht="15" thickBot="1" x14ac:dyDescent="0.4">
      <c r="A24" t="s">
        <v>19</v>
      </c>
      <c r="B24" s="31" t="s">
        <v>19</v>
      </c>
      <c r="C24" s="31" t="s">
        <v>20</v>
      </c>
      <c r="D24" s="64" t="s">
        <v>17</v>
      </c>
      <c r="E24" s="64"/>
      <c r="F24" s="65"/>
      <c r="G24" s="21">
        <f>SUM(G20:G23)</f>
        <v>200</v>
      </c>
      <c r="H24" s="22">
        <f t="shared" ref="H24:K24" si="21">SUM(H20:H23)</f>
        <v>22</v>
      </c>
      <c r="I24" s="23">
        <f t="shared" si="0"/>
        <v>0.11</v>
      </c>
      <c r="J24" s="24">
        <f t="shared" si="21"/>
        <v>170</v>
      </c>
      <c r="K24" s="22">
        <f t="shared" si="21"/>
        <v>39</v>
      </c>
      <c r="L24" s="23">
        <f>K24/J24</f>
        <v>0.22941176470588234</v>
      </c>
      <c r="M24" s="24">
        <f>K24/H24</f>
        <v>1.7727272727272727</v>
      </c>
      <c r="N24" s="25">
        <f>AVERAGE(N20:N23)</f>
        <v>1</v>
      </c>
      <c r="O24" s="21">
        <f>SUM(O20:O23)</f>
        <v>22</v>
      </c>
      <c r="P24" s="22">
        <f t="shared" ref="P24" si="22">SUM(P20:P23)</f>
        <v>13</v>
      </c>
      <c r="Q24" s="23">
        <f t="shared" si="3"/>
        <v>0.59090909090909094</v>
      </c>
      <c r="R24" s="24">
        <f t="shared" ref="R24:S24" si="23">SUM(R20:R23)</f>
        <v>39</v>
      </c>
      <c r="S24" s="22">
        <f t="shared" si="23"/>
        <v>25</v>
      </c>
      <c r="T24" s="23">
        <f>S24/R24</f>
        <v>0.64102564102564108</v>
      </c>
      <c r="U24" s="24">
        <f>S24/P24</f>
        <v>1.9230769230769231</v>
      </c>
      <c r="V24" s="25">
        <f>AVERAGE(V20:V23)</f>
        <v>1</v>
      </c>
      <c r="W24" s="25"/>
    </row>
    <row r="25" spans="1:23" ht="15" thickBot="1" x14ac:dyDescent="0.4">
      <c r="A25" t="s">
        <v>19</v>
      </c>
      <c r="B25" s="66" t="s">
        <v>39</v>
      </c>
      <c r="C25" s="67"/>
      <c r="D25" s="67"/>
      <c r="E25" s="67"/>
      <c r="F25" s="67"/>
      <c r="G25" s="32">
        <f>+G24+G19+G13</f>
        <v>775</v>
      </c>
      <c r="H25" s="33">
        <f t="shared" ref="H25:K25" si="24">+H24+H19+H13</f>
        <v>78</v>
      </c>
      <c r="I25" s="34">
        <f t="shared" si="0"/>
        <v>0.10064516129032258</v>
      </c>
      <c r="J25" s="35">
        <f t="shared" si="24"/>
        <v>695</v>
      </c>
      <c r="K25" s="33">
        <f t="shared" si="24"/>
        <v>169.12</v>
      </c>
      <c r="L25" s="34">
        <f>K25/J25</f>
        <v>0.24333812949640288</v>
      </c>
      <c r="M25" s="35">
        <f>K25/H25</f>
        <v>2.1682051282051282</v>
      </c>
      <c r="N25" s="36"/>
      <c r="O25" s="32">
        <f>+O24+O19+O13</f>
        <v>78</v>
      </c>
      <c r="P25" s="33">
        <f t="shared" ref="P25" si="25">+P24+P19+P13</f>
        <v>58</v>
      </c>
      <c r="Q25" s="34">
        <f t="shared" si="3"/>
        <v>0.74358974358974361</v>
      </c>
      <c r="R25" s="35">
        <f t="shared" ref="R25:S25" si="26">+R24+R19+R13</f>
        <v>169.12</v>
      </c>
      <c r="S25" s="33">
        <f t="shared" si="26"/>
        <v>121.69</v>
      </c>
      <c r="T25" s="34">
        <f>S25/R25</f>
        <v>0.71954824976348153</v>
      </c>
      <c r="U25" s="35">
        <f>S25/P25</f>
        <v>2.0981034482758618</v>
      </c>
      <c r="V25" s="36"/>
      <c r="W25" s="36"/>
    </row>
  </sheetData>
  <mergeCells count="11">
    <mergeCell ref="O1:V1"/>
    <mergeCell ref="E2:F2"/>
    <mergeCell ref="G2:I2"/>
    <mergeCell ref="J2:L2"/>
    <mergeCell ref="O2:Q2"/>
    <mergeCell ref="R2:T2"/>
    <mergeCell ref="D13:F13"/>
    <mergeCell ref="D19:F19"/>
    <mergeCell ref="D24:F24"/>
    <mergeCell ref="B25:F25"/>
    <mergeCell ref="G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3EBB-D543-4E9A-8C26-8673C5556624}">
  <dimension ref="A1:W26"/>
  <sheetViews>
    <sheetView topLeftCell="D1" zoomScale="85" zoomScaleNormal="85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S4" sqref="S4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7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18.7265625" bestFit="1" customWidth="1"/>
  </cols>
  <sheetData>
    <row r="1" spans="1:23" ht="15" thickBot="1" x14ac:dyDescent="0.4">
      <c r="G1" s="68" t="s">
        <v>0</v>
      </c>
      <c r="H1" s="69"/>
      <c r="I1" s="69"/>
      <c r="J1" s="69"/>
      <c r="K1" s="69"/>
      <c r="L1" s="69"/>
      <c r="M1" s="69"/>
      <c r="N1" s="70"/>
      <c r="O1" s="71" t="s">
        <v>1</v>
      </c>
      <c r="P1" s="72"/>
      <c r="Q1" s="72"/>
      <c r="R1" s="72"/>
      <c r="S1" s="72"/>
      <c r="T1" s="72"/>
      <c r="U1" s="72"/>
      <c r="V1" s="73"/>
    </row>
    <row r="2" spans="1:23" ht="16" thickBot="1" x14ac:dyDescent="0.4">
      <c r="E2" s="74">
        <v>46029</v>
      </c>
      <c r="F2" s="75"/>
      <c r="G2" s="76" t="s">
        <v>2</v>
      </c>
      <c r="H2" s="77"/>
      <c r="I2" s="78"/>
      <c r="J2" s="77" t="s">
        <v>3</v>
      </c>
      <c r="K2" s="77"/>
      <c r="L2" s="78"/>
      <c r="M2" s="1"/>
      <c r="N2" s="2"/>
      <c r="O2" s="76" t="s">
        <v>2</v>
      </c>
      <c r="P2" s="77"/>
      <c r="Q2" s="78"/>
      <c r="R2" s="77" t="s">
        <v>3</v>
      </c>
      <c r="S2" s="77"/>
      <c r="T2" s="78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6" t="s">
        <v>10</v>
      </c>
      <c r="H3" s="49" t="s">
        <v>11</v>
      </c>
      <c r="I3" s="8" t="s">
        <v>12</v>
      </c>
      <c r="J3" s="48" t="s">
        <v>13</v>
      </c>
      <c r="K3" s="49" t="s">
        <v>44</v>
      </c>
      <c r="L3" s="8" t="s">
        <v>12</v>
      </c>
      <c r="M3" s="9" t="s">
        <v>14</v>
      </c>
      <c r="N3" s="8" t="s">
        <v>15</v>
      </c>
      <c r="O3" s="49" t="s">
        <v>47</v>
      </c>
      <c r="P3" s="47" t="s">
        <v>45</v>
      </c>
      <c r="Q3" s="8" t="s">
        <v>12</v>
      </c>
      <c r="R3" s="50" t="s">
        <v>44</v>
      </c>
      <c r="S3" s="47" t="s">
        <v>46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6" t="s">
        <v>19</v>
      </c>
      <c r="C4" s="26" t="s">
        <v>20</v>
      </c>
      <c r="D4" s="26" t="s">
        <v>18</v>
      </c>
      <c r="E4" s="26" t="s">
        <v>21</v>
      </c>
      <c r="F4" s="27" t="s">
        <v>22</v>
      </c>
      <c r="G4" s="38">
        <v>50</v>
      </c>
      <c r="H4" s="51">
        <v>7</v>
      </c>
      <c r="I4" s="10">
        <f t="shared" ref="I4:I26" si="0">H4/G4</f>
        <v>0.14000000000000001</v>
      </c>
      <c r="J4" s="42">
        <v>40</v>
      </c>
      <c r="K4" s="54">
        <v>8.5</v>
      </c>
      <c r="L4" s="10">
        <f t="shared" ref="L4:L24" si="1">K4/J4</f>
        <v>0.21249999999999999</v>
      </c>
      <c r="M4" s="11">
        <f t="shared" ref="M4:N13" si="2">K4/H4</f>
        <v>1.2142857142857142</v>
      </c>
      <c r="N4" s="12">
        <f t="shared" si="2"/>
        <v>1.5178571428571426</v>
      </c>
      <c r="O4" s="44">
        <f>H4</f>
        <v>7</v>
      </c>
      <c r="P4" s="40">
        <v>5</v>
      </c>
      <c r="Q4" s="10">
        <f t="shared" ref="Q4:Q26" si="3">P4/O4</f>
        <v>0.7142857142857143</v>
      </c>
      <c r="R4" s="55">
        <f>K4</f>
        <v>8.5</v>
      </c>
      <c r="S4" s="56">
        <v>8.5</v>
      </c>
      <c r="T4" s="10">
        <f t="shared" ref="T4:T13" si="4">S4/R4</f>
        <v>1</v>
      </c>
      <c r="U4" s="11">
        <f t="shared" ref="U4:V13" si="5">S4/P4</f>
        <v>1.7</v>
      </c>
      <c r="V4" s="12">
        <f t="shared" si="5"/>
        <v>1.4</v>
      </c>
      <c r="W4" s="12"/>
    </row>
    <row r="5" spans="1:23" ht="16.5" x14ac:dyDescent="0.45">
      <c r="A5" t="s">
        <v>19</v>
      </c>
      <c r="B5" s="28" t="s">
        <v>19</v>
      </c>
      <c r="C5" s="28" t="s">
        <v>20</v>
      </c>
      <c r="D5" s="28" t="s">
        <v>18</v>
      </c>
      <c r="E5" s="28" t="s">
        <v>21</v>
      </c>
      <c r="F5" s="29" t="s">
        <v>23</v>
      </c>
      <c r="G5" s="39">
        <v>50</v>
      </c>
      <c r="H5" s="52">
        <v>4</v>
      </c>
      <c r="I5" s="13">
        <f t="shared" si="0"/>
        <v>0.08</v>
      </c>
      <c r="J5" s="43">
        <v>30</v>
      </c>
      <c r="K5" s="57">
        <v>7.6</v>
      </c>
      <c r="L5" s="13">
        <f t="shared" si="1"/>
        <v>0.2533333333333333</v>
      </c>
      <c r="M5" s="14">
        <f t="shared" si="2"/>
        <v>1.9</v>
      </c>
      <c r="N5" s="15">
        <f t="shared" si="2"/>
        <v>3.1666666666666661</v>
      </c>
      <c r="O5" s="44">
        <f t="shared" ref="O5:O13" si="6">H5</f>
        <v>4</v>
      </c>
      <c r="P5" s="41">
        <v>4</v>
      </c>
      <c r="Q5" s="13">
        <f t="shared" si="3"/>
        <v>1</v>
      </c>
      <c r="R5" s="55">
        <f t="shared" ref="R5:R13" si="7">K5</f>
        <v>7.6</v>
      </c>
      <c r="S5" s="58">
        <v>6.6</v>
      </c>
      <c r="T5" s="13">
        <f t="shared" si="4"/>
        <v>0.86842105263157898</v>
      </c>
      <c r="U5" s="14">
        <f t="shared" si="5"/>
        <v>1.65</v>
      </c>
      <c r="V5" s="15">
        <f t="shared" si="5"/>
        <v>0.86842105263157898</v>
      </c>
      <c r="W5" s="15"/>
    </row>
    <row r="6" spans="1:23" ht="16.5" x14ac:dyDescent="0.45">
      <c r="A6" t="s">
        <v>19</v>
      </c>
      <c r="B6" s="28" t="s">
        <v>19</v>
      </c>
      <c r="C6" s="28" t="s">
        <v>20</v>
      </c>
      <c r="D6" s="28" t="s">
        <v>18</v>
      </c>
      <c r="E6" s="28" t="s">
        <v>21</v>
      </c>
      <c r="F6" s="29" t="s">
        <v>24</v>
      </c>
      <c r="G6" s="39">
        <v>50</v>
      </c>
      <c r="H6" s="52">
        <v>9</v>
      </c>
      <c r="I6" s="13">
        <f t="shared" si="0"/>
        <v>0.18</v>
      </c>
      <c r="J6" s="43">
        <v>25</v>
      </c>
      <c r="K6" s="57">
        <v>14.25</v>
      </c>
      <c r="L6" s="13">
        <f t="shared" si="1"/>
        <v>0.56999999999999995</v>
      </c>
      <c r="M6" s="14">
        <f t="shared" si="2"/>
        <v>1.5833333333333333</v>
      </c>
      <c r="N6" s="15">
        <f t="shared" si="2"/>
        <v>3.1666666666666665</v>
      </c>
      <c r="O6" s="44">
        <f t="shared" si="6"/>
        <v>9</v>
      </c>
      <c r="P6" s="41"/>
      <c r="Q6" s="13">
        <f t="shared" si="3"/>
        <v>0</v>
      </c>
      <c r="R6" s="55">
        <f t="shared" si="7"/>
        <v>14.25</v>
      </c>
      <c r="S6" s="58"/>
      <c r="T6" s="13">
        <f t="shared" si="4"/>
        <v>0</v>
      </c>
      <c r="U6" s="14" t="e">
        <f t="shared" si="5"/>
        <v>#DIV/0!</v>
      </c>
      <c r="V6" s="15" t="e">
        <f t="shared" si="5"/>
        <v>#DIV/0!</v>
      </c>
      <c r="W6" s="15" t="s">
        <v>48</v>
      </c>
    </row>
    <row r="7" spans="1:23" ht="16.5" x14ac:dyDescent="0.45">
      <c r="A7" t="s">
        <v>19</v>
      </c>
      <c r="B7" s="28" t="s">
        <v>19</v>
      </c>
      <c r="C7" s="28" t="s">
        <v>20</v>
      </c>
      <c r="D7" s="28" t="s">
        <v>18</v>
      </c>
      <c r="E7" s="28" t="s">
        <v>21</v>
      </c>
      <c r="F7" s="29" t="s">
        <v>25</v>
      </c>
      <c r="G7" s="39">
        <v>50</v>
      </c>
      <c r="H7" s="52">
        <v>8</v>
      </c>
      <c r="I7" s="13">
        <f t="shared" si="0"/>
        <v>0.16</v>
      </c>
      <c r="J7" s="43">
        <v>30</v>
      </c>
      <c r="K7" s="57">
        <v>10.199999999999999</v>
      </c>
      <c r="L7" s="13">
        <f t="shared" si="1"/>
        <v>0.33999999999999997</v>
      </c>
      <c r="M7" s="14">
        <f t="shared" si="2"/>
        <v>1.2749999999999999</v>
      </c>
      <c r="N7" s="15">
        <f t="shared" si="2"/>
        <v>2.1249999999999996</v>
      </c>
      <c r="O7" s="44">
        <f t="shared" si="6"/>
        <v>8</v>
      </c>
      <c r="P7" s="41">
        <v>5</v>
      </c>
      <c r="Q7" s="13">
        <f t="shared" si="3"/>
        <v>0.625</v>
      </c>
      <c r="R7" s="55">
        <f t="shared" si="7"/>
        <v>10.199999999999999</v>
      </c>
      <c r="S7" s="58">
        <v>7.1</v>
      </c>
      <c r="T7" s="13">
        <f t="shared" si="4"/>
        <v>0.69607843137254899</v>
      </c>
      <c r="U7" s="14">
        <f t="shared" si="5"/>
        <v>1.42</v>
      </c>
      <c r="V7" s="15">
        <f t="shared" si="5"/>
        <v>1.1137254901960785</v>
      </c>
      <c r="W7" s="15"/>
    </row>
    <row r="8" spans="1:23" ht="16.5" x14ac:dyDescent="0.45">
      <c r="A8" t="s">
        <v>19</v>
      </c>
      <c r="B8" s="28" t="s">
        <v>19</v>
      </c>
      <c r="C8" s="28" t="s">
        <v>20</v>
      </c>
      <c r="D8" s="28" t="s">
        <v>18</v>
      </c>
      <c r="E8" s="28" t="s">
        <v>21</v>
      </c>
      <c r="F8" s="29" t="s">
        <v>26</v>
      </c>
      <c r="G8" s="39">
        <v>50</v>
      </c>
      <c r="H8" s="52">
        <v>15</v>
      </c>
      <c r="I8" s="13">
        <f t="shared" si="0"/>
        <v>0.3</v>
      </c>
      <c r="J8" s="43">
        <v>20</v>
      </c>
      <c r="K8" s="57">
        <v>18.3</v>
      </c>
      <c r="L8" s="13">
        <f t="shared" si="1"/>
        <v>0.91500000000000004</v>
      </c>
      <c r="M8" s="14">
        <f t="shared" si="2"/>
        <v>1.22</v>
      </c>
      <c r="N8" s="15">
        <f t="shared" si="2"/>
        <v>3.0500000000000003</v>
      </c>
      <c r="O8" s="44">
        <f t="shared" si="6"/>
        <v>15</v>
      </c>
      <c r="P8" s="41">
        <v>10</v>
      </c>
      <c r="Q8" s="13">
        <f t="shared" si="3"/>
        <v>0.66666666666666663</v>
      </c>
      <c r="R8" s="55">
        <f t="shared" si="7"/>
        <v>18.3</v>
      </c>
      <c r="S8" s="58">
        <v>14.1</v>
      </c>
      <c r="T8" s="13">
        <f t="shared" si="4"/>
        <v>0.77049180327868849</v>
      </c>
      <c r="U8" s="14">
        <f t="shared" si="5"/>
        <v>1.41</v>
      </c>
      <c r="V8" s="15">
        <f t="shared" si="5"/>
        <v>1.1557377049180328</v>
      </c>
      <c r="W8" s="15"/>
    </row>
    <row r="9" spans="1:23" ht="16.5" x14ac:dyDescent="0.45">
      <c r="A9" t="s">
        <v>19</v>
      </c>
      <c r="B9" s="28" t="s">
        <v>19</v>
      </c>
      <c r="C9" s="28" t="s">
        <v>20</v>
      </c>
      <c r="D9" s="28" t="s">
        <v>18</v>
      </c>
      <c r="E9" s="28" t="s">
        <v>21</v>
      </c>
      <c r="F9" s="29" t="s">
        <v>43</v>
      </c>
      <c r="G9" s="39">
        <v>0</v>
      </c>
      <c r="H9" s="52"/>
      <c r="I9" s="13" t="e">
        <f t="shared" si="0"/>
        <v>#DIV/0!</v>
      </c>
      <c r="J9" s="43">
        <v>20</v>
      </c>
      <c r="K9" s="57"/>
      <c r="L9" s="13">
        <f t="shared" si="1"/>
        <v>0</v>
      </c>
      <c r="M9" s="14" t="e">
        <f t="shared" si="2"/>
        <v>#DIV/0!</v>
      </c>
      <c r="N9" s="15" t="e">
        <f t="shared" si="2"/>
        <v>#DIV/0!</v>
      </c>
      <c r="O9" s="44">
        <f t="shared" si="6"/>
        <v>0</v>
      </c>
      <c r="P9" s="41"/>
      <c r="Q9" s="13" t="e">
        <f t="shared" si="3"/>
        <v>#DIV/0!</v>
      </c>
      <c r="R9" s="55">
        <f t="shared" si="7"/>
        <v>0</v>
      </c>
      <c r="S9" s="58"/>
      <c r="T9" s="13" t="e">
        <f t="shared" si="4"/>
        <v>#DIV/0!</v>
      </c>
      <c r="U9" s="14" t="e">
        <f t="shared" si="5"/>
        <v>#DIV/0!</v>
      </c>
      <c r="V9" s="15" t="e">
        <f t="shared" si="5"/>
        <v>#DIV/0!</v>
      </c>
      <c r="W9" s="15"/>
    </row>
    <row r="10" spans="1:23" ht="16.5" x14ac:dyDescent="0.45">
      <c r="A10" t="s">
        <v>19</v>
      </c>
      <c r="B10" s="28" t="s">
        <v>19</v>
      </c>
      <c r="C10" s="28" t="s">
        <v>20</v>
      </c>
      <c r="D10" s="28" t="s">
        <v>18</v>
      </c>
      <c r="E10" s="28" t="s">
        <v>21</v>
      </c>
      <c r="F10" s="29" t="s">
        <v>27</v>
      </c>
      <c r="G10" s="39">
        <v>0</v>
      </c>
      <c r="H10" s="52"/>
      <c r="I10" s="13" t="e">
        <f t="shared" si="0"/>
        <v>#DIV/0!</v>
      </c>
      <c r="J10" s="43">
        <v>0</v>
      </c>
      <c r="K10" s="57"/>
      <c r="L10" s="13" t="e">
        <f t="shared" si="1"/>
        <v>#DIV/0!</v>
      </c>
      <c r="M10" s="14" t="e">
        <f t="shared" si="2"/>
        <v>#DIV/0!</v>
      </c>
      <c r="N10" s="15" t="e">
        <f t="shared" si="2"/>
        <v>#DIV/0!</v>
      </c>
      <c r="O10" s="44">
        <f t="shared" si="6"/>
        <v>0</v>
      </c>
      <c r="P10" s="41"/>
      <c r="Q10" s="13" t="e">
        <f t="shared" si="3"/>
        <v>#DIV/0!</v>
      </c>
      <c r="R10" s="55">
        <f t="shared" si="7"/>
        <v>0</v>
      </c>
      <c r="S10" s="58"/>
      <c r="T10" s="13" t="e">
        <f t="shared" si="4"/>
        <v>#DIV/0!</v>
      </c>
      <c r="U10" s="14" t="e">
        <f t="shared" si="5"/>
        <v>#DIV/0!</v>
      </c>
      <c r="V10" s="15" t="e">
        <f t="shared" si="5"/>
        <v>#DIV/0!</v>
      </c>
      <c r="W10" s="15"/>
    </row>
    <row r="11" spans="1:23" ht="16.5" x14ac:dyDescent="0.45">
      <c r="A11" t="s">
        <v>19</v>
      </c>
      <c r="B11" s="28" t="s">
        <v>19</v>
      </c>
      <c r="C11" s="28" t="s">
        <v>20</v>
      </c>
      <c r="D11" s="28" t="s">
        <v>18</v>
      </c>
      <c r="E11" s="28" t="s">
        <v>21</v>
      </c>
      <c r="F11" s="29" t="s">
        <v>28</v>
      </c>
      <c r="G11" s="39">
        <v>25</v>
      </c>
      <c r="H11" s="52">
        <v>15</v>
      </c>
      <c r="I11" s="13">
        <f t="shared" si="0"/>
        <v>0.6</v>
      </c>
      <c r="J11" s="43">
        <v>200</v>
      </c>
      <c r="K11" s="57">
        <v>70</v>
      </c>
      <c r="L11" s="13">
        <f t="shared" si="1"/>
        <v>0.35</v>
      </c>
      <c r="M11" s="14">
        <f t="shared" si="2"/>
        <v>4.666666666666667</v>
      </c>
      <c r="N11" s="15">
        <f t="shared" si="2"/>
        <v>0.58333333333333337</v>
      </c>
      <c r="O11" s="44">
        <f t="shared" si="6"/>
        <v>15</v>
      </c>
      <c r="P11" s="41">
        <v>15</v>
      </c>
      <c r="Q11" s="13">
        <f t="shared" si="3"/>
        <v>1</v>
      </c>
      <c r="R11" s="55">
        <f t="shared" si="7"/>
        <v>70</v>
      </c>
      <c r="S11" s="58">
        <v>70</v>
      </c>
      <c r="T11" s="13">
        <f t="shared" si="4"/>
        <v>1</v>
      </c>
      <c r="U11" s="14">
        <f t="shared" si="5"/>
        <v>4.666666666666667</v>
      </c>
      <c r="V11" s="15">
        <f t="shared" si="5"/>
        <v>1</v>
      </c>
      <c r="W11" s="15"/>
    </row>
    <row r="12" spans="1:23" ht="16.5" x14ac:dyDescent="0.45">
      <c r="A12" t="s">
        <v>19</v>
      </c>
      <c r="B12" s="28" t="s">
        <v>19</v>
      </c>
      <c r="C12" s="28" t="s">
        <v>20</v>
      </c>
      <c r="D12" s="28" t="s">
        <v>18</v>
      </c>
      <c r="E12" s="28" t="s">
        <v>21</v>
      </c>
      <c r="F12" s="29" t="s">
        <v>29</v>
      </c>
      <c r="G12" s="39">
        <v>50</v>
      </c>
      <c r="H12" s="52"/>
      <c r="I12" s="13">
        <f t="shared" si="0"/>
        <v>0</v>
      </c>
      <c r="J12" s="43">
        <v>30</v>
      </c>
      <c r="K12" s="57"/>
      <c r="L12" s="13">
        <f t="shared" si="1"/>
        <v>0</v>
      </c>
      <c r="M12" s="14" t="e">
        <f t="shared" si="2"/>
        <v>#DIV/0!</v>
      </c>
      <c r="N12" s="15" t="e">
        <f t="shared" si="2"/>
        <v>#DIV/0!</v>
      </c>
      <c r="O12" s="44">
        <f t="shared" si="6"/>
        <v>0</v>
      </c>
      <c r="P12" s="41"/>
      <c r="Q12" s="13" t="e">
        <f t="shared" si="3"/>
        <v>#DIV/0!</v>
      </c>
      <c r="R12" s="55">
        <f t="shared" si="7"/>
        <v>0</v>
      </c>
      <c r="S12" s="58"/>
      <c r="T12" s="13" t="e">
        <f t="shared" si="4"/>
        <v>#DIV/0!</v>
      </c>
      <c r="U12" s="14" t="e">
        <f t="shared" si="5"/>
        <v>#DIV/0!</v>
      </c>
      <c r="V12" s="15" t="e">
        <f t="shared" si="5"/>
        <v>#DIV/0!</v>
      </c>
      <c r="W12" s="15"/>
    </row>
    <row r="13" spans="1:23" ht="16.5" x14ac:dyDescent="0.45">
      <c r="A13" t="s">
        <v>19</v>
      </c>
      <c r="B13" s="28" t="s">
        <v>19</v>
      </c>
      <c r="C13" s="28" t="s">
        <v>20</v>
      </c>
      <c r="D13" s="28" t="s">
        <v>18</v>
      </c>
      <c r="E13" s="28" t="s">
        <v>21</v>
      </c>
      <c r="F13" s="29" t="s">
        <v>27</v>
      </c>
      <c r="G13" s="39">
        <v>0</v>
      </c>
      <c r="H13" s="52">
        <v>0</v>
      </c>
      <c r="I13" s="13" t="e">
        <f t="shared" si="0"/>
        <v>#DIV/0!</v>
      </c>
      <c r="J13" s="43">
        <v>0</v>
      </c>
      <c r="K13" s="57">
        <v>0</v>
      </c>
      <c r="L13" s="13" t="e">
        <f t="shared" si="1"/>
        <v>#DIV/0!</v>
      </c>
      <c r="M13" s="14" t="e">
        <f t="shared" si="2"/>
        <v>#DIV/0!</v>
      </c>
      <c r="N13" s="15" t="e">
        <f t="shared" si="2"/>
        <v>#DIV/0!</v>
      </c>
      <c r="O13" s="44">
        <f t="shared" si="6"/>
        <v>0</v>
      </c>
      <c r="P13" s="41"/>
      <c r="Q13" s="13" t="e">
        <f t="shared" si="3"/>
        <v>#DIV/0!</v>
      </c>
      <c r="R13" s="55">
        <f t="shared" si="7"/>
        <v>0</v>
      </c>
      <c r="S13" s="58"/>
      <c r="T13" s="13" t="e">
        <f t="shared" si="4"/>
        <v>#DIV/0!</v>
      </c>
      <c r="U13" s="14" t="e">
        <f t="shared" si="5"/>
        <v>#DIV/0!</v>
      </c>
      <c r="V13" s="15" t="e">
        <f t="shared" si="5"/>
        <v>#DIV/0!</v>
      </c>
      <c r="W13" s="15"/>
    </row>
    <row r="14" spans="1:23" x14ac:dyDescent="0.35">
      <c r="A14" t="s">
        <v>19</v>
      </c>
      <c r="B14" s="28" t="s">
        <v>19</v>
      </c>
      <c r="C14" s="28" t="s">
        <v>20</v>
      </c>
      <c r="D14" s="62" t="s">
        <v>17</v>
      </c>
      <c r="E14" s="62"/>
      <c r="F14" s="63"/>
      <c r="G14" s="16">
        <f>SUM(G4:G13)</f>
        <v>325</v>
      </c>
      <c r="H14" s="17">
        <f t="shared" ref="H14:K14" si="8">SUM(H4:H13)</f>
        <v>58</v>
      </c>
      <c r="I14" s="18">
        <f t="shared" si="0"/>
        <v>0.17846153846153845</v>
      </c>
      <c r="J14" s="19">
        <f t="shared" si="8"/>
        <v>395</v>
      </c>
      <c r="K14" s="60">
        <f t="shared" si="8"/>
        <v>128.85</v>
      </c>
      <c r="L14" s="18">
        <f>K14/J14</f>
        <v>0.32620253164556962</v>
      </c>
      <c r="M14" s="19">
        <f>K14/H14</f>
        <v>2.2215517241379308</v>
      </c>
      <c r="N14" s="20" t="e">
        <f>AVERAGE(N4:N13)</f>
        <v>#DIV/0!</v>
      </c>
      <c r="O14" s="16">
        <f>SUM(O4:O13)</f>
        <v>58</v>
      </c>
      <c r="P14" s="17">
        <f t="shared" ref="P14" si="9">SUM(P4:P13)</f>
        <v>39</v>
      </c>
      <c r="Q14" s="18">
        <f t="shared" si="3"/>
        <v>0.67241379310344829</v>
      </c>
      <c r="R14" s="61">
        <f t="shared" ref="R14:S14" si="10">SUM(R4:R13)</f>
        <v>128.85</v>
      </c>
      <c r="S14" s="60">
        <f t="shared" si="10"/>
        <v>106.3</v>
      </c>
      <c r="T14" s="18">
        <f>S14/R14</f>
        <v>0.82499029879705088</v>
      </c>
      <c r="U14" s="19">
        <f>S14/P14</f>
        <v>2.7256410256410257</v>
      </c>
      <c r="V14" s="20" t="e">
        <f>AVERAGE(V4:V13)</f>
        <v>#DIV/0!</v>
      </c>
      <c r="W14" s="20"/>
    </row>
    <row r="15" spans="1:23" ht="16.5" x14ac:dyDescent="0.45">
      <c r="A15" t="s">
        <v>19</v>
      </c>
      <c r="B15" s="28" t="s">
        <v>19</v>
      </c>
      <c r="C15" s="28" t="s">
        <v>20</v>
      </c>
      <c r="D15" s="28" t="s">
        <v>30</v>
      </c>
      <c r="E15" s="28" t="s">
        <v>31</v>
      </c>
      <c r="F15" s="30" t="s">
        <v>32</v>
      </c>
      <c r="G15" s="39">
        <v>50</v>
      </c>
      <c r="H15" s="52"/>
      <c r="I15" s="13">
        <f t="shared" si="0"/>
        <v>0</v>
      </c>
      <c r="J15" s="43">
        <v>30</v>
      </c>
      <c r="K15" s="57"/>
      <c r="L15" s="13">
        <f t="shared" si="1"/>
        <v>0</v>
      </c>
      <c r="M15" s="14" t="e">
        <f t="shared" ref="M15:M19" si="11">K15/H15</f>
        <v>#DIV/0!</v>
      </c>
      <c r="N15" s="15">
        <v>1</v>
      </c>
      <c r="O15" s="45">
        <f>H15</f>
        <v>0</v>
      </c>
      <c r="P15" s="41"/>
      <c r="Q15" s="13" t="e">
        <f t="shared" si="3"/>
        <v>#DIV/0!</v>
      </c>
      <c r="R15" s="59">
        <f>K15</f>
        <v>0</v>
      </c>
      <c r="S15" s="58"/>
      <c r="T15" s="13" t="e">
        <f t="shared" ref="T15:T19" si="12">S15/R15</f>
        <v>#DIV/0!</v>
      </c>
      <c r="U15" s="14" t="e">
        <f t="shared" ref="U15:U19" si="13">S15/P15</f>
        <v>#DIV/0!</v>
      </c>
      <c r="V15" s="15">
        <v>1</v>
      </c>
      <c r="W15" s="15"/>
    </row>
    <row r="16" spans="1:23" ht="16.5" x14ac:dyDescent="0.45">
      <c r="A16" t="s">
        <v>19</v>
      </c>
      <c r="B16" s="28" t="s">
        <v>19</v>
      </c>
      <c r="C16" s="28" t="s">
        <v>20</v>
      </c>
      <c r="D16" s="28" t="s">
        <v>30</v>
      </c>
      <c r="E16" s="28" t="s">
        <v>31</v>
      </c>
      <c r="F16" s="30" t="s">
        <v>33</v>
      </c>
      <c r="G16" s="39">
        <v>50</v>
      </c>
      <c r="H16" s="52"/>
      <c r="I16" s="13">
        <f t="shared" si="0"/>
        <v>0</v>
      </c>
      <c r="J16" s="43">
        <v>30</v>
      </c>
      <c r="K16" s="57"/>
      <c r="L16" s="13">
        <f t="shared" si="1"/>
        <v>0</v>
      </c>
      <c r="M16" s="14" t="e">
        <f t="shared" si="11"/>
        <v>#DIV/0!</v>
      </c>
      <c r="N16" s="15">
        <v>1</v>
      </c>
      <c r="O16" s="45">
        <f t="shared" ref="O16:O19" si="14">H16</f>
        <v>0</v>
      </c>
      <c r="P16" s="41"/>
      <c r="Q16" s="13" t="e">
        <f t="shared" si="3"/>
        <v>#DIV/0!</v>
      </c>
      <c r="R16" s="59">
        <f t="shared" ref="R16:R19" si="15">K16</f>
        <v>0</v>
      </c>
      <c r="S16" s="58"/>
      <c r="T16" s="13" t="e">
        <f t="shared" si="12"/>
        <v>#DIV/0!</v>
      </c>
      <c r="U16" s="14" t="e">
        <f t="shared" si="13"/>
        <v>#DIV/0!</v>
      </c>
      <c r="V16" s="15">
        <v>1</v>
      </c>
      <c r="W16" s="15"/>
    </row>
    <row r="17" spans="1:23" ht="16.5" x14ac:dyDescent="0.45">
      <c r="A17" t="s">
        <v>19</v>
      </c>
      <c r="B17" s="28" t="s">
        <v>19</v>
      </c>
      <c r="C17" s="28" t="s">
        <v>20</v>
      </c>
      <c r="D17" s="28" t="s">
        <v>30</v>
      </c>
      <c r="E17" s="28" t="s">
        <v>31</v>
      </c>
      <c r="F17" s="30" t="s">
        <v>34</v>
      </c>
      <c r="G17" s="39">
        <v>50</v>
      </c>
      <c r="H17" s="52"/>
      <c r="I17" s="13">
        <f t="shared" si="0"/>
        <v>0</v>
      </c>
      <c r="J17" s="43">
        <v>30</v>
      </c>
      <c r="K17" s="57"/>
      <c r="L17" s="13">
        <f t="shared" si="1"/>
        <v>0</v>
      </c>
      <c r="M17" s="14" t="e">
        <f t="shared" si="11"/>
        <v>#DIV/0!</v>
      </c>
      <c r="N17" s="15">
        <v>1</v>
      </c>
      <c r="O17" s="45">
        <f t="shared" si="14"/>
        <v>0</v>
      </c>
      <c r="P17" s="41"/>
      <c r="Q17" s="13" t="e">
        <f t="shared" si="3"/>
        <v>#DIV/0!</v>
      </c>
      <c r="R17" s="59">
        <f t="shared" si="15"/>
        <v>0</v>
      </c>
      <c r="S17" s="58"/>
      <c r="T17" s="13" t="e">
        <f t="shared" si="12"/>
        <v>#DIV/0!</v>
      </c>
      <c r="U17" s="14" t="e">
        <f t="shared" si="13"/>
        <v>#DIV/0!</v>
      </c>
      <c r="V17" s="15">
        <v>1</v>
      </c>
      <c r="W17" s="15"/>
    </row>
    <row r="18" spans="1:23" ht="16.5" x14ac:dyDescent="0.45">
      <c r="A18" t="s">
        <v>19</v>
      </c>
      <c r="B18" s="28" t="s">
        <v>19</v>
      </c>
      <c r="C18" s="28" t="s">
        <v>20</v>
      </c>
      <c r="D18" s="28" t="s">
        <v>30</v>
      </c>
      <c r="E18" s="28" t="s">
        <v>31</v>
      </c>
      <c r="F18" s="30" t="s">
        <v>35</v>
      </c>
      <c r="G18" s="39">
        <v>50</v>
      </c>
      <c r="H18" s="52"/>
      <c r="I18" s="13">
        <f t="shared" si="0"/>
        <v>0</v>
      </c>
      <c r="J18" s="43">
        <v>30</v>
      </c>
      <c r="K18" s="57"/>
      <c r="L18" s="13">
        <f t="shared" si="1"/>
        <v>0</v>
      </c>
      <c r="M18" s="14" t="e">
        <f t="shared" si="11"/>
        <v>#DIV/0!</v>
      </c>
      <c r="N18" s="15">
        <v>1</v>
      </c>
      <c r="O18" s="45">
        <f t="shared" si="14"/>
        <v>0</v>
      </c>
      <c r="P18" s="41"/>
      <c r="Q18" s="13" t="e">
        <f t="shared" si="3"/>
        <v>#DIV/0!</v>
      </c>
      <c r="R18" s="59">
        <f t="shared" si="15"/>
        <v>0</v>
      </c>
      <c r="S18" s="58"/>
      <c r="T18" s="13" t="e">
        <f t="shared" si="12"/>
        <v>#DIV/0!</v>
      </c>
      <c r="U18" s="14" t="e">
        <f t="shared" si="13"/>
        <v>#DIV/0!</v>
      </c>
      <c r="V18" s="15">
        <v>1</v>
      </c>
      <c r="W18" s="15"/>
    </row>
    <row r="19" spans="1:23" ht="16.5" x14ac:dyDescent="0.45">
      <c r="A19" t="s">
        <v>19</v>
      </c>
      <c r="B19" s="28" t="s">
        <v>19</v>
      </c>
      <c r="C19" s="28" t="s">
        <v>20</v>
      </c>
      <c r="D19" s="28" t="s">
        <v>30</v>
      </c>
      <c r="E19" s="28" t="s">
        <v>31</v>
      </c>
      <c r="F19" s="30" t="s">
        <v>40</v>
      </c>
      <c r="G19" s="39">
        <v>50</v>
      </c>
      <c r="H19" s="52"/>
      <c r="I19" s="13">
        <f t="shared" si="0"/>
        <v>0</v>
      </c>
      <c r="J19" s="43">
        <v>30</v>
      </c>
      <c r="K19" s="57"/>
      <c r="L19" s="13">
        <f t="shared" si="1"/>
        <v>0</v>
      </c>
      <c r="M19" s="14" t="e">
        <f t="shared" si="11"/>
        <v>#DIV/0!</v>
      </c>
      <c r="N19" s="15">
        <v>1</v>
      </c>
      <c r="O19" s="45">
        <f t="shared" si="14"/>
        <v>0</v>
      </c>
      <c r="P19" s="41"/>
      <c r="Q19" s="13" t="e">
        <f t="shared" si="3"/>
        <v>#DIV/0!</v>
      </c>
      <c r="R19" s="59">
        <f t="shared" si="15"/>
        <v>0</v>
      </c>
      <c r="S19" s="58"/>
      <c r="T19" s="13" t="e">
        <f t="shared" si="12"/>
        <v>#DIV/0!</v>
      </c>
      <c r="U19" s="14" t="e">
        <f t="shared" si="13"/>
        <v>#DIV/0!</v>
      </c>
      <c r="V19" s="15">
        <v>1</v>
      </c>
      <c r="W19" s="15"/>
    </row>
    <row r="20" spans="1:23" x14ac:dyDescent="0.35">
      <c r="A20" t="s">
        <v>19</v>
      </c>
      <c r="B20" s="28" t="s">
        <v>19</v>
      </c>
      <c r="C20" s="28" t="s">
        <v>20</v>
      </c>
      <c r="D20" s="62" t="s">
        <v>17</v>
      </c>
      <c r="E20" s="62"/>
      <c r="F20" s="63"/>
      <c r="G20" s="16">
        <f>SUM(G15:G19)</f>
        <v>250</v>
      </c>
      <c r="H20" s="17">
        <f t="shared" ref="H20:K20" si="16">SUM(H15:H19)</f>
        <v>0</v>
      </c>
      <c r="I20" s="18">
        <f t="shared" si="0"/>
        <v>0</v>
      </c>
      <c r="J20" s="19">
        <f t="shared" si="16"/>
        <v>150</v>
      </c>
      <c r="K20" s="17">
        <f t="shared" si="16"/>
        <v>0</v>
      </c>
      <c r="L20" s="18">
        <f>K20/J20</f>
        <v>0</v>
      </c>
      <c r="M20" s="19" t="e">
        <f>K20/H20</f>
        <v>#DIV/0!</v>
      </c>
      <c r="N20" s="20">
        <f>AVERAGE(N15:N19)</f>
        <v>1</v>
      </c>
      <c r="O20" s="16">
        <f>SUM(O15:O19)</f>
        <v>0</v>
      </c>
      <c r="P20" s="17">
        <f t="shared" ref="P20" si="17">SUM(P15:P19)</f>
        <v>0</v>
      </c>
      <c r="Q20" s="18" t="e">
        <f t="shared" si="3"/>
        <v>#DIV/0!</v>
      </c>
      <c r="R20" s="53">
        <f t="shared" ref="R20:S20" si="18">SUM(R15:R19)</f>
        <v>0</v>
      </c>
      <c r="S20" s="17">
        <f t="shared" si="18"/>
        <v>0</v>
      </c>
      <c r="T20" s="18" t="e">
        <f>S20/R20</f>
        <v>#DIV/0!</v>
      </c>
      <c r="U20" s="19" t="e">
        <f>S20/P20</f>
        <v>#DIV/0!</v>
      </c>
      <c r="V20" s="20">
        <f>AVERAGE(V15:V19)</f>
        <v>1</v>
      </c>
      <c r="W20" s="20"/>
    </row>
    <row r="21" spans="1:23" ht="16.5" x14ac:dyDescent="0.45">
      <c r="A21" t="s">
        <v>19</v>
      </c>
      <c r="B21" s="28" t="s">
        <v>19</v>
      </c>
      <c r="C21" s="28" t="s">
        <v>20</v>
      </c>
      <c r="D21" s="28" t="s">
        <v>36</v>
      </c>
      <c r="E21" s="28" t="s">
        <v>37</v>
      </c>
      <c r="F21" s="30" t="s">
        <v>41</v>
      </c>
      <c r="G21" s="39">
        <v>50</v>
      </c>
      <c r="H21" s="52">
        <v>14</v>
      </c>
      <c r="I21" s="13">
        <f t="shared" si="0"/>
        <v>0.28000000000000003</v>
      </c>
      <c r="J21" s="43">
        <v>60</v>
      </c>
      <c r="K21" s="57">
        <v>25</v>
      </c>
      <c r="L21" s="13">
        <f t="shared" si="1"/>
        <v>0.41666666666666669</v>
      </c>
      <c r="M21" s="14">
        <f t="shared" ref="M21:M24" si="19">K21/H21</f>
        <v>1.7857142857142858</v>
      </c>
      <c r="N21" s="15">
        <v>1</v>
      </c>
      <c r="O21" s="45">
        <f>H21</f>
        <v>14</v>
      </c>
      <c r="P21" s="41">
        <v>7</v>
      </c>
      <c r="Q21" s="13">
        <f t="shared" si="3"/>
        <v>0.5</v>
      </c>
      <c r="R21" s="59">
        <f>K21</f>
        <v>25</v>
      </c>
      <c r="S21" s="58">
        <v>15</v>
      </c>
      <c r="T21" s="13">
        <f t="shared" ref="T21:T24" si="20">S21/R21</f>
        <v>0.6</v>
      </c>
      <c r="U21" s="14">
        <f t="shared" ref="U21:U24" si="21">S21/P21</f>
        <v>2.1428571428571428</v>
      </c>
      <c r="V21" s="15">
        <v>1</v>
      </c>
      <c r="W21" s="15"/>
    </row>
    <row r="22" spans="1:23" ht="16.5" x14ac:dyDescent="0.45">
      <c r="A22" t="s">
        <v>19</v>
      </c>
      <c r="B22" s="28" t="s">
        <v>19</v>
      </c>
      <c r="C22" s="28" t="s">
        <v>20</v>
      </c>
      <c r="D22" s="28" t="s">
        <v>36</v>
      </c>
      <c r="E22" s="28" t="s">
        <v>37</v>
      </c>
      <c r="F22" s="30" t="s">
        <v>42</v>
      </c>
      <c r="G22" s="39">
        <v>50</v>
      </c>
      <c r="H22" s="52">
        <v>4</v>
      </c>
      <c r="I22" s="13">
        <f t="shared" si="0"/>
        <v>0.08</v>
      </c>
      <c r="J22" s="43">
        <v>40</v>
      </c>
      <c r="K22" s="57">
        <v>7</v>
      </c>
      <c r="L22" s="13">
        <f t="shared" si="1"/>
        <v>0.17499999999999999</v>
      </c>
      <c r="M22" s="14">
        <f t="shared" si="19"/>
        <v>1.75</v>
      </c>
      <c r="N22" s="15">
        <v>1</v>
      </c>
      <c r="O22" s="45">
        <f t="shared" ref="O22:O24" si="22">H22</f>
        <v>4</v>
      </c>
      <c r="P22" s="41">
        <v>3</v>
      </c>
      <c r="Q22" s="13">
        <f t="shared" si="3"/>
        <v>0.75</v>
      </c>
      <c r="R22" s="59">
        <f t="shared" ref="R22:R24" si="23">K22</f>
        <v>7</v>
      </c>
      <c r="S22" s="58">
        <v>6</v>
      </c>
      <c r="T22" s="13">
        <f t="shared" si="20"/>
        <v>0.8571428571428571</v>
      </c>
      <c r="U22" s="14">
        <f t="shared" si="21"/>
        <v>2</v>
      </c>
      <c r="V22" s="15">
        <v>1</v>
      </c>
      <c r="W22" s="15"/>
    </row>
    <row r="23" spans="1:23" ht="16.5" x14ac:dyDescent="0.45">
      <c r="A23" t="s">
        <v>19</v>
      </c>
      <c r="B23" s="28" t="s">
        <v>19</v>
      </c>
      <c r="C23" s="28" t="s">
        <v>20</v>
      </c>
      <c r="D23" s="28" t="s">
        <v>36</v>
      </c>
      <c r="E23" s="28" t="s">
        <v>37</v>
      </c>
      <c r="F23" s="30" t="s">
        <v>38</v>
      </c>
      <c r="G23" s="39">
        <v>50</v>
      </c>
      <c r="H23" s="52">
        <v>4</v>
      </c>
      <c r="I23" s="13">
        <f t="shared" si="0"/>
        <v>0.08</v>
      </c>
      <c r="J23" s="43">
        <v>40</v>
      </c>
      <c r="K23" s="57">
        <v>7</v>
      </c>
      <c r="L23" s="13">
        <f t="shared" si="1"/>
        <v>0.17499999999999999</v>
      </c>
      <c r="M23" s="14">
        <f t="shared" si="19"/>
        <v>1.75</v>
      </c>
      <c r="N23" s="15">
        <v>1</v>
      </c>
      <c r="O23" s="45">
        <f t="shared" si="22"/>
        <v>4</v>
      </c>
      <c r="P23" s="41">
        <v>3</v>
      </c>
      <c r="Q23" s="13">
        <f t="shared" si="3"/>
        <v>0.75</v>
      </c>
      <c r="R23" s="59">
        <f t="shared" si="23"/>
        <v>7</v>
      </c>
      <c r="S23" s="58">
        <v>4</v>
      </c>
      <c r="T23" s="13">
        <f t="shared" si="20"/>
        <v>0.5714285714285714</v>
      </c>
      <c r="U23" s="14">
        <f t="shared" si="21"/>
        <v>1.3333333333333333</v>
      </c>
      <c r="V23" s="15">
        <v>1</v>
      </c>
      <c r="W23" s="15"/>
    </row>
    <row r="24" spans="1:23" ht="16.5" x14ac:dyDescent="0.45">
      <c r="A24" t="s">
        <v>19</v>
      </c>
      <c r="B24" s="28" t="s">
        <v>19</v>
      </c>
      <c r="C24" s="28" t="s">
        <v>20</v>
      </c>
      <c r="D24" s="28" t="s">
        <v>36</v>
      </c>
      <c r="E24" s="28" t="s">
        <v>37</v>
      </c>
      <c r="F24" s="30" t="s">
        <v>27</v>
      </c>
      <c r="G24" s="39">
        <v>50</v>
      </c>
      <c r="H24" s="52">
        <v>0</v>
      </c>
      <c r="I24" s="13">
        <f t="shared" si="0"/>
        <v>0</v>
      </c>
      <c r="J24" s="43">
        <v>30</v>
      </c>
      <c r="K24" s="57">
        <v>0</v>
      </c>
      <c r="L24" s="13">
        <f t="shared" si="1"/>
        <v>0</v>
      </c>
      <c r="M24" s="14" t="e">
        <f t="shared" si="19"/>
        <v>#DIV/0!</v>
      </c>
      <c r="N24" s="15">
        <v>1</v>
      </c>
      <c r="O24" s="45">
        <f t="shared" si="22"/>
        <v>0</v>
      </c>
      <c r="P24" s="41">
        <v>0</v>
      </c>
      <c r="Q24" s="13" t="e">
        <f t="shared" si="3"/>
        <v>#DIV/0!</v>
      </c>
      <c r="R24" s="59">
        <f t="shared" si="23"/>
        <v>0</v>
      </c>
      <c r="S24" s="58">
        <v>0</v>
      </c>
      <c r="T24" s="13" t="e">
        <f t="shared" si="20"/>
        <v>#DIV/0!</v>
      </c>
      <c r="U24" s="14" t="e">
        <f t="shared" si="21"/>
        <v>#DIV/0!</v>
      </c>
      <c r="V24" s="15">
        <v>1</v>
      </c>
      <c r="W24" s="15"/>
    </row>
    <row r="25" spans="1:23" ht="15" thickBot="1" x14ac:dyDescent="0.4">
      <c r="A25" t="s">
        <v>19</v>
      </c>
      <c r="B25" s="31" t="s">
        <v>19</v>
      </c>
      <c r="C25" s="31" t="s">
        <v>20</v>
      </c>
      <c r="D25" s="64" t="s">
        <v>17</v>
      </c>
      <c r="E25" s="64"/>
      <c r="F25" s="65"/>
      <c r="G25" s="21">
        <f>SUM(G21:G24)</f>
        <v>200</v>
      </c>
      <c r="H25" s="22">
        <f t="shared" ref="H25:K25" si="24">SUM(H21:H24)</f>
        <v>22</v>
      </c>
      <c r="I25" s="23">
        <f t="shared" si="0"/>
        <v>0.11</v>
      </c>
      <c r="J25" s="24">
        <f t="shared" si="24"/>
        <v>170</v>
      </c>
      <c r="K25" s="22">
        <f t="shared" si="24"/>
        <v>39</v>
      </c>
      <c r="L25" s="23">
        <f>K25/J25</f>
        <v>0.22941176470588234</v>
      </c>
      <c r="M25" s="24">
        <f>K25/H25</f>
        <v>1.7727272727272727</v>
      </c>
      <c r="N25" s="25">
        <f>AVERAGE(N21:N24)</f>
        <v>1</v>
      </c>
      <c r="O25" s="21">
        <f>SUM(O21:O24)</f>
        <v>22</v>
      </c>
      <c r="P25" s="22">
        <f t="shared" ref="P25" si="25">SUM(P21:P24)</f>
        <v>13</v>
      </c>
      <c r="Q25" s="23">
        <f t="shared" si="3"/>
        <v>0.59090909090909094</v>
      </c>
      <c r="R25" s="24">
        <f t="shared" ref="R25:S25" si="26">SUM(R21:R24)</f>
        <v>39</v>
      </c>
      <c r="S25" s="22">
        <f t="shared" si="26"/>
        <v>25</v>
      </c>
      <c r="T25" s="23">
        <f>S25/R25</f>
        <v>0.64102564102564108</v>
      </c>
      <c r="U25" s="24">
        <f>S25/P25</f>
        <v>1.9230769230769231</v>
      </c>
      <c r="V25" s="25">
        <f>AVERAGE(V21:V24)</f>
        <v>1</v>
      </c>
      <c r="W25" s="25"/>
    </row>
    <row r="26" spans="1:23" ht="15" thickBot="1" x14ac:dyDescent="0.4">
      <c r="A26" t="s">
        <v>19</v>
      </c>
      <c r="B26" s="66" t="s">
        <v>39</v>
      </c>
      <c r="C26" s="67"/>
      <c r="D26" s="67"/>
      <c r="E26" s="67"/>
      <c r="F26" s="67"/>
      <c r="G26" s="32">
        <f>+G25+G20+G14</f>
        <v>775</v>
      </c>
      <c r="H26" s="33">
        <f t="shared" ref="H26:K26" si="27">+H25+H20+H14</f>
        <v>80</v>
      </c>
      <c r="I26" s="34">
        <f t="shared" si="0"/>
        <v>0.1032258064516129</v>
      </c>
      <c r="J26" s="35">
        <f t="shared" si="27"/>
        <v>715</v>
      </c>
      <c r="K26" s="33">
        <f t="shared" si="27"/>
        <v>167.85</v>
      </c>
      <c r="L26" s="34">
        <f>K26/J26</f>
        <v>0.23475524475524476</v>
      </c>
      <c r="M26" s="35">
        <f>K26/H26</f>
        <v>2.098125</v>
      </c>
      <c r="N26" s="36"/>
      <c r="O26" s="32">
        <f>+O25+O20+O14</f>
        <v>80</v>
      </c>
      <c r="P26" s="33">
        <f t="shared" ref="P26" si="28">+P25+P20+P14</f>
        <v>52</v>
      </c>
      <c r="Q26" s="34">
        <f t="shared" si="3"/>
        <v>0.65</v>
      </c>
      <c r="R26" s="35">
        <f t="shared" ref="R26:S26" si="29">+R25+R20+R14</f>
        <v>167.85</v>
      </c>
      <c r="S26" s="33">
        <f t="shared" si="29"/>
        <v>131.30000000000001</v>
      </c>
      <c r="T26" s="34">
        <f>S26/R26</f>
        <v>0.78224605302353301</v>
      </c>
      <c r="U26" s="35">
        <f>S26/P26</f>
        <v>2.5250000000000004</v>
      </c>
      <c r="V26" s="36"/>
      <c r="W26" s="36"/>
    </row>
  </sheetData>
  <mergeCells count="11">
    <mergeCell ref="D14:F14"/>
    <mergeCell ref="D20:F20"/>
    <mergeCell ref="D25:F25"/>
    <mergeCell ref="B26:F26"/>
    <mergeCell ref="G1:N1"/>
    <mergeCell ref="O1:V1"/>
    <mergeCell ref="E2:F2"/>
    <mergeCell ref="G2:I2"/>
    <mergeCell ref="J2:L2"/>
    <mergeCell ref="O2:Q2"/>
    <mergeCell ref="R2:T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(03-07-26)</vt:lpstr>
      <vt:lpstr>(02-07-26)</vt:lpstr>
      <vt:lpstr>(01-07-26)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2026-07-03T07:06:36Z</dcterms:modified>
</cp:coreProperties>
</file>