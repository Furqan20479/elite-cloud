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61E75F7-7FE5-4EEB-9475-109CC5873D18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<sst xmlns="http://schemas.openxmlformats.org/spreadsheetml/2006/main" count="3913" uniqueCount="520">
  <si>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</si>
  <si>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</si>
  <si>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</si>
  <si>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</si>
  <si>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</si>
  <si>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</si>
  <si>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</si>
  <si>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</si>
  <si>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</si>
  <si>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</si>
  <si>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</si>
  <si>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</si>
  <si>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</si>
  <si>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</si>
  <si>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</si>
  <si>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</si>
  <si>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</si>
  <si>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</si>
  <si>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</si>
  <si>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</si>
  <si>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</si>
  <si>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</si>
  <si>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</si>
  <si>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</si>
  <si>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</si>
  <si>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</si>
  <si>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</si>
  <si>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</si>
  <si>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</si>
  <si>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</si>
  <si>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</si>
  <si>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</si>
  <si>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</si>
  <si>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</si>
  <si>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</si>
  <si>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</si>
  <si>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</si>
  <si>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</si>
  <si>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</si>
  <si>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</si>
  <si>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</si>
  <si>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</si>
  <si>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</si>
  <si>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</si>
  <si>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</si>
  <si>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</si>
  <si>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</si>
  <si>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</si>
  <si>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</si>
  <si>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</si>
  <si>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</si>
  <si>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</si>
  <si>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</si>
  <si>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</si>
  <si>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</si>
  <si>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</si>
  <si>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</si>
  <si>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</si>
  <si>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</si>
  <si>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</si>
  <si>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</si>
  <si>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</si>
  <si>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</si>
  <si>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</si>
  <si>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</si>
  <si>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</si>
  <si>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</si>
  <si>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</si>
  <si>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</si>
  <si>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</si>
  <si>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</si>
  <si>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</si>
  <si>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</si>
  <si>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</si>
  <si>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</si>
  <si>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</si>
  <si>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</si>
  <si>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</si>
  <si>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</si>
  <si>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</si>
  <si>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</si>
  <si>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</si>
  <si>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</si>
  <si>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</si>
  <si>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</si>
  <si>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</si>
  <si>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</si>
  <si>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</si>
  <si>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</si>
  <si>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</si>
  <si>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</si>
  <si>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</si>
  <si>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</si>
  <si>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</si>
  <si>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</si>
  <si>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</si>
  <si>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</si>
  <si>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</si>
  <si>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</si>
  <si>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</si>
  <si>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</si>
  <si>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</si>
  <si>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</si>
  <si>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</si>
  <si>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</si>
  <si>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</si>
  <si>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</si>
  <si>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</si>
  <si>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</si>
  <si>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</si>
  <si>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</si>
  <si>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</si>
  <si>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</si>
  <si>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</si>
  <si>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</si>
  <si>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</si>
  <si>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</si>
  <si>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</si>
  <si>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</si>
  <si>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</si>
  <si>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</si>
  <si>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</si>
  <si>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</si>
  <si>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</si>
  <si>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</si>
  <si>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</si>
  <si>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</si>
  <si>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</si>
  <si>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</si>
  <si>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</si>
  <si>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</si>
  <si>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</si>
  <si>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</si>
  <si>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</si>
  <si>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</si>
  <si>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</si>
  <si>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</si>
  <si>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</si>
  <si>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</si>
  <si>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</si>
  <si>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</si>
  <si>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</si>
  <si>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</si>
  <si>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</si>
  <si>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</si>
  <si>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</si>
  <si>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</si>
  <si>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</si>
  <si>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</si>
  <si>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</si>
  <si>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</si>
  <si>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</si>
  <si>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</si>
  <si>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</si>
  <si>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</si>
  <si>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</si>
  <si>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</si>
  <si>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</si>
  <si>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</si>
  <si>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</si>
  <si>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</si>
  <si>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</si>
  <si>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</si>
  <si>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</si>
  <si>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</si>
  <si>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</si>
  <si>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</si>
  <si>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</si>
  <si>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</si>
  <si>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</si>
  <si>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</si>
  <si>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</si>
  <si>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</si>
  <si>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</si>
  <si>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</si>
  <si>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</si>
  <si>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</si>
  <si>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</si>
  <si>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</si>
  <si>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</si>
  <si>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</si>
  <si>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</si>
  <si>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</si>
  <si>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</si>
  <si>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</si>
  <si>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</si>
  <si>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</si>
  <si>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</si>
  <si>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</si>
  <si>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</si>
  <si>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</si>
  <si>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</si>
  <si>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</si>
  <si>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</si>
  <si>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</si>
  <si>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</si>
  <si>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</si>
  <si>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</si>
  <si>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</si>
  <si>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</si>
  <si>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</si>
  <si>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</si>
  <si>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</si>
  <si>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</si>
  <si>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</si>
  <si>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</si>
  <si>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</si>
  <si>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</si>
  <si>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</si>
  <si>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</si>
  <si>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</si>
  <si>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</si>
  <si>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</si>
  <si>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</si>
  <si>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</si>
  <si>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</si>
  <si>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</si>
  <si>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</si>
  <si>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</si>
  <si>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</si>
  <si>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</si>
  <si>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</si>
  <si>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</si>
  <si>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</si>
  <si>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</si>
  <si>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</si>
  <si>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</si>
  <si>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</si>
  <si>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</si>
  <si>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</si>
  <si>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</si>
  <si>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</si>
  <si>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</si>
  <si>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</si>
  <si>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</si>
  <si>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</si>
  <si>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</si>
  <si>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</si>
  <si>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</si>
  <si>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</si>
  <si>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</si>
  <si>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</si>
  <si>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</si>
  <si>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</si>
  <si>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</si>
  <si>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</si>
  <si>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</si>
  <si>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</si>
  <si>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</si>
  <si>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</si>
  <si>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</si>
  <si>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</si>
  <si>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</si>
  <si>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</si>
  <si>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</si>
  <si>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</si>
  <si>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</si>
  <si>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</si>
  <si>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</si>
  <si>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</si>
  <si>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</si>
  <si>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</si>
  <si>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</si>
  <si>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</si>
  <si>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</si>
  <si>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</si>
  <si>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</si>
  <si>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</si>
  <si>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</si>
  <si>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</si>
  <si>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</si>
  <si>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</si>
  <si>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</si>
  <si>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</si>
  <si>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</si>
  <si>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</si>
  <si>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</si>
  <si>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</si>
  <si>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</si>
  <si>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</si>
  <si>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</si>
  <si>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</si>
  <si>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</si>
  <si>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</si>
  <si>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</si>
  <si>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</si>
  <si>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</si>
  <si>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</si>
  <si>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</si>
  <si>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</si>
  <si>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</si>
  <si>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</si>
  <si>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</si>
  <si>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</si>
  <si>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</si>
  <si>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</si>
  <si>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</si>
  <si>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</si>
  <si>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</si>
  <si>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</si>
  <si>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</si>
  <si>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</si>
  <si>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</si>
  <si>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</si>
  <si>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</si>
  <si>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</si>
  <si>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</si>
  <si>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</si>
  <si>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</si>
  <si>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</si>
  <si>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</si>
  <si>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</si>
  <si>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</si>
  <si>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</si>
  <si>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</si>
  <si>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</si>
  <si>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</si>
  <si>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</si>
  <si>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</si>
  <si>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</si>
  <si>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</si>
  <si>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</si>
  <si>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</si>
  <si>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</si>
  <si>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</si>
  <si>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</si>
  <si>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</si>
  <si>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</si>
  <si>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</si>
  <si>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</si>
  <si>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</si>
  <si>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</si>
  <si>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</si>
  <si>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</si>
  <si>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</si>
  <si>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</si>
  <si>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</si>
  <si>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</si>
  <si>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</si>
  <si>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</si>
  <si>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</si>
  <si>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</si>
  <si>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</si>
  <si>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</si>
  <si>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</si>
  <si>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</si>
  <si>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</si>
  <si>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</si>
  <si>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</si>
  <si>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</si>
  <si>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</si>
  <si>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</si>
  <si>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</si>
  <si>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</si>
  <si>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</si>
  <si>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</si>
  <si>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</si>
  <si>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</si>
  <si>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</si>
  <si>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</si>
  <si>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</si>
  <si>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</si>
  <si>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</si>
  <si>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</si>
  <si>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</si>
  <si>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</si>
  <si>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</si>
  <si>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</si>
  <si>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</si>
  <si>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</si>
  <si>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</si>
  <si>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</si>
  <si>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</si>
  <si>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</si>
  <si>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</si>
  <si>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</si>
  <si>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</si>
  <si>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</si>
  <si>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</si>
  <si>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</si>
  <si>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</si>
  <si>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</si>
  <si>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</si>
  <si>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</si>
  <si>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</si>
  <si>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</si>
  <si>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</si>
  <si>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</si>
  <si>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</si>
  <si>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</si>
  <si>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</si>
  <si>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</si>
  <si>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</si>
  <si>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</si>
  <si>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</si>
  <si>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</si>
  <si>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</si>
  <si>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</si>
  <si>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</si>
  <si>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</si>
  <si>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</si>
  <si>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</si>
  <si>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</si>
  <si>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</si>
  <si>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</si>
  <si>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</si>
  <si>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</si>
  <si>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</si>
  <si>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</si>
  <si>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</si>
  <si>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</si>
  <si>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</si>
  <si>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</si>
  <si>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</si>
  <si>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</si>
  <si>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</si>
  <si>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</si>
  <si>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</si>
  <si>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</si>
  <si>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</si>
  <si>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</si>
  <si>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</si>
  <si>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</si>
  <si>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</si>
  <si>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</si>
  <si>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</si>
  <si>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</si>
  <si>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</si>
  <si>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</si>
  <si>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</si>
  <si>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</si>
  <si>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</si>
  <si>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</si>
  <si>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</si>
  <si>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</si>
  <si>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</si>
  <si>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</si>
  <si>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</si>
  <si>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</si>
  <si>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</si>
  <si>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</si>
  <si>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</si>
  <si>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</si>
  <si>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</si>
  <si>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</si>
  <si>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</si>
  <si>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</si>
  <si>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</si>
  <si>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</si>
  <si>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</si>
  <si>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</si>
  <si>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</si>
  <si>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</si>
  <si>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</si>
  <si>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</si>
  <si>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</si>
  <si>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</si>
  <si>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</si>
  <si>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</si>
  <si>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</si>
  <si>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</si>
  <si>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</si>
  <si>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</si>
  <si>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</si>
  <si>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</si>
  <si>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</si>
  <si>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</si>
  <si>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</si>
  <si>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</si>
  <si>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</si>
  <si>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</si>
  <si>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</si>
  <si>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</si>
  <si>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</si>
  <si>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</si>
  <si>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</si>
  <si>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</si>
  <si>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</si>
  <si>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</si>
  <si>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</si>
  <si>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</si>
  <si>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</si>
  <si>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</si>
  <si>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</si>
  <si>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</si>
  <si>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</si>
  <si>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</si>
  <si>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</si>
  <si>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</si>
  <si>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</si>
  <si>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</si>
  <si>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</si>
  <si>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</si>
  <si>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</si>
  <si>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</si>
  <si>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</si>
  <si>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</si>
  <si>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</si>
  <si>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</si>
  <si>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</si>
  <si>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</si>
  <si>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</si>
  <si>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</si>
  <si>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</si>
  <si>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</si>
  <si>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</si>
  <si>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</si>
  <si>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</si>
  <si>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</si>
  <si>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</si>
  <si>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</si>
  <si>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Makkah Store</t>
  </si>
  <si>
    <t xml:space="preserve">Hikers </t>
  </si>
  <si>
    <t>Hadi Store</t>
  </si>
  <si>
    <t xml:space="preserve">Kashmir Bakers </t>
  </si>
  <si>
    <t>Ahmad Store</t>
  </si>
  <si>
    <t>Rana Store</t>
  </si>
  <si>
    <t>Madina Store</t>
  </si>
  <si>
    <t>Al Barkat Store</t>
  </si>
  <si>
    <t>Zeshan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</si>
</sst>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21" workbookViewId="0">
      <selection activeCell="H28" sqref="H2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3" t="s">
        <v>91</v>
      </c>
      <c r="B2" s="353"/>
      <c r="C2" s="353"/>
      <c r="E2" s="341" t="s">
        <v>499</v>
      </c>
      <c r="F2" s="339"/>
      <c r="G2" s="339"/>
      <c r="H2" s="339" t="s">
        <v>519</v>
      </c>
      <c r="I2" s="339"/>
      <c r="J2" s="340"/>
      <c r="R2" s="336" t="s">
        <v>498</v>
      </c>
      <c r="S2" s="337"/>
      <c r="T2" s="338"/>
    </row>
    <row r="3" spans="1:20 16377:16378" ht="21.75" customHeight="1" thickBot="1" x14ac:dyDescent="0.4">
      <c r="A3" s="354" t="s">
        <v>92</v>
      </c>
      <c r="B3" s="354"/>
      <c r="C3" s="354"/>
      <c r="E3" s="344" t="s">
        <v>500</v>
      </c>
      <c r="F3" s="345"/>
      <c r="G3" s="345"/>
      <c r="H3" s="342">
        <f ca="1">+'1'!N4:N4</f>
        <v>46228</v>
      </c>
      <c r="I3" s="342"/>
      <c r="J3" s="343"/>
      <c r="K3" s="355" t="s">
        <v>43</v>
      </c>
      <c r="L3" s="355"/>
      <c r="M3" s="355"/>
      <c r="N3" s="354"/>
      <c r="O3" s="354"/>
      <c r="P3" s="354"/>
      <c r="R3" s="299">
        <v>1</v>
      </c>
      <c r="S3" s="300" t="str">
        <f>+'1'!A6:A6</f>
        <v>Makkah Store</v>
      </c>
      <c r="T3" s="301">
        <f>+'1'!P35</f>
        <v>784.05289627118646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Hikers 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74" t="s">
        <v>51</v>
      </c>
      <c r="B5" s="346"/>
      <c r="C5" s="376" t="s">
        <v>90</v>
      </c>
      <c r="D5" s="115" t="s">
        <v>52</v>
      </c>
      <c r="E5" s="378" t="s">
        <v>58</v>
      </c>
      <c r="F5" s="379"/>
      <c r="G5" s="351" t="s">
        <v>54</v>
      </c>
      <c r="H5" s="352"/>
      <c r="I5" s="380" t="s">
        <v>77</v>
      </c>
      <c r="J5" s="350" t="s">
        <v>55</v>
      </c>
      <c r="K5" s="351"/>
      <c r="L5" s="352"/>
      <c r="M5" s="346" t="s">
        <v>84</v>
      </c>
      <c r="N5" s="348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Hadi Store</v>
      </c>
      <c r="T5" s="301">
        <f>+'3'!P35</f>
        <v>10015.067480949152</v>
      </c>
      <c r="XEX5" t="s">
        <v>106</v>
      </c>
    </row>
    <row r="6" spans="1:20 16377:16378" ht="21.75" customHeight="1" thickBot="1" x14ac:dyDescent="0.4">
      <c r="A6" s="375"/>
      <c r="B6" s="347"/>
      <c r="C6" s="37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9"/>
      <c r="J6" s="143" t="s">
        <v>59</v>
      </c>
      <c r="K6" s="144" t="s">
        <v>39</v>
      </c>
      <c r="L6" s="145" t="s">
        <v>493</v>
      </c>
      <c r="M6" s="347"/>
      <c r="N6" s="349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 xml:space="preserve">Kashmir Bakers </v>
      </c>
      <c r="T6" s="301">
        <f>+'4'!P35</f>
        <v>6272.4231701694916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118">
        <f>M7+N7+O7</f>
        <v>0</v>
      </c>
      <c r="Q7" s="142"/>
      <c r="R7" s="299">
        <v>5</v>
      </c>
      <c r="S7" s="300" t="str">
        <f>+'5'!A6:A6</f>
        <v>Ahmad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Rana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Madina Store</v>
      </c>
      <c r="T9" s="301">
        <f>+'7'!P35</f>
        <v>1568.1057925423729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119">
        <f t="shared" si="2"/>
        <v>3136.2115850847458</v>
      </c>
      <c r="R10" s="299">
        <v>8</v>
      </c>
      <c r="S10" s="300" t="str">
        <f>+'8'!A6:A6</f>
        <v>Al Barkat Store</v>
      </c>
      <c r="T10" s="301">
        <f>+'8'!P35</f>
        <v>1568.1057925423729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119">
        <f t="shared" si="2"/>
        <v>0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7714.3679999999995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46.809128135593227</v>
      </c>
      <c r="P12" s="119">
        <f t="shared" si="2"/>
        <v>9408.6347552542375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240</v>
      </c>
      <c r="I13" s="236">
        <f t="shared" si="0"/>
        <v>9415.2000000000007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470.76000000000005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329.53200000000004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480.17520000000002</v>
      </c>
      <c r="M13" s="230">
        <f t="shared" si="1"/>
        <v>8134.7328000000007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1830.5084745762701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49.826206372881352</v>
      </c>
      <c r="P13" s="119">
        <f t="shared" si="2"/>
        <v>10015.067480949152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56">
        <f>COUNT(A7:A15)</f>
        <v>0</v>
      </c>
      <c r="B16" s="357"/>
      <c r="C16" s="357" t="s">
        <v>40</v>
      </c>
      <c r="D16" s="357"/>
      <c r="E16" s="357"/>
      <c r="F16" s="358"/>
      <c r="G16" s="117">
        <f t="shared" ref="G16:M16" si="3">SUM(G7:G15)</f>
        <v>0</v>
      </c>
      <c r="H16" s="113">
        <f t="shared" si="3"/>
        <v>400</v>
      </c>
      <c r="I16" s="114">
        <f t="shared" si="3"/>
        <v>21037.599999999999</v>
      </c>
      <c r="J16" s="274">
        <f>SUM(J7:J15)</f>
        <v>1400.5519999999999</v>
      </c>
      <c r="K16" s="275">
        <f t="shared" si="3"/>
        <v>736.31600000000003</v>
      </c>
      <c r="L16" s="276">
        <f t="shared" si="3"/>
        <v>480.17520000000002</v>
      </c>
      <c r="M16" s="232">
        <f t="shared" si="3"/>
        <v>18420.556800000002</v>
      </c>
      <c r="N16" s="233">
        <f>SUM(N7:N15)</f>
        <v>4027.1186440677957</v>
      </c>
      <c r="O16" s="101">
        <f>SUM(O7:O15)</f>
        <v>112.23837722033898</v>
      </c>
      <c r="P16" s="234">
        <f>SUM(P7:P15)</f>
        <v>22559.913821288137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21037.599999999999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1400.5519999999999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1216.4911999999999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18420.556799999998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4027.1186440677957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22447.675444067794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112.23837722033898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0" t="s">
        <v>88</v>
      </c>
      <c r="O26" s="331"/>
      <c r="P26" s="297">
        <f>+P24+P25</f>
        <v>22559.913821288133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2"/>
      <c r="D27" s="332"/>
      <c r="E27" s="332"/>
      <c r="F27" s="332"/>
      <c r="G27" s="332"/>
      <c r="H27" s="332"/>
      <c r="I27" s="333"/>
      <c r="J27" s="334"/>
      <c r="K27" s="335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22559.913821288137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7.25" customHeight="1" x14ac:dyDescent="0.4">
      <c r="A6" s="383" t="s">
        <v>511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726.4</v>
      </c>
      <c r="J25" s="274">
        <f>SUM(J16:J24)</f>
        <v>58.112000000000002</v>
      </c>
      <c r="K25" s="275">
        <f t="shared" si="10"/>
        <v>25.424000000000003</v>
      </c>
      <c r="L25" s="276">
        <f t="shared" si="10"/>
        <v>0</v>
      </c>
      <c r="M25" s="232">
        <f t="shared" si="10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30" t="s">
        <v>88</v>
      </c>
      <c r="O35" s="331"/>
      <c r="P35" s="297">
        <f>+P33+P34</f>
        <v>784.05289627118646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512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30" t="s">
        <v>88</v>
      </c>
      <c r="O35" s="331"/>
      <c r="P35" s="297">
        <f>+P33+P34</f>
        <v>784.05289627118646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3" t="s">
        <v>513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240</v>
      </c>
      <c r="I22" s="236">
        <f t="shared" si="0"/>
        <v>9415.2000000000007</v>
      </c>
      <c r="J22" s="272">
        <f t="shared" si="1"/>
        <v>470.76000000000005</v>
      </c>
      <c r="K22" s="128">
        <f t="shared" si="1"/>
        <v>329.53200000000004</v>
      </c>
      <c r="L22" s="119">
        <f t="shared" si="1"/>
        <v>480.17520000000002</v>
      </c>
      <c r="M22" s="230">
        <f t="shared" si="2"/>
        <v>8134.7328000000007</v>
      </c>
      <c r="N22" s="277">
        <f t="shared" si="3"/>
        <v>1830.5084745762701</v>
      </c>
      <c r="O22" s="239">
        <f t="shared" si="4"/>
        <v>49.826206372881352</v>
      </c>
      <c r="P22" s="119">
        <f t="shared" si="5"/>
        <v>10015.067480949152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240</v>
      </c>
      <c r="I25" s="114">
        <f t="shared" si="7"/>
        <v>9415.2000000000007</v>
      </c>
      <c r="J25" s="274">
        <f>SUM(J16:J24)</f>
        <v>470.76000000000005</v>
      </c>
      <c r="K25" s="275">
        <f t="shared" si="7"/>
        <v>329.53200000000004</v>
      </c>
      <c r="L25" s="276">
        <f t="shared" si="7"/>
        <v>480.17520000000002</v>
      </c>
      <c r="M25" s="232">
        <f t="shared" si="7"/>
        <v>8134.7328000000007</v>
      </c>
      <c r="N25" s="233">
        <f>SUM(N16:N24)</f>
        <v>1830.5084745762701</v>
      </c>
      <c r="O25" s="101">
        <f>SUM(O16:O24)</f>
        <v>49.826206372881352</v>
      </c>
      <c r="P25" s="234">
        <f>SUM(P16:P24)</f>
        <v>10015.067480949152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9415.2000000000007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470.76000000000005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809.70720000000006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8134.7328000000007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1830.5084745762701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9965.2412745762704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49.826206372881352</v>
      </c>
    </row>
    <row r="35" spans="2:16" ht="15.75" customHeight="1" thickBot="1" x14ac:dyDescent="0.4">
      <c r="N35" s="330" t="s">
        <v>88</v>
      </c>
      <c r="O35" s="331"/>
      <c r="P35" s="297">
        <f>+P33+P34</f>
        <v>10015.067480949152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D7" sqref="D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514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30" t="s">
        <v>88</v>
      </c>
      <c r="O35" s="331"/>
      <c r="P35" s="297">
        <f>+P33+P34</f>
        <v>6272.4231701694916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515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30" t="s">
        <v>88</v>
      </c>
      <c r="O35" s="331"/>
      <c r="P35" s="297">
        <f>+P33+P34</f>
        <v>784.05289627118646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516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30" t="s">
        <v>88</v>
      </c>
      <c r="O35" s="331"/>
      <c r="P35" s="297">
        <f>+P33+P34</f>
        <v>784.05289627118646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517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30" t="s">
        <v>88</v>
      </c>
      <c r="O35" s="331"/>
      <c r="P35" s="297">
        <f>+P33+P34</f>
        <v>1568.1057925423729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518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30" t="s">
        <v>88</v>
      </c>
      <c r="O35" s="331"/>
      <c r="P35" s="297">
        <f>+P33+P34</f>
        <v>1568.1057925423729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E9" sqref="E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501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502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3" t="s">
        <v>503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3" t="s">
        <v>91</v>
      </c>
      <c r="B2" s="353"/>
      <c r="C2" s="353"/>
    </row>
    <row r="3" spans="1:18 16382:16383" ht="15" customHeight="1" x14ac:dyDescent="0.35">
      <c r="A3" s="354" t="s">
        <v>92</v>
      </c>
      <c r="B3" s="354"/>
      <c r="C3" s="354"/>
      <c r="F3" s="85"/>
      <c r="G3" s="1"/>
      <c r="J3" s="355" t="s">
        <v>43</v>
      </c>
      <c r="K3" s="355"/>
      <c r="L3" s="355"/>
      <c r="M3" s="354"/>
      <c r="N3" s="354"/>
      <c r="O3" s="35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4" t="s">
        <v>65</v>
      </c>
      <c r="B4" s="354"/>
      <c r="C4" s="354"/>
      <c r="F4" s="85"/>
      <c r="G4" s="1"/>
      <c r="J4" s="355" t="s">
        <v>44</v>
      </c>
      <c r="K4" s="355"/>
      <c r="L4" s="355"/>
      <c r="M4" s="385">
        <f ca="1">TODAY()+1</f>
        <v>46228</v>
      </c>
      <c r="N4" s="385"/>
      <c r="O4" s="38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2" t="s">
        <v>93</v>
      </c>
      <c r="B5" s="382"/>
      <c r="C5" s="382"/>
      <c r="F5" s="85"/>
      <c r="G5" s="1"/>
      <c r="J5" s="355" t="s">
        <v>45</v>
      </c>
      <c r="K5" s="355"/>
      <c r="L5" s="355"/>
      <c r="M5" s="385">
        <f ca="1">M4-1</f>
        <v>46227</v>
      </c>
      <c r="N5" s="354"/>
      <c r="O5" s="354"/>
      <c r="Q5" s="85"/>
      <c r="R5" s="1"/>
    </row>
    <row r="6" spans="1:18 16382:16383" ht="15" customHeight="1" x14ac:dyDescent="0.35">
      <c r="A6" s="355" t="s">
        <v>94</v>
      </c>
      <c r="B6" s="355"/>
      <c r="C6" s="355"/>
      <c r="F6" s="85"/>
      <c r="G6" s="86"/>
      <c r="J6" s="355" t="s">
        <v>69</v>
      </c>
      <c r="K6" s="355"/>
      <c r="L6" s="355"/>
      <c r="M6" s="384" t="s">
        <v>62</v>
      </c>
      <c r="N6" s="384"/>
      <c r="O6" s="38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5" t="s">
        <v>73</v>
      </c>
      <c r="B7" s="355"/>
      <c r="C7" s="355"/>
      <c r="F7" s="85"/>
      <c r="G7" s="86"/>
      <c r="J7" s="355" t="s">
        <v>66</v>
      </c>
      <c r="K7" s="355"/>
      <c r="L7" s="355"/>
      <c r="M7" s="384" t="s">
        <v>70</v>
      </c>
      <c r="N7" s="384"/>
      <c r="O7" s="38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1" t="s">
        <v>95</v>
      </c>
      <c r="B8" s="381"/>
      <c r="C8" s="381"/>
      <c r="F8" s="85"/>
      <c r="G8" s="86"/>
      <c r="J8" s="355" t="s">
        <v>67</v>
      </c>
      <c r="K8" s="355"/>
      <c r="L8" s="355"/>
      <c r="M8" s="384" t="s">
        <v>71</v>
      </c>
      <c r="N8" s="384"/>
      <c r="O8" s="384"/>
      <c r="Q8" s="85"/>
      <c r="R8" s="86"/>
    </row>
    <row r="9" spans="1:18 16382:16383" x14ac:dyDescent="0.35">
      <c r="A9" s="381" t="s">
        <v>96</v>
      </c>
      <c r="B9" s="381"/>
      <c r="C9" s="381"/>
      <c r="F9" s="85"/>
      <c r="G9" s="86"/>
      <c r="J9" s="355" t="s">
        <v>68</v>
      </c>
      <c r="K9" s="355"/>
      <c r="L9" s="355"/>
      <c r="M9" s="384" t="s">
        <v>104</v>
      </c>
      <c r="N9" s="384"/>
      <c r="O9" s="384"/>
      <c r="Q9" s="85"/>
      <c r="R9" s="86"/>
      <c r="XFC9" t="s">
        <v>49</v>
      </c>
    </row>
    <row r="10" spans="1:18 16382:16383" x14ac:dyDescent="0.35">
      <c r="A10" s="381" t="s">
        <v>97</v>
      </c>
      <c r="B10" s="381"/>
      <c r="C10" s="381"/>
      <c r="F10" s="85"/>
      <c r="G10" s="1"/>
      <c r="J10" s="355" t="s">
        <v>46</v>
      </c>
      <c r="K10" s="355"/>
      <c r="L10" s="355"/>
      <c r="M10" s="354" t="s">
        <v>47</v>
      </c>
      <c r="N10" s="354"/>
      <c r="O10" s="35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5" t="s">
        <v>48</v>
      </c>
      <c r="K11" s="355"/>
      <c r="L11" s="355"/>
      <c r="M11" s="354" t="s">
        <v>49</v>
      </c>
      <c r="N11" s="354"/>
      <c r="O11" s="35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5" t="s">
        <v>50</v>
      </c>
      <c r="K12" s="355"/>
      <c r="L12" s="355"/>
      <c r="M12" s="354"/>
      <c r="N12" s="354"/>
      <c r="O12" s="35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4" t="s">
        <v>51</v>
      </c>
      <c r="B14" s="346"/>
      <c r="C14" s="376" t="s">
        <v>90</v>
      </c>
      <c r="D14" s="88" t="s">
        <v>52</v>
      </c>
      <c r="E14" s="95" t="s">
        <v>74</v>
      </c>
      <c r="F14" s="115" t="s">
        <v>53</v>
      </c>
      <c r="G14" s="350" t="s">
        <v>54</v>
      </c>
      <c r="H14" s="352"/>
      <c r="I14" s="380" t="s">
        <v>77</v>
      </c>
      <c r="J14" s="351" t="s">
        <v>55</v>
      </c>
      <c r="K14" s="352"/>
      <c r="L14" s="38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5"/>
      <c r="B15" s="347"/>
      <c r="C15" s="37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9"/>
      <c r="J15" s="144" t="s">
        <v>39</v>
      </c>
      <c r="K15" s="145" t="s">
        <v>59</v>
      </c>
      <c r="L15" s="34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0" t="s">
        <v>88</v>
      </c>
      <c r="N35" s="331"/>
      <c r="O35" s="141">
        <f>O28-O29+O31+O34</f>
        <v>2897.511536</v>
      </c>
    </row>
    <row r="36" spans="2:15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8" t="s">
        <v>439</v>
      </c>
      <c r="E1" s="322" t="s">
        <v>58</v>
      </c>
      <c r="F1" s="322"/>
      <c r="G1" s="323" t="s">
        <v>440</v>
      </c>
      <c r="H1" s="323"/>
      <c r="I1" s="395" t="s">
        <v>441</v>
      </c>
      <c r="J1" s="395"/>
      <c r="K1" s="395" t="s">
        <v>442</v>
      </c>
      <c r="L1" s="395"/>
      <c r="M1" s="390" t="s">
        <v>484</v>
      </c>
      <c r="N1" s="391"/>
      <c r="O1" s="392"/>
    </row>
    <row r="2" spans="3:24" ht="29" x14ac:dyDescent="0.35">
      <c r="C2" s="322"/>
      <c r="D2" s="38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89" t="s">
        <v>58</v>
      </c>
      <c r="F7" s="389"/>
      <c r="G7" s="387" t="s">
        <v>440</v>
      </c>
      <c r="H7" s="323"/>
      <c r="I7" s="324" t="s">
        <v>441</v>
      </c>
      <c r="J7" s="325"/>
      <c r="K7" s="324" t="s">
        <v>442</v>
      </c>
      <c r="L7" s="325"/>
      <c r="M7" s="390" t="s">
        <v>484</v>
      </c>
      <c r="N7" s="391"/>
      <c r="O7" s="392"/>
      <c r="P7" s="256" t="s">
        <v>475</v>
      </c>
      <c r="Q7" s="242" t="s">
        <v>473</v>
      </c>
      <c r="R7" s="388" t="s">
        <v>475</v>
      </c>
      <c r="S7" s="388" t="s">
        <v>485</v>
      </c>
      <c r="T7" s="386" t="s">
        <v>486</v>
      </c>
      <c r="U7" s="386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8"/>
      <c r="S8" s="388"/>
      <c r="T8" s="387"/>
      <c r="U8" s="38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90" t="s">
        <v>484</v>
      </c>
      <c r="N13" s="391"/>
      <c r="O13" s="392"/>
      <c r="P13" s="256" t="s">
        <v>475</v>
      </c>
      <c r="Q13" s="242" t="s">
        <v>473</v>
      </c>
      <c r="R13" s="388" t="s">
        <v>475</v>
      </c>
      <c r="S13" s="388" t="s">
        <v>485</v>
      </c>
      <c r="T13" s="386" t="s">
        <v>486</v>
      </c>
      <c r="U13" s="386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8"/>
      <c r="S14" s="388"/>
      <c r="T14" s="387"/>
      <c r="U14" s="38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90" t="s">
        <v>484</v>
      </c>
      <c r="N20" s="391"/>
      <c r="O20" s="392"/>
      <c r="P20" s="256" t="s">
        <v>475</v>
      </c>
      <c r="Q20" s="242" t="s">
        <v>473</v>
      </c>
      <c r="R20" s="388" t="s">
        <v>475</v>
      </c>
      <c r="S20" s="388" t="s">
        <v>485</v>
      </c>
      <c r="T20" s="386" t="s">
        <v>486</v>
      </c>
      <c r="U20" s="386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8"/>
      <c r="S21" s="388"/>
      <c r="T21" s="387"/>
      <c r="U21" s="38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90" t="s">
        <v>484</v>
      </c>
      <c r="N27" s="391"/>
      <c r="O27" s="392"/>
      <c r="P27" s="256" t="s">
        <v>475</v>
      </c>
      <c r="Q27" s="242" t="s">
        <v>473</v>
      </c>
      <c r="R27" s="388" t="s">
        <v>475</v>
      </c>
      <c r="S27" s="388" t="s">
        <v>485</v>
      </c>
      <c r="T27" s="386" t="s">
        <v>486</v>
      </c>
      <c r="U27" s="386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8"/>
      <c r="S28" s="388"/>
      <c r="T28" s="387"/>
      <c r="U28" s="38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8" t="s">
        <v>439</v>
      </c>
      <c r="D1" s="322" t="s">
        <v>58</v>
      </c>
      <c r="E1" s="322"/>
      <c r="F1" s="323" t="s">
        <v>440</v>
      </c>
      <c r="G1" s="323"/>
      <c r="H1" s="395" t="s">
        <v>441</v>
      </c>
      <c r="I1" s="395"/>
      <c r="J1" s="395" t="s">
        <v>442</v>
      </c>
      <c r="K1" s="395"/>
      <c r="L1" s="390" t="s">
        <v>484</v>
      </c>
      <c r="M1" s="391"/>
      <c r="N1" s="392"/>
    </row>
    <row r="2" spans="2:17" ht="29" x14ac:dyDescent="0.35">
      <c r="B2" s="322"/>
      <c r="C2" s="38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7"/>
      <c r="G60" s="160" t="s">
        <v>195</v>
      </c>
      <c r="H60" s="161" t="s">
        <v>100</v>
      </c>
    </row>
    <row r="61" spans="5:8" x14ac:dyDescent="0.35">
      <c r="E61" s="159" t="s">
        <v>192</v>
      </c>
      <c r="F61" s="397"/>
      <c r="G61" s="160" t="s">
        <v>196</v>
      </c>
      <c r="H61" s="161" t="s">
        <v>98</v>
      </c>
    </row>
    <row r="62" spans="5:8" x14ac:dyDescent="0.35">
      <c r="E62" s="159" t="s">
        <v>192</v>
      </c>
      <c r="F62" s="397"/>
      <c r="G62" s="160" t="s">
        <v>197</v>
      </c>
      <c r="H62" s="161" t="s">
        <v>101</v>
      </c>
    </row>
    <row r="63" spans="5:8" x14ac:dyDescent="0.35">
      <c r="E63" s="159" t="s">
        <v>192</v>
      </c>
      <c r="F63" s="397"/>
      <c r="G63" s="160" t="s">
        <v>198</v>
      </c>
      <c r="H63" s="161" t="s">
        <v>102</v>
      </c>
    </row>
    <row r="64" spans="5:8" x14ac:dyDescent="0.35">
      <c r="E64" s="159" t="s">
        <v>192</v>
      </c>
      <c r="F64" s="397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7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7"/>
      <c r="G121" s="160" t="s">
        <v>273</v>
      </c>
      <c r="H121" s="161" t="s">
        <v>98</v>
      </c>
    </row>
    <row r="122" spans="5:8" x14ac:dyDescent="0.35">
      <c r="E122" s="159" t="s">
        <v>269</v>
      </c>
      <c r="F122" s="397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7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7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7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7"/>
      <c r="G241" s="160" t="s">
        <v>432</v>
      </c>
      <c r="H241" s="161" t="s">
        <v>98</v>
      </c>
    </row>
    <row r="242" spans="5:8" x14ac:dyDescent="0.35">
      <c r="E242" s="159" t="s">
        <v>428</v>
      </c>
      <c r="F242" s="397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7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7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2026-07-24T06:01:08Z</dcterms:modified>
</cp:coreProperties>
</file>