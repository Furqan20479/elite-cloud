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CC8112-122A-48BF-AD88-3818D352AFA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3" i="62" s="1"/>
  <c r="H15" i="62"/>
  <c r="H14" i="62"/>
  <c r="H13" i="62"/>
  <c r="H12" i="62"/>
  <c r="H11" i="62"/>
  <c r="H10" i="62"/>
  <c r="H9" i="62"/>
  <c r="H8" i="62"/>
  <c r="H7" i="62"/>
  <c r="G15" i="62"/>
  <c r="G14" i="62"/>
  <c r="G13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D12" i="62"/>
  <c r="B12" i="62"/>
  <c r="C12" i="62" s="1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I11" i="62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I12" i="62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67" l="1"/>
  <c r="O22" i="67" s="1"/>
  <c r="P22" i="67" s="1"/>
  <c r="M22" i="63"/>
  <c r="O22" i="63" s="1"/>
  <c r="P22" i="63" s="1"/>
  <c r="J15" i="62"/>
  <c r="M18" i="48"/>
  <c r="M23" i="48"/>
  <c r="O23" i="48" s="1"/>
  <c r="P23" i="48" s="1"/>
  <c r="M17" i="44"/>
  <c r="O17" i="44" s="1"/>
  <c r="P17" i="44" s="1"/>
  <c r="M16" i="44"/>
  <c r="M23" i="49"/>
  <c r="O23" i="49" s="1"/>
  <c r="P23" i="49" s="1"/>
  <c r="M22" i="52"/>
  <c r="O22" i="52" s="1"/>
  <c r="P22" i="52" s="1"/>
  <c r="M22" i="64"/>
  <c r="O22" i="64" s="1"/>
  <c r="P22" i="64" s="1"/>
  <c r="M23" i="56"/>
  <c r="M23" i="60"/>
  <c r="M23" i="58"/>
  <c r="O23" i="58" s="1"/>
  <c r="P23" i="58" s="1"/>
  <c r="M23" i="72"/>
  <c r="O23" i="72" s="1"/>
  <c r="P23" i="72" s="1"/>
  <c r="M23" i="64"/>
  <c r="O23" i="64" s="1"/>
  <c r="P23" i="64" s="1"/>
  <c r="M23" i="59"/>
  <c r="M23" i="44"/>
  <c r="O23" i="44" s="1"/>
  <c r="P23" i="44" s="1"/>
  <c r="M23" i="65"/>
  <c r="O23" i="65" s="1"/>
  <c r="P23" i="65" s="1"/>
  <c r="M23" i="66"/>
  <c r="M23" i="54"/>
  <c r="O23" i="54" s="1"/>
  <c r="P23" i="54" s="1"/>
  <c r="M23" i="69"/>
  <c r="M23" i="53"/>
  <c r="O23" i="53" s="1"/>
  <c r="P23" i="53" s="1"/>
  <c r="M20" i="48"/>
  <c r="O20" i="48" s="1"/>
  <c r="P20" i="48" s="1"/>
  <c r="R20" i="48" s="1"/>
  <c r="M20" i="61"/>
  <c r="O20" i="61" s="1"/>
  <c r="P20" i="61" s="1"/>
  <c r="R20" i="61" s="1"/>
  <c r="M20" i="43"/>
  <c r="O20" i="43" s="1"/>
  <c r="P20" i="43" s="1"/>
  <c r="R20" i="43" s="1"/>
  <c r="M20" i="57"/>
  <c r="O20" i="57" s="1"/>
  <c r="P20" i="57" s="1"/>
  <c r="R20" i="57" s="1"/>
  <c r="M22" i="43"/>
  <c r="O22" i="43" s="1"/>
  <c r="P22" i="43" s="1"/>
  <c r="K12" i="62"/>
  <c r="J25" i="61"/>
  <c r="P29" i="61" s="1"/>
  <c r="M20" i="47"/>
  <c r="O20" i="47" s="1"/>
  <c r="P20" i="47" s="1"/>
  <c r="R20" i="47" s="1"/>
  <c r="M18" i="53"/>
  <c r="O18" i="53" s="1"/>
  <c r="P18" i="53" s="1"/>
  <c r="M20" i="53"/>
  <c r="O20" i="53" s="1"/>
  <c r="P20" i="53" s="1"/>
  <c r="R20" i="53" s="1"/>
  <c r="M21" i="43"/>
  <c r="O21" i="43" s="1"/>
  <c r="P21" i="43" s="1"/>
  <c r="M20" i="70"/>
  <c r="O20" i="70" s="1"/>
  <c r="P20" i="70" s="1"/>
  <c r="R20" i="70" s="1"/>
  <c r="M20" i="46"/>
  <c r="O20" i="46" s="1"/>
  <c r="P20" i="46" s="1"/>
  <c r="R20" i="46" s="1"/>
  <c r="M18" i="67"/>
  <c r="O18" i="67" s="1"/>
  <c r="P18" i="67" s="1"/>
  <c r="M21" i="53"/>
  <c r="O21" i="53" s="1"/>
  <c r="P21" i="53" s="1"/>
  <c r="M21" i="68"/>
  <c r="O21" i="68" s="1"/>
  <c r="P21" i="68" s="1"/>
  <c r="M21" i="44"/>
  <c r="O21" i="44" s="1"/>
  <c r="P21" i="44" s="1"/>
  <c r="M21" i="47"/>
  <c r="O21" i="47" s="1"/>
  <c r="P21" i="47" s="1"/>
  <c r="M21" i="52"/>
  <c r="O21" i="52" s="1"/>
  <c r="P21" i="52" s="1"/>
  <c r="M21" i="69"/>
  <c r="O21" i="69" s="1"/>
  <c r="P21" i="69" s="1"/>
  <c r="M21" i="51"/>
  <c r="O21" i="51" s="1"/>
  <c r="P21" i="51" s="1"/>
  <c r="M20" i="71"/>
  <c r="O20" i="71" s="1"/>
  <c r="P20" i="71" s="1"/>
  <c r="R20" i="71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4" i="71"/>
  <c r="P24" i="71"/>
  <c r="O23" i="59"/>
  <c r="P23" i="59" s="1"/>
  <c r="O23" i="69"/>
  <c r="P23" i="69" s="1"/>
  <c r="O16" i="67"/>
  <c r="P16" i="67" s="1"/>
  <c r="O24" i="48"/>
  <c r="P24" i="48" s="1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17" i="50"/>
  <c r="P17" i="50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3" i="56" l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3" i="55" l="1"/>
  <c r="O25" i="48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<sst xmlns="http://schemas.openxmlformats.org/spreadsheetml/2006/main" count="3932" uniqueCount="526">
  <si>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</si>
  <si>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</si>
  <si>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</si>
  <si>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</si>
  <si>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</si>
  <si>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</si>
  <si>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</si>
  <si>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</si>
  <si>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</si>
  <si>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</si>
  <si>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</si>
  <si>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</si>
  <si>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</si>
  <si>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</si>
  <si>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</si>
  <si>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</si>
  <si>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</si>
  <si>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</si>
  <si>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</si>
  <si>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</si>
  <si>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</si>
  <si>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</si>
  <si>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</si>
  <si>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</si>
  <si>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</si>
  <si>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</si>
  <si>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</si>
  <si>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</si>
  <si>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</si>
  <si>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</si>
  <si>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</si>
  <si>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</si>
  <si>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</si>
  <si>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</si>
  <si>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</si>
  <si>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</si>
  <si>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</si>
  <si>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</si>
  <si>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</si>
  <si>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</si>
  <si>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</si>
  <si>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</si>
  <si>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</si>
  <si>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</si>
  <si>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</si>
  <si>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</si>
  <si>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</si>
  <si>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</si>
  <si>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</si>
  <si>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</si>
  <si>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</si>
  <si>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</si>
  <si>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</si>
  <si>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</si>
  <si>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</si>
  <si>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</si>
  <si>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</si>
  <si>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</si>
  <si>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</si>
  <si>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</si>
  <si>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</si>
  <si>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</si>
  <si>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</si>
  <si>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</si>
  <si>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</si>
  <si>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</si>
  <si>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</si>
  <si>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</si>
  <si>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</si>
  <si>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</si>
  <si>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</si>
  <si>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</si>
  <si>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</si>
  <si>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</si>
  <si>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</si>
  <si>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</si>
  <si>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</si>
  <si>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</si>
  <si>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</si>
  <si>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</si>
  <si>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</si>
  <si>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</si>
  <si>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</si>
  <si>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</si>
  <si>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</si>
  <si>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</si>
  <si>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</si>
  <si>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</si>
  <si>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</si>
  <si>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</si>
  <si>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</si>
  <si>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</si>
  <si>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</si>
  <si>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</si>
  <si>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</si>
  <si>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</si>
  <si>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</si>
  <si>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</si>
  <si>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</si>
  <si>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</si>
  <si>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</si>
  <si>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</si>
  <si>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</si>
  <si>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</si>
  <si>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</si>
  <si>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</si>
  <si>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</si>
  <si>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</si>
  <si>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</si>
  <si>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</si>
  <si>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</si>
  <si>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</si>
  <si>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</si>
  <si>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</si>
  <si>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</si>
  <si>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</si>
  <si>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</si>
  <si>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</si>
  <si>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</si>
  <si>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</si>
  <si>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</si>
  <si>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</si>
  <si>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</si>
  <si>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</si>
  <si>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</si>
  <si>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</si>
  <si>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</si>
  <si>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</si>
  <si>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</si>
  <si>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</si>
  <si>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</si>
  <si>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</si>
  <si>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</si>
  <si>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</si>
  <si>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</si>
  <si>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</si>
  <si>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</si>
  <si>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</si>
  <si>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</si>
  <si>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</si>
  <si>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</si>
  <si>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</si>
  <si>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</si>
  <si>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</si>
  <si>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</si>
  <si>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</si>
  <si>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</si>
  <si>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</si>
  <si>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</si>
  <si>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</si>
  <si>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</si>
  <si>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</si>
  <si>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</si>
  <si>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</si>
  <si>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</si>
  <si>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</si>
  <si>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</si>
  <si>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</si>
  <si>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</si>
  <si>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</si>
  <si>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</si>
  <si>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</si>
  <si>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</si>
  <si>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</si>
  <si>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</si>
  <si>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</si>
  <si>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</si>
  <si>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</si>
  <si>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</si>
  <si>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</si>
  <si>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</si>
  <si>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</si>
  <si>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</si>
  <si>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</si>
  <si>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</si>
  <si>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</si>
  <si>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</si>
  <si>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</si>
  <si>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</si>
  <si>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</si>
  <si>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</si>
  <si>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</si>
  <si>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</si>
  <si>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</si>
  <si>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</si>
  <si>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</si>
  <si>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</si>
  <si>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</si>
  <si>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</si>
  <si>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</si>
  <si>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</si>
  <si>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</si>
  <si>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</si>
  <si>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</si>
  <si>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</si>
  <si>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</si>
  <si>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</si>
  <si>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</si>
  <si>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</si>
  <si>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</si>
  <si>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</si>
  <si>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</si>
  <si>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</si>
  <si>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</si>
  <si>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</si>
  <si>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</si>
  <si>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</si>
  <si>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</si>
  <si>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</si>
  <si>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</si>
  <si>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</si>
  <si>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</si>
  <si>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</si>
  <si>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</si>
  <si>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</si>
  <si>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</si>
  <si>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</si>
  <si>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</si>
  <si>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</si>
  <si>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</si>
  <si>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</si>
  <si>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</si>
  <si>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</si>
  <si>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</si>
  <si>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</si>
  <si>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</si>
  <si>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</si>
  <si>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</si>
  <si>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</si>
  <si>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</si>
  <si>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</si>
  <si>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</si>
  <si>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</si>
  <si>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</si>
  <si>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</si>
  <si>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</si>
  <si>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</si>
  <si>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</si>
  <si>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</si>
  <si>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</si>
  <si>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</si>
  <si>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</si>
  <si>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</si>
  <si>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</si>
  <si>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</si>
  <si>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</si>
  <si>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</si>
  <si>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</si>
  <si>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</si>
  <si>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</si>
  <si>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</si>
  <si>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</si>
  <si>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</si>
  <si>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</si>
  <si>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</si>
  <si>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</si>
  <si>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</si>
  <si>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</si>
  <si>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</si>
  <si>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</si>
  <si>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</si>
  <si>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</si>
  <si>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</si>
  <si>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</si>
  <si>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</si>
  <si>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</si>
  <si>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</si>
  <si>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</si>
  <si>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</si>
  <si>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</si>
  <si>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</si>
  <si>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</si>
  <si>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</si>
  <si>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</si>
  <si>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</si>
  <si>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</si>
  <si>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</si>
  <si>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</si>
  <si>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</si>
  <si>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</si>
  <si>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</si>
  <si>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</si>
  <si>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</si>
  <si>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</si>
  <si>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</si>
  <si>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</si>
  <si>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</si>
  <si>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</si>
  <si>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</si>
  <si>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</si>
  <si>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</si>
  <si>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</si>
  <si>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</si>
  <si>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</si>
  <si>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</si>
  <si>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</si>
  <si>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</si>
  <si>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</si>
  <si>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</si>
  <si>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</si>
  <si>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</si>
  <si>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</si>
  <si>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</si>
  <si>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</si>
  <si>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</si>
  <si>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</si>
  <si>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</si>
  <si>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</si>
  <si>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</si>
  <si>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</si>
  <si>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</si>
  <si>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</si>
  <si>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</si>
  <si>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</si>
  <si>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</si>
  <si>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</si>
  <si>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</si>
  <si>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</si>
  <si>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</si>
  <si>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</si>
  <si>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</si>
  <si>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</si>
  <si>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</si>
  <si>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</si>
  <si>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</si>
  <si>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</si>
  <si>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</si>
  <si>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</si>
  <si>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</si>
  <si>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</si>
  <si>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</si>
  <si>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</si>
  <si>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</si>
  <si>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</si>
  <si>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</si>
  <si>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</si>
  <si>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</si>
  <si>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</si>
  <si>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</si>
  <si>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</si>
  <si>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</si>
  <si>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</si>
  <si>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</si>
  <si>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</si>
  <si>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</si>
  <si>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</si>
  <si>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</si>
  <si>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</si>
  <si>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</si>
  <si>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</si>
  <si>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</si>
  <si>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</si>
  <si>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</si>
  <si>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</si>
  <si>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</si>
  <si>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</si>
  <si>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</si>
  <si>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</si>
  <si>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</si>
  <si>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</si>
  <si>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</si>
  <si>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</si>
  <si>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</si>
  <si>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</si>
  <si>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</si>
  <si>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</si>
  <si>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</si>
  <si>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</si>
  <si>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</si>
  <si>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</si>
  <si>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</si>
  <si>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</si>
  <si>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</si>
  <si>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</si>
  <si>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</si>
  <si>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</si>
  <si>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</si>
  <si>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</si>
  <si>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</si>
  <si>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</si>
  <si>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</si>
  <si>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</si>
  <si>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</si>
  <si>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</si>
  <si>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</si>
  <si>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</si>
  <si>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</si>
  <si>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</si>
  <si>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</si>
  <si>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</si>
  <si>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</si>
  <si>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</si>
  <si>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</si>
  <si>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</si>
  <si>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</si>
  <si>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</si>
  <si>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</si>
  <si>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</si>
  <si>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</si>
  <si>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</si>
  <si>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</si>
  <si>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</si>
  <si>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</si>
  <si>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</si>
  <si>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</si>
  <si>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</si>
  <si>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</si>
  <si>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</si>
  <si>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</si>
  <si>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</si>
  <si>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</si>
  <si>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</si>
  <si>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</si>
  <si>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</si>
  <si>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</si>
  <si>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</si>
  <si>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</si>
  <si>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</si>
  <si>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</si>
  <si>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</si>
  <si>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</si>
  <si>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</si>
  <si>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</si>
  <si>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</si>
  <si>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</si>
  <si>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</si>
  <si>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</si>
  <si>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</si>
  <si>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</si>
  <si>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</si>
  <si>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</si>
  <si>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</si>
  <si>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</si>
  <si>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</si>
  <si>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</si>
  <si>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</si>
  <si>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</si>
  <si>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</si>
  <si>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</si>
  <si>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</si>
  <si>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</si>
  <si>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</si>
  <si>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</si>
  <si>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</si>
  <si>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</si>
  <si>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</si>
  <si>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</si>
  <si>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</si>
  <si>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</si>
  <si>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</si>
  <si>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</si>
  <si>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</si>
  <si>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</si>
  <si>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</si>
  <si>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</si>
  <si>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</si>
  <si>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</si>
  <si>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</si>
  <si>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</si>
  <si>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</si>
  <si>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</si>
  <si>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</si>
  <si>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</si>
  <si>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</si>
  <si>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</si>
  <si>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</si>
  <si>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</si>
  <si>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</si>
  <si>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</si>
  <si>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</si>
  <si>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</si>
  <si>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</si>
  <si>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</si>
  <si>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</si>
  <si>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</si>
  <si>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</si>
  <si>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</si>
  <si>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</si>
  <si>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</si>
  <si>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</si>
  <si>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</si>
  <si>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</si>
  <si>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</si>
  <si>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</si>
  <si>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</si>
  <si>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</si>
  <si>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</si>
  <si>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</si>
  <si>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</si>
  <si>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</si>
  <si>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</si>
  <si>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</si>
  <si>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</si>
  <si>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</si>
  <si>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</si>
  <si>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</si>
  <si>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</si>
  <si>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</si>
  <si>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</si>
  <si>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</si>
  <si>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</si>
  <si>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</si>
  <si>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</si>
  <si>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</si>
  <si>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</si>
  <si>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</si>
  <si>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</si>
  <si>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Umair</t>
  </si>
  <si>
    <t>Address: Pak Arab Society</t>
  </si>
  <si>
    <t>Al Yousaf Bakers</t>
  </si>
  <si>
    <t>B399368</t>
  </si>
  <si>
    <t>Chuhan Store</t>
  </si>
  <si>
    <t>Al Noor Bakers</t>
  </si>
  <si>
    <t xml:space="preserve">Address: Pak Arab Society </t>
  </si>
  <si>
    <t>Bismillah Store</t>
  </si>
  <si>
    <t>Family Choice Super Store</t>
  </si>
  <si>
    <t>Ziyan Store</t>
  </si>
  <si>
    <t>Address: Pak Aarab Society</t>
  </si>
  <si>
    <t>Awan Store</t>
  </si>
  <si>
    <t>Mashallah Super Store</t>
  </si>
  <si>
    <t>Waleed Super Store</t>
  </si>
  <si>
    <t>Khatak Store</t>
  </si>
  <si>
    <t>Address: Shadab Colony</t>
  </si>
  <si>
    <t>K.K Super Martk</t>
  </si>
  <si>
    <t>Consumer Name</t>
  </si>
  <si>
    <t>Panda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</si>
</sst>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3" workbookViewId="0">
      <selection activeCell="U11" sqref="U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6" t="s">
        <v>91</v>
      </c>
      <c r="B2" s="356"/>
      <c r="C2" s="356"/>
      <c r="E2" s="344" t="s">
        <v>497</v>
      </c>
      <c r="F2" s="342"/>
      <c r="G2" s="342"/>
      <c r="H2" s="342" t="s">
        <v>499</v>
      </c>
      <c r="I2" s="342"/>
      <c r="J2" s="343"/>
      <c r="R2" s="339" t="s">
        <v>507</v>
      </c>
      <c r="S2" s="340"/>
      <c r="T2" s="341"/>
    </row>
    <row r="3" spans="1:20 16377:16378" ht="21.75" customHeight="1" thickBot="1" x14ac:dyDescent="0.4">
      <c r="A3" s="357" t="s">
        <v>92</v>
      </c>
      <c r="B3" s="357"/>
      <c r="C3" s="357"/>
      <c r="E3" s="347" t="s">
        <v>498</v>
      </c>
      <c r="F3" s="348"/>
      <c r="G3" s="348"/>
      <c r="H3" s="345">
        <f ca="1">+'1'!N4:N4</f>
        <v>46228</v>
      </c>
      <c r="I3" s="345"/>
      <c r="J3" s="346"/>
      <c r="K3" s="358" t="s">
        <v>43</v>
      </c>
      <c r="L3" s="358"/>
      <c r="M3" s="358"/>
      <c r="N3" s="357"/>
      <c r="O3" s="357"/>
      <c r="P3" s="357"/>
      <c r="R3" s="299">
        <v>1</v>
      </c>
      <c r="S3" s="300" t="str">
        <f>+'1'!A6:A6</f>
        <v>Panda Mart</v>
      </c>
      <c r="T3" s="301">
        <f>+'1'!P35</f>
        <v>15681.057925423729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Al Yousaf Bakers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59" t="s">
        <v>51</v>
      </c>
      <c r="B5" s="349"/>
      <c r="C5" s="361" t="s">
        <v>90</v>
      </c>
      <c r="D5" s="115" t="s">
        <v>52</v>
      </c>
      <c r="E5" s="363" t="s">
        <v>58</v>
      </c>
      <c r="F5" s="364"/>
      <c r="G5" s="354" t="s">
        <v>54</v>
      </c>
      <c r="H5" s="355"/>
      <c r="I5" s="365" t="s">
        <v>77</v>
      </c>
      <c r="J5" s="353" t="s">
        <v>55</v>
      </c>
      <c r="K5" s="354"/>
      <c r="L5" s="355"/>
      <c r="M5" s="349" t="s">
        <v>84</v>
      </c>
      <c r="N5" s="351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Chuhan Store</v>
      </c>
      <c r="T5" s="301">
        <f>+'3'!P35</f>
        <v>2310.1272362288132</v>
      </c>
      <c r="XEX5" t="s">
        <v>106</v>
      </c>
    </row>
    <row r="6" spans="1:20 16377:16378" ht="21.75" customHeight="1" thickBot="1" x14ac:dyDescent="0.4">
      <c r="A6" s="360"/>
      <c r="B6" s="350"/>
      <c r="C6" s="36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2"/>
      <c r="J6" s="143" t="s">
        <v>59</v>
      </c>
      <c r="K6" s="144" t="s">
        <v>39</v>
      </c>
      <c r="L6" s="145" t="s">
        <v>493</v>
      </c>
      <c r="M6" s="350"/>
      <c r="N6" s="352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Al Noor Bakers</v>
      </c>
      <c r="T6" s="301">
        <f>+'4'!P35</f>
        <v>4805.3894985762709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28.172283368644067</v>
      </c>
      <c r="P7" s="118">
        <f>M7+N7+O7</f>
        <v>1155.0636181144066</v>
      </c>
      <c r="Q7" s="142"/>
      <c r="R7" s="299">
        <v>5</v>
      </c>
      <c r="S7" s="300" t="str">
        <f>+'5'!A6:A6</f>
        <v>Bismillah Store</v>
      </c>
      <c r="T7" s="301">
        <f>+'5'!P35</f>
        <v>1568.1057925423729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28.172283368644067</v>
      </c>
      <c r="P8" s="119">
        <f t="shared" ref="P8:P15" si="2">M8+N8+O8</f>
        <v>1155.0636181144066</v>
      </c>
      <c r="R8" s="299">
        <v>6</v>
      </c>
      <c r="S8" s="300" t="str">
        <f>+'6'!A6:A6</f>
        <v>Family Choice Super Store</v>
      </c>
      <c r="T8" s="301">
        <f>+'6'!P35</f>
        <v>1950.0993054915252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Ziyan Store</v>
      </c>
      <c r="T9" s="301">
        <f>+'7'!P35</f>
        <v>3198.6237559322035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133</v>
      </c>
      <c r="I10" s="236">
        <f t="shared" si="0"/>
        <v>9661.1200000000008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772.88959999999997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338.13920000000007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8550.0912000000008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1825.9322033898306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173.58385016949154</v>
      </c>
      <c r="P10" s="119">
        <f t="shared" si="2"/>
        <v>10549.607253559321</v>
      </c>
      <c r="R10" s="299">
        <v>8</v>
      </c>
      <c r="S10" s="300" t="str">
        <f>+'8'!A6:A6</f>
        <v>Awan Store</v>
      </c>
      <c r="T10" s="301">
        <f>+'8'!P35</f>
        <v>3198.6237559322039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330">
        <v>3520263248545</v>
      </c>
      <c r="E11" s="331"/>
      <c r="F11" s="331"/>
      <c r="G11" s="332"/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139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807.7568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353.39359999999999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-1161.1504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1908.3050847457628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107.27091864406781</v>
      </c>
      <c r="P11" s="119">
        <f t="shared" si="2"/>
        <v>854.4256033898306</v>
      </c>
      <c r="R11" s="299">
        <v>9</v>
      </c>
      <c r="S11" s="300" t="str">
        <f>+'9'!A6:A6</f>
        <v>Mashallah Super Store</v>
      </c>
      <c r="T11" s="301">
        <f>+'9'!P35</f>
        <v>851.19769220338992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330">
        <f>VLOOKUP(A12,'Cust. Price List'!D11:M19,4,0)</f>
        <v>40</v>
      </c>
      <c r="E12" s="331"/>
      <c r="F12" s="331"/>
      <c r="G12" s="332"/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218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1266.8416000000002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554.2432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-1821.0848000000001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2992.8813559322034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206.74031593220343</v>
      </c>
      <c r="P12" s="119">
        <f t="shared" si="2"/>
        <v>1378.5368718644067</v>
      </c>
      <c r="R12" s="299">
        <v>10</v>
      </c>
      <c r="S12" s="300" t="str">
        <f>+'10'!A6:A6</f>
        <v>Waleed Super Store</v>
      </c>
      <c r="T12" s="301">
        <f>+'10'!P35</f>
        <v>959.58712677966105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112</v>
      </c>
      <c r="I13" s="236">
        <f t="shared" si="0"/>
        <v>4393.76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219.68800000000007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153.78160000000003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224.08176</v>
      </c>
      <c r="M13" s="230">
        <f t="shared" si="1"/>
        <v>3796.2086399999998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854.23728813559273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49.826206372881359</v>
      </c>
      <c r="P13" s="119">
        <f t="shared" si="2"/>
        <v>4700.2721345084738</v>
      </c>
      <c r="R13" s="299">
        <v>11</v>
      </c>
      <c r="S13" s="300" t="str">
        <f>+'11'!A6:A6</f>
        <v>Khatak Store</v>
      </c>
      <c r="T13" s="301">
        <f>+'11'!P35</f>
        <v>3198.6237559322035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K.K Super Martk</v>
      </c>
      <c r="T14" s="301">
        <f>+'12'!P35</f>
        <v>3198.6237559322035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Consumer Name</v>
      </c>
      <c r="T15" s="301">
        <f>+'13'!P35</f>
        <v>0</v>
      </c>
    </row>
    <row r="16" spans="1:20 16377:16378" ht="21.75" customHeight="1" thickBot="1" x14ac:dyDescent="0.4">
      <c r="A16" s="366">
        <f>COUNT(A7:A15)</f>
        <v>0</v>
      </c>
      <c r="B16" s="367"/>
      <c r="C16" s="367" t="s">
        <v>40</v>
      </c>
      <c r="D16" s="367"/>
      <c r="E16" s="367"/>
      <c r="F16" s="368"/>
      <c r="G16" s="117">
        <f t="shared" ref="G16:M16" si="3">SUM(G7:G15)</f>
        <v>0</v>
      </c>
      <c r="H16" s="113">
        <f t="shared" si="3"/>
        <v>642</v>
      </c>
      <c r="I16" s="114">
        <f t="shared" si="3"/>
        <v>16153.380000000001</v>
      </c>
      <c r="J16" s="274">
        <f>SUM(J7:J15)</f>
        <v>3235.0560000000005</v>
      </c>
      <c r="K16" s="275">
        <f t="shared" si="3"/>
        <v>1473.0051000000001</v>
      </c>
      <c r="L16" s="276">
        <f t="shared" si="3"/>
        <v>224.08176</v>
      </c>
      <c r="M16" s="232">
        <f t="shared" si="3"/>
        <v>11221.237140000001</v>
      </c>
      <c r="N16" s="233">
        <f>SUM(N7:N15)</f>
        <v>7977.966101694914</v>
      </c>
      <c r="O16" s="101">
        <f>SUM(O7:O15)</f>
        <v>593.76585785593238</v>
      </c>
      <c r="P16" s="234">
        <f>SUM(P7:P15)</f>
        <v>19792.969099550843</v>
      </c>
      <c r="R16" s="299">
        <v>14</v>
      </c>
      <c r="S16" s="300" t="str">
        <f>+'14'!A6:A6</f>
        <v>Consumer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Consumer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Consumer Name</v>
      </c>
      <c r="T18" s="301">
        <f>+'16'!P35</f>
        <v>0</v>
      </c>
    </row>
    <row r="19" spans="1:20" ht="21.75" customHeight="1" x14ac:dyDescent="0.35">
      <c r="B19" s="369" t="s">
        <v>64</v>
      </c>
      <c r="C19" s="370"/>
      <c r="D19" s="370"/>
      <c r="E19" s="370"/>
      <c r="F19" s="370"/>
      <c r="G19" s="370"/>
      <c r="H19" s="370"/>
      <c r="I19" s="370"/>
      <c r="J19" s="370"/>
      <c r="K19" s="370"/>
      <c r="L19" s="371"/>
      <c r="N19" s="378" t="s">
        <v>60</v>
      </c>
      <c r="O19" s="379"/>
      <c r="P19" s="139">
        <f>I16</f>
        <v>16153.380000000001</v>
      </c>
      <c r="R19" s="299">
        <v>17</v>
      </c>
      <c r="S19" s="300" t="str">
        <f>+'17'!A6:A6</f>
        <v>Consumer Name</v>
      </c>
      <c r="T19" s="301">
        <f>+'17'!P35</f>
        <v>0</v>
      </c>
    </row>
    <row r="20" spans="1:20" ht="21.75" customHeight="1" x14ac:dyDescent="0.35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4"/>
      <c r="N20" s="380" t="s">
        <v>85</v>
      </c>
      <c r="O20" s="381"/>
      <c r="P20" s="140">
        <f>+J16</f>
        <v>3235.0560000000005</v>
      </c>
      <c r="R20" s="299">
        <v>18</v>
      </c>
      <c r="S20" s="300" t="str">
        <f>+'18'!A6:A6</f>
        <v>Consumer Name</v>
      </c>
      <c r="T20" s="301">
        <f>+'18'!P35</f>
        <v>0</v>
      </c>
    </row>
    <row r="21" spans="1:20" ht="21.75" customHeight="1" x14ac:dyDescent="0.35">
      <c r="B21" s="372"/>
      <c r="C21" s="373"/>
      <c r="D21" s="373"/>
      <c r="E21" s="373"/>
      <c r="F21" s="373"/>
      <c r="G21" s="373"/>
      <c r="H21" s="373"/>
      <c r="I21" s="373"/>
      <c r="J21" s="373"/>
      <c r="K21" s="373"/>
      <c r="L21" s="374"/>
      <c r="N21" s="380" t="s">
        <v>86</v>
      </c>
      <c r="O21" s="381"/>
      <c r="P21" s="140">
        <f>+K16+L16</f>
        <v>1697.0868600000001</v>
      </c>
      <c r="R21" s="299">
        <v>19</v>
      </c>
      <c r="S21" s="300" t="str">
        <f>+'19'!A6:A6</f>
        <v>Consumer Name</v>
      </c>
      <c r="T21" s="301">
        <f>+'19'!P35</f>
        <v>0</v>
      </c>
    </row>
    <row r="22" spans="1:20" ht="21.75" customHeight="1" x14ac:dyDescent="0.35">
      <c r="B22" s="372"/>
      <c r="C22" s="373"/>
      <c r="D22" s="373"/>
      <c r="E22" s="373"/>
      <c r="F22" s="373"/>
      <c r="G22" s="373"/>
      <c r="H22" s="373"/>
      <c r="I22" s="373"/>
      <c r="J22" s="373"/>
      <c r="K22" s="373"/>
      <c r="L22" s="374"/>
      <c r="M22" s="131"/>
      <c r="N22" s="380" t="s">
        <v>87</v>
      </c>
      <c r="O22" s="381"/>
      <c r="P22" s="140">
        <f>P19-P20-P21</f>
        <v>11221.237140000001</v>
      </c>
      <c r="R22" s="299">
        <v>20</v>
      </c>
      <c r="S22" s="300" t="str">
        <f>+'20'!A6:A6</f>
        <v>Consumer Name</v>
      </c>
      <c r="T22" s="301">
        <f>+'20'!P35</f>
        <v>0</v>
      </c>
    </row>
    <row r="23" spans="1:20" ht="21.75" customHeight="1" x14ac:dyDescent="0.35">
      <c r="B23" s="372"/>
      <c r="C23" s="373"/>
      <c r="D23" s="373"/>
      <c r="E23" s="373"/>
      <c r="F23" s="373"/>
      <c r="G23" s="373"/>
      <c r="H23" s="373"/>
      <c r="I23" s="373"/>
      <c r="J23" s="373"/>
      <c r="K23" s="373"/>
      <c r="L23" s="374"/>
      <c r="M23" s="131"/>
      <c r="N23" s="136" t="s">
        <v>61</v>
      </c>
      <c r="O23" s="133">
        <v>0.18</v>
      </c>
      <c r="P23" s="140">
        <f>+N16</f>
        <v>7977.966101694914</v>
      </c>
      <c r="R23" s="299">
        <v>21</v>
      </c>
      <c r="S23" s="300" t="str">
        <f>+'21'!A6:A6</f>
        <v>Consumer Name</v>
      </c>
      <c r="T23" s="301">
        <f>+'21'!P35</f>
        <v>0</v>
      </c>
    </row>
    <row r="24" spans="1:20" ht="21.75" customHeight="1" x14ac:dyDescent="0.35">
      <c r="B24" s="372"/>
      <c r="C24" s="373"/>
      <c r="D24" s="373"/>
      <c r="E24" s="373"/>
      <c r="F24" s="373"/>
      <c r="G24" s="373"/>
      <c r="H24" s="373"/>
      <c r="I24" s="373"/>
      <c r="J24" s="373"/>
      <c r="K24" s="373"/>
      <c r="L24" s="374"/>
      <c r="M24" s="131"/>
      <c r="N24" s="382" t="s">
        <v>76</v>
      </c>
      <c r="O24" s="383"/>
      <c r="P24" s="140">
        <f>P22+P23</f>
        <v>19199.203241694915</v>
      </c>
      <c r="R24" s="299">
        <v>22</v>
      </c>
      <c r="S24" s="300" t="str">
        <f>+'22'!A6:A6</f>
        <v>Consumer Name</v>
      </c>
      <c r="T24" s="301">
        <f>+'22'!P35</f>
        <v>0</v>
      </c>
    </row>
    <row r="25" spans="1:20" ht="21.75" customHeight="1" thickBot="1" x14ac:dyDescent="0.4">
      <c r="B25" s="375"/>
      <c r="C25" s="376"/>
      <c r="D25" s="376"/>
      <c r="E25" s="376"/>
      <c r="F25" s="376"/>
      <c r="G25" s="376"/>
      <c r="H25" s="376"/>
      <c r="I25" s="376"/>
      <c r="J25" s="376"/>
      <c r="K25" s="376"/>
      <c r="L25" s="377"/>
      <c r="M25" s="99"/>
      <c r="N25" s="138" t="s">
        <v>83</v>
      </c>
      <c r="O25" s="137" t="e">
        <f>IF(#REF!="Filer",0.5%,2.5%)</f>
        <v>#REF!</v>
      </c>
      <c r="P25" s="140">
        <f>+O16</f>
        <v>593.76585785593238</v>
      </c>
      <c r="R25" s="299">
        <v>23</v>
      </c>
      <c r="S25" s="300" t="str">
        <f>+'23'!A6:A6</f>
        <v>Consumer Name</v>
      </c>
      <c r="T25" s="301">
        <f>+'23'!P35</f>
        <v>0</v>
      </c>
    </row>
    <row r="26" spans="1:20" ht="21.75" customHeight="1" thickBot="1" x14ac:dyDescent="0.4">
      <c r="N26" s="333" t="s">
        <v>88</v>
      </c>
      <c r="O26" s="334"/>
      <c r="P26" s="297">
        <f>+P24+P25</f>
        <v>19792.969099550846</v>
      </c>
      <c r="R26" s="299">
        <v>24</v>
      </c>
      <c r="S26" s="300" t="str">
        <f>+'24'!A6:A6</f>
        <v>Consumer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5"/>
      <c r="D27" s="335"/>
      <c r="E27" s="335"/>
      <c r="F27" s="335"/>
      <c r="G27" s="335"/>
      <c r="H27" s="335"/>
      <c r="I27" s="336"/>
      <c r="J27" s="337"/>
      <c r="K27" s="338"/>
      <c r="R27" s="299">
        <v>25</v>
      </c>
      <c r="S27" s="300" t="str">
        <f>+'25'!A6:A6</f>
        <v>Consumer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Consumer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Consumer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Consumer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Consumer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Consumer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45725.449099550846</v>
      </c>
    </row>
    <row r="44" spans="2:20" x14ac:dyDescent="0.35">
      <c r="B44" t="s">
        <v>501</v>
      </c>
    </row>
    <row r="45" spans="2:20" x14ac:dyDescent="0.35">
      <c r="B45" t="s">
        <v>502</v>
      </c>
    </row>
    <row r="46" spans="2:20" x14ac:dyDescent="0.35">
      <c r="B46" t="s">
        <v>503</v>
      </c>
    </row>
    <row r="47" spans="2:20" x14ac:dyDescent="0.35">
      <c r="B47" t="s">
        <v>504</v>
      </c>
    </row>
    <row r="48" spans="2:20" x14ac:dyDescent="0.35">
      <c r="B48" t="s">
        <v>505</v>
      </c>
    </row>
  </sheetData>
  <dataConsolidate/>
  <mergeCells count="30">
    <mergeCell ref="A16:B16"/>
    <mergeCell ref="C16:F16"/>
    <mergeCell ref="B19:L25"/>
    <mergeCell ref="N19:O19"/>
    <mergeCell ref="N20:O20"/>
    <mergeCell ref="N21:O21"/>
    <mergeCell ref="N22:O22"/>
    <mergeCell ref="N24:O24"/>
    <mergeCell ref="M5:M6"/>
    <mergeCell ref="N5:N6"/>
    <mergeCell ref="J5:L5"/>
    <mergeCell ref="A2:C2"/>
    <mergeCell ref="A3:C3"/>
    <mergeCell ref="K3:M3"/>
    <mergeCell ref="N3:P3"/>
    <mergeCell ref="A5:B6"/>
    <mergeCell ref="C5:C6"/>
    <mergeCell ref="E5:F5"/>
    <mergeCell ref="G5:H5"/>
    <mergeCell ref="I5:I6"/>
    <mergeCell ref="R2:T2"/>
    <mergeCell ref="H2:J2"/>
    <mergeCell ref="E2:G2"/>
    <mergeCell ref="H3:J3"/>
    <mergeCell ref="E3:G3"/>
    <mergeCell ref="D11:G11"/>
    <mergeCell ref="D12:G12"/>
    <mergeCell ref="N26:O26"/>
    <mergeCell ref="C27:I27"/>
    <mergeCell ref="J27:K27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7.25" customHeight="1" x14ac:dyDescent="0.4">
      <c r="A6" s="388" t="s">
        <v>525</v>
      </c>
      <c r="B6" s="388"/>
      <c r="C6" s="388"/>
      <c r="F6" s="85"/>
      <c r="G6" s="86"/>
      <c r="K6" s="358" t="s">
        <v>69</v>
      </c>
      <c r="L6" s="358"/>
      <c r="M6" s="358"/>
      <c r="N6" s="389" t="s">
        <v>503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508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>
        <v>3520263248545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14528</v>
      </c>
      <c r="J25" s="274">
        <f>SUM(J16:J24)</f>
        <v>1162.24</v>
      </c>
      <c r="K25" s="275">
        <f t="shared" si="10"/>
        <v>508.48</v>
      </c>
      <c r="L25" s="276">
        <f t="shared" si="10"/>
        <v>0</v>
      </c>
      <c r="M25" s="232">
        <f t="shared" si="10"/>
        <v>12857.28</v>
      </c>
      <c r="N25" s="233">
        <f>SUM(N16:N24)</f>
        <v>2745.7627118644068</v>
      </c>
      <c r="O25" s="101">
        <f>SUM(O16:O24)</f>
        <v>78.015213559322035</v>
      </c>
      <c r="P25" s="234">
        <f>SUM(P16:P24)</f>
        <v>15681.057925423729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14528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1162.24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508.48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12857.28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15603.042711864407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78.015213559322035</v>
      </c>
    </row>
    <row r="35" spans="2:16" ht="15.75" customHeight="1" thickBot="1" x14ac:dyDescent="0.4">
      <c r="N35" s="333" t="s">
        <v>88</v>
      </c>
      <c r="O35" s="334"/>
      <c r="P35" s="297">
        <f>+P33+P34</f>
        <v>15681.057925423729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D11:G11"/>
    <mergeCell ref="D12:G12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509</v>
      </c>
      <c r="B6" s="388"/>
      <c r="C6" s="388"/>
      <c r="F6" s="85"/>
      <c r="G6" s="86"/>
      <c r="K6" s="358" t="s">
        <v>69</v>
      </c>
      <c r="L6" s="358"/>
      <c r="M6" s="358"/>
      <c r="N6" s="389" t="s">
        <v>503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508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4474.8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310.90800000000002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236.64720000000003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3927.2447999999999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4781.4820881355927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33" t="s">
        <v>88</v>
      </c>
      <c r="O35" s="334"/>
      <c r="P35" s="297">
        <f>+P33+P34</f>
        <v>4805.3894985762709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8.75" customHeight="1" x14ac:dyDescent="0.4">
      <c r="A6" s="388" t="s">
        <v>511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508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D11" s="385"/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28.172283368644067</v>
      </c>
      <c r="P16" s="118">
        <f>M16+N16+O16</f>
        <v>1155.0636181144066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28.172283368644067</v>
      </c>
      <c r="P17" s="119">
        <f t="shared" ref="P17:P24" si="5">M17+N17+O17</f>
        <v>1155.0636181144066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56.344566737288133</v>
      </c>
      <c r="P25" s="234">
        <f>SUM(P16:P24)</f>
        <v>2310.1272362288132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2098.5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167.88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73.447500000000005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1857.1724999999999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2253.7826694915252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2.5000000000000001E-2</v>
      </c>
      <c r="P34" s="140">
        <f>O34*P33</f>
        <v>56.344566737288133</v>
      </c>
    </row>
    <row r="35" spans="2:16" ht="15.75" customHeight="1" thickBot="1" x14ac:dyDescent="0.4">
      <c r="N35" s="333" t="s">
        <v>88</v>
      </c>
      <c r="O35" s="334"/>
      <c r="P35" s="297">
        <f>+P33+P34</f>
        <v>2310.1272362288132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512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513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>
        <v>3110265550895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4474.8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310.90800000000002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236.64720000000003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3927.2447999999999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4781.4820881355927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33" t="s">
        <v>88</v>
      </c>
      <c r="O35" s="334"/>
      <c r="P35" s="297">
        <f>+P33+P34</f>
        <v>4805.3894985762709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508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>
        <v>3520186128205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1452.8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116.224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50.848000000000006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1285.7280000000001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1560.3042711864407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33" t="s">
        <v>88</v>
      </c>
      <c r="O35" s="334"/>
      <c r="P35" s="297">
        <f>+P33+P34</f>
        <v>1568.1057925423729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515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508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D11" s="385"/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11.702282033898307</v>
      </c>
      <c r="P19" s="119">
        <f t="shared" si="5"/>
        <v>479.79356338983052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11.702282033898307</v>
      </c>
      <c r="P20" s="119">
        <f t="shared" si="5"/>
        <v>479.79356338983052</v>
      </c>
      <c r="R20">
        <f>P20/21</f>
        <v>22.847312542372883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11.702282033898307</v>
      </c>
      <c r="P21" s="119">
        <f t="shared" si="5"/>
        <v>479.79356338983052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12.45655159322034</v>
      </c>
      <c r="P22" s="119">
        <f t="shared" si="5"/>
        <v>510.71861532203388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30</v>
      </c>
      <c r="I25" s="114">
        <f t="shared" si="7"/>
        <v>1778.28</v>
      </c>
      <c r="J25" s="274">
        <f>SUM(J16:J24)</f>
        <v>128.13960000000003</v>
      </c>
      <c r="K25" s="275">
        <f t="shared" si="7"/>
        <v>62.23980000000001</v>
      </c>
      <c r="L25" s="276">
        <f t="shared" si="7"/>
        <v>24.008760000000002</v>
      </c>
      <c r="M25" s="232">
        <f t="shared" si="7"/>
        <v>1563.8918400000002</v>
      </c>
      <c r="N25" s="233">
        <f>SUM(N16:N24)</f>
        <v>338.6440677966101</v>
      </c>
      <c r="O25" s="101">
        <f>SUM(O16:O24)</f>
        <v>47.56339769491526</v>
      </c>
      <c r="P25" s="234">
        <f>SUM(P16:P24)</f>
        <v>1950.0993054915255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1778.28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128.13960000000003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86.248560000000012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1563.89184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338.6440677966101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1902.53590779661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2.5000000000000001E-2</v>
      </c>
      <c r="P34" s="140">
        <f>O34*P33</f>
        <v>47.563397694915253</v>
      </c>
    </row>
    <row r="35" spans="2:16" ht="15.75" customHeight="1" thickBot="1" x14ac:dyDescent="0.4">
      <c r="N35" s="333" t="s">
        <v>88</v>
      </c>
      <c r="O35" s="334"/>
      <c r="P35" s="297">
        <f>+P33+P34</f>
        <v>1950.0993054915252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516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517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D11" s="385"/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39.007606779661018</v>
      </c>
      <c r="P19" s="119">
        <f t="shared" si="5"/>
        <v>1599.3118779661017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39.007606779661018</v>
      </c>
      <c r="P21" s="119">
        <f t="shared" si="5"/>
        <v>1599.3118779661017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78.015213559322035</v>
      </c>
      <c r="P25" s="234">
        <f>SUM(P16:P24)</f>
        <v>3198.6237559322035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2905.6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232.44800000000001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101.69600000000001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2571.4560000000001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3120.6085423728814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2.5000000000000001E-2</v>
      </c>
      <c r="P34" s="140">
        <f>O34*P33</f>
        <v>78.015213559322035</v>
      </c>
    </row>
    <row r="35" spans="2:16" ht="15.75" customHeight="1" thickBot="1" x14ac:dyDescent="0.4">
      <c r="N35" s="333" t="s">
        <v>88</v>
      </c>
      <c r="O35" s="334"/>
      <c r="P35" s="297">
        <f>+P33+P34</f>
        <v>3198.6237559322035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518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508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D11" s="385"/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23.404564067796613</v>
      </c>
      <c r="P19" s="119">
        <f t="shared" si="5"/>
        <v>959.58712677966105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16</v>
      </c>
      <c r="I20" s="236">
        <f t="shared" si="0"/>
        <v>1162.24</v>
      </c>
      <c r="J20" s="272">
        <f t="shared" si="1"/>
        <v>92.979200000000006</v>
      </c>
      <c r="K20" s="128">
        <f t="shared" si="1"/>
        <v>40.678400000000003</v>
      </c>
      <c r="L20" s="119">
        <f t="shared" si="1"/>
        <v>0</v>
      </c>
      <c r="M20" s="230">
        <f t="shared" si="2"/>
        <v>1028.5824</v>
      </c>
      <c r="N20" s="277">
        <f t="shared" si="3"/>
        <v>219.66101694915255</v>
      </c>
      <c r="O20" s="239">
        <f t="shared" si="4"/>
        <v>31.206085423728815</v>
      </c>
      <c r="P20" s="119">
        <f t="shared" si="5"/>
        <v>1279.4495023728814</v>
      </c>
      <c r="R20">
        <f>P20/21</f>
        <v>60.926166779661017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23.404564067796613</v>
      </c>
      <c r="P21" s="119">
        <f t="shared" si="5"/>
        <v>959.58712677966105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78.015213559322035</v>
      </c>
      <c r="P25" s="234">
        <f>SUM(P16:P24)</f>
        <v>3198.6237559322035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2905.6000000000004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232.44800000000004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101.69600000000001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2571.4560000000006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3120.6085423728819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2.5000000000000001E-2</v>
      </c>
      <c r="P34" s="140">
        <f>O34*P33</f>
        <v>78.015213559322049</v>
      </c>
    </row>
    <row r="35" spans="2:16" ht="15.75" customHeight="1" thickBot="1" x14ac:dyDescent="0.4">
      <c r="N35" s="333" t="s">
        <v>88</v>
      </c>
      <c r="O35" s="334"/>
      <c r="P35" s="297">
        <f>+P33+P34</f>
        <v>3198.6237559322039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9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519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508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D11" s="385"/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20.760919322033899</v>
      </c>
      <c r="P22" s="119">
        <f t="shared" si="5"/>
        <v>851.19769220338992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20.760919322033899</v>
      </c>
      <c r="P25" s="234">
        <f>SUM(P16:P24)</f>
        <v>851.19769220338992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784.60000000000014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39.230000000000011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67.475600000000014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677.89440000000013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830.43677288135598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2.5000000000000001E-2</v>
      </c>
      <c r="P34" s="140">
        <f>O34*P33</f>
        <v>20.760919322033899</v>
      </c>
    </row>
    <row r="35" spans="2:16" ht="15.75" customHeight="1" thickBot="1" x14ac:dyDescent="0.4">
      <c r="N35" s="333" t="s">
        <v>88</v>
      </c>
      <c r="O35" s="334"/>
      <c r="P35" s="297">
        <f>+P33+P34</f>
        <v>851.19769220338992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520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508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D11" s="385"/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23.404564067796613</v>
      </c>
      <c r="P20" s="119">
        <f t="shared" si="5"/>
        <v>959.58712677966105</v>
      </c>
      <c r="R20">
        <f>P20/21</f>
        <v>45.694625084745766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23.404564067796613</v>
      </c>
      <c r="P25" s="234">
        <f>SUM(P16:P24)</f>
        <v>959.58712677966105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871.68000000000006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69.734400000000008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30.508800000000004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771.43680000000006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936.18256271186442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2.5000000000000001E-2</v>
      </c>
      <c r="P34" s="140">
        <f>O34*P33</f>
        <v>23.404564067796613</v>
      </c>
    </row>
    <row r="35" spans="2:16" ht="15.75" customHeight="1" thickBot="1" x14ac:dyDescent="0.4">
      <c r="N35" s="333" t="s">
        <v>88</v>
      </c>
      <c r="O35" s="334"/>
      <c r="P35" s="297">
        <f>+P33+P34</f>
        <v>959.58712677966105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521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522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D11" s="385"/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78.015213559322035</v>
      </c>
      <c r="P19" s="119">
        <f t="shared" si="5"/>
        <v>3198.6237559322035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78.015213559322035</v>
      </c>
      <c r="P25" s="234">
        <f>SUM(P16:P24)</f>
        <v>3198.6237559322035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2905.6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232.44800000000001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101.69600000000001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2571.4560000000001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3120.6085423728814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2.5000000000000001E-2</v>
      </c>
      <c r="P34" s="140">
        <f>O34*P33</f>
        <v>78.015213559322035</v>
      </c>
    </row>
    <row r="35" spans="2:16" ht="15.75" customHeight="1" thickBot="1" x14ac:dyDescent="0.4">
      <c r="N35" s="333" t="s">
        <v>88</v>
      </c>
      <c r="O35" s="334"/>
      <c r="P35" s="297">
        <f>+P33+P34</f>
        <v>3198.6237559322035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523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522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81</v>
      </c>
      <c r="C11" s="281" t="str">
        <f>IF($O34&gt;2.49%,"No","Yes")</f>
        <v>No</v>
      </c>
      <c r="D11" s="385"/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2.5000000000000001E-2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78.015213559322035</v>
      </c>
      <c r="P21" s="119">
        <f t="shared" si="5"/>
        <v>3198.6237559322035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78.015213559322035</v>
      </c>
      <c r="P25" s="234">
        <f>SUM(P16:P24)</f>
        <v>3198.6237559322035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2905.6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232.44800000000001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101.69600000000001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2571.4560000000001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3120.6085423728814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2.5000000000000001E-2</v>
      </c>
      <c r="P34" s="140">
        <f>O34*P33</f>
        <v>78.015213559322035</v>
      </c>
    </row>
    <row r="35" spans="2:16" ht="15.75" customHeight="1" thickBot="1" x14ac:dyDescent="0.4">
      <c r="N35" s="333" t="s">
        <v>88</v>
      </c>
      <c r="O35" s="334"/>
      <c r="P35" s="297">
        <f>+P33+P34</f>
        <v>3198.6237559322035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8.7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topLeftCell="A4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6" t="s">
        <v>91</v>
      </c>
      <c r="B2" s="356"/>
      <c r="C2" s="356"/>
    </row>
    <row r="3" spans="1:22 16383:16384" ht="15" customHeight="1" x14ac:dyDescent="0.35">
      <c r="A3" s="357" t="s">
        <v>92</v>
      </c>
      <c r="B3" s="357"/>
      <c r="C3" s="357"/>
      <c r="F3" s="85"/>
      <c r="G3" s="1"/>
      <c r="K3" s="358" t="s">
        <v>43</v>
      </c>
      <c r="L3" s="358"/>
      <c r="M3" s="358"/>
      <c r="N3" s="357"/>
      <c r="O3" s="357"/>
      <c r="P3" s="35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7" t="s">
        <v>500</v>
      </c>
      <c r="B4" s="357"/>
      <c r="C4" s="357"/>
      <c r="F4" s="85"/>
      <c r="G4" s="1"/>
      <c r="K4" s="358" t="s">
        <v>44</v>
      </c>
      <c r="L4" s="358"/>
      <c r="M4" s="358"/>
      <c r="N4" s="390">
        <f ca="1">TODAY()+1</f>
        <v>46228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58" t="s">
        <v>45</v>
      </c>
      <c r="L5" s="358"/>
      <c r="M5" s="358"/>
      <c r="N5" s="390">
        <f ca="1">N4-1</f>
        <v>46227</v>
      </c>
      <c r="O5" s="357"/>
      <c r="P5" s="357"/>
      <c r="R5" s="85"/>
      <c r="S5" s="266"/>
    </row>
    <row r="6" spans="1:22 16383:16384" ht="15" customHeight="1" x14ac:dyDescent="0.4">
      <c r="A6" s="388" t="s">
        <v>524</v>
      </c>
      <c r="B6" s="388"/>
      <c r="C6" s="388"/>
      <c r="F6" s="85"/>
      <c r="G6" s="86"/>
      <c r="K6" s="358" t="s">
        <v>69</v>
      </c>
      <c r="L6" s="358"/>
      <c r="M6" s="358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8" t="s">
        <v>73</v>
      </c>
      <c r="B7" s="358"/>
      <c r="C7" s="358"/>
      <c r="F7" s="85"/>
      <c r="G7" s="86"/>
      <c r="K7" s="358" t="s">
        <v>66</v>
      </c>
      <c r="L7" s="358"/>
      <c r="M7" s="358"/>
      <c r="N7" s="389" t="s">
        <v>506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4" t="s">
        <v>95</v>
      </c>
      <c r="B8" s="384"/>
      <c r="C8" s="384"/>
      <c r="F8" s="85"/>
      <c r="G8" s="86"/>
      <c r="K8" s="358" t="s">
        <v>67</v>
      </c>
      <c r="L8" s="358"/>
      <c r="M8" s="358"/>
      <c r="N8" s="389" t="s">
        <v>506</v>
      </c>
      <c r="O8" s="389"/>
      <c r="P8" s="389"/>
      <c r="R8" s="85"/>
      <c r="S8" s="267"/>
    </row>
    <row r="9" spans="1:22 16383:16384" x14ac:dyDescent="0.35">
      <c r="A9" s="384" t="s">
        <v>96</v>
      </c>
      <c r="B9" s="384"/>
      <c r="C9" s="384"/>
      <c r="F9" s="85"/>
      <c r="G9" s="86"/>
      <c r="K9" s="358" t="s">
        <v>68</v>
      </c>
      <c r="L9" s="358"/>
      <c r="M9" s="358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4" t="s">
        <v>97</v>
      </c>
      <c r="B10" s="384"/>
      <c r="C10" s="384"/>
      <c r="F10" s="85"/>
      <c r="G10" s="1"/>
      <c r="K10" s="358" t="s">
        <v>46</v>
      </c>
      <c r="L10" s="358"/>
      <c r="M10" s="358"/>
      <c r="N10" s="357" t="s">
        <v>47</v>
      </c>
      <c r="O10" s="357"/>
      <c r="P10" s="35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D11" s="385" t="s">
        <v>510</v>
      </c>
      <c r="E11" s="385"/>
      <c r="F11" s="385"/>
      <c r="G11" s="385"/>
      <c r="K11" s="358" t="s">
        <v>48</v>
      </c>
      <c r="L11" s="358"/>
      <c r="M11" s="358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D12" s="386"/>
      <c r="E12" s="386"/>
      <c r="F12" s="386"/>
      <c r="G12" s="386"/>
      <c r="K12" s="358" t="s">
        <v>50</v>
      </c>
      <c r="L12" s="358"/>
      <c r="M12" s="358"/>
      <c r="N12" s="357"/>
      <c r="O12" s="357"/>
      <c r="P12" s="35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59" t="s">
        <v>51</v>
      </c>
      <c r="B14" s="349"/>
      <c r="C14" s="361" t="s">
        <v>90</v>
      </c>
      <c r="D14" s="115" t="s">
        <v>52</v>
      </c>
      <c r="E14" s="363" t="s">
        <v>58</v>
      </c>
      <c r="F14" s="364"/>
      <c r="G14" s="354" t="s">
        <v>54</v>
      </c>
      <c r="H14" s="355"/>
      <c r="I14" s="365" t="s">
        <v>77</v>
      </c>
      <c r="J14" s="353" t="s">
        <v>55</v>
      </c>
      <c r="K14" s="354"/>
      <c r="L14" s="355"/>
      <c r="M14" s="349" t="s">
        <v>84</v>
      </c>
      <c r="N14" s="351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60"/>
      <c r="B15" s="350"/>
      <c r="C15" s="36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2"/>
      <c r="J15" s="143" t="s">
        <v>59</v>
      </c>
      <c r="K15" s="144" t="s">
        <v>39</v>
      </c>
      <c r="L15" s="145" t="s">
        <v>493</v>
      </c>
      <c r="M15" s="350"/>
      <c r="N15" s="352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3" t="s">
        <v>88</v>
      </c>
      <c r="O35" s="334"/>
      <c r="P35" s="297">
        <f>+P33+P34</f>
        <v>0</v>
      </c>
    </row>
    <row r="36" spans="2:16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337"/>
      <c r="K36" s="338"/>
    </row>
    <row r="37" spans="2:16" ht="15.75" customHeight="1" x14ac:dyDescent="0.35"/>
    <row r="38" spans="2:16" x14ac:dyDescent="0.35">
      <c r="L38">
        <v>0</v>
      </c>
    </row>
  </sheetData>
  <dataConsolidate/>
  <mergeCells count="50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D11:G11"/>
    <mergeCell ref="D12:G12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6" t="s">
        <v>91</v>
      </c>
      <c r="B2" s="356"/>
      <c r="C2" s="356"/>
    </row>
    <row r="3" spans="1:18 16382:16383" ht="15" customHeight="1" x14ac:dyDescent="0.35">
      <c r="A3" s="357" t="s">
        <v>92</v>
      </c>
      <c r="B3" s="357"/>
      <c r="C3" s="357"/>
      <c r="F3" s="85"/>
      <c r="G3" s="1"/>
      <c r="J3" s="358" t="s">
        <v>43</v>
      </c>
      <c r="K3" s="358"/>
      <c r="L3" s="358"/>
      <c r="M3" s="357"/>
      <c r="N3" s="357"/>
      <c r="O3" s="35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7" t="s">
        <v>65</v>
      </c>
      <c r="B4" s="357"/>
      <c r="C4" s="357"/>
      <c r="F4" s="85"/>
      <c r="G4" s="1"/>
      <c r="J4" s="358" t="s">
        <v>44</v>
      </c>
      <c r="K4" s="358"/>
      <c r="L4" s="358"/>
      <c r="M4" s="390">
        <f ca="1">TODAY()+1</f>
        <v>46228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58" t="s">
        <v>45</v>
      </c>
      <c r="K5" s="358"/>
      <c r="L5" s="358"/>
      <c r="M5" s="390">
        <f ca="1">M4-1</f>
        <v>46227</v>
      </c>
      <c r="N5" s="357"/>
      <c r="O5" s="357"/>
      <c r="Q5" s="85"/>
      <c r="R5" s="1"/>
    </row>
    <row r="6" spans="1:18 16382:16383" ht="15" customHeight="1" x14ac:dyDescent="0.35">
      <c r="A6" s="358" t="s">
        <v>94</v>
      </c>
      <c r="B6" s="358"/>
      <c r="C6" s="358"/>
      <c r="F6" s="85"/>
      <c r="G6" s="86"/>
      <c r="J6" s="358" t="s">
        <v>69</v>
      </c>
      <c r="K6" s="358"/>
      <c r="L6" s="358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8" t="s">
        <v>73</v>
      </c>
      <c r="B7" s="358"/>
      <c r="C7" s="358"/>
      <c r="F7" s="85"/>
      <c r="G7" s="86"/>
      <c r="J7" s="358" t="s">
        <v>66</v>
      </c>
      <c r="K7" s="358"/>
      <c r="L7" s="358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4" t="s">
        <v>95</v>
      </c>
      <c r="B8" s="384"/>
      <c r="C8" s="384"/>
      <c r="F8" s="85"/>
      <c r="G8" s="86"/>
      <c r="J8" s="358" t="s">
        <v>67</v>
      </c>
      <c r="K8" s="358"/>
      <c r="L8" s="358"/>
      <c r="M8" s="389" t="s">
        <v>71</v>
      </c>
      <c r="N8" s="389"/>
      <c r="O8" s="389"/>
      <c r="Q8" s="85"/>
      <c r="R8" s="86"/>
    </row>
    <row r="9" spans="1:18 16382:16383" x14ac:dyDescent="0.35">
      <c r="A9" s="384" t="s">
        <v>96</v>
      </c>
      <c r="B9" s="384"/>
      <c r="C9" s="384"/>
      <c r="F9" s="85"/>
      <c r="G9" s="86"/>
      <c r="J9" s="358" t="s">
        <v>68</v>
      </c>
      <c r="K9" s="358"/>
      <c r="L9" s="358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4" t="s">
        <v>97</v>
      </c>
      <c r="B10" s="384"/>
      <c r="C10" s="384"/>
      <c r="F10" s="85"/>
      <c r="G10" s="1"/>
      <c r="J10" s="358" t="s">
        <v>46</v>
      </c>
      <c r="K10" s="358"/>
      <c r="L10" s="358"/>
      <c r="M10" s="357" t="s">
        <v>47</v>
      </c>
      <c r="N10" s="357"/>
      <c r="O10" s="35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8" t="s">
        <v>48</v>
      </c>
      <c r="K11" s="358"/>
      <c r="L11" s="358"/>
      <c r="M11" s="357" t="s">
        <v>49</v>
      </c>
      <c r="N11" s="357"/>
      <c r="O11" s="35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8" t="s">
        <v>50</v>
      </c>
      <c r="K12" s="358"/>
      <c r="L12" s="358"/>
      <c r="M12" s="357"/>
      <c r="N12" s="357"/>
      <c r="O12" s="35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59" t="s">
        <v>51</v>
      </c>
      <c r="B14" s="349"/>
      <c r="C14" s="361" t="s">
        <v>90</v>
      </c>
      <c r="D14" s="88" t="s">
        <v>52</v>
      </c>
      <c r="E14" s="95" t="s">
        <v>74</v>
      </c>
      <c r="F14" s="115" t="s">
        <v>53</v>
      </c>
      <c r="G14" s="353" t="s">
        <v>54</v>
      </c>
      <c r="H14" s="355"/>
      <c r="I14" s="365" t="s">
        <v>77</v>
      </c>
      <c r="J14" s="354" t="s">
        <v>55</v>
      </c>
      <c r="K14" s="355"/>
      <c r="L14" s="36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60"/>
      <c r="B15" s="350"/>
      <c r="C15" s="36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2"/>
      <c r="J15" s="144" t="s">
        <v>39</v>
      </c>
      <c r="K15" s="145" t="s">
        <v>59</v>
      </c>
      <c r="L15" s="35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1"/>
      <c r="M28" s="378" t="s">
        <v>60</v>
      </c>
      <c r="N28" s="379"/>
      <c r="O28" s="139">
        <f>I25</f>
        <v>1452.8</v>
      </c>
    </row>
    <row r="29" spans="1:18 16383:16383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4"/>
      <c r="M29" s="380" t="s">
        <v>85</v>
      </c>
      <c r="N29" s="381"/>
      <c r="O29" s="140">
        <f>K25</f>
        <v>0</v>
      </c>
    </row>
    <row r="30" spans="1:18 16383:16383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4"/>
      <c r="M30" s="380" t="s">
        <v>86</v>
      </c>
      <c r="N30" s="381"/>
      <c r="O30" s="140">
        <f>J25</f>
        <v>50.848000000000006</v>
      </c>
    </row>
    <row r="31" spans="1:18 16383:16383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4"/>
      <c r="L31" s="131"/>
      <c r="M31" s="380" t="s">
        <v>87</v>
      </c>
      <c r="N31" s="381"/>
      <c r="O31" s="140">
        <f>O28-O29-O30</f>
        <v>1401.952</v>
      </c>
    </row>
    <row r="32" spans="1:18 16383:16383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4"/>
      <c r="L33" s="131"/>
      <c r="M33" s="382" t="s">
        <v>76</v>
      </c>
      <c r="N33" s="383"/>
      <c r="O33" s="140">
        <f>O31+O32</f>
        <v>1710.3814400000001</v>
      </c>
    </row>
    <row r="34" spans="2:15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3" t="s">
        <v>88</v>
      </c>
      <c r="N35" s="334"/>
      <c r="O35" s="141">
        <f>O28-O29+O31+O34</f>
        <v>2897.511536</v>
      </c>
    </row>
    <row r="36" spans="2:15" ht="15" thickBot="1" x14ac:dyDescent="0.4">
      <c r="B36" s="121" t="s">
        <v>63</v>
      </c>
      <c r="C36" s="335"/>
      <c r="D36" s="335"/>
      <c r="E36" s="335"/>
      <c r="F36" s="335"/>
      <c r="G36" s="335"/>
      <c r="H36" s="335"/>
      <c r="I36" s="33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93" t="s">
        <v>439</v>
      </c>
      <c r="E1" s="322" t="s">
        <v>58</v>
      </c>
      <c r="F1" s="322"/>
      <c r="G1" s="323" t="s">
        <v>440</v>
      </c>
      <c r="H1" s="323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2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4" t="s">
        <v>58</v>
      </c>
      <c r="F7" s="394"/>
      <c r="G7" s="392" t="s">
        <v>440</v>
      </c>
      <c r="H7" s="323"/>
      <c r="I7" s="324" t="s">
        <v>441</v>
      </c>
      <c r="J7" s="325"/>
      <c r="K7" s="324" t="s">
        <v>442</v>
      </c>
      <c r="L7" s="325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93" t="s">
        <v>439</v>
      </c>
      <c r="D1" s="322" t="s">
        <v>58</v>
      </c>
      <c r="E1" s="322"/>
      <c r="F1" s="323" t="s">
        <v>440</v>
      </c>
      <c r="G1" s="323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2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2026-07-24T05:25:05Z</dcterms:modified>
</cp:coreProperties>
</file>