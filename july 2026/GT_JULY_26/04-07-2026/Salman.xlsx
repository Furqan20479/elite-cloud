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1EDCF235-FA34-4EF3-80A9-AD6C0DAAA66B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K18" i="28" s="1"/>
  <c r="I19" i="28"/>
  <c r="K19" i="28" s="1"/>
  <c r="I20" i="28"/>
  <c r="I21" i="28"/>
  <c r="I22" i="28"/>
  <c r="K22" i="28" s="1"/>
  <c r="I23" i="28"/>
  <c r="L23" i="28" s="1"/>
  <c r="I24" i="28"/>
  <c r="I22" i="32"/>
  <c r="I18" i="33"/>
  <c r="K18" i="33" s="1"/>
  <c r="I20" i="33"/>
  <c r="K20" i="33" s="1"/>
  <c r="I16" i="30"/>
  <c r="I17" i="30"/>
  <c r="I18" i="30"/>
  <c r="K18" i="30" s="1"/>
  <c r="I19" i="30"/>
  <c r="K19" i="30" s="1"/>
  <c r="I20" i="30"/>
  <c r="I21" i="30"/>
  <c r="I22" i="30"/>
  <c r="L22" i="30" s="1"/>
  <c r="I23" i="30"/>
  <c r="K23" i="30" s="1"/>
  <c r="M23" i="30" s="1"/>
  <c r="I24" i="30"/>
  <c r="I16" i="32"/>
  <c r="I17" i="32"/>
  <c r="I18" i="32"/>
  <c r="K18" i="32" s="1"/>
  <c r="I19" i="32"/>
  <c r="I20" i="32"/>
  <c r="I21" i="32"/>
  <c r="I16" i="33"/>
  <c r="L16" i="33" s="1"/>
  <c r="I16" i="31"/>
  <c r="I17" i="31"/>
  <c r="I18" i="31"/>
  <c r="L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K19" i="34" s="1"/>
  <c r="I20" i="34"/>
  <c r="K20" i="34" s="1"/>
  <c r="I21" i="34"/>
  <c r="I22" i="34"/>
  <c r="I23" i="34"/>
  <c r="I24" i="34"/>
  <c r="L24" i="34" s="1"/>
  <c r="I16" i="29"/>
  <c r="I17" i="29"/>
  <c r="I18" i="29"/>
  <c r="K18" i="29" s="1"/>
  <c r="I19" i="29"/>
  <c r="K19" i="29" s="1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K16" i="35"/>
  <c r="L16" i="35"/>
  <c r="K17" i="35"/>
  <c r="L17" i="35"/>
  <c r="M17" i="35" s="1"/>
  <c r="K18" i="35"/>
  <c r="L18" i="35"/>
  <c r="M18" i="35" s="1"/>
  <c r="K19" i="35"/>
  <c r="L19" i="35"/>
  <c r="K20" i="35"/>
  <c r="L20" i="35"/>
  <c r="K21" i="35"/>
  <c r="L21" i="35"/>
  <c r="K22" i="35"/>
  <c r="L22" i="35"/>
  <c r="M22" i="35"/>
  <c r="K23" i="35"/>
  <c r="L23" i="35"/>
  <c r="K24" i="35"/>
  <c r="L24" i="35"/>
  <c r="L16" i="34"/>
  <c r="K17" i="34"/>
  <c r="L17" i="34"/>
  <c r="K18" i="34"/>
  <c r="L18" i="34"/>
  <c r="K21" i="34"/>
  <c r="L21" i="34"/>
  <c r="K22" i="34"/>
  <c r="L22" i="34"/>
  <c r="K23" i="34"/>
  <c r="K21" i="33"/>
  <c r="L21" i="33"/>
  <c r="L22" i="33"/>
  <c r="K19" i="33"/>
  <c r="L20" i="33"/>
  <c r="K24" i="33"/>
  <c r="L24" i="33"/>
  <c r="M17" i="33"/>
  <c r="K24" i="32"/>
  <c r="L24" i="32"/>
  <c r="I25" i="32"/>
  <c r="P28" i="32" s="1"/>
  <c r="K16" i="32"/>
  <c r="L16" i="32"/>
  <c r="K17" i="32"/>
  <c r="L17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K21" i="31"/>
  <c r="L21" i="31"/>
  <c r="L22" i="31"/>
  <c r="K24" i="31"/>
  <c r="L24" i="31"/>
  <c r="K16" i="31"/>
  <c r="L16" i="31"/>
  <c r="K18" i="31"/>
  <c r="K20" i="31"/>
  <c r="L20" i="31"/>
  <c r="L23" i="31"/>
  <c r="K20" i="30"/>
  <c r="L20" i="30"/>
  <c r="K21" i="30"/>
  <c r="L21" i="30"/>
  <c r="M21" i="30" s="1"/>
  <c r="L23" i="30"/>
  <c r="K16" i="30"/>
  <c r="L16" i="30"/>
  <c r="K17" i="30"/>
  <c r="L17" i="30"/>
  <c r="K22" i="30"/>
  <c r="K24" i="30"/>
  <c r="L24" i="30"/>
  <c r="K16" i="29"/>
  <c r="L16" i="29"/>
  <c r="K21" i="29"/>
  <c r="L21" i="29"/>
  <c r="K24" i="29"/>
  <c r="M24" i="29" s="1"/>
  <c r="L24" i="29"/>
  <c r="K17" i="29"/>
  <c r="L17" i="29"/>
  <c r="K20" i="29"/>
  <c r="L20" i="29"/>
  <c r="K22" i="29"/>
  <c r="L22" i="29"/>
  <c r="I25" i="28"/>
  <c r="P28" i="28" s="1"/>
  <c r="K16" i="28"/>
  <c r="L16" i="28"/>
  <c r="K17" i="28"/>
  <c r="L17" i="28"/>
  <c r="M17" i="28" s="1"/>
  <c r="L19" i="28"/>
  <c r="K20" i="28"/>
  <c r="L20" i="28"/>
  <c r="K21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22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16" i="33"/>
  <c r="K25" i="33" s="1"/>
  <c r="P30" i="33" s="1"/>
  <c r="M24" i="33"/>
  <c r="M23" i="35"/>
  <c r="M23" i="33"/>
  <c r="I16" i="26"/>
  <c r="K16" i="26" s="1"/>
  <c r="I17" i="26"/>
  <c r="I18" i="26"/>
  <c r="K18" i="26" s="1"/>
  <c r="I19" i="26"/>
  <c r="I20" i="26"/>
  <c r="L20" i="26" s="1"/>
  <c r="I21" i="26"/>
  <c r="I22" i="26"/>
  <c r="K22" i="26" s="1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K21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4" l="1"/>
  <c r="P32" i="34" s="1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K20" i="19" s="1"/>
  <c r="I21" i="19"/>
  <c r="L21" i="19" s="1"/>
  <c r="I22" i="19"/>
  <c r="I23" i="19"/>
  <c r="L23" i="19" s="1"/>
  <c r="I24" i="19"/>
  <c r="P33" i="34"/>
  <c r="P34" i="34" s="1"/>
  <c r="P35" i="34" s="1"/>
  <c r="U32" i="15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17" i="25"/>
  <c r="K17" i="25"/>
  <c r="L23" i="25"/>
  <c r="K23" i="25"/>
  <c r="K21" i="24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18" i="19"/>
  <c r="K24" i="19"/>
  <c r="L24" i="19"/>
  <c r="K22" i="19"/>
  <c r="L22" i="19"/>
  <c r="L21" i="18"/>
  <c r="K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0" i="19" l="1"/>
  <c r="L24" i="17"/>
  <c r="K17" i="23"/>
  <c r="K17" i="24"/>
  <c r="K21" i="19"/>
  <c r="M21" i="19" s="1"/>
  <c r="K23" i="24"/>
  <c r="L22" i="25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M16" i="24" s="1"/>
  <c r="N16" i="24" s="1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M17" i="19" s="1"/>
  <c r="N17" i="19" s="1"/>
  <c r="O17" i="19" s="1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I19" i="16"/>
  <c r="I20" i="16"/>
  <c r="K20" i="16" s="1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4" i="24"/>
  <c r="O24" i="24" s="1"/>
  <c r="K25" i="24"/>
  <c r="P30" i="24" s="1"/>
  <c r="N18" i="22"/>
  <c r="O18" i="22" s="1"/>
  <c r="M16" i="22"/>
  <c r="M21" i="21"/>
  <c r="N21" i="21" s="1"/>
  <c r="N24" i="19"/>
  <c r="O24" i="19" s="1"/>
  <c r="L25" i="19"/>
  <c r="P29" i="19" s="1"/>
  <c r="N24" i="18"/>
  <c r="O24" i="18" s="1"/>
  <c r="N18" i="18"/>
  <c r="O18" i="18" s="1"/>
  <c r="I23" i="15"/>
  <c r="L17" i="16" l="1"/>
  <c r="K17" i="16"/>
  <c r="M23" i="22"/>
  <c r="N23" i="22" s="1"/>
  <c r="O23" i="22" s="1"/>
  <c r="L21" i="16"/>
  <c r="L21" i="15" s="1"/>
  <c r="K21" i="16"/>
  <c r="K25" i="19"/>
  <c r="P30" i="19" s="1"/>
  <c r="K22" i="16"/>
  <c r="K22" i="15" s="1"/>
  <c r="L22" i="16"/>
  <c r="L22" i="15" s="1"/>
  <c r="L19" i="16"/>
  <c r="K19" i="16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N21" i="19"/>
  <c r="O21" i="19" s="1"/>
  <c r="P17" i="19"/>
  <c r="P31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5" i="19" l="1"/>
  <c r="M21" i="15"/>
  <c r="M16" i="16"/>
  <c r="N16" i="16" s="1"/>
  <c r="O16" i="16" s="1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N16" i="15" l="1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<sst xmlns="http://schemas.openxmlformats.org/spreadsheetml/2006/main" count="1632" uniqueCount="128">
  <si>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</si>
  <si>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</si>
  <si>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</si>
  <si>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</si>
  <si>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</si>
  <si>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</si>
  <si>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</si>
  <si>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</si>
  <si>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</si>
  <si>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</si>
  <si>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</si>
  <si>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</si>
  <si>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</si>
  <si>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</si>
  <si>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</si>
  <si>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</si>
  <si>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</si>
  <si>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</si>
  <si>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</si>
  <si>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</si>
  <si>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</si>
  <si>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</si>
  <si>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</si>
  <si>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</si>
  <si>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</si>
  <si>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</si>
  <si>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</si>
  <si>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</si>
  <si>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</si>
  <si>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</si>
  <si>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</si>
  <si>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</si>
  <si>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</si>
  <si>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</si>
  <si>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</si>
  <si>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</si>
  <si>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</si>
  <si>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</si>
  <si>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</si>
  <si>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</si>
  <si>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</si>
  <si>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</si>
  <si>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</si>
  <si>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</si>
  <si>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</si>
  <si>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</si>
  <si>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</si>
  <si>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</si>
  <si>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</si>
  <si>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</si>
  <si>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</si>
  <si>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</si>
  <si>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</si>
  <si>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</si>
  <si>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</si>
  <si>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</si>
  <si>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</si>
  <si>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</si>
  <si>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</si>
  <si>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</si>
  <si>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</si>
  <si>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</si>
  <si>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</si>
  <si>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</si>
  <si>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</si>
  <si>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</si>
  <si>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</si>
  <si>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</si>
  <si>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</si>
  <si>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</si>
  <si>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</si>
  <si>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</si>
  <si>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</si>
  <si>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</si>
  <si>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</si>
  <si>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</si>
  <si>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</si>
  <si>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</si>
  <si>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</si>
  <si>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</si>
  <si>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</si>
  <si>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</si>
  <si>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</si>
  <si>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</si>
  <si>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</si>
  <si>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</si>
  <si>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</si>
  <si>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</si>
  <si>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</si>
  <si>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</si>
  <si>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</si>
  <si>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</si>
  <si>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</si>
  <si>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</si>
  <si>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</si>
  <si>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</si>
  <si>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</si>
  <si>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</si>
  <si>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</si>
  <si>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</si>
  <si>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</si>
  <si>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</si>
  <si>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</si>
  <si>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</si>
  <si>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</si>
  <si>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</si>
  <si>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</si>
  <si>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</si>
  <si>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</si>
  <si>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</si>
  <si>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</si>
  <si>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</si>
  <si>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</si>
  <si>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</si>
  <si>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</si>
  <si>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</si>
  <si>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</si>
  <si>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</si>
  <si>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</si>
  <si>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</si>
  <si>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Salman</t>
  </si>
  <si>
    <t>Shop Bill Summary (Salman)</t>
  </si>
  <si>
    <t xml:space="preserve">Customer Name : Kashmir Bakers </t>
  </si>
  <si>
    <t>Address: LDA Flats</t>
  </si>
  <si>
    <t>Customer Name : Haji Store</t>
  </si>
  <si>
    <t>Address: Officer Colony</t>
  </si>
  <si>
    <t>Customer Name : Umer Store</t>
  </si>
  <si>
    <t xml:space="preserve">Address: Sabzi Mandi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</si>
</sst>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5" zoomScale="70" zoomScaleNormal="7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120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121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Kashmir Bakers </v>
      </c>
      <c r="U14" s="164">
        <f>+'1'!P35</f>
        <v>6014.5325877000005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9"/>
      <c r="J15" s="171" t="s">
        <v>78</v>
      </c>
      <c r="K15" s="171" t="s">
        <v>79</v>
      </c>
      <c r="L15" s="174" t="s">
        <v>80</v>
      </c>
      <c r="M15" s="24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Haji Store</v>
      </c>
      <c r="U15" s="164">
        <f>+'2'!P35</f>
        <v>2230.5591291000005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80</v>
      </c>
      <c r="I16" s="1">
        <f>(G16*D16)*F16+H16*F16</f>
        <v>4197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73.447500000000005</v>
      </c>
      <c r="L16" s="175">
        <f>+'1'!L16+'2'!L16+'4'!L16+'3'!L16+'5'!L16+'6'!L16+'7'!L16+'8'!L16+'9'!L16+'10'!L16</f>
        <v>335.76</v>
      </c>
      <c r="M16" s="106">
        <f>I16-K16-L16</f>
        <v>3787.7924999999996</v>
      </c>
      <c r="N16" s="101">
        <f>+'1'!N16+'2'!N16+'4'!N16+'3'!N16+'5'!N16+'6'!N16+'7'!N16+'8'!N16+'9'!N16+'10'!N16</f>
        <v>681.80264999999997</v>
      </c>
      <c r="O16" s="101">
        <f>+'1'!O16+'2'!O16+'4'!O16+'3'!O16+'5'!O16+'6'!O16+'7'!O16+'8'!O16+'9'!O16+'10'!O16</f>
        <v>67.910607749999997</v>
      </c>
      <c r="P16" s="105">
        <f t="shared" ref="P16:P24" si="0">M16+N16+O16</f>
        <v>4537.5057577499992</v>
      </c>
      <c r="Q16" s="108"/>
      <c r="T16" s="163" t="str">
        <f>+'3'!A5</f>
        <v>Customer Name : Umer Store</v>
      </c>
      <c r="U16" s="164">
        <f>+'3'!P35</f>
        <v>17842.945554000002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90</v>
      </c>
      <c r="I17" s="1">
        <f t="shared" ref="I17:I23" si="1">(G17*D17)*F17+H17*F17</f>
        <v>4721.625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73.447500000000005</v>
      </c>
      <c r="L17" s="175">
        <f>+'1'!L17+'2'!L17+'4'!L17+'3'!L17+'5'!L17+'6'!L17+'7'!L17+'8'!L17+'9'!L17+'10'!L17</f>
        <v>377.73</v>
      </c>
      <c r="M17" s="118">
        <f t="shared" ref="M17:M23" si="2">I17-K17-L17</f>
        <v>4270.4475000000002</v>
      </c>
      <c r="N17" s="101">
        <f>+'1'!N17+'2'!N17+'4'!N17+'3'!N17+'5'!N17+'6'!N17+'7'!N17+'8'!N17+'9'!N17+'10'!N17</f>
        <v>787.98675000000003</v>
      </c>
      <c r="O17" s="101">
        <f>+'1'!O17+'2'!O17+'4'!O17+'3'!O17+'5'!O17+'6'!O17+'7'!O17+'8'!O17+'9'!O17+'10'!O17</f>
        <v>70.854803249999989</v>
      </c>
      <c r="P17" s="120">
        <f t="shared" si="0"/>
        <v>5129.2890532500005</v>
      </c>
      <c r="S17" s="64"/>
      <c r="T17" s="163" t="str">
        <f>+'4'!A5</f>
        <v xml:space="preserve">Customer Name : 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50</v>
      </c>
      <c r="I19" s="1">
        <f t="shared" si="1"/>
        <v>3632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290.56</v>
      </c>
      <c r="M19" s="118">
        <f t="shared" si="2"/>
        <v>3341.44</v>
      </c>
      <c r="N19" s="101">
        <f>+'1'!N19+'2'!N19+'4'!N19+'3'!N19+'5'!N19+'6'!N19+'7'!N19+'8'!N19+'9'!N19+'10'!N19</f>
        <v>628.19071999999994</v>
      </c>
      <c r="O19" s="101">
        <f>+'1'!O19+'2'!O19+'4'!O19+'3'!O19+'5'!O19+'6'!O19+'7'!O19+'8'!O19+'9'!O19+'10'!O19</f>
        <v>82.934540800000008</v>
      </c>
      <c r="P19" s="120">
        <f t="shared" si="0"/>
        <v>4052.5652608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40</v>
      </c>
      <c r="I20" s="1">
        <f t="shared" si="1"/>
        <v>2905.6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232.44800000000001</v>
      </c>
      <c r="M20" s="118">
        <f t="shared" si="2"/>
        <v>2673.152</v>
      </c>
      <c r="N20" s="101">
        <f>+'1'!N20+'2'!N20+'4'!N20+'3'!N20+'5'!N20+'6'!N20+'7'!N20+'8'!N20+'9'!N20+'10'!N20</f>
        <v>481.16735999999997</v>
      </c>
      <c r="O20" s="101">
        <f>+'1'!O20+'2'!O20+'4'!O20+'3'!O20+'5'!O20+'6'!O20+'7'!O20+'8'!O20+'9'!O20+'10'!O20</f>
        <v>78.857984000000002</v>
      </c>
      <c r="P20" s="120">
        <f t="shared" si="0"/>
        <v>3233.1773440000002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50</v>
      </c>
      <c r="I21" s="1">
        <f t="shared" si="1"/>
        <v>3632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290.56</v>
      </c>
      <c r="M21" s="118">
        <f t="shared" si="2"/>
        <v>3341.44</v>
      </c>
      <c r="N21" s="101">
        <f>+'1'!N21+'2'!N21+'4'!N21+'3'!N21+'5'!N21+'6'!N21+'7'!N21+'8'!N21+'9'!N21+'10'!N21</f>
        <v>628.19071999999994</v>
      </c>
      <c r="O21" s="101">
        <f>+'1'!O21+'2'!O21+'4'!O21+'3'!O21+'5'!O21+'6'!O21+'7'!O21+'8'!O21+'9'!O21+'10'!O21</f>
        <v>82.934540800000008</v>
      </c>
      <c r="P21" s="120">
        <f t="shared" si="0"/>
        <v>4052.5652608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120</v>
      </c>
      <c r="I22" s="1">
        <f t="shared" si="1"/>
        <v>4707.6000000000004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164.76600000000002</v>
      </c>
      <c r="L22" s="175">
        <f>+'1'!L22+'2'!L22+'4'!L22+'3'!L22+'5'!L22+'6'!L22+'7'!L22+'8'!L22+'9'!L22+'10'!L22</f>
        <v>313.84000000000009</v>
      </c>
      <c r="M22" s="118">
        <f t="shared" si="2"/>
        <v>4228.9940000000006</v>
      </c>
      <c r="N22" s="101">
        <f>+'1'!N22+'2'!N22+'4'!N22+'3'!N22+'5'!N22+'6'!N22+'7'!N22+'8'!N22+'9'!N22+'10'!N22</f>
        <v>761.21892000000003</v>
      </c>
      <c r="O22" s="101">
        <f>+'1'!O22+'2'!O22+'4'!O22+'3'!O22+'5'!O22+'6'!O22+'7'!O22+'8'!O22+'9'!O22+'10'!O22</f>
        <v>92.721674200000024</v>
      </c>
      <c r="P22" s="120">
        <f t="shared" si="0"/>
        <v>5082.9345942000009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9" t="s">
        <v>84</v>
      </c>
      <c r="B25" s="220"/>
      <c r="C25" s="221">
        <f>H25/40</f>
        <v>10.75</v>
      </c>
      <c r="D25" s="215"/>
      <c r="E25" s="215"/>
      <c r="F25" s="215"/>
      <c r="G25" s="176">
        <f t="shared" ref="G25:M25" si="3">SUM(G16:G24)</f>
        <v>0</v>
      </c>
      <c r="H25" s="177">
        <f t="shared" si="3"/>
        <v>430</v>
      </c>
      <c r="I25" s="178">
        <f t="shared" si="3"/>
        <v>23795.824999999997</v>
      </c>
      <c r="J25" s="177">
        <f t="shared" si="3"/>
        <v>0</v>
      </c>
      <c r="K25" s="178">
        <f t="shared" si="3"/>
        <v>311.66100000000006</v>
      </c>
      <c r="L25" s="179">
        <f t="shared" si="3"/>
        <v>1840.8980000000001</v>
      </c>
      <c r="M25" s="141">
        <f t="shared" si="3"/>
        <v>21643.266000000003</v>
      </c>
      <c r="N25" s="142">
        <f>SUM(N16:N24)</f>
        <v>3968.5571200000004</v>
      </c>
      <c r="O25" s="143">
        <f>SUM(O16:O24)</f>
        <v>476.21415080000008</v>
      </c>
      <c r="P25" s="144">
        <f>SUM(P16:P24)</f>
        <v>26088.0372708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26088.037270800003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2">
        <f>I25</f>
        <v>23795.824999999997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3">
        <f>L25</f>
        <v>1840.8980000000001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4">
        <f>K25</f>
        <v>311.66100000000006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3">
        <f>P36-P37-P38</f>
        <v>21643.265999999996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5" t="s">
        <v>89</v>
      </c>
      <c r="O40" s="156">
        <f>IF(B12="Registered",18%,22%)</f>
        <v>0.22</v>
      </c>
      <c r="P40" s="153">
        <f>N25</f>
        <v>3968.5571200000004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3">
        <f>P39+P40</f>
        <v>25611.823119999997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7"/>
      <c r="N42" s="158" t="s">
        <v>91</v>
      </c>
      <c r="O42" s="159">
        <f>IF(B11="Filer",0.5%,2.5%)</f>
        <v>2.5000000000000001E-2</v>
      </c>
      <c r="P42" s="153">
        <f>O42*P41</f>
        <v>640.29557799999998</v>
      </c>
    </row>
    <row r="43" spans="1:21" ht="15.75" customHeight="1" thickBot="1" x14ac:dyDescent="0.4">
      <c r="N43" s="213" t="s">
        <v>92</v>
      </c>
      <c r="O43" s="214"/>
      <c r="P43" s="160">
        <f>P41+P42</f>
        <v>26252.118697999998</v>
      </c>
    </row>
    <row r="44" spans="1:21" ht="15" thickBot="1" x14ac:dyDescent="0.4">
      <c r="B44" s="161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26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75">
        <v>3520116508093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75">
        <v>3520116508093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117</v>
      </c>
      <c r="T14" s="256"/>
      <c r="U14" s="256"/>
      <c r="V14" s="256"/>
      <c r="W14" s="257" t="s">
        <v>119</v>
      </c>
      <c r="X14" s="257"/>
      <c r="Y14" s="257"/>
      <c r="Z14" s="257"/>
      <c r="XFD14" t="s">
        <v>75</v>
      </c>
    </row>
    <row r="15" spans="1:26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 t="shared" ref="O16:O24" si="1">(N16+M16)*$O$15</f>
        <v>10.95731775</v>
      </c>
      <c r="P16" s="105">
        <f t="shared" ref="P16:P24" si="2">M16+N16+O16</f>
        <v>2202.4208677500001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3">(G17*D17)*F17+H17*F17</f>
        <v>2098.5</v>
      </c>
      <c r="J17" s="117"/>
      <c r="K17" s="104">
        <f t="shared" ref="K17:K21" si="4">I17*3.5%</f>
        <v>73.447500000000005</v>
      </c>
      <c r="L17" s="105">
        <f t="shared" ref="L17:L21" si="5">I17*8%</f>
        <v>167.88</v>
      </c>
      <c r="M17" s="118">
        <f t="shared" ref="M17:M23" si="6">I17-K17-L17</f>
        <v>1857.1725000000001</v>
      </c>
      <c r="N17" s="118">
        <f t="shared" si="0"/>
        <v>334.29104999999998</v>
      </c>
      <c r="O17" s="119">
        <f t="shared" si="1"/>
        <v>10.95731775</v>
      </c>
      <c r="P17" s="120">
        <f t="shared" si="2"/>
        <v>2202.4208677500001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8" t="s">
        <v>118</v>
      </c>
      <c r="T19" s="258"/>
      <c r="U19" s="258"/>
      <c r="V19" s="258"/>
      <c r="W19" s="259" t="s">
        <v>116</v>
      </c>
      <c r="X19" s="259"/>
      <c r="Y19" s="259"/>
      <c r="Z19" s="259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">
        <f>I22*3.5%</f>
        <v>54.922000000000011</v>
      </c>
      <c r="L22" s="120">
        <f>I22*10%</f>
        <v>156.92000000000004</v>
      </c>
      <c r="M22" s="118">
        <f t="shared" si="6"/>
        <v>1357.3580000000002</v>
      </c>
      <c r="N22" s="118">
        <f t="shared" si="0"/>
        <v>244.32444000000001</v>
      </c>
      <c r="O22" s="119">
        <f t="shared" si="1"/>
        <v>8.0084122000000022</v>
      </c>
      <c r="P22" s="120">
        <f t="shared" si="2"/>
        <v>1609.6908522000003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13">SUM(G16:G24)</f>
        <v>0</v>
      </c>
      <c r="H25" s="136">
        <f t="shared" si="13"/>
        <v>120</v>
      </c>
      <c r="I25" s="137">
        <f t="shared" si="13"/>
        <v>5766.2000000000007</v>
      </c>
      <c r="J25" s="138"/>
      <c r="K25" s="139">
        <f t="shared" si="13"/>
        <v>201.81700000000001</v>
      </c>
      <c r="L25" s="140">
        <f t="shared" si="13"/>
        <v>492.68000000000006</v>
      </c>
      <c r="M25" s="141">
        <f t="shared" si="13"/>
        <v>5071.7030000000004</v>
      </c>
      <c r="N25" s="142">
        <f>SUM(N16:N24)</f>
        <v>912.90653999999995</v>
      </c>
      <c r="O25" s="143">
        <f>SUM(O16:O24)</f>
        <v>29.923047700000001</v>
      </c>
      <c r="P25" s="144">
        <f>SUM(P16:P24)</f>
        <v>6014.5325877000005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5766.2000000000007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492.68000000000006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201.81700000000001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5071.7030000000004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912.90653999999995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5984.6095400000004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29.923047700000001</v>
      </c>
    </row>
    <row r="35" spans="2:16" ht="15.75" customHeight="1" thickBot="1" x14ac:dyDescent="0.4">
      <c r="N35" s="213" t="s">
        <v>92</v>
      </c>
      <c r="O35" s="214"/>
      <c r="P35" s="160">
        <f>P33+P34</f>
        <v>6014.5325877000005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124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125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3520256212131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106.1841</v>
      </c>
      <c r="O17" s="119">
        <f t="shared" ref="O17:O24" si="6">(N17+M17)*$O$15</f>
        <v>2.9441954999999997</v>
      </c>
      <c r="P17" s="120">
        <f t="shared" si="1"/>
        <v>591.78329549999989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147.02336</v>
      </c>
      <c r="O19" s="119">
        <f t="shared" si="6"/>
        <v>4.0765568000000005</v>
      </c>
      <c r="P19" s="120">
        <f t="shared" si="1"/>
        <v>819.38791680000008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4.0765568000000005</v>
      </c>
      <c r="P21" s="120">
        <f t="shared" si="1"/>
        <v>819.38791680000008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30</v>
      </c>
      <c r="I25" s="137">
        <f t="shared" si="9"/>
        <v>1977.4250000000002</v>
      </c>
      <c r="J25" s="138"/>
      <c r="K25" s="139">
        <f t="shared" si="9"/>
        <v>0</v>
      </c>
      <c r="L25" s="140">
        <f t="shared" si="9"/>
        <v>158.19399999999999</v>
      </c>
      <c r="M25" s="141">
        <f t="shared" si="9"/>
        <v>1819.231</v>
      </c>
      <c r="N25" s="142">
        <f>SUM(N16:N24)</f>
        <v>400.23081999999999</v>
      </c>
      <c r="O25" s="143">
        <f>SUM(O16:O24)</f>
        <v>11.0973091</v>
      </c>
      <c r="P25" s="144">
        <f>SUM(P16:P24)</f>
        <v>2230.5591291000001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1977.4250000000002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158.19399999999999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1819.2310000000002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400.23081999999999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2219.4618200000004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11.097309100000002</v>
      </c>
    </row>
    <row r="35" spans="2:16" ht="15.75" customHeight="1" thickBot="1" x14ac:dyDescent="0.4">
      <c r="N35" s="213" t="s">
        <v>92</v>
      </c>
      <c r="O35" s="214"/>
      <c r="P35" s="160">
        <f>P33+P34</f>
        <v>2230.5591291000005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H23" sqref="H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126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127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56">
        <v>3520296393577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347.51159999999999</v>
      </c>
      <c r="O16" s="107">
        <f>(N16+M16)*$O$15</f>
        <v>56.953289999999996</v>
      </c>
      <c r="P16" s="105">
        <f t="shared" ref="P16:P24" si="1">M16+N16+O16</f>
        <v>2335.0848899999996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347.51159999999999</v>
      </c>
      <c r="O17" s="119">
        <f t="shared" ref="O17:O24" si="6">(N17+M17)*$O$15</f>
        <v>56.953289999999996</v>
      </c>
      <c r="P17" s="120">
        <f t="shared" si="1"/>
        <v>2335.0848899999996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481.16735999999997</v>
      </c>
      <c r="O19" s="119">
        <f t="shared" si="6"/>
        <v>78.857984000000002</v>
      </c>
      <c r="P19" s="120">
        <f t="shared" si="1"/>
        <v>3233.1773440000002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481.16735999999997</v>
      </c>
      <c r="O20" s="119">
        <f t="shared" si="6"/>
        <v>78.857984000000002</v>
      </c>
      <c r="P20" s="120">
        <f t="shared" si="1"/>
        <v>3233.1773440000002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481.16735999999997</v>
      </c>
      <c r="O21" s="119">
        <f t="shared" si="6"/>
        <v>78.857984000000002</v>
      </c>
      <c r="P21" s="120">
        <f t="shared" si="1"/>
        <v>3233.1773440000002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">
        <f>I22*3.5%</f>
        <v>109.84400000000002</v>
      </c>
      <c r="L22" s="120">
        <f>I22*5%</f>
        <v>156.92000000000004</v>
      </c>
      <c r="M22" s="118">
        <f t="shared" si="5"/>
        <v>2871.6360000000004</v>
      </c>
      <c r="N22" s="118">
        <f t="shared" si="0"/>
        <v>516.89448000000004</v>
      </c>
      <c r="O22" s="119">
        <f t="shared" si="6"/>
        <v>84.713262000000014</v>
      </c>
      <c r="P22" s="120">
        <f t="shared" si="1"/>
        <v>3473.2437420000006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280</v>
      </c>
      <c r="I25" s="137">
        <f t="shared" si="9"/>
        <v>16052.2</v>
      </c>
      <c r="J25" s="138"/>
      <c r="K25" s="139">
        <f t="shared" si="9"/>
        <v>109.84400000000002</v>
      </c>
      <c r="L25" s="140">
        <f t="shared" si="9"/>
        <v>1190.0240000000001</v>
      </c>
      <c r="M25" s="141">
        <f t="shared" si="9"/>
        <v>14752.332</v>
      </c>
      <c r="N25" s="142">
        <f>SUM(N16:N24)</f>
        <v>2655.4197599999998</v>
      </c>
      <c r="O25" s="143">
        <f>SUM(O16:O24)</f>
        <v>435.19379400000003</v>
      </c>
      <c r="P25" s="144">
        <f>SUM(P16:P24)</f>
        <v>17842.945553999998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16052.2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1190.0240000000001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109.84400000000002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14752.332000000002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2655.4197599999998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17407.751760000003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435.19379400000008</v>
      </c>
    </row>
    <row r="35" spans="2:16" ht="15.75" customHeight="1" thickBot="1" x14ac:dyDescent="0.4">
      <c r="N35" s="213" t="s">
        <v>92</v>
      </c>
      <c r="O35" s="214"/>
      <c r="P35" s="160">
        <f>P33+P34</f>
        <v>17842.945554000002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7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80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2026-07-03T12:22:03Z</dcterms:modified>
</cp:coreProperties>
</file>