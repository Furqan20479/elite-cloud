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BB49F1B-C704-4A6B-8C97-FD7CAB3FF75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K22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L20" i="19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L22" i="16"/>
  <c r="L22" i="15" s="1"/>
  <c r="L19" i="16"/>
  <c r="K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P19" i="18"/>
  <c r="M21" i="15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<sst xmlns="http://schemas.openxmlformats.org/spreadsheetml/2006/main" count="1632" uniqueCount="132">
  <si>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</si>
  <si>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</si>
  <si>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</si>
  <si>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</si>
  <si>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</si>
  <si>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</si>
  <si>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</si>
  <si>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</si>
  <si>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</si>
  <si>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</si>
  <si>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</si>
  <si>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</si>
  <si>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</si>
  <si>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</si>
  <si>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</si>
  <si>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</si>
  <si>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</si>
  <si>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</si>
  <si>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</si>
  <si>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</si>
  <si>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</si>
  <si>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</si>
  <si>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</si>
  <si>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</si>
  <si>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</si>
  <si>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</si>
  <si>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</si>
  <si>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</si>
  <si>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</si>
  <si>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</si>
  <si>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</si>
  <si>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</si>
  <si>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</si>
  <si>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</si>
  <si>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</si>
  <si>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</si>
  <si>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</si>
  <si>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</si>
  <si>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</si>
  <si>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</si>
  <si>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</si>
  <si>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</si>
  <si>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</si>
  <si>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</si>
  <si>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</si>
  <si>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</si>
  <si>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</si>
  <si>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</si>
  <si>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</si>
  <si>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</si>
  <si>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</si>
  <si>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</si>
  <si>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</si>
  <si>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</si>
  <si>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</si>
  <si>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</si>
  <si>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</si>
  <si>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</si>
  <si>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</si>
  <si>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</si>
  <si>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</si>
  <si>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</si>
  <si>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</si>
  <si>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</si>
  <si>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</si>
  <si>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</si>
  <si>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</si>
  <si>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</si>
  <si>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</si>
  <si>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</si>
  <si>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</si>
  <si>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</si>
  <si>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</si>
  <si>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</si>
  <si>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</si>
  <si>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</si>
  <si>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</si>
  <si>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</si>
  <si>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</si>
  <si>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</si>
  <si>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</si>
  <si>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</si>
  <si>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</si>
  <si>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</si>
  <si>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</si>
  <si>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</si>
  <si>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</si>
  <si>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</si>
  <si>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</si>
  <si>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</si>
  <si>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</si>
  <si>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</si>
  <si>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</si>
  <si>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</si>
  <si>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</si>
  <si>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</si>
  <si>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</si>
  <si>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</si>
  <si>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</si>
  <si>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</si>
  <si>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</si>
  <si>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</si>
  <si>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</si>
  <si>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</si>
  <si>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</si>
  <si>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</si>
  <si>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</si>
  <si>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</si>
  <si>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</si>
  <si>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</si>
  <si>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</si>
  <si>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</si>
  <si>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</si>
  <si>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</si>
  <si>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</si>
  <si>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</si>
  <si>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</si>
  <si>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</si>
  <si>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</si>
  <si>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</si>
  <si>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</si>
  <si>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Mehboob Store</t>
  </si>
  <si>
    <t xml:space="preserve">Address: Gowal mandi </t>
  </si>
  <si>
    <t>Customer Name : Arif Store</t>
  </si>
  <si>
    <t xml:space="preserve">Address: Goual Mandi </t>
  </si>
  <si>
    <t>Customer Name : Barkat Store</t>
  </si>
  <si>
    <t>Address: Railway Road</t>
  </si>
  <si>
    <t>Customer Name : Mehraj Din Bakers</t>
  </si>
  <si>
    <t>Address: Nisbat Road</t>
  </si>
  <si>
    <t>Customer Name : Usman Store</t>
  </si>
  <si>
    <t xml:space="preserve">Address: Lakshmi Chowk </t>
  </si>
  <si>
    <t>Customer Name : Mushtaq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</si>
</sst>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96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Mehboob Store</v>
      </c>
      <c r="U14" s="164">
        <f>+'1'!P35</f>
        <v>1576.4311008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Arif Store</v>
      </c>
      <c r="U15" s="164">
        <f>+'2'!P35</f>
        <v>3277.5516672000003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Barkat Store</v>
      </c>
      <c r="U16" s="164">
        <f>+'3'!P35</f>
        <v>3233.1773440000002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Mehraj Din Bakers</v>
      </c>
      <c r="U17" s="164">
        <f>+'4'!P35</f>
        <v>2955.9550342499997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Usman Store</v>
      </c>
      <c r="U18" s="164">
        <f>+'5'!P35</f>
        <v>538.64712270000007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43</v>
      </c>
      <c r="I19" s="1">
        <f t="shared" si="1"/>
        <v>3123.52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249.88159999999999</v>
      </c>
      <c r="M19" s="118">
        <f t="shared" si="2"/>
        <v>2873.6383999999998</v>
      </c>
      <c r="N19" s="101">
        <f>+'1'!N19+'2'!N19+'4'!N19+'3'!N19+'5'!N19+'6'!N19+'7'!N19+'8'!N19+'9'!N19+'10'!N19</f>
        <v>592.10316799999987</v>
      </c>
      <c r="O19" s="101">
        <f>+'1'!O19+'2'!O19+'4'!O19+'3'!O19+'5'!O19+'6'!O19+'7'!O19+'8'!O19+'9'!O19+'10'!O19</f>
        <v>62.1841984</v>
      </c>
      <c r="P19" s="120">
        <f t="shared" si="0"/>
        <v>3527.9257663999992</v>
      </c>
      <c r="T19" s="163" t="str">
        <f>+'6'!A5</f>
        <v>Customer Name : Mushtaq Store</v>
      </c>
      <c r="U19" s="164">
        <f>+'6'!P35</f>
        <v>752.12472960000002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57</v>
      </c>
      <c r="I20" s="1">
        <f t="shared" si="1"/>
        <v>4140.4800000000005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331.23840000000001</v>
      </c>
      <c r="M20" s="118">
        <f t="shared" si="2"/>
        <v>3758.3936000000003</v>
      </c>
      <c r="N20" s="101">
        <f>+'1'!N20+'2'!N20+'4'!N20+'3'!N20+'5'!N20+'6'!N20+'7'!N20+'8'!N20+'9'!N20+'10'!N20</f>
        <v>794.76876799999991</v>
      </c>
      <c r="O20" s="101">
        <f>+'1'!O20+'2'!O20+'4'!O20+'3'!O20+'5'!O20+'6'!O20+'7'!O20+'8'!O20+'9'!O20+'10'!O20</f>
        <v>62.889823360000008</v>
      </c>
      <c r="P20" s="120">
        <f t="shared" si="0"/>
        <v>4616.0521913600005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39</v>
      </c>
      <c r="I21" s="1">
        <f t="shared" si="1"/>
        <v>2832.96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226.63680000000002</v>
      </c>
      <c r="M21" s="118">
        <f t="shared" si="2"/>
        <v>2606.3231999999998</v>
      </c>
      <c r="N21" s="101">
        <f>+'1'!N21+'2'!N21+'4'!N21+'3'!N21+'5'!N21+'6'!N21+'7'!N21+'8'!N21+'9'!N21+'10'!N21</f>
        <v>538.640128</v>
      </c>
      <c r="O21" s="101">
        <f>+'1'!O21+'2'!O21+'4'!O21+'3'!O21+'5'!O21+'6'!O21+'7'!O21+'8'!O21+'9'!O21+'10'!O21</f>
        <v>57.425987840000005</v>
      </c>
      <c r="P21" s="120">
        <f t="shared" si="0"/>
        <v>3202.3893158399997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22</v>
      </c>
      <c r="I22" s="1">
        <f t="shared" si="1"/>
        <v>863.06000000000006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30.207100000000008</v>
      </c>
      <c r="L22" s="175">
        <f>+'1'!L22+'2'!L22+'4'!L22+'3'!L22+'5'!L22+'6'!L22+'7'!L22+'8'!L22+'9'!L22+'10'!L22</f>
        <v>43.153000000000006</v>
      </c>
      <c r="M22" s="118">
        <f t="shared" si="2"/>
        <v>789.69990000000007</v>
      </c>
      <c r="N22" s="101">
        <f>+'1'!N22+'2'!N22+'4'!N22+'3'!N22+'5'!N22+'6'!N22+'7'!N22+'8'!N22+'9'!N22+'10'!N22</f>
        <v>173.73397800000001</v>
      </c>
      <c r="O22" s="101">
        <f>+'1'!O22+'2'!O22+'4'!O22+'3'!O22+'5'!O22+'6'!O22+'7'!O22+'8'!O22+'9'!O22+'10'!O22</f>
        <v>24.085846950000004</v>
      </c>
      <c r="P22" s="120">
        <f t="shared" si="0"/>
        <v>987.51972495000007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4.0250000000000004</v>
      </c>
      <c r="D25" s="215"/>
      <c r="E25" s="215"/>
      <c r="F25" s="215"/>
      <c r="G25" s="176">
        <f t="shared" ref="G25:M25" si="3">SUM(G16:G24)</f>
        <v>0</v>
      </c>
      <c r="H25" s="177">
        <f t="shared" si="3"/>
        <v>161</v>
      </c>
      <c r="I25" s="178">
        <f t="shared" si="3"/>
        <v>10960.019999999999</v>
      </c>
      <c r="J25" s="177">
        <f t="shared" si="3"/>
        <v>0</v>
      </c>
      <c r="K25" s="178">
        <f t="shared" si="3"/>
        <v>81.05510000000001</v>
      </c>
      <c r="L25" s="179">
        <f t="shared" si="3"/>
        <v>850.90980000000002</v>
      </c>
      <c r="M25" s="141">
        <f t="shared" si="3"/>
        <v>10028.0551</v>
      </c>
      <c r="N25" s="142">
        <f>SUM(N16:N24)</f>
        <v>2099.2460419999998</v>
      </c>
      <c r="O25" s="143">
        <f>SUM(O16:O24)</f>
        <v>206.58585655000002</v>
      </c>
      <c r="P25" s="144">
        <f>SUM(P16:P24)</f>
        <v>12333.88699855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12333.886998549999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10960.019999999999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850.90980000000002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81.05510000000001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10028.0551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2099.2460419999998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12127.301142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303.18252855000003</v>
      </c>
    </row>
    <row r="43" spans="1:21" ht="15.75" customHeight="1" thickBot="1" x14ac:dyDescent="0.4">
      <c r="N43" s="213" t="s">
        <v>92</v>
      </c>
      <c r="O43" s="214"/>
      <c r="P43" s="160">
        <f>P41+P42</f>
        <v>12430.48367055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14468567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282.86016000000001</v>
      </c>
      <c r="O20" s="119">
        <f t="shared" si="1"/>
        <v>7.8429408</v>
      </c>
      <c r="P20" s="120">
        <f t="shared" si="2"/>
        <v>1576.4311008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20</v>
      </c>
      <c r="I25" s="137">
        <f t="shared" si="13"/>
        <v>1452.8</v>
      </c>
      <c r="J25" s="138"/>
      <c r="K25" s="139">
        <f t="shared" si="13"/>
        <v>50.848000000000006</v>
      </c>
      <c r="L25" s="140">
        <f t="shared" si="13"/>
        <v>116.224</v>
      </c>
      <c r="M25" s="141">
        <f t="shared" si="13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1452.8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116.224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50.848000000000006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1285.7280000000001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1568.58816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7.8429408</v>
      </c>
    </row>
    <row r="35" spans="2:16" ht="15.75" customHeight="1" thickBot="1" x14ac:dyDescent="0.4">
      <c r="N35" s="213" t="s">
        <v>92</v>
      </c>
      <c r="O35" s="214"/>
      <c r="P35" s="160">
        <f>P33+P34</f>
        <v>1576.4311008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H24" sqref="H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35202627110933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176.428032</v>
      </c>
      <c r="O20" s="119">
        <f t="shared" si="6"/>
        <v>4.8918681600000005</v>
      </c>
      <c r="P20" s="120">
        <f t="shared" si="1"/>
        <v>983.26550015999999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191.130368</v>
      </c>
      <c r="O21" s="119">
        <f t="shared" si="6"/>
        <v>5.2995238400000009</v>
      </c>
      <c r="P21" s="120">
        <f t="shared" si="1"/>
        <v>1065.20429184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588.09343999999999</v>
      </c>
      <c r="O25" s="143">
        <f>SUM(O16:O24)</f>
        <v>16.306227200000002</v>
      </c>
      <c r="P25" s="144">
        <f>SUM(P16:P24)</f>
        <v>3277.5516672000003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2673.152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588.09343999999999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3261.2454400000001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16.306227200000002</v>
      </c>
    </row>
    <row r="35" spans="2:16" ht="15.75" customHeight="1" thickBot="1" x14ac:dyDescent="0.4">
      <c r="N35" s="213" t="s">
        <v>92</v>
      </c>
      <c r="O35" s="214"/>
      <c r="P35" s="160">
        <f>P33+P34</f>
        <v>3277.5516672000003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3520114212677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29.571743999999995</v>
      </c>
      <c r="P19" s="120">
        <f t="shared" si="1"/>
        <v>1212.4415039999999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144.35020800000001</v>
      </c>
      <c r="O20" s="119">
        <f t="shared" si="6"/>
        <v>23.657395200000003</v>
      </c>
      <c r="P20" s="120">
        <f t="shared" si="1"/>
        <v>969.95320320000008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156.379392</v>
      </c>
      <c r="O21" s="119">
        <f t="shared" si="6"/>
        <v>25.628844800000003</v>
      </c>
      <c r="P21" s="120">
        <f t="shared" si="1"/>
        <v>1050.7826368000001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481.16735999999997</v>
      </c>
      <c r="O25" s="143">
        <f>SUM(O16:O24)</f>
        <v>78.857984000000002</v>
      </c>
      <c r="P25" s="144">
        <f>SUM(P16:P24)</f>
        <v>3233.1773440000002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2673.152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481.16735999999997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3154.31936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78.857984000000002</v>
      </c>
    </row>
    <row r="35" spans="2:16" ht="15.75" customHeight="1" thickBot="1" x14ac:dyDescent="0.4">
      <c r="N35" s="213" t="s">
        <v>92</v>
      </c>
      <c r="O35" s="214"/>
      <c r="P35" s="160">
        <f>P33+P34</f>
        <v>3233.1773440000002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2571.5</v>
      </c>
      <c r="J25" s="138"/>
      <c r="K25" s="139">
        <f t="shared" si="9"/>
        <v>13.730500000000003</v>
      </c>
      <c r="L25" s="140">
        <f t="shared" si="9"/>
        <v>193.95100000000002</v>
      </c>
      <c r="M25" s="141">
        <f t="shared" si="9"/>
        <v>2363.8185000000003</v>
      </c>
      <c r="N25" s="142">
        <f>SUM(N16:N24)</f>
        <v>520.04007000000001</v>
      </c>
      <c r="O25" s="143">
        <f>SUM(O16:O24)</f>
        <v>72.096464249999997</v>
      </c>
      <c r="P25" s="144">
        <f>SUM(P16:P24)</f>
        <v>2955.9550342500002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2571.5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193.95100000000002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2363.8184999999999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520.04007000000001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2883.8585699999999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72.096464249999997</v>
      </c>
    </row>
    <row r="35" spans="2:16" ht="15.75" customHeight="1" thickBot="1" x14ac:dyDescent="0.4">
      <c r="N35" s="213" t="s">
        <v>92</v>
      </c>
      <c r="O35" s="214"/>
      <c r="P35" s="160">
        <f>P33+P34</f>
        <v>2955.9550342499997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470.76000000000005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23.538000000000004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16.476600000000005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430.74540000000002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525.50938800000006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3" t="s">
        <v>92</v>
      </c>
      <c r="O35" s="214"/>
      <c r="P35" s="160">
        <f>P33+P34</f>
        <v>538.64712270000007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">
        <f t="shared" si="3"/>
        <v>0</v>
      </c>
      <c r="L19" s="105">
        <f t="shared" si="4"/>
        <v>17.433600000000002</v>
      </c>
      <c r="M19" s="118">
        <f t="shared" si="5"/>
        <v>200.4864</v>
      </c>
      <c r="N19" s="118">
        <f t="shared" si="0"/>
        <v>44.107008</v>
      </c>
      <c r="O19" s="119">
        <f t="shared" si="6"/>
        <v>6.1148352000000008</v>
      </c>
      <c r="P19" s="120">
        <f t="shared" si="1"/>
        <v>250.7082432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">
        <f t="shared" si="3"/>
        <v>0</v>
      </c>
      <c r="L20" s="105">
        <f t="shared" si="4"/>
        <v>17.433600000000002</v>
      </c>
      <c r="M20" s="118">
        <f t="shared" si="5"/>
        <v>200.4864</v>
      </c>
      <c r="N20" s="118">
        <f t="shared" si="0"/>
        <v>44.107008</v>
      </c>
      <c r="O20" s="119">
        <f t="shared" si="6"/>
        <v>6.1148352000000008</v>
      </c>
      <c r="P20" s="120">
        <f t="shared" si="1"/>
        <v>250.7082432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</v>
      </c>
      <c r="I21" s="116">
        <f t="shared" si="2"/>
        <v>217.92000000000002</v>
      </c>
      <c r="J21" s="117"/>
      <c r="K21" s="1">
        <f t="shared" si="3"/>
        <v>0</v>
      </c>
      <c r="L21" s="105">
        <f t="shared" si="4"/>
        <v>17.433600000000002</v>
      </c>
      <c r="M21" s="118">
        <f t="shared" si="5"/>
        <v>200.4864</v>
      </c>
      <c r="N21" s="118">
        <f t="shared" si="0"/>
        <v>44.107008</v>
      </c>
      <c r="O21" s="119">
        <f t="shared" si="6"/>
        <v>6.1148352000000008</v>
      </c>
      <c r="P21" s="120">
        <f t="shared" si="1"/>
        <v>250.7082432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9</v>
      </c>
      <c r="I25" s="137">
        <f t="shared" si="9"/>
        <v>653.76</v>
      </c>
      <c r="J25" s="138"/>
      <c r="K25" s="139">
        <f t="shared" si="9"/>
        <v>0</v>
      </c>
      <c r="L25" s="140">
        <f t="shared" si="9"/>
        <v>52.30080000000001</v>
      </c>
      <c r="M25" s="141">
        <f t="shared" si="9"/>
        <v>601.45920000000001</v>
      </c>
      <c r="N25" s="142">
        <f>SUM(N16:N24)</f>
        <v>132.32102399999999</v>
      </c>
      <c r="O25" s="143">
        <f>SUM(O16:O24)</f>
        <v>18.344505600000002</v>
      </c>
      <c r="P25" s="144">
        <f>SUM(P16:P24)</f>
        <v>752.12472960000002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653.76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52.30080000000001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601.45920000000001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132.32102399999999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733.78022399999998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18.344505600000002</v>
      </c>
    </row>
    <row r="35" spans="2:16" ht="15.75" customHeight="1" thickBot="1" x14ac:dyDescent="0.4">
      <c r="N35" s="213" t="s">
        <v>92</v>
      </c>
      <c r="O35" s="214"/>
      <c r="P35" s="160">
        <f>P33+P34</f>
        <v>752.12472960000002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2026-07-03T13:03:05Z</dcterms:modified>
</cp:coreProperties>
</file>