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3ADB748F-8621-4921-AA20-8FE7BB7D099F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9" l="1"/>
  <c r="K18" i="19"/>
  <c r="K19" i="19"/>
  <c r="K20" i="19"/>
  <c r="K21" i="19"/>
  <c r="K22" i="19"/>
  <c r="K23" i="19"/>
  <c r="K24" i="19"/>
  <c r="K16" i="19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K18" i="28" s="1"/>
  <c r="I19" i="28"/>
  <c r="K19" i="28" s="1"/>
  <c r="I20" i="28"/>
  <c r="I21" i="28"/>
  <c r="I22" i="28"/>
  <c r="K22" i="28" s="1"/>
  <c r="I23" i="28"/>
  <c r="L23" i="28" s="1"/>
  <c r="I24" i="28"/>
  <c r="I22" i="32"/>
  <c r="I18" i="33"/>
  <c r="K18" i="33" s="1"/>
  <c r="I20" i="33"/>
  <c r="K20" i="33" s="1"/>
  <c r="I16" i="30"/>
  <c r="I17" i="30"/>
  <c r="I18" i="30"/>
  <c r="K18" i="30" s="1"/>
  <c r="I19" i="30"/>
  <c r="K19" i="30" s="1"/>
  <c r="I20" i="30"/>
  <c r="I21" i="30"/>
  <c r="I22" i="30"/>
  <c r="L22" i="30" s="1"/>
  <c r="I23" i="30"/>
  <c r="K23" i="30" s="1"/>
  <c r="M23" i="30" s="1"/>
  <c r="I24" i="30"/>
  <c r="I16" i="32"/>
  <c r="I17" i="32"/>
  <c r="I18" i="32"/>
  <c r="K18" i="32" s="1"/>
  <c r="I19" i="32"/>
  <c r="I20" i="32"/>
  <c r="I21" i="32"/>
  <c r="I16" i="33"/>
  <c r="L16" i="33" s="1"/>
  <c r="I16" i="31"/>
  <c r="I17" i="31"/>
  <c r="I18" i="31"/>
  <c r="L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K19" i="34" s="1"/>
  <c r="I20" i="34"/>
  <c r="K20" i="34" s="1"/>
  <c r="I21" i="34"/>
  <c r="I22" i="34"/>
  <c r="I23" i="34"/>
  <c r="I24" i="34"/>
  <c r="L24" i="34" s="1"/>
  <c r="I16" i="29"/>
  <c r="I17" i="29"/>
  <c r="I18" i="29"/>
  <c r="K18" i="29" s="1"/>
  <c r="I19" i="29"/>
  <c r="K19" i="29" s="1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K16" i="35"/>
  <c r="L16" i="35"/>
  <c r="K17" i="35"/>
  <c r="L17" i="35"/>
  <c r="M17" i="35" s="1"/>
  <c r="K18" i="35"/>
  <c r="L18" i="35"/>
  <c r="M18" i="35" s="1"/>
  <c r="K19" i="35"/>
  <c r="L19" i="35"/>
  <c r="K20" i="35"/>
  <c r="L20" i="35"/>
  <c r="K21" i="35"/>
  <c r="L21" i="35"/>
  <c r="K22" i="35"/>
  <c r="L22" i="35"/>
  <c r="M22" i="35"/>
  <c r="K23" i="35"/>
  <c r="L23" i="35"/>
  <c r="K24" i="35"/>
  <c r="L24" i="35"/>
  <c r="L16" i="34"/>
  <c r="K17" i="34"/>
  <c r="L17" i="34"/>
  <c r="K18" i="34"/>
  <c r="L18" i="34"/>
  <c r="K21" i="34"/>
  <c r="L21" i="34"/>
  <c r="K22" i="34"/>
  <c r="L22" i="34"/>
  <c r="K23" i="34"/>
  <c r="K21" i="33"/>
  <c r="L21" i="33"/>
  <c r="L22" i="33"/>
  <c r="K19" i="33"/>
  <c r="L20" i="33"/>
  <c r="K24" i="33"/>
  <c r="L24" i="33"/>
  <c r="M17" i="33"/>
  <c r="K24" i="32"/>
  <c r="L24" i="32"/>
  <c r="I25" i="32"/>
  <c r="P28" i="32" s="1"/>
  <c r="K16" i="32"/>
  <c r="L16" i="32"/>
  <c r="K17" i="32"/>
  <c r="L17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K21" i="31"/>
  <c r="L21" i="31"/>
  <c r="L22" i="31"/>
  <c r="K24" i="31"/>
  <c r="L24" i="31"/>
  <c r="K16" i="31"/>
  <c r="L16" i="31"/>
  <c r="K18" i="31"/>
  <c r="K20" i="31"/>
  <c r="L20" i="31"/>
  <c r="L23" i="31"/>
  <c r="K20" i="30"/>
  <c r="L20" i="30"/>
  <c r="K21" i="30"/>
  <c r="L21" i="30"/>
  <c r="M21" i="30" s="1"/>
  <c r="L23" i="30"/>
  <c r="K16" i="30"/>
  <c r="L16" i="30"/>
  <c r="K17" i="30"/>
  <c r="L17" i="30"/>
  <c r="K22" i="30"/>
  <c r="K24" i="30"/>
  <c r="L24" i="30"/>
  <c r="K16" i="29"/>
  <c r="L16" i="29"/>
  <c r="K21" i="29"/>
  <c r="L21" i="29"/>
  <c r="K24" i="29"/>
  <c r="M24" i="29" s="1"/>
  <c r="L24" i="29"/>
  <c r="K17" i="29"/>
  <c r="L17" i="29"/>
  <c r="K20" i="29"/>
  <c r="L20" i="29"/>
  <c r="K22" i="29"/>
  <c r="L22" i="29"/>
  <c r="I25" i="28"/>
  <c r="P28" i="28" s="1"/>
  <c r="K16" i="28"/>
  <c r="L16" i="28"/>
  <c r="K17" i="28"/>
  <c r="L17" i="28"/>
  <c r="M17" i="28" s="1"/>
  <c r="L19" i="28"/>
  <c r="K20" i="28"/>
  <c r="L20" i="28"/>
  <c r="K21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22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16" i="33"/>
  <c r="K25" i="33" s="1"/>
  <c r="P30" i="33" s="1"/>
  <c r="M24" i="33"/>
  <c r="M23" i="35"/>
  <c r="M23" i="33"/>
  <c r="I16" i="26"/>
  <c r="K16" i="26" s="1"/>
  <c r="I17" i="26"/>
  <c r="I18" i="26"/>
  <c r="K18" i="26" s="1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K21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4" l="1"/>
  <c r="P32" i="34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34"/>
  <c r="P34" i="34" s="1"/>
  <c r="P35" i="34" s="1"/>
  <c r="U32" i="15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17" i="25"/>
  <c r="K17" i="25"/>
  <c r="L23" i="25"/>
  <c r="K23" i="25"/>
  <c r="K21" i="24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L24" i="19"/>
  <c r="L22" i="19"/>
  <c r="L21" i="18"/>
  <c r="K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0" i="19" l="1"/>
  <c r="L24" i="17"/>
  <c r="K17" i="23"/>
  <c r="K17" i="24"/>
  <c r="M21" i="19"/>
  <c r="K23" i="24"/>
  <c r="L22" i="25"/>
  <c r="I25" i="25"/>
  <c r="P28" i="25" s="1"/>
  <c r="K22" i="18"/>
  <c r="M22" i="18" s="1"/>
  <c r="N22" i="18" s="1"/>
  <c r="O22" i="18" s="1"/>
  <c r="L18" i="17"/>
  <c r="M23" i="19"/>
  <c r="N23" i="19" s="1"/>
  <c r="O23" i="19" s="1"/>
  <c r="L23" i="22"/>
  <c r="L25" i="22" s="1"/>
  <c r="P29" i="22" s="1"/>
  <c r="K19" i="25"/>
  <c r="L19" i="25"/>
  <c r="L25" i="25" s="1"/>
  <c r="P29" i="25" s="1"/>
  <c r="K21" i="25"/>
  <c r="K16" i="24"/>
  <c r="M16" i="24" s="1"/>
  <c r="N16" i="24" s="1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L25" i="19"/>
  <c r="P29" i="19" s="1"/>
  <c r="N24" i="18"/>
  <c r="O24" i="18" s="1"/>
  <c r="N18" i="18"/>
  <c r="O18" i="18" s="1"/>
  <c r="I23" i="15"/>
  <c r="M19" i="25" l="1"/>
  <c r="N19" i="25" s="1"/>
  <c r="O19" i="25" s="1"/>
  <c r="L17" i="16"/>
  <c r="K17" i="16"/>
  <c r="M23" i="22"/>
  <c r="N23" i="22" s="1"/>
  <c r="O23" i="22" s="1"/>
  <c r="L21" i="16"/>
  <c r="L21" i="15" s="1"/>
  <c r="K21" i="16"/>
  <c r="K25" i="19"/>
  <c r="P30" i="19" s="1"/>
  <c r="K22" i="16"/>
  <c r="K22" i="15" s="1"/>
  <c r="L22" i="16"/>
  <c r="L22" i="15" s="1"/>
  <c r="L19" i="16"/>
  <c r="K19" i="16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P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16" i="16"/>
  <c r="N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P33" i="23" l="1"/>
  <c r="P34" i="23" s="1"/>
  <c r="P35" i="23" s="1"/>
  <c r="U21" i="15" s="1"/>
  <c r="N16" i="15"/>
  <c r="N18" i="15"/>
  <c r="P18" i="15" s="1"/>
  <c r="O22" i="16"/>
  <c r="O22" i="15" s="1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<sst xmlns="http://schemas.openxmlformats.org/spreadsheetml/2006/main" count="1636" uniqueCount="141">
  <si>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</si>
  <si>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</si>
  <si>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</si>
  <si>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</si>
  <si>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</si>
  <si>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</si>
  <si>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</si>
  <si>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</si>
  <si>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</si>
  <si>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</si>
  <si>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</si>
  <si>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</si>
  <si>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</si>
  <si>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</si>
  <si>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</si>
  <si>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</si>
  <si>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</si>
  <si>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</si>
  <si>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</si>
  <si>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</si>
  <si>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</si>
  <si>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</si>
  <si>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</si>
  <si>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</si>
  <si>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</si>
  <si>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</si>
  <si>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</si>
  <si>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</si>
  <si>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</si>
  <si>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</si>
  <si>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</si>
  <si>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</si>
  <si>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</si>
  <si>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</si>
  <si>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</si>
  <si>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</si>
  <si>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</si>
  <si>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</si>
  <si>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</si>
  <si>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</si>
  <si>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</si>
  <si>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</si>
  <si>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</si>
  <si>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</si>
  <si>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</si>
  <si>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</si>
  <si>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</si>
  <si>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</si>
  <si>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</si>
  <si>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</si>
  <si>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</si>
  <si>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</si>
  <si>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</si>
  <si>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</si>
  <si>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</si>
  <si>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</si>
  <si>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</si>
  <si>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</si>
  <si>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</si>
  <si>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</si>
  <si>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</si>
  <si>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</si>
  <si>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</si>
  <si>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</si>
  <si>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</si>
  <si>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</si>
  <si>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</si>
  <si>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</si>
  <si>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</si>
  <si>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</si>
  <si>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</si>
  <si>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</si>
  <si>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</si>
  <si>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</si>
  <si>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</si>
  <si>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</si>
  <si>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</si>
  <si>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</si>
  <si>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</si>
  <si>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</si>
  <si>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</si>
  <si>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</si>
  <si>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</si>
  <si>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</si>
  <si>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</si>
  <si>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</si>
  <si>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</si>
  <si>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</si>
  <si>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</si>
  <si>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</si>
  <si>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</si>
  <si>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</si>
  <si>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</si>
  <si>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</si>
  <si>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</si>
  <si>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</si>
  <si>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</si>
  <si>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</si>
  <si>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</si>
  <si>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</si>
  <si>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</si>
  <si>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</si>
  <si>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</si>
  <si>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</si>
  <si>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</si>
  <si>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</si>
  <si>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</si>
  <si>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</si>
  <si>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</si>
  <si>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</si>
  <si>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</si>
  <si>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</si>
  <si>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</si>
  <si>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</si>
  <si>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</si>
  <si>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</si>
  <si>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</si>
  <si>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</si>
  <si>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</si>
  <si>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</si>
  <si>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</si>
  <si>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 (Umari)</t>
  </si>
  <si>
    <t xml:space="preserve">Customer Name : HK Mart </t>
  </si>
  <si>
    <t>Address: Punjab Coprative</t>
  </si>
  <si>
    <t>Customer Name : Husain Store</t>
  </si>
  <si>
    <t xml:space="preserve">Address: Punjab Coprative </t>
  </si>
  <si>
    <t>Customer Name : Punjab Store</t>
  </si>
  <si>
    <t>6925517-8</t>
  </si>
  <si>
    <t>Customer Name : Malik Store</t>
  </si>
  <si>
    <t>8561011-5</t>
  </si>
  <si>
    <t>Customer Name : TK Store</t>
  </si>
  <si>
    <t xml:space="preserve">Customer Name : Urban Mart </t>
  </si>
  <si>
    <t>5504813-8</t>
  </si>
  <si>
    <t>Customer Name : Imran Karayana Stoe</t>
  </si>
  <si>
    <t>Address: Ghazi Road</t>
  </si>
  <si>
    <t>Customer Name : Ravi Stoer</t>
  </si>
  <si>
    <t>Address: Shokat Chowk Ghazi |Road</t>
  </si>
  <si>
    <t>Customer Name : Dua Book &amp; GS</t>
  </si>
  <si>
    <t>Address: Ghazi Road Hamza chowk</t>
  </si>
  <si>
    <t>Customer Name : Muhammad Sultan GS</t>
  </si>
  <si>
    <t xml:space="preserve">Address: Shokat Town Hamza Chowk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</si>
</sst>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18" sqref="H1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0" zoomScale="70" zoomScaleNormal="70" workbookViewId="0">
      <selection activeCell="V22" sqref="V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120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121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HK Mart </v>
      </c>
      <c r="U14" s="164">
        <f>+'1'!P35</f>
        <v>5079.8754471750008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Husain Store</v>
      </c>
      <c r="U15" s="164">
        <f>+'2'!P35</f>
        <v>3299.7398682000003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95</v>
      </c>
      <c r="I16" s="1">
        <f>(G16*D16)*F16+H16*F16</f>
        <v>4983.9375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73.447500000000005</v>
      </c>
      <c r="L16" s="175">
        <f>+'1'!L16+'2'!L16+'4'!L16+'3'!L16+'5'!L16+'6'!L16+'7'!L16+'8'!L16+'9'!L16+'10'!L16</f>
        <v>398.71499999999997</v>
      </c>
      <c r="M16" s="106">
        <f>I16-K16-L16</f>
        <v>4511.7749999999996</v>
      </c>
      <c r="N16" s="101">
        <f>+'1'!N16+'2'!N16+'4'!N16+'3'!N16+'5'!N16+'6'!N16+'7'!N16+'8'!N16+'9'!N16+'10'!N16</f>
        <v>992.59050000000002</v>
      </c>
      <c r="O16" s="101">
        <f>+'1'!O16+'2'!O16+'4'!O16+'3'!O16+'5'!O16+'6'!O16+'7'!O16+'8'!O16+'9'!O16+'10'!O16</f>
        <v>27.521827500000001</v>
      </c>
      <c r="P16" s="105">
        <f t="shared" ref="P16:P24" si="0">M16+N16+O16</f>
        <v>5531.8873274999996</v>
      </c>
      <c r="Q16" s="108"/>
      <c r="T16" s="163" t="str">
        <f>+'3'!A5</f>
        <v>Customer Name : Punjab Store</v>
      </c>
      <c r="U16" s="164">
        <f>+'3'!P35</f>
        <v>18296.938022399998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75</v>
      </c>
      <c r="I17" s="1">
        <f t="shared" ref="I17:I23" si="1">(G17*D17)*F17+H17*F17</f>
        <v>3934.6875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36.723750000000003</v>
      </c>
      <c r="L17" s="175">
        <f>+'1'!L17+'2'!L17+'4'!L17+'3'!L17+'5'!L17+'6'!L17+'7'!L17+'8'!L17+'9'!L17+'10'!L17</f>
        <v>314.77499999999998</v>
      </c>
      <c r="M17" s="118">
        <f t="shared" ref="M17:M23" si="2">I17-K17-L17</f>
        <v>3583.1887499999998</v>
      </c>
      <c r="N17" s="101">
        <f>+'1'!N17+'2'!N17+'4'!N17+'3'!N17+'5'!N17+'6'!N17+'7'!N17+'8'!N17+'9'!N17+'10'!N17</f>
        <v>788.30152500000008</v>
      </c>
      <c r="O17" s="101">
        <f>+'1'!O17+'2'!O17+'4'!O17+'3'!O17+'5'!O17+'6'!O17+'7'!O17+'8'!O17+'9'!O17+'10'!O17</f>
        <v>21.857451374999997</v>
      </c>
      <c r="P17" s="120">
        <f t="shared" si="0"/>
        <v>4393.3477263750001</v>
      </c>
      <c r="S17" s="64"/>
      <c r="T17" s="163" t="str">
        <f>+'4'!A5</f>
        <v>Customer Name : Malik Store</v>
      </c>
      <c r="U17" s="164">
        <f>+'4'!P35</f>
        <v>2215.4639989500001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TK Store</v>
      </c>
      <c r="U18" s="164">
        <f>+'5'!P35</f>
        <v>1474.8982502399999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218</v>
      </c>
      <c r="I19" s="1">
        <f t="shared" si="1"/>
        <v>15835.52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203.39200000000002</v>
      </c>
      <c r="L19" s="175">
        <f>+'1'!L19+'2'!L19+'4'!L19+'3'!L19+'5'!L19+'6'!L19+'7'!L19+'8'!L19+'9'!L19+'10'!L19</f>
        <v>1266.8416000000002</v>
      </c>
      <c r="M19" s="118">
        <f t="shared" si="2"/>
        <v>14365.286400000001</v>
      </c>
      <c r="N19" s="101">
        <f>+'1'!N19+'2'!N19+'4'!N19+'3'!N19+'5'!N19+'6'!N19+'7'!N19+'8'!N19+'9'!N19+'10'!N19</f>
        <v>2954.6465280000002</v>
      </c>
      <c r="O19" s="101">
        <f>+'1'!O19+'2'!O19+'4'!O19+'3'!O19+'5'!O19+'6'!O19+'7'!O19+'8'!O19+'9'!O19+'10'!O19</f>
        <v>236.61695488000001</v>
      </c>
      <c r="P19" s="120">
        <f t="shared" si="0"/>
        <v>17556.549882880001</v>
      </c>
      <c r="T19" s="163" t="str">
        <f>+'6'!A5</f>
        <v xml:space="preserve">Customer Name : Urban Mart </v>
      </c>
      <c r="U19" s="164">
        <f>+'6'!P35</f>
        <v>16327.377815400003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138</v>
      </c>
      <c r="I20" s="1">
        <f t="shared" si="1"/>
        <v>10024.32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203.39200000000002</v>
      </c>
      <c r="L20" s="175">
        <f>+'1'!L20+'2'!L20+'4'!L20+'3'!L20+'5'!L20+'6'!L20+'7'!L20+'8'!L20+'9'!L20+'10'!L20</f>
        <v>801.94560000000001</v>
      </c>
      <c r="M20" s="118">
        <f t="shared" si="2"/>
        <v>9018.9824000000008</v>
      </c>
      <c r="N20" s="101">
        <f>+'1'!N20+'2'!N20+'4'!N20+'3'!N20+'5'!N20+'6'!N20+'7'!N20+'8'!N20+'9'!N20+'10'!N20</f>
        <v>1778.459648</v>
      </c>
      <c r="O20" s="101">
        <f>+'1'!O20+'2'!O20+'4'!O20+'3'!O20+'5'!O20+'6'!O20+'7'!O20+'8'!O20+'9'!O20+'10'!O20</f>
        <v>73.554682880000001</v>
      </c>
      <c r="P20" s="120">
        <f t="shared" si="0"/>
        <v>10870.996730880001</v>
      </c>
      <c r="T20" s="163" t="str">
        <f>+'7'!A5</f>
        <v>Customer Name : Imran Karayana Stoe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138</v>
      </c>
      <c r="I21" s="1">
        <f t="shared" si="1"/>
        <v>10024.32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203.39200000000002</v>
      </c>
      <c r="L21" s="175">
        <f>+'1'!L21+'2'!L21+'4'!L21+'3'!L21+'5'!L21+'6'!L21+'7'!L21+'8'!L21+'9'!L21+'10'!L21</f>
        <v>801.94560000000001</v>
      </c>
      <c r="M21" s="118">
        <f t="shared" si="2"/>
        <v>9018.9824000000008</v>
      </c>
      <c r="N21" s="101">
        <f>+'1'!N21+'2'!N21+'4'!N21+'3'!N21+'5'!N21+'6'!N21+'7'!N21+'8'!N21+'9'!N21+'10'!N21</f>
        <v>1778.459648</v>
      </c>
      <c r="O21" s="101">
        <f>+'1'!O21+'2'!O21+'4'!O21+'3'!O21+'5'!O21+'6'!O21+'7'!O21+'8'!O21+'9'!O21+'10'!O21</f>
        <v>73.554682880000001</v>
      </c>
      <c r="P21" s="120">
        <f t="shared" si="0"/>
        <v>10870.996730880001</v>
      </c>
      <c r="T21" s="163" t="str">
        <f>+'8'!A5</f>
        <v>Customer Name : Ravi Stoer</v>
      </c>
      <c r="U21" s="164">
        <f>+'8'!P35</f>
        <v>1504.2494592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182</v>
      </c>
      <c r="I22" s="1">
        <f t="shared" si="1"/>
        <v>7139.8600000000006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249.89510000000007</v>
      </c>
      <c r="L22" s="175">
        <f>+'1'!L22+'2'!L22+'4'!L22+'3'!L22+'5'!L22+'6'!L22+'7'!L22+'8'!L22+'9'!L22+'10'!L22</f>
        <v>435.45300000000015</v>
      </c>
      <c r="M22" s="118">
        <f t="shared" si="2"/>
        <v>6454.5119000000004</v>
      </c>
      <c r="N22" s="101">
        <f>+'1'!N22+'2'!N22+'4'!N22+'3'!N22+'5'!N22+'6'!N22+'7'!N22+'8'!N22+'9'!N22+'10'!N22</f>
        <v>1419.992618</v>
      </c>
      <c r="O22" s="101">
        <f>+'1'!O22+'2'!O22+'4'!O22+'3'!O22+'5'!O22+'6'!O22+'7'!O22+'8'!O22+'9'!O22+'10'!O22</f>
        <v>119.95062875000002</v>
      </c>
      <c r="P22" s="120">
        <f t="shared" si="0"/>
        <v>7994.4551467500005</v>
      </c>
      <c r="T22" s="163" t="str">
        <f>+'9'!A5</f>
        <v>Customer Name : Dua Book &amp; GS</v>
      </c>
      <c r="U22" s="164">
        <f>+'9'!P35</f>
        <v>3881.4236986999999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Muhammad Sultan GS</v>
      </c>
      <c r="U23" s="164">
        <f>+'10'!P35</f>
        <v>5138.2669850000002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21.15</v>
      </c>
      <c r="D25" s="215"/>
      <c r="E25" s="215"/>
      <c r="F25" s="215"/>
      <c r="G25" s="176">
        <f t="shared" ref="G25:M25" si="3">SUM(G16:G24)</f>
        <v>0</v>
      </c>
      <c r="H25" s="177">
        <f t="shared" si="3"/>
        <v>846</v>
      </c>
      <c r="I25" s="178">
        <f t="shared" si="3"/>
        <v>51942.644999999997</v>
      </c>
      <c r="J25" s="177">
        <f t="shared" si="3"/>
        <v>0</v>
      </c>
      <c r="K25" s="178">
        <f t="shared" si="3"/>
        <v>970.24235000000022</v>
      </c>
      <c r="L25" s="179">
        <f t="shared" si="3"/>
        <v>4019.6758000000004</v>
      </c>
      <c r="M25" s="141">
        <f t="shared" si="3"/>
        <v>46952.726849999999</v>
      </c>
      <c r="N25" s="142">
        <f>SUM(N16:N24)</f>
        <v>9712.4504670000006</v>
      </c>
      <c r="O25" s="143">
        <f>SUM(O16:O24)</f>
        <v>553.05622826500007</v>
      </c>
      <c r="P25" s="144">
        <f>SUM(P16:P24)</f>
        <v>57218.233545265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57218.233545265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51942.644999999997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4019.6758000000004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970.24235000000022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46952.726849999999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9712.4504670000006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56665.177317000001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1416.6294329250002</v>
      </c>
    </row>
    <row r="43" spans="1:21" ht="15.75" customHeight="1" thickBot="1" x14ac:dyDescent="0.4">
      <c r="N43" s="213" t="s">
        <v>92</v>
      </c>
      <c r="O43" s="214"/>
      <c r="P43" s="160">
        <f>P41+P42</f>
        <v>58081.806749925003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26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>
        <v>7191091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408.57795000000004</v>
      </c>
      <c r="O16" s="107">
        <f t="shared" ref="O16:O24" si="1">(N16+M16)*$O$15</f>
        <v>11.328752250000001</v>
      </c>
      <c r="P16" s="105">
        <f t="shared" ref="P16:P24" si="2">M16+N16+O16</f>
        <v>2277.07920225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3">(G17*D17)*F17+H17*F17</f>
        <v>1049.25</v>
      </c>
      <c r="J17" s="117"/>
      <c r="K17" s="104">
        <f t="shared" ref="K17:K21" si="4">I17*3.5%</f>
        <v>36.723750000000003</v>
      </c>
      <c r="L17" s="105">
        <f t="shared" ref="L17:L21" si="5">I17*8%</f>
        <v>83.94</v>
      </c>
      <c r="M17" s="118">
        <f t="shared" ref="M17:M23" si="6">I17-K17-L17</f>
        <v>928.58625000000006</v>
      </c>
      <c r="N17" s="118">
        <f t="shared" si="0"/>
        <v>204.28897500000002</v>
      </c>
      <c r="O17" s="119">
        <f t="shared" si="1"/>
        <v>5.6643761250000004</v>
      </c>
      <c r="P17" s="120">
        <f t="shared" si="2"/>
        <v>1138.539601125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6"/>
        <v>1357.3580000000002</v>
      </c>
      <c r="N22" s="118">
        <f t="shared" si="0"/>
        <v>298.61876000000007</v>
      </c>
      <c r="O22" s="119">
        <f t="shared" si="1"/>
        <v>8.2798838000000021</v>
      </c>
      <c r="P22" s="120">
        <f t="shared" si="2"/>
        <v>1664.2566438000003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100</v>
      </c>
      <c r="I25" s="137">
        <f t="shared" si="13"/>
        <v>4716.9500000000007</v>
      </c>
      <c r="J25" s="138"/>
      <c r="K25" s="139">
        <f t="shared" si="13"/>
        <v>165.09325000000001</v>
      </c>
      <c r="L25" s="140">
        <f t="shared" si="13"/>
        <v>408.74</v>
      </c>
      <c r="M25" s="141">
        <f t="shared" si="13"/>
        <v>4143.1167500000001</v>
      </c>
      <c r="N25" s="142">
        <f>SUM(N16:N24)</f>
        <v>911.4856850000001</v>
      </c>
      <c r="O25" s="143">
        <f>SUM(O16:O24)</f>
        <v>25.273012175000005</v>
      </c>
      <c r="P25" s="144">
        <f>SUM(P16:P24)</f>
        <v>5079.8754471749999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4716.9500000000007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408.74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165.09325000000001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4143.116750000001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911.4856850000001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5054.6024350000007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25.273012175000005</v>
      </c>
    </row>
    <row r="35" spans="2:16" ht="15.75" customHeight="1" thickBot="1" x14ac:dyDescent="0.4">
      <c r="N35" s="213" t="s">
        <v>92</v>
      </c>
      <c r="O35" s="214"/>
      <c r="P35" s="160">
        <f>P33+P34</f>
        <v>5079.8754471750008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124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125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88.214016000000001</v>
      </c>
      <c r="O19" s="119">
        <f t="shared" si="6"/>
        <v>12.229670400000002</v>
      </c>
      <c r="P19" s="120">
        <f t="shared" si="1"/>
        <v>501.4164864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88.214016000000001</v>
      </c>
      <c r="O20" s="119">
        <f t="shared" si="6"/>
        <v>12.229670400000002</v>
      </c>
      <c r="P20" s="120">
        <f t="shared" si="1"/>
        <v>501.4164864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12.229670400000002</v>
      </c>
      <c r="P21" s="120">
        <f t="shared" si="1"/>
        <v>501.4164864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58</v>
      </c>
      <c r="I25" s="137">
        <f t="shared" si="9"/>
        <v>2876.7200000000003</v>
      </c>
      <c r="J25" s="138"/>
      <c r="K25" s="139">
        <f t="shared" si="9"/>
        <v>54.922000000000011</v>
      </c>
      <c r="L25" s="140">
        <f t="shared" si="9"/>
        <v>183.06160000000006</v>
      </c>
      <c r="M25" s="141">
        <f t="shared" si="9"/>
        <v>2638.7364000000002</v>
      </c>
      <c r="N25" s="142">
        <f>SUM(N16:N24)</f>
        <v>580.52200800000003</v>
      </c>
      <c r="O25" s="143">
        <f>SUM(O16:O24)</f>
        <v>80.481460200000015</v>
      </c>
      <c r="P25" s="144">
        <f>SUM(P16:P24)</f>
        <v>3299.7398682000003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2876.7200000000003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183.06160000000006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54.922000000000011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2638.7364000000002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580.52200800000003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3219.2584080000001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80.481460200000015</v>
      </c>
    </row>
    <row r="35" spans="2:16" ht="15.75" customHeight="1" thickBot="1" x14ac:dyDescent="0.4">
      <c r="N35" s="213" t="s">
        <v>92</v>
      </c>
      <c r="O35" s="214"/>
      <c r="P35" s="160">
        <f>P33+P34</f>
        <v>3299.7398682000003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F7" sqref="F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126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127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9" t="s">
        <v>127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4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04">
        <f t="shared" si="3"/>
        <v>203.39200000000002</v>
      </c>
      <c r="L19" s="105">
        <f t="shared" si="4"/>
        <v>464.89600000000002</v>
      </c>
      <c r="M19" s="118">
        <f t="shared" si="5"/>
        <v>5142.9120000000003</v>
      </c>
      <c r="N19" s="118">
        <f t="shared" si="0"/>
        <v>925.72415999999998</v>
      </c>
      <c r="O19" s="119">
        <f t="shared" si="6"/>
        <v>30.343180799999999</v>
      </c>
      <c r="P19" s="120">
        <f t="shared" si="1"/>
        <v>6098.9793407999996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2"/>
        <v>5811.2</v>
      </c>
      <c r="J20" s="117"/>
      <c r="K20" s="104">
        <f t="shared" si="3"/>
        <v>203.39200000000002</v>
      </c>
      <c r="L20" s="105">
        <f t="shared" si="4"/>
        <v>464.89600000000002</v>
      </c>
      <c r="M20" s="118">
        <f t="shared" si="5"/>
        <v>5142.9120000000003</v>
      </c>
      <c r="N20" s="118">
        <f t="shared" si="0"/>
        <v>925.72415999999998</v>
      </c>
      <c r="O20" s="119">
        <f t="shared" si="6"/>
        <v>30.343180799999999</v>
      </c>
      <c r="P20" s="120">
        <f t="shared" si="1"/>
        <v>6098.9793407999996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04">
        <f t="shared" si="3"/>
        <v>203.39200000000002</v>
      </c>
      <c r="L21" s="105">
        <f t="shared" si="4"/>
        <v>464.89600000000002</v>
      </c>
      <c r="M21" s="118">
        <f t="shared" si="5"/>
        <v>5142.9120000000003</v>
      </c>
      <c r="N21" s="118">
        <f t="shared" si="0"/>
        <v>925.72415999999998</v>
      </c>
      <c r="O21" s="119">
        <f t="shared" si="6"/>
        <v>30.343180799999999</v>
      </c>
      <c r="P21" s="120">
        <f t="shared" si="1"/>
        <v>6098.9793407999996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04">
        <f t="shared" si="3"/>
        <v>0</v>
      </c>
      <c r="L23" s="120">
        <f t="shared" ref="L23:L24" si="7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04">
        <f t="shared" si="3"/>
        <v>0</v>
      </c>
      <c r="L24" s="132">
        <f t="shared" si="7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8">SUM(G16:G24)</f>
        <v>0</v>
      </c>
      <c r="H25" s="136">
        <f t="shared" si="8"/>
        <v>240</v>
      </c>
      <c r="I25" s="137">
        <f t="shared" si="8"/>
        <v>17433.599999999999</v>
      </c>
      <c r="J25" s="138"/>
      <c r="K25" s="139">
        <f t="shared" si="8"/>
        <v>610.17600000000004</v>
      </c>
      <c r="L25" s="140">
        <f t="shared" si="8"/>
        <v>1394.6880000000001</v>
      </c>
      <c r="M25" s="141">
        <f t="shared" si="8"/>
        <v>15428.736000000001</v>
      </c>
      <c r="N25" s="142">
        <f>SUM(N16:N24)</f>
        <v>2777.1724800000002</v>
      </c>
      <c r="O25" s="143">
        <f>SUM(O16:O24)</f>
        <v>91.029542399999997</v>
      </c>
      <c r="P25" s="144">
        <f>SUM(P16:P24)</f>
        <v>18296.938022399998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17433.599999999999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1394.6880000000001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610.17600000000004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15428.735999999999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2777.1724800000002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18205.908479999998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91.029542399999997</v>
      </c>
    </row>
    <row r="35" spans="2:16" ht="15.75" customHeight="1" thickBot="1" x14ac:dyDescent="0.4">
      <c r="N35" s="213" t="s">
        <v>92</v>
      </c>
      <c r="O35" s="214"/>
      <c r="P35" s="160">
        <f>P33+P34</f>
        <v>18296.938022399998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128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129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159.27615</v>
      </c>
      <c r="O16" s="107">
        <f>(N16+M16)*$O$15</f>
        <v>4.4162932499999998</v>
      </c>
      <c r="P16" s="105">
        <f t="shared" ref="P16:P24" si="1">M16+N16+O16</f>
        <v>887.67494324999996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15</v>
      </c>
      <c r="I17" s="116">
        <f t="shared" ref="I17:I23" si="2">(G17*D17)*F17+H17*F17</f>
        <v>786.9375</v>
      </c>
      <c r="J17" s="117"/>
      <c r="K17" s="1">
        <f t="shared" ref="K17:K21" si="3">I17*$K$13</f>
        <v>0</v>
      </c>
      <c r="L17" s="105">
        <f t="shared" ref="L17:L21" si="4">I17*8%</f>
        <v>62.954999999999998</v>
      </c>
      <c r="M17" s="118">
        <f t="shared" ref="M17:M23" si="5">I17-K17-L17</f>
        <v>723.98249999999996</v>
      </c>
      <c r="N17" s="118">
        <f t="shared" si="0"/>
        <v>159.27615</v>
      </c>
      <c r="O17" s="119">
        <f t="shared" ref="O17:O24" si="6">(N17+M17)*$O$15</f>
        <v>4.4162932499999998</v>
      </c>
      <c r="P17" s="120">
        <f t="shared" si="1"/>
        <v>887.67494324999996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2.1896224500000003</v>
      </c>
      <c r="P22" s="120">
        <f t="shared" si="1"/>
        <v>440.11411245000005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1966.1750000000002</v>
      </c>
      <c r="J25" s="138"/>
      <c r="K25" s="139">
        <f t="shared" si="9"/>
        <v>13.730500000000003</v>
      </c>
      <c r="L25" s="140">
        <f t="shared" si="9"/>
        <v>145.52500000000001</v>
      </c>
      <c r="M25" s="141">
        <f t="shared" si="9"/>
        <v>1806.9195</v>
      </c>
      <c r="N25" s="142">
        <f>SUM(N16:N24)</f>
        <v>397.52229</v>
      </c>
      <c r="O25" s="143">
        <f>SUM(O16:O24)</f>
        <v>11.02220895</v>
      </c>
      <c r="P25" s="144">
        <f>SUM(P16:P24)</f>
        <v>2215.4639989500001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1966.1750000000002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145.52500000000001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13.730500000000003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1806.9195000000002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397.52229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2204.4417900000003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11.022208950000001</v>
      </c>
    </row>
    <row r="35" spans="2:16" ht="15.75" customHeight="1" thickBot="1" x14ac:dyDescent="0.4">
      <c r="N35" s="213" t="s">
        <v>92</v>
      </c>
      <c r="O35" s="214"/>
      <c r="P35" s="160">
        <f>P33+P34</f>
        <v>2215.4639989500001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130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125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3330273999473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88.214016000000001</v>
      </c>
      <c r="O19" s="119">
        <f t="shared" si="6"/>
        <v>2.4459340800000002</v>
      </c>
      <c r="P19" s="120">
        <f t="shared" si="1"/>
        <v>491.63275007999999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88.214016000000001</v>
      </c>
      <c r="O20" s="119">
        <f t="shared" si="6"/>
        <v>2.4459340800000002</v>
      </c>
      <c r="P20" s="120">
        <f t="shared" si="1"/>
        <v>491.63275007999999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2.4459340800000002</v>
      </c>
      <c r="P21" s="120">
        <f t="shared" si="1"/>
        <v>491.63275007999999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18</v>
      </c>
      <c r="I25" s="137">
        <f t="shared" si="9"/>
        <v>1307.52</v>
      </c>
      <c r="J25" s="138"/>
      <c r="K25" s="139">
        <f t="shared" si="9"/>
        <v>0</v>
      </c>
      <c r="L25" s="140">
        <f t="shared" si="9"/>
        <v>104.60160000000002</v>
      </c>
      <c r="M25" s="141">
        <f t="shared" si="9"/>
        <v>1202.9184</v>
      </c>
      <c r="N25" s="142">
        <f>SUM(N16:N24)</f>
        <v>264.64204799999999</v>
      </c>
      <c r="O25" s="143">
        <f>SUM(O16:O24)</f>
        <v>7.3378022400000003</v>
      </c>
      <c r="P25" s="144">
        <f>SUM(P16:P24)</f>
        <v>1474.8982502399999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1307.52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104.60160000000002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1202.9184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264.64204799999999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1467.560448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7.3378022400000003</v>
      </c>
    </row>
    <row r="35" spans="2:16" ht="15.75" customHeight="1" thickBot="1" x14ac:dyDescent="0.4">
      <c r="N35" s="213" t="s">
        <v>92</v>
      </c>
      <c r="O35" s="214"/>
      <c r="P35" s="160">
        <f>P33+P34</f>
        <v>1474.8982502399999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132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424.7364</v>
      </c>
      <c r="O16" s="107">
        <f>(N16+M16)*$O$15</f>
        <v>11.776781999999999</v>
      </c>
      <c r="P16" s="105">
        <f t="shared" ref="P16:P24" si="1">M16+N16+O16</f>
        <v>2367.1331819999996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424.7364</v>
      </c>
      <c r="O17" s="119">
        <f t="shared" ref="O17:O24" si="6">(N17+M17)*$O$15</f>
        <v>11.776781999999999</v>
      </c>
      <c r="P17" s="120">
        <f t="shared" si="1"/>
        <v>2367.1331819999996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588.09343999999999</v>
      </c>
      <c r="O19" s="119">
        <f t="shared" si="6"/>
        <v>16.306227200000002</v>
      </c>
      <c r="P19" s="120">
        <f t="shared" si="1"/>
        <v>3277.5516672000003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588.09343999999999</v>
      </c>
      <c r="O20" s="119">
        <f t="shared" si="6"/>
        <v>16.306227200000002</v>
      </c>
      <c r="P20" s="120">
        <f t="shared" si="1"/>
        <v>3277.5516672000003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588.09343999999999</v>
      </c>
      <c r="O21" s="119">
        <f t="shared" si="6"/>
        <v>16.306227200000002</v>
      </c>
      <c r="P21" s="120">
        <f t="shared" si="1"/>
        <v>3277.5516672000003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240</v>
      </c>
      <c r="I25" s="137">
        <f t="shared" si="9"/>
        <v>14483.000000000002</v>
      </c>
      <c r="J25" s="138"/>
      <c r="K25" s="139">
        <f t="shared" si="9"/>
        <v>54.922000000000011</v>
      </c>
      <c r="L25" s="140">
        <f t="shared" si="9"/>
        <v>1111.5640000000001</v>
      </c>
      <c r="M25" s="141">
        <f t="shared" si="9"/>
        <v>13316.513999999999</v>
      </c>
      <c r="N25" s="142">
        <f>SUM(N16:N24)</f>
        <v>2929.6330800000005</v>
      </c>
      <c r="O25" s="143">
        <f>SUM(O16:O24)</f>
        <v>81.230735400000015</v>
      </c>
      <c r="P25" s="144">
        <f>SUM(P16:P24)</f>
        <v>16327.377815399999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14483.000000000002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1111.5640000000001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54.922000000000011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13316.514000000001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2929.6330800000005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16246.147080000002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81.230735400000015</v>
      </c>
    </row>
    <row r="35" spans="2:16" ht="15.75" customHeight="1" thickBot="1" x14ac:dyDescent="0.4">
      <c r="N35" s="213" t="s">
        <v>92</v>
      </c>
      <c r="O35" s="214"/>
      <c r="P35" s="160">
        <f>P33+P34</f>
        <v>16327.377815400003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1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133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134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136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88.214016000000001</v>
      </c>
      <c r="O19" s="119">
        <f t="shared" si="6"/>
        <v>12.229670400000002</v>
      </c>
      <c r="P19" s="120">
        <f t="shared" si="1"/>
        <v>501.4164864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88.214016000000001</v>
      </c>
      <c r="O20" s="119">
        <f t="shared" si="6"/>
        <v>12.229670400000002</v>
      </c>
      <c r="P20" s="120">
        <f t="shared" si="1"/>
        <v>501.4164864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12.229670400000002</v>
      </c>
      <c r="P21" s="120">
        <f t="shared" si="1"/>
        <v>501.4164864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18</v>
      </c>
      <c r="I25" s="137">
        <f t="shared" si="9"/>
        <v>1307.52</v>
      </c>
      <c r="J25" s="138"/>
      <c r="K25" s="139">
        <f t="shared" si="9"/>
        <v>0</v>
      </c>
      <c r="L25" s="140">
        <f t="shared" si="9"/>
        <v>104.60160000000002</v>
      </c>
      <c r="M25" s="141">
        <f t="shared" si="9"/>
        <v>1202.9184</v>
      </c>
      <c r="N25" s="142">
        <f>SUM(N16:N24)</f>
        <v>264.64204799999999</v>
      </c>
      <c r="O25" s="143">
        <f>SUM(O16:O24)</f>
        <v>36.689011200000003</v>
      </c>
      <c r="P25" s="144">
        <f>SUM(P16:P24)</f>
        <v>1504.2494592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1307.52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104.60160000000002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1202.9184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264.64204799999999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1467.560448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36.689011200000003</v>
      </c>
    </row>
    <row r="35" spans="2:16" ht="15.75" customHeight="1" thickBot="1" x14ac:dyDescent="0.4">
      <c r="N35" s="213" t="s">
        <v>92</v>
      </c>
      <c r="O35" s="214"/>
      <c r="P35" s="160">
        <f>P33+P34</f>
        <v>1504.2494592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138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588.09343999999999</v>
      </c>
      <c r="O19" s="119">
        <f t="shared" si="6"/>
        <v>81.531136000000004</v>
      </c>
      <c r="P19" s="120">
        <f t="shared" si="1"/>
        <v>3342.7765760000002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52</v>
      </c>
      <c r="I25" s="137">
        <f t="shared" si="9"/>
        <v>3376.36</v>
      </c>
      <c r="J25" s="138"/>
      <c r="K25" s="139">
        <f t="shared" si="9"/>
        <v>16.476600000000005</v>
      </c>
      <c r="L25" s="140">
        <f t="shared" si="9"/>
        <v>255.98600000000002</v>
      </c>
      <c r="M25" s="141">
        <f t="shared" si="9"/>
        <v>3103.8973999999998</v>
      </c>
      <c r="N25" s="142">
        <f>SUM(N16:N24)</f>
        <v>682.85742800000003</v>
      </c>
      <c r="O25" s="143">
        <f>SUM(O16:O24)</f>
        <v>94.668870700000014</v>
      </c>
      <c r="P25" s="144">
        <f>SUM(P16:P24)</f>
        <v>3881.4236987000004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3376.36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255.98600000000002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16.476600000000005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3103.8974000000003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682.85742800000003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3786.7548280000001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94.668870700000014</v>
      </c>
    </row>
    <row r="35" spans="2:16" ht="15.75" customHeight="1" thickBot="1" x14ac:dyDescent="0.4">
      <c r="N35" s="213" t="s">
        <v>92</v>
      </c>
      <c r="O35" s="214"/>
      <c r="P35" s="160">
        <f>P33+P34</f>
        <v>3881.4236986999999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139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140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588.09343999999999</v>
      </c>
      <c r="O19" s="119">
        <f t="shared" si="6"/>
        <v>81.531136000000004</v>
      </c>
      <c r="P19" s="120">
        <f t="shared" si="1"/>
        <v>3342.7765760000002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54.922000000000011</v>
      </c>
      <c r="L25" s="140">
        <f t="shared" si="9"/>
        <v>310.90800000000002</v>
      </c>
      <c r="M25" s="141">
        <f t="shared" si="9"/>
        <v>4108.97</v>
      </c>
      <c r="N25" s="142">
        <f>SUM(N16:N24)</f>
        <v>903.97340000000008</v>
      </c>
      <c r="O25" s="143">
        <f>SUM(O16:O24)</f>
        <v>125.32358500000001</v>
      </c>
      <c r="P25" s="144">
        <f>SUM(P16:P24)</f>
        <v>5138.2669850000002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4474.8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310.90800000000002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54.922000000000011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4108.97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903.97340000000008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5012.9434000000001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125.32358500000001</v>
      </c>
    </row>
    <row r="35" spans="2:16" ht="15.75" customHeight="1" thickBot="1" x14ac:dyDescent="0.4">
      <c r="N35" s="213" t="s">
        <v>92</v>
      </c>
      <c r="O35" s="214"/>
      <c r="P35" s="160">
        <f>P33+P34</f>
        <v>5138.2669850000002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2026-07-06T07:09:13Z</dcterms:modified>
</cp:coreProperties>
</file>