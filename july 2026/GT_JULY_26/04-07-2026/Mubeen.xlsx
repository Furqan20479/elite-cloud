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A43C73F0-6A95-4BFC-83B7-77A5553870C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4" l="1"/>
  <c r="L24" i="17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P23" i="22" s="1"/>
  <c r="L21" i="16"/>
  <c r="L21" i="15" s="1"/>
  <c r="K21" i="16"/>
  <c r="K25" i="19"/>
  <c r="P30" i="19" s="1"/>
  <c r="P31" i="19" s="1"/>
  <c r="K22" i="16"/>
  <c r="L22" i="16"/>
  <c r="L22" i="15" s="1"/>
  <c r="L19" i="16"/>
  <c r="K19" i="16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1" i="15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O22" i="16" l="1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<sst xmlns="http://schemas.openxmlformats.org/spreadsheetml/2006/main" count="1636" uniqueCount="138">
  <si>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</si>
  <si>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</si>
  <si>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</si>
  <si>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</si>
  <si>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</si>
  <si>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</si>
  <si>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</si>
  <si>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</si>
  <si>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</si>
  <si>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</si>
  <si>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</si>
  <si>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</si>
  <si>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</si>
  <si>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</si>
  <si>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</si>
  <si>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</si>
  <si>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</si>
  <si>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</si>
  <si>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</si>
  <si>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</si>
  <si>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</si>
  <si>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</si>
  <si>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</si>
  <si>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</si>
  <si>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</si>
  <si>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</si>
  <si>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</si>
  <si>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</si>
  <si>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</si>
  <si>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</si>
  <si>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</si>
  <si>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</si>
  <si>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</si>
  <si>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</si>
  <si>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</si>
  <si>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</si>
  <si>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</si>
  <si>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</si>
  <si>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</si>
  <si>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</si>
  <si>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</si>
  <si>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</si>
  <si>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</si>
  <si>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</si>
  <si>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</si>
  <si>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</si>
  <si>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</si>
  <si>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</si>
  <si>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</si>
  <si>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</si>
  <si>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</si>
  <si>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</si>
  <si>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</si>
  <si>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</si>
  <si>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</si>
  <si>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</si>
  <si>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</si>
  <si>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</si>
  <si>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</si>
  <si>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</si>
  <si>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</si>
  <si>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</si>
  <si>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</si>
  <si>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</si>
  <si>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</si>
  <si>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</si>
  <si>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</si>
  <si>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</si>
  <si>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</si>
  <si>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</si>
  <si>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</si>
  <si>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</si>
  <si>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</si>
  <si>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</si>
  <si>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</si>
  <si>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</si>
  <si>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</si>
  <si>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</si>
  <si>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</si>
  <si>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</si>
  <si>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</si>
  <si>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</si>
  <si>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</si>
  <si>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</si>
  <si>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</si>
  <si>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</si>
  <si>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</si>
  <si>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</si>
  <si>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</si>
  <si>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</si>
  <si>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</si>
  <si>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</si>
  <si>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</si>
  <si>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</si>
  <si>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</si>
  <si>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</si>
  <si>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</si>
  <si>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</si>
  <si>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</si>
  <si>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</si>
  <si>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</si>
  <si>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</si>
  <si>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</si>
  <si>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</si>
  <si>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</si>
  <si>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</si>
  <si>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</si>
  <si>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</si>
  <si>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</si>
  <si>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</si>
  <si>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</si>
  <si>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</si>
  <si>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</si>
  <si>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</si>
  <si>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</si>
  <si>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</si>
  <si>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</si>
  <si>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</si>
  <si>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</si>
  <si>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</si>
  <si>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(Mubeen)</t>
  </si>
  <si>
    <t>Mubeen</t>
  </si>
  <si>
    <t>Customer Name : Shalimar Store</t>
  </si>
  <si>
    <t>Address: Saddar</t>
  </si>
  <si>
    <t>Address: saddar</t>
  </si>
  <si>
    <t xml:space="preserve">Customer Name : Sitara Bakers </t>
  </si>
  <si>
    <t>Customer Name : Chalet Store</t>
  </si>
  <si>
    <t>Address: Askari Market saddar</t>
  </si>
  <si>
    <t>74112515-3</t>
  </si>
  <si>
    <t>Customer Name : Askari Walfair Store</t>
  </si>
  <si>
    <t>4119712-7</t>
  </si>
  <si>
    <t>Customer Name : United Store</t>
  </si>
  <si>
    <t>Address: Askari 9</t>
  </si>
  <si>
    <t>331054413451-5</t>
  </si>
  <si>
    <t>Customer Name : Classic Store</t>
  </si>
  <si>
    <t>Customer Name : Askari Store</t>
  </si>
  <si>
    <t>Customer Name : Cant Medical Store</t>
  </si>
  <si>
    <t xml:space="preserve">Customer Name : Shaheen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</si>
</sst>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3" zoomScale="70" zoomScaleNormal="70" workbookViewId="0">
      <selection activeCell="U22" sqref="U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121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Shalimar Store</v>
      </c>
      <c r="U14" s="164">
        <f>+'1'!P35</f>
        <v>12197.958681599999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Sitara Bakers </v>
      </c>
      <c r="U15" s="164">
        <f>+'2'!P35</f>
        <v>3277.5516672000003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74</v>
      </c>
      <c r="I16" s="1">
        <f>(G16*D16)*F16+H16*F16</f>
        <v>3882.2249999999999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310.57799999999997</v>
      </c>
      <c r="M16" s="106">
        <f>I16-K16-L16</f>
        <v>3571.6469999999999</v>
      </c>
      <c r="N16" s="101">
        <f>+'1'!N16+'2'!N16+'4'!N16+'3'!N16+'5'!N16+'6'!N16+'7'!N16+'8'!N16+'9'!N16+'10'!N16</f>
        <v>785.76233999999999</v>
      </c>
      <c r="O16" s="101">
        <f>+'1'!O16+'2'!O16+'4'!O16+'3'!O16+'5'!O16+'6'!O16+'7'!O16+'8'!O16+'9'!O16+'10'!O16</f>
        <v>21.787046699999998</v>
      </c>
      <c r="P16" s="105">
        <f t="shared" ref="P16:P24" si="0">M16+N16+O16</f>
        <v>4379.1963867000004</v>
      </c>
      <c r="Q16" s="108"/>
      <c r="T16" s="163" t="str">
        <f>+'3'!A5</f>
        <v>Customer Name : Chalet Store</v>
      </c>
      <c r="U16" s="164">
        <f>+'3'!P35</f>
        <v>3405.1896580800003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62</v>
      </c>
      <c r="I17" s="1">
        <f t="shared" ref="I17:I23" si="1">(G17*D17)*F17+H17*F17</f>
        <v>3252.6749999999997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260.214</v>
      </c>
      <c r="M17" s="118">
        <f t="shared" ref="M17:M23" si="2">I17-K17-L17</f>
        <v>2992.4609999999998</v>
      </c>
      <c r="N17" s="101">
        <f>+'1'!N17+'2'!N17+'4'!N17+'3'!N17+'5'!N17+'6'!N17+'7'!N17+'8'!N17+'9'!N17+'10'!N17</f>
        <v>658.34141999999997</v>
      </c>
      <c r="O17" s="101">
        <f>+'1'!O17+'2'!O17+'4'!O17+'3'!O17+'5'!O17+'6'!O17+'7'!O17+'8'!O17+'9'!O17+'10'!O17</f>
        <v>18.254012099999997</v>
      </c>
      <c r="P17" s="120">
        <f t="shared" si="0"/>
        <v>3669.0564321000002</v>
      </c>
      <c r="S17" s="64"/>
      <c r="T17" s="163" t="str">
        <f>+'4'!A5</f>
        <v>Customer Name : Askari Walfair Store</v>
      </c>
      <c r="U17" s="164">
        <f>+'4'!P35</f>
        <v>1702.7365662000002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United Store</v>
      </c>
      <c r="U18" s="164">
        <f>+'5'!P35</f>
        <v>2822.3424246000004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82</v>
      </c>
      <c r="I19" s="1">
        <f t="shared" si="1"/>
        <v>5956.4800000000005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476.51839999999999</v>
      </c>
      <c r="M19" s="118">
        <f t="shared" si="2"/>
        <v>5378.2656000000006</v>
      </c>
      <c r="N19" s="101">
        <f>+'1'!N19+'2'!N19+'4'!N19+'3'!N19+'5'!N19+'6'!N19+'7'!N19+'8'!N19+'9'!N19+'10'!N19</f>
        <v>1080.3601920000001</v>
      </c>
      <c r="O19" s="101">
        <f>+'1'!O19+'2'!O19+'4'!O19+'3'!O19+'5'!O19+'6'!O19+'7'!O19+'8'!O19+'9'!O19+'10'!O19</f>
        <v>32.293128960000004</v>
      </c>
      <c r="P19" s="120">
        <f t="shared" si="0"/>
        <v>6490.9189209600008</v>
      </c>
      <c r="T19" s="163" t="str">
        <f>+'6'!A5</f>
        <v>Customer Name : Classic Store</v>
      </c>
      <c r="U19" s="164">
        <f>+'6'!P35</f>
        <v>3441.4292505599997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128</v>
      </c>
      <c r="I20" s="1">
        <f t="shared" si="1"/>
        <v>9297.92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101.69600000000001</v>
      </c>
      <c r="L20" s="175">
        <f>+'1'!L20+'2'!L20+'4'!L20+'3'!L20+'5'!L20+'6'!L20+'7'!L20+'8'!L20+'9'!L20+'10'!L20</f>
        <v>743.83360000000005</v>
      </c>
      <c r="M20" s="118">
        <f t="shared" si="2"/>
        <v>8452.3904000000002</v>
      </c>
      <c r="N20" s="101">
        <f>+'1'!N20+'2'!N20+'4'!N20+'3'!N20+'5'!N20+'6'!N20+'7'!N20+'8'!N20+'9'!N20+'10'!N20</f>
        <v>1756.6676479999999</v>
      </c>
      <c r="O20" s="101">
        <f>+'1'!O20+'2'!O20+'4'!O20+'3'!O20+'5'!O20+'6'!O20+'7'!O20+'8'!O20+'9'!O20+'10'!O20</f>
        <v>51.04529024</v>
      </c>
      <c r="P20" s="120">
        <f t="shared" si="0"/>
        <v>10260.10333824</v>
      </c>
      <c r="T20" s="163" t="str">
        <f>+'7'!A5</f>
        <v>Customer Name : Askari Store</v>
      </c>
      <c r="U20" s="164">
        <f>+'7'!P35</f>
        <v>1420.2799091999998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152</v>
      </c>
      <c r="I21" s="1">
        <f t="shared" si="1"/>
        <v>11041.28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203.39200000000002</v>
      </c>
      <c r="L21" s="175">
        <f>+'1'!L21+'2'!L21+'4'!L21+'3'!L21+'5'!L21+'6'!L21+'7'!L21+'8'!L21+'9'!L21+'10'!L21</f>
        <v>883.30240000000003</v>
      </c>
      <c r="M21" s="118">
        <f t="shared" si="2"/>
        <v>9954.5856000000003</v>
      </c>
      <c r="N21" s="101">
        <f>+'1'!N21+'2'!N21+'4'!N21+'3'!N21+'5'!N21+'6'!N21+'7'!N21+'8'!N21+'9'!N21+'10'!N21</f>
        <v>1984.2923519999999</v>
      </c>
      <c r="O21" s="101">
        <f>+'1'!O21+'2'!O21+'4'!O21+'3'!O21+'5'!O21+'6'!O21+'7'!O21+'8'!O21+'9'!O21+'10'!O21</f>
        <v>59.69438976</v>
      </c>
      <c r="P21" s="120">
        <f t="shared" si="0"/>
        <v>11998.57234176</v>
      </c>
      <c r="T21" s="163" t="str">
        <f>+'8'!A5</f>
        <v>Customer Name : Cant Medical Store</v>
      </c>
      <c r="U21" s="164">
        <f>+'8'!P35</f>
        <v>8011.8180312000004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104</v>
      </c>
      <c r="I22" s="1">
        <f t="shared" si="1"/>
        <v>4079.9200000000005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142.79720000000003</v>
      </c>
      <c r="L22" s="175">
        <f>+'1'!L22+'2'!L22+'4'!L22+'3'!L22+'5'!L22+'6'!L22+'7'!L22+'8'!L22+'9'!L22+'10'!L22</f>
        <v>203.99600000000004</v>
      </c>
      <c r="M22" s="118">
        <f t="shared" si="2"/>
        <v>3733.1268000000005</v>
      </c>
      <c r="N22" s="101">
        <f>+'1'!N22+'2'!N22+'4'!N22+'3'!N22+'5'!N22+'6'!N22+'7'!N22+'8'!N22+'9'!N22+'10'!N22</f>
        <v>763.85517600000003</v>
      </c>
      <c r="O22" s="101">
        <f>+'1'!O22+'2'!O22+'4'!O22+'3'!O22+'5'!O22+'6'!O22+'7'!O22+'8'!O22+'9'!O22+'10'!O22</f>
        <v>22.484909880000004</v>
      </c>
      <c r="P22" s="120">
        <f t="shared" si="0"/>
        <v>4519.4668858800005</v>
      </c>
      <c r="T22" s="163" t="str">
        <f>+'9'!A5</f>
        <v xml:space="preserve">Customer Name : Shaheen Bakers </v>
      </c>
      <c r="U22" s="164">
        <f>+'9'!P35</f>
        <v>5038.0081170000003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15.05</v>
      </c>
      <c r="D25" s="215"/>
      <c r="E25" s="215"/>
      <c r="F25" s="215"/>
      <c r="G25" s="176">
        <f t="shared" ref="G25:M25" si="3">SUM(G16:G24)</f>
        <v>0</v>
      </c>
      <c r="H25" s="177">
        <f t="shared" si="3"/>
        <v>602</v>
      </c>
      <c r="I25" s="178">
        <f t="shared" si="3"/>
        <v>37510.5</v>
      </c>
      <c r="J25" s="177">
        <f t="shared" si="3"/>
        <v>0</v>
      </c>
      <c r="K25" s="178">
        <f t="shared" si="3"/>
        <v>549.58120000000008</v>
      </c>
      <c r="L25" s="179">
        <f t="shared" si="3"/>
        <v>2878.4423999999999</v>
      </c>
      <c r="M25" s="141">
        <f t="shared" si="3"/>
        <v>34082.4764</v>
      </c>
      <c r="N25" s="142">
        <f>SUM(N16:N24)</f>
        <v>7029.2791279999992</v>
      </c>
      <c r="O25" s="143">
        <f>SUM(O16:O24)</f>
        <v>205.55877763999999</v>
      </c>
      <c r="P25" s="144">
        <f>SUM(P16:P24)</f>
        <v>41317.31430564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41317.314305639993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37510.5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2878.4423999999999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549.58120000000008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34082.4764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7029.2791279999992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41111.755528000002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1027.7938882000001</v>
      </c>
    </row>
    <row r="43" spans="1:21" ht="15.75" customHeight="1" thickBot="1" x14ac:dyDescent="0.4">
      <c r="N43" s="213" t="s">
        <v>92</v>
      </c>
      <c r="O43" s="214"/>
      <c r="P43" s="160">
        <f>P41+P42</f>
        <v>42139.549416200003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4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3520169931639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75">
        <v>3520169931639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462.86207999999999</v>
      </c>
      <c r="O19" s="119">
        <f t="shared" si="1"/>
        <v>15.171590399999999</v>
      </c>
      <c r="P19" s="120">
        <f t="shared" si="2"/>
        <v>3049.4896703999998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462.86207999999999</v>
      </c>
      <c r="O20" s="119">
        <f t="shared" si="1"/>
        <v>15.171590399999999</v>
      </c>
      <c r="P20" s="120">
        <f t="shared" si="2"/>
        <v>3049.4896703999998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3"/>
        <v>5811.2</v>
      </c>
      <c r="J21" s="117"/>
      <c r="K21" s="104">
        <f t="shared" si="4"/>
        <v>203.39200000000002</v>
      </c>
      <c r="L21" s="105">
        <f t="shared" si="5"/>
        <v>464.89600000000002</v>
      </c>
      <c r="M21" s="118">
        <f t="shared" si="6"/>
        <v>5142.9120000000003</v>
      </c>
      <c r="N21" s="118">
        <f t="shared" si="0"/>
        <v>925.72415999999998</v>
      </c>
      <c r="O21" s="119">
        <f t="shared" si="1"/>
        <v>30.343180799999999</v>
      </c>
      <c r="P21" s="120">
        <f t="shared" si="2"/>
        <v>6098.9793407999996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160</v>
      </c>
      <c r="I25" s="137">
        <f t="shared" si="13"/>
        <v>11622.4</v>
      </c>
      <c r="J25" s="138"/>
      <c r="K25" s="139">
        <f t="shared" si="13"/>
        <v>406.78400000000005</v>
      </c>
      <c r="L25" s="140">
        <f t="shared" si="13"/>
        <v>929.79200000000003</v>
      </c>
      <c r="M25" s="141">
        <f t="shared" si="13"/>
        <v>10285.824000000001</v>
      </c>
      <c r="N25" s="142">
        <f>SUM(N16:N24)</f>
        <v>1851.44832</v>
      </c>
      <c r="O25" s="143">
        <f>SUM(O16:O24)</f>
        <v>60.686361599999998</v>
      </c>
      <c r="P25" s="144">
        <f>SUM(P16:P24)</f>
        <v>12197.958681599999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11622.4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929.79200000000003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406.78400000000005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10285.824000000001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1851.44832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12137.27232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60.686361599999998</v>
      </c>
    </row>
    <row r="35" spans="2:16" ht="15.75" customHeight="1" thickBot="1" x14ac:dyDescent="0.4">
      <c r="N35" s="213" t="s">
        <v>92</v>
      </c>
      <c r="O35" s="214"/>
      <c r="P35" s="160">
        <f>P33+P34</f>
        <v>12197.958681599999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124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2161460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588.09343999999999</v>
      </c>
      <c r="O25" s="143">
        <f>SUM(O16:O24)</f>
        <v>16.306227200000002</v>
      </c>
      <c r="P25" s="144">
        <f>SUM(P16:P24)</f>
        <v>3277.5516671999999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232.44799999999998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2673.152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588.09343999999999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3261.2454400000001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16.306227200000002</v>
      </c>
    </row>
    <row r="35" spans="2:16" ht="15.75" customHeight="1" thickBot="1" x14ac:dyDescent="0.4">
      <c r="N35" s="213" t="s">
        <v>92</v>
      </c>
      <c r="O35" s="214"/>
      <c r="P35" s="160">
        <f>P33+P34</f>
        <v>3277.5516672000003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127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128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3.5330345999999997</v>
      </c>
      <c r="P16" s="105">
        <f t="shared" ref="P16:P24" si="1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294.04671999999999</v>
      </c>
      <c r="O21" s="119">
        <f t="shared" si="6"/>
        <v>8.1531136000000011</v>
      </c>
      <c r="P21" s="120">
        <f t="shared" si="1"/>
        <v>1638.7758336000002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5.2550938800000004</v>
      </c>
      <c r="P22" s="120">
        <f t="shared" si="1"/>
        <v>1056.2738698800001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56</v>
      </c>
      <c r="I25" s="137">
        <f t="shared" si="9"/>
        <v>3023.87</v>
      </c>
      <c r="J25" s="138"/>
      <c r="K25" s="139">
        <f t="shared" si="9"/>
        <v>32.95320000000001</v>
      </c>
      <c r="L25" s="140">
        <f t="shared" si="9"/>
        <v>213.66399999999999</v>
      </c>
      <c r="M25" s="141">
        <f t="shared" si="9"/>
        <v>2777.2528000000002</v>
      </c>
      <c r="N25" s="142">
        <f>SUM(N16:N24)</f>
        <v>610.99561599999993</v>
      </c>
      <c r="O25" s="143">
        <f>SUM(O16:O24)</f>
        <v>16.941242080000002</v>
      </c>
      <c r="P25" s="144">
        <f>SUM(P16:P24)</f>
        <v>3405.1896580800003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3023.87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213.66399999999999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32.95320000000001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2777.2528000000002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610.99561599999993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3388.2484160000004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16.941242080000002</v>
      </c>
    </row>
    <row r="35" spans="2:16" ht="15.75" customHeight="1" thickBot="1" x14ac:dyDescent="0.4">
      <c r="N35" s="213" t="s">
        <v>92</v>
      </c>
      <c r="O35" s="214"/>
      <c r="P35" s="160">
        <f>P33+P34</f>
        <v>3405.1896580800003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124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3420105674559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 t="s">
        <v>130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78.460000000000022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1435.8180000000002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1694.2652400000002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13" t="s">
        <v>92</v>
      </c>
      <c r="O35" s="214"/>
      <c r="P35" s="160">
        <f>P33+P34</f>
        <v>1702.7365662000002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2.9441954999999997</v>
      </c>
      <c r="P17" s="120">
        <f t="shared" si="1"/>
        <v>591.78329549999989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2502.0500000000002</v>
      </c>
      <c r="J25" s="138"/>
      <c r="K25" s="139">
        <f t="shared" si="9"/>
        <v>0</v>
      </c>
      <c r="L25" s="140">
        <f t="shared" si="9"/>
        <v>200.16399999999999</v>
      </c>
      <c r="M25" s="141">
        <f t="shared" si="9"/>
        <v>2301.886</v>
      </c>
      <c r="N25" s="142">
        <f>SUM(N16:N24)</f>
        <v>506.41492000000005</v>
      </c>
      <c r="O25" s="143">
        <f>SUM(O16:O24)</f>
        <v>14.041504600000001</v>
      </c>
      <c r="P25" s="144">
        <f>SUM(P16:P24)</f>
        <v>2822.3424246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2502.0500000000002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200.16399999999999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2301.8860000000004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506.41492000000005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2808.3009200000006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14.041504600000003</v>
      </c>
    </row>
    <row r="35" spans="2:16" ht="15.75" customHeight="1" thickBot="1" x14ac:dyDescent="0.4">
      <c r="N35" s="213" t="s">
        <v>92</v>
      </c>
      <c r="O35" s="214"/>
      <c r="P35" s="160">
        <f>P33+P34</f>
        <v>2822.3424246000004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4.8918681600000005</v>
      </c>
      <c r="P19" s="120">
        <f t="shared" si="1"/>
        <v>983.26550015999999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18</v>
      </c>
      <c r="I20" s="116">
        <f t="shared" si="2"/>
        <v>1307.52</v>
      </c>
      <c r="J20" s="117"/>
      <c r="K20" s="1">
        <f t="shared" si="3"/>
        <v>0</v>
      </c>
      <c r="L20" s="105">
        <f t="shared" si="4"/>
        <v>104.6016</v>
      </c>
      <c r="M20" s="118">
        <f t="shared" si="5"/>
        <v>1202.9184</v>
      </c>
      <c r="N20" s="118">
        <f t="shared" si="0"/>
        <v>264.64204799999999</v>
      </c>
      <c r="O20" s="119">
        <f t="shared" si="6"/>
        <v>7.3378022400000003</v>
      </c>
      <c r="P20" s="120">
        <f t="shared" si="1"/>
        <v>1474.8982502399999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4.8918681600000005</v>
      </c>
      <c r="P21" s="120">
        <f t="shared" si="1"/>
        <v>983.26550015999999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42</v>
      </c>
      <c r="I25" s="137">
        <f t="shared" si="9"/>
        <v>3050.88</v>
      </c>
      <c r="J25" s="138"/>
      <c r="K25" s="139">
        <f t="shared" si="9"/>
        <v>0</v>
      </c>
      <c r="L25" s="140">
        <f t="shared" si="9"/>
        <v>244.07040000000001</v>
      </c>
      <c r="M25" s="141">
        <f t="shared" si="9"/>
        <v>2806.8096</v>
      </c>
      <c r="N25" s="142">
        <f>SUM(N16:N24)</f>
        <v>617.49811199999999</v>
      </c>
      <c r="O25" s="143">
        <f>SUM(O16:O24)</f>
        <v>17.121538560000001</v>
      </c>
      <c r="P25" s="144">
        <f>SUM(P16:P24)</f>
        <v>3441.4292505600001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3050.88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244.07040000000001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2806.8096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617.49811199999999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3424.3077119999998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17.121538560000001</v>
      </c>
    </row>
    <row r="35" spans="2:16" ht="15.75" customHeight="1" thickBot="1" x14ac:dyDescent="0.4">
      <c r="N35" s="213" t="s">
        <v>92</v>
      </c>
      <c r="O35" s="214"/>
      <c r="P35" s="160">
        <f>P33+P34</f>
        <v>3441.4292505599997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35201168044471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3.5330345999999997</v>
      </c>
      <c r="P16" s="105">
        <f t="shared" ref="P16:P24" si="1">M16+N16+O16</f>
        <v>710.1399545999999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127.42091999999998</v>
      </c>
      <c r="O17" s="119">
        <f t="shared" ref="O17:O24" si="6">(N17+M17)*$O$15</f>
        <v>3.5330345999999997</v>
      </c>
      <c r="P17" s="120">
        <f t="shared" si="1"/>
        <v>710.1399545999999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24</v>
      </c>
      <c r="I25" s="137">
        <f t="shared" si="9"/>
        <v>1259.0999999999999</v>
      </c>
      <c r="J25" s="138"/>
      <c r="K25" s="139">
        <f t="shared" si="9"/>
        <v>0</v>
      </c>
      <c r="L25" s="140">
        <f t="shared" si="9"/>
        <v>100.72799999999999</v>
      </c>
      <c r="M25" s="141">
        <f t="shared" si="9"/>
        <v>1158.3719999999998</v>
      </c>
      <c r="N25" s="142">
        <f>SUM(N16:N24)</f>
        <v>254.84183999999996</v>
      </c>
      <c r="O25" s="143">
        <f>SUM(O16:O24)</f>
        <v>7.0660691999999994</v>
      </c>
      <c r="P25" s="144">
        <f>SUM(P16:P24)</f>
        <v>1420.2799091999998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1259.0999999999999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100.72799999999999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1158.3719999999998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254.84183999999996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1413.2138399999999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7.0660691999999994</v>
      </c>
    </row>
    <row r="35" spans="2:16" ht="15.75" customHeight="1" thickBot="1" x14ac:dyDescent="0.4">
      <c r="N35" s="213" t="s">
        <v>92</v>
      </c>
      <c r="O35" s="214"/>
      <c r="P35" s="160">
        <f>P33+P34</f>
        <v>1420.2799091999998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124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>(N16+M16)*$O$15</f>
        <v>11.776781999999999</v>
      </c>
      <c r="P16" s="105">
        <f t="shared" ref="P16:P24" si="1">M16+N16+O16</f>
        <v>2367.1331819999996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424.7364</v>
      </c>
      <c r="O17" s="119">
        <f t="shared" ref="O17:O24" si="6">(N17+M17)*$O$15</f>
        <v>11.776781999999999</v>
      </c>
      <c r="P17" s="120">
        <f t="shared" si="1"/>
        <v>2367.1331819999996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588.09343999999999</v>
      </c>
      <c r="O20" s="119">
        <f t="shared" si="6"/>
        <v>16.306227200000002</v>
      </c>
      <c r="P20" s="120">
        <f t="shared" si="1"/>
        <v>3277.5516672000003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120</v>
      </c>
      <c r="I25" s="137">
        <f t="shared" si="9"/>
        <v>7102.6</v>
      </c>
      <c r="J25" s="138"/>
      <c r="K25" s="139">
        <f t="shared" si="9"/>
        <v>0</v>
      </c>
      <c r="L25" s="140">
        <f t="shared" si="9"/>
        <v>568.20799999999997</v>
      </c>
      <c r="M25" s="141">
        <f t="shared" si="9"/>
        <v>6534.3919999999998</v>
      </c>
      <c r="N25" s="142">
        <f>SUM(N16:N24)</f>
        <v>1437.5662400000001</v>
      </c>
      <c r="O25" s="143">
        <f>SUM(O16:O24)</f>
        <v>39.859791200000004</v>
      </c>
      <c r="P25" s="144">
        <f>SUM(P16:P24)</f>
        <v>8011.8180311999995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7102.6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568.20799999999997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6534.3920000000007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1437.5662400000001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7971.9582400000008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39.859791200000004</v>
      </c>
    </row>
    <row r="35" spans="2:16" ht="15.75" customHeight="1" thickBot="1" x14ac:dyDescent="0.4">
      <c r="N35" s="213" t="s">
        <v>92</v>
      </c>
      <c r="O35" s="214"/>
      <c r="P35" s="160">
        <f>P33+P34</f>
        <v>8011.8180312000004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124</v>
      </c>
      <c r="B6" s="239"/>
      <c r="C6" s="239"/>
      <c r="F6" s="70"/>
      <c r="G6" s="74"/>
      <c r="K6" s="239" t="s">
        <v>52</v>
      </c>
      <c r="L6" s="239"/>
      <c r="M6" s="239"/>
      <c r="N6" s="252" t="s">
        <v>99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6.1148351999999999</v>
      </c>
      <c r="P19" s="120">
        <f t="shared" si="1"/>
        <v>1229.0818752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4108.9699999999993</v>
      </c>
      <c r="N25" s="142">
        <f>SUM(N16:N24)</f>
        <v>903.97340000000008</v>
      </c>
      <c r="O25" s="143">
        <f>SUM(O16:O24)</f>
        <v>25.064717000000002</v>
      </c>
      <c r="P25" s="144">
        <f>SUM(P16:P24)</f>
        <v>5038.0081170000003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310.90800000000002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4108.97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903.97340000000008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5012.9434000000001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25.064717000000002</v>
      </c>
    </row>
    <row r="35" spans="2:16" ht="15.75" customHeight="1" thickBot="1" x14ac:dyDescent="0.4">
      <c r="N35" s="213" t="s">
        <v>92</v>
      </c>
      <c r="O35" s="214"/>
      <c r="P35" s="160">
        <f>P33+P34</f>
        <v>5038.0081170000003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46206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46205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2026-07-03T12:38:04Z</dcterms:modified>
</cp:coreProperties>
</file>