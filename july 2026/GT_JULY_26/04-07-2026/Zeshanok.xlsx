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500A0D5F-0DB4-4724-A5DE-E52211A4314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23" l="1"/>
  <c r="K18" i="23"/>
  <c r="K19" i="23"/>
  <c r="K20" i="23"/>
  <c r="K21" i="23"/>
  <c r="K22" i="23"/>
  <c r="K16" i="23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K21" i="26" s="1"/>
  <c r="I22" i="26"/>
  <c r="K22" i="26" s="1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K16" i="27"/>
  <c r="L16" i="27"/>
  <c r="K17" i="27"/>
  <c r="L17" i="27"/>
  <c r="K20" i="27"/>
  <c r="L20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L18" i="26"/>
  <c r="K20" i="26"/>
  <c r="K24" i="26"/>
  <c r="L16" i="26"/>
  <c r="T23" i="15"/>
  <c r="T22" i="15"/>
  <c r="T21" i="15"/>
  <c r="T20" i="15"/>
  <c r="T19" i="15"/>
  <c r="T18" i="15"/>
  <c r="T15" i="15"/>
  <c r="T14" i="15"/>
  <c r="I25" i="27" l="1"/>
  <c r="P28" i="27" s="1"/>
  <c r="L21" i="27"/>
  <c r="L21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L16" i="25" s="1"/>
  <c r="I17" i="25"/>
  <c r="L17" i="25" s="1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K24" i="25"/>
  <c r="L23" i="25"/>
  <c r="K23" i="25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8"/>
  <c r="K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K21" i="24"/>
  <c r="L24" i="17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N18" i="18"/>
  <c r="O18" i="18" s="1"/>
  <c r="I23" i="15"/>
  <c r="L17" i="16" l="1"/>
  <c r="K17" i="16"/>
  <c r="M23" i="22"/>
  <c r="N23" i="22" s="1"/>
  <c r="O23" i="22" s="1"/>
  <c r="L21" i="16"/>
  <c r="L21" i="15" s="1"/>
  <c r="K21" i="16"/>
  <c r="K25" i="19"/>
  <c r="P30" i="19" s="1"/>
  <c r="K22" i="16"/>
  <c r="K22" i="15" s="1"/>
  <c r="L22" i="16"/>
  <c r="L22" i="15" s="1"/>
  <c r="L19" i="16"/>
  <c r="K19" i="16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P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<sst xmlns="http://schemas.openxmlformats.org/spreadsheetml/2006/main" count="1638" uniqueCount="148">
  <si>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</si>
  <si>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</si>
  <si>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</si>
  <si>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</si>
  <si>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</si>
  <si>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</si>
  <si>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</si>
  <si>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</si>
  <si>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</si>
  <si>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</si>
  <si>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</si>
  <si>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</si>
  <si>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</si>
  <si>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</si>
  <si>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</si>
  <si>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</si>
  <si>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</si>
  <si>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</si>
  <si>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</si>
  <si>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</si>
  <si>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</si>
  <si>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</si>
  <si>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</si>
  <si>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</si>
  <si>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</si>
  <si>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</si>
  <si>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</si>
  <si>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</si>
  <si>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</si>
  <si>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</si>
  <si>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</si>
  <si>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</si>
  <si>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</si>
  <si>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</si>
  <si>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</si>
  <si>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</si>
  <si>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</si>
  <si>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</si>
  <si>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</si>
  <si>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</si>
  <si>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</si>
  <si>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</si>
  <si>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</si>
  <si>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</si>
  <si>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</si>
  <si>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</si>
  <si>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</si>
  <si>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</si>
  <si>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</si>
  <si>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</si>
  <si>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</si>
  <si>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</si>
  <si>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</si>
  <si>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</si>
  <si>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</si>
  <si>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</si>
  <si>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</si>
  <si>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</si>
  <si>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</si>
  <si>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</si>
  <si>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</si>
  <si>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</si>
  <si>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</si>
  <si>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</si>
  <si>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</si>
  <si>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</si>
  <si>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</si>
  <si>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</si>
  <si>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</si>
  <si>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</si>
  <si>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</si>
  <si>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</si>
  <si>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</si>
  <si>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</si>
  <si>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</si>
  <si>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</si>
  <si>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</si>
  <si>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</si>
  <si>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</si>
  <si>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</si>
  <si>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</si>
  <si>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</si>
  <si>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</si>
  <si>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</si>
  <si>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</si>
  <si>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</si>
  <si>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</si>
  <si>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</si>
  <si>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</si>
  <si>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</si>
  <si>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</si>
  <si>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</si>
  <si>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</si>
  <si>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</si>
  <si>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</si>
  <si>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</si>
  <si>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</si>
  <si>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</si>
  <si>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</si>
  <si>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</si>
  <si>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</si>
  <si>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</si>
  <si>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</si>
  <si>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</si>
  <si>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</si>
  <si>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</si>
  <si>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</si>
  <si>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</si>
  <si>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</si>
  <si>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</si>
  <si>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</si>
  <si>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</si>
  <si>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</si>
  <si>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</si>
  <si>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</si>
  <si>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</si>
  <si>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</si>
  <si>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</si>
  <si>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</si>
  <si>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</si>
  <si>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</si>
  <si>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 (Zeshan)</t>
  </si>
  <si>
    <t>Customer Name : 24/7</t>
  </si>
  <si>
    <t>Address: DHA Phase 5</t>
  </si>
  <si>
    <t>Customer Name : Groccer Store</t>
  </si>
  <si>
    <t>Customer Name : Afzal Store</t>
  </si>
  <si>
    <t xml:space="preserve">Address: Sui Gas Society </t>
  </si>
  <si>
    <t xml:space="preserve">Customer Name : Captain Mart </t>
  </si>
  <si>
    <t xml:space="preserve">Address: DHA Sui Gas Society </t>
  </si>
  <si>
    <t>Customer Name : Shanam Store</t>
  </si>
  <si>
    <t>Address: State Life</t>
  </si>
  <si>
    <t>244835-4</t>
  </si>
  <si>
    <t xml:space="preserve">Customer Name : Smart Mart </t>
  </si>
  <si>
    <t>244837-4</t>
  </si>
  <si>
    <t>Customer Name : Freshly Store</t>
  </si>
  <si>
    <t xml:space="preserve">Customer Name : Marwa Mart </t>
  </si>
  <si>
    <t xml:space="preserve">Address: Farminet Society </t>
  </si>
  <si>
    <t>243618-4</t>
  </si>
  <si>
    <t xml:space="preserve">Address: Frmenent Society </t>
  </si>
  <si>
    <t xml:space="preserve">Customer Name : Ajwa Bakers </t>
  </si>
  <si>
    <t xml:space="preserve">Customer Name : Max Mart </t>
  </si>
  <si>
    <t>Address: state Life</t>
  </si>
  <si>
    <t>408137-8</t>
  </si>
  <si>
    <t xml:space="preserve">Customer Name : Ali Mart </t>
  </si>
  <si>
    <t>0962118-8</t>
  </si>
  <si>
    <t>Customer Name : Essaje</t>
  </si>
  <si>
    <t>Address: Phase 5</t>
  </si>
  <si>
    <t>1302558-9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</si>
</sst>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9" sqref="H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2" zoomScale="70" zoomScaleNormal="70" workbookViewId="0">
      <selection activeCell="T14" sqref="T14:T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24/7</v>
      </c>
      <c r="U14" s="164">
        <f>+'1'!P35</f>
        <v>964.68171840000002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Groccer Store</v>
      </c>
      <c r="U15" s="164">
        <f>+'2'!P35</f>
        <v>448.87260225000006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30</v>
      </c>
      <c r="I16" s="1">
        <f>(G16*D16)*F16+H16*F16</f>
        <v>1573.875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125.91</v>
      </c>
      <c r="M16" s="106">
        <f>I16-K16-L16</f>
        <v>1447.9649999999999</v>
      </c>
      <c r="N16" s="101">
        <f>+'1'!N16+'2'!N16+'4'!N16+'3'!N16+'5'!N16+'6'!N16+'7'!N16+'8'!N16+'9'!N16+'10'!N16</f>
        <v>318.5523</v>
      </c>
      <c r="O16" s="101">
        <f>+'1'!O16+'2'!O16+'4'!O16+'3'!O16+'5'!O16+'6'!O16+'7'!O16+'8'!O16+'9'!O16+'10'!O16</f>
        <v>20.609368499999999</v>
      </c>
      <c r="P16" s="105">
        <f t="shared" ref="P16:P24" si="0">M16+N16+O16</f>
        <v>1787.1266685000001</v>
      </c>
      <c r="Q16" s="108"/>
      <c r="T16" s="163" t="str">
        <f>+'3'!A5</f>
        <v>Customer Name : Afzal Store</v>
      </c>
      <c r="U16" s="164">
        <f>+'3'!P35</f>
        <v>603.56007749999992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30</v>
      </c>
      <c r="I17" s="1">
        <f t="shared" ref="I17:I23" si="1">(G17*D17)*F17+H17*F17</f>
        <v>1573.875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125.91</v>
      </c>
      <c r="M17" s="118">
        <f t="shared" ref="M17:M23" si="2">I17-K17-L17</f>
        <v>1447.9649999999999</v>
      </c>
      <c r="N17" s="101">
        <f>+'1'!N17+'2'!N17+'4'!N17+'3'!N17+'5'!N17+'6'!N17+'7'!N17+'8'!N17+'9'!N17+'10'!N17</f>
        <v>318.5523</v>
      </c>
      <c r="O17" s="101">
        <f>+'1'!O17+'2'!O17+'4'!O17+'3'!O17+'5'!O17+'6'!O17+'7'!O17+'8'!O17+'9'!O17+'10'!O17</f>
        <v>20.609368499999999</v>
      </c>
      <c r="P17" s="120">
        <f t="shared" si="0"/>
        <v>1787.1266685000001</v>
      </c>
      <c r="S17" s="64"/>
      <c r="T17" s="163" t="str">
        <f>+'4'!A5</f>
        <v xml:space="preserve">Customer Name : Captain Mart </v>
      </c>
      <c r="U17" s="164">
        <f>+'4'!P35</f>
        <v>603.56007749999992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Shanam Store</v>
      </c>
      <c r="U18" s="164">
        <f>+'5'!P35</f>
        <v>819.38791680000008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77</v>
      </c>
      <c r="I19" s="1">
        <f t="shared" si="1"/>
        <v>5593.28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68.644800000000004</v>
      </c>
      <c r="L19" s="175">
        <f>+'1'!L19+'2'!L19+'4'!L19+'3'!L19+'5'!L19+'6'!L19+'7'!L19+'8'!L19+'9'!L19+'10'!L19</f>
        <v>215.01440000000002</v>
      </c>
      <c r="M19" s="118">
        <f t="shared" si="2"/>
        <v>5309.6207999999997</v>
      </c>
      <c r="N19" s="101">
        <f>+'1'!N19+'2'!N19+'4'!N19+'3'!N19+'5'!N19+'6'!N19+'7'!N19+'8'!N19+'9'!N19+'10'!N19</f>
        <v>528.88457600000004</v>
      </c>
      <c r="O19" s="101">
        <f>+'1'!O19+'2'!O19+'4'!O19+'3'!O19+'5'!O19+'6'!O19+'7'!O19+'8'!O19+'9'!O19+'10'!O19</f>
        <v>33.4875848</v>
      </c>
      <c r="P19" s="120">
        <f t="shared" si="0"/>
        <v>5871.9929608000002</v>
      </c>
      <c r="T19" s="163" t="str">
        <f>+'6'!A5</f>
        <v xml:space="preserve">Customer Name : Smart Mart </v>
      </c>
      <c r="U19" s="164">
        <f>+'6'!P35</f>
        <v>819.38791680000008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25.424000000000003</v>
      </c>
      <c r="L20" s="175">
        <f>+'1'!L20+'2'!L20+'4'!L20+'3'!L20+'5'!L20+'6'!L20+'7'!L20+'8'!L20+'9'!L20+'10'!L20</f>
        <v>116.224</v>
      </c>
      <c r="M20" s="118">
        <f t="shared" si="2"/>
        <v>4216.7519999999995</v>
      </c>
      <c r="N20" s="101">
        <f>+'1'!N20+'2'!N20+'4'!N20+'3'!N20+'5'!N20+'6'!N20+'7'!N20+'8'!N20+'9'!N20+'10'!N20</f>
        <v>288.45344</v>
      </c>
      <c r="O20" s="101">
        <f>+'1'!O20+'2'!O20+'4'!O20+'3'!O20+'5'!O20+'6'!O20+'7'!O20+'8'!O20+'9'!O20+'10'!O20</f>
        <v>24.304254400000001</v>
      </c>
      <c r="P20" s="120">
        <f t="shared" si="0"/>
        <v>4529.5096943999997</v>
      </c>
      <c r="T20" s="163" t="str">
        <f>+'7'!A5</f>
        <v>Customer Name : Freshly Store</v>
      </c>
      <c r="U20" s="164">
        <f>+'7'!P35</f>
        <v>835.69414400000005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85</v>
      </c>
      <c r="I21" s="1">
        <f t="shared" si="1"/>
        <v>6174.4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38.136000000000003</v>
      </c>
      <c r="L21" s="175">
        <f>+'1'!L21+'2'!L21+'4'!L21+'3'!L21+'5'!L21+'6'!L21+'7'!L21+'8'!L21+'9'!L21+'10'!L21</f>
        <v>261.50400000000002</v>
      </c>
      <c r="M21" s="118">
        <f t="shared" si="2"/>
        <v>5874.7599999999993</v>
      </c>
      <c r="N21" s="101">
        <f>+'1'!N21+'2'!N21+'4'!N21+'3'!N21+'5'!N21+'6'!N21+'7'!N21+'8'!N21+'9'!N21+'10'!N21</f>
        <v>653.21519999999998</v>
      </c>
      <c r="O21" s="101">
        <f>+'1'!O21+'2'!O21+'4'!O21+'3'!O21+'5'!O21+'6'!O21+'7'!O21+'8'!O21+'9'!O21+'10'!O21</f>
        <v>50.724330399999999</v>
      </c>
      <c r="P21" s="120">
        <f t="shared" si="0"/>
        <v>6578.6995303999993</v>
      </c>
      <c r="T21" s="163" t="str">
        <f>+'8'!A5</f>
        <v xml:space="preserve">Customer Name : Marwa Mart </v>
      </c>
      <c r="U21" s="164">
        <f>+'8'!P35</f>
        <v>4913.3186513999999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170</v>
      </c>
      <c r="I22" s="1">
        <f t="shared" si="1"/>
        <v>6669.1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123.57450000000003</v>
      </c>
      <c r="L22" s="175">
        <f>+'1'!L22+'2'!L22+'4'!L22+'3'!L22+'5'!L22+'6'!L22+'7'!L22+'8'!L22+'9'!L22+'10'!L22</f>
        <v>176.53500000000005</v>
      </c>
      <c r="M22" s="118">
        <f t="shared" si="2"/>
        <v>6368.9905000000008</v>
      </c>
      <c r="N22" s="101">
        <f>+'1'!N22+'2'!N22+'4'!N22+'3'!N22+'5'!N22+'6'!N22+'7'!N22+'8'!N22+'9'!N22+'10'!N22</f>
        <v>710.72991000000002</v>
      </c>
      <c r="O22" s="101">
        <f>+'1'!O22+'2'!O22+'4'!O22+'3'!O22+'5'!O22+'6'!O22+'7'!O22+'8'!O22+'9'!O22+'10'!O22</f>
        <v>45.982071450000007</v>
      </c>
      <c r="P22" s="120">
        <f t="shared" si="0"/>
        <v>7125.702481450001</v>
      </c>
      <c r="T22" s="163" t="str">
        <f>+'9'!A5</f>
        <v xml:space="preserve">Customer Name : Ajwa Bakers </v>
      </c>
      <c r="U22" s="164">
        <f>+'9'!P35</f>
        <v>2569.1334925000001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Max Mart </v>
      </c>
      <c r="U23" s="164">
        <f>+'10'!P35</f>
        <v>3247.3614069000005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Ali Mart </v>
      </c>
      <c r="U24" s="164">
        <f>+'11'!P35</f>
        <v>12915.746002800002</v>
      </c>
    </row>
    <row r="25" spans="1:21 16384:16384" ht="26.5" thickBot="1" x14ac:dyDescent="0.65">
      <c r="A25" s="219" t="s">
        <v>84</v>
      </c>
      <c r="B25" s="220"/>
      <c r="C25" s="221">
        <f>H25/40</f>
        <v>11.3</v>
      </c>
      <c r="D25" s="215"/>
      <c r="E25" s="215"/>
      <c r="F25" s="215"/>
      <c r="G25" s="176">
        <f t="shared" ref="G25:M25" si="3">SUM(G16:G24)</f>
        <v>0</v>
      </c>
      <c r="H25" s="177">
        <f t="shared" si="3"/>
        <v>452</v>
      </c>
      <c r="I25" s="178">
        <f t="shared" si="3"/>
        <v>25942.93</v>
      </c>
      <c r="J25" s="177">
        <f t="shared" si="3"/>
        <v>0</v>
      </c>
      <c r="K25" s="178">
        <f t="shared" si="3"/>
        <v>255.77930000000003</v>
      </c>
      <c r="L25" s="179">
        <f t="shared" si="3"/>
        <v>1021.0974000000001</v>
      </c>
      <c r="M25" s="141">
        <f t="shared" si="3"/>
        <v>24666.053299999996</v>
      </c>
      <c r="N25" s="142">
        <f>SUM(N16:N24)</f>
        <v>2818.3877259999999</v>
      </c>
      <c r="O25" s="143">
        <f>SUM(O16:O24)</f>
        <v>195.71697804999999</v>
      </c>
      <c r="P25" s="144">
        <f>SUM(P16:P24)</f>
        <v>27680.158004050001</v>
      </c>
      <c r="T25" s="163" t="str">
        <f>+'12'!A5</f>
        <v>Customer Name : Essaje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28740.704006850003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25942.93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1021.0974000000001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255.77930000000003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24666.053300000003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2818.3877259999999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27484.441026000004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687.1110256500001</v>
      </c>
    </row>
    <row r="43" spans="1:21" ht="15.75" customHeight="1" thickBot="1" x14ac:dyDescent="0.4">
      <c r="N43" s="213" t="s">
        <v>92</v>
      </c>
      <c r="O43" s="214"/>
      <c r="P43" s="160">
        <f>P41+P42</f>
        <v>28171.552051650004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3"/>
        <v>871.68000000000006</v>
      </c>
      <c r="J19" s="117"/>
      <c r="K19" s="104">
        <f t="shared" si="4"/>
        <v>30.508800000000004</v>
      </c>
      <c r="L19" s="105">
        <f t="shared" si="5"/>
        <v>69.734400000000008</v>
      </c>
      <c r="M19" s="118">
        <f t="shared" si="6"/>
        <v>771.43680000000006</v>
      </c>
      <c r="N19" s="118">
        <f t="shared" si="0"/>
        <v>169.71609600000002</v>
      </c>
      <c r="O19" s="119">
        <f t="shared" si="1"/>
        <v>23.528822400000003</v>
      </c>
      <c r="P19" s="120">
        <f t="shared" si="2"/>
        <v>964.68171840000002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12</v>
      </c>
      <c r="I25" s="137">
        <f t="shared" si="13"/>
        <v>871.68000000000006</v>
      </c>
      <c r="J25" s="138"/>
      <c r="K25" s="139">
        <f t="shared" si="13"/>
        <v>30.508800000000004</v>
      </c>
      <c r="L25" s="140">
        <f t="shared" si="13"/>
        <v>69.734400000000008</v>
      </c>
      <c r="M25" s="141">
        <f t="shared" si="13"/>
        <v>771.43680000000006</v>
      </c>
      <c r="N25" s="142">
        <f>SUM(N16:N24)</f>
        <v>169.71609600000002</v>
      </c>
      <c r="O25" s="143">
        <f>SUM(O16:O24)</f>
        <v>23.528822400000003</v>
      </c>
      <c r="P25" s="144">
        <f>SUM(P16:P24)</f>
        <v>964.68171840000002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871.68000000000006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69.734400000000008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30.508800000000004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771.43680000000006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169.71609600000002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941.15289600000006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23.528822400000003</v>
      </c>
    </row>
    <row r="35" spans="2:16" ht="15.75" customHeight="1" thickBot="1" x14ac:dyDescent="0.4">
      <c r="N35" s="213" t="s">
        <v>92</v>
      </c>
      <c r="O35" s="214"/>
      <c r="P35" s="160">
        <f>P33+P34</f>
        <v>964.68171840000002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19.615000000000006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358.95450000000005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437.92449000000005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3" t="s">
        <v>92</v>
      </c>
      <c r="O35" s="214"/>
      <c r="P35" s="160">
        <f>P33+P34</f>
        <v>448.87260225000006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14.720977499999998</v>
      </c>
      <c r="P16" s="105">
        <f t="shared" ref="P16:P24" si="1">M16+N16+O16</f>
        <v>603.56007749999992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0</v>
      </c>
      <c r="L25" s="140">
        <f t="shared" si="9"/>
        <v>41.97</v>
      </c>
      <c r="M25" s="141">
        <f t="shared" si="9"/>
        <v>482.65499999999997</v>
      </c>
      <c r="N25" s="142">
        <f>SUM(N16:N24)</f>
        <v>106.1841</v>
      </c>
      <c r="O25" s="143">
        <f>SUM(O16:O24)</f>
        <v>14.720977499999998</v>
      </c>
      <c r="P25" s="144">
        <f>SUM(P16:P24)</f>
        <v>603.56007749999992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524.625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41.97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482.65499999999997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106.1841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588.83909999999992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14.720977499999998</v>
      </c>
    </row>
    <row r="35" spans="2:16" ht="15.75" customHeight="1" thickBot="1" x14ac:dyDescent="0.4">
      <c r="N35" s="213" t="s">
        <v>92</v>
      </c>
      <c r="O35" s="214"/>
      <c r="P35" s="160">
        <f>P33+P34</f>
        <v>603.56007749999992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14.720977499999998</v>
      </c>
      <c r="P17" s="120">
        <f t="shared" si="1"/>
        <v>603.56007749999992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0</v>
      </c>
      <c r="L25" s="140">
        <f t="shared" si="9"/>
        <v>41.97</v>
      </c>
      <c r="M25" s="141">
        <f t="shared" si="9"/>
        <v>482.65499999999997</v>
      </c>
      <c r="N25" s="142">
        <f>SUM(N16:N24)</f>
        <v>106.1841</v>
      </c>
      <c r="O25" s="143">
        <f>SUM(O16:O24)</f>
        <v>14.720977499999998</v>
      </c>
      <c r="P25" s="144">
        <f>SUM(P16:P24)</f>
        <v>603.56007749999992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524.625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41.97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482.65499999999997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106.1841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588.83909999999992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14.720977499999998</v>
      </c>
    </row>
    <row r="35" spans="2:16" ht="15.75" customHeight="1" thickBot="1" x14ac:dyDescent="0.4">
      <c r="N35" s="213" t="s">
        <v>92</v>
      </c>
      <c r="O35" s="214"/>
      <c r="P35" s="160">
        <f>P33+P34</f>
        <v>603.56007749999992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0</v>
      </c>
      <c r="L25" s="140">
        <f t="shared" si="9"/>
        <v>58.112000000000002</v>
      </c>
      <c r="M25" s="141">
        <f t="shared" si="9"/>
        <v>668.28800000000001</v>
      </c>
      <c r="N25" s="142">
        <f>SUM(N16:N24)</f>
        <v>147.02336</v>
      </c>
      <c r="O25" s="143">
        <f>SUM(O16:O24)</f>
        <v>4.0765568000000005</v>
      </c>
      <c r="P25" s="144">
        <f>SUM(P16:P24)</f>
        <v>819.38791680000008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668.28800000000001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815.31136000000004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4.0765568000000005</v>
      </c>
    </row>
    <row r="35" spans="2:16" ht="15.75" customHeight="1" thickBot="1" x14ac:dyDescent="0.4">
      <c r="N35" s="213" t="s">
        <v>92</v>
      </c>
      <c r="O35" s="214"/>
      <c r="P35" s="160">
        <f>P33+P34</f>
        <v>819.38791680000008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0</v>
      </c>
      <c r="L25" s="140">
        <f t="shared" si="9"/>
        <v>58.112000000000002</v>
      </c>
      <c r="M25" s="141">
        <f t="shared" si="9"/>
        <v>668.28800000000001</v>
      </c>
      <c r="N25" s="142">
        <f>SUM(N16:N24)</f>
        <v>147.02336</v>
      </c>
      <c r="O25" s="143">
        <f>SUM(O16:O24)</f>
        <v>4.0765568000000005</v>
      </c>
      <c r="P25" s="144">
        <f>SUM(P16:P24)</f>
        <v>819.38791680000008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668.28800000000001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815.31136000000004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4.0765568000000005</v>
      </c>
    </row>
    <row r="35" spans="2:16" ht="15.75" customHeight="1" thickBot="1" x14ac:dyDescent="0.4">
      <c r="N35" s="213" t="s">
        <v>92</v>
      </c>
      <c r="O35" s="214"/>
      <c r="P35" s="160">
        <f>P33+P34</f>
        <v>819.38791680000008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20.382784000000001</v>
      </c>
      <c r="P20" s="120">
        <f t="shared" si="1"/>
        <v>835.69414400000005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0</v>
      </c>
      <c r="L25" s="140">
        <f t="shared" si="9"/>
        <v>58.112000000000002</v>
      </c>
      <c r="M25" s="141">
        <f t="shared" si="9"/>
        <v>668.28800000000001</v>
      </c>
      <c r="N25" s="142">
        <f>SUM(N16:N24)</f>
        <v>147.02336</v>
      </c>
      <c r="O25" s="143">
        <f>SUM(O16:O24)</f>
        <v>20.382784000000001</v>
      </c>
      <c r="P25" s="144">
        <f>SUM(P16:P24)</f>
        <v>835.69414400000005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668.28800000000001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815.31136000000004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20.382784000000001</v>
      </c>
    </row>
    <row r="35" spans="2:16" ht="15.75" customHeight="1" thickBot="1" x14ac:dyDescent="0.4">
      <c r="N35" s="213" t="s">
        <v>92</v>
      </c>
      <c r="O35" s="214"/>
      <c r="P35" s="160">
        <f>P33+P34</f>
        <v>835.69414400000005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E7" sqref="E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136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5.8822055999999998</v>
      </c>
      <c r="P21" s="120">
        <f t="shared" si="1"/>
        <v>1182.3233255999999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156.61799999999999</v>
      </c>
      <c r="L25" s="140">
        <f t="shared" si="9"/>
        <v>310.90800000000002</v>
      </c>
      <c r="M25" s="141">
        <f t="shared" si="9"/>
        <v>4007.2739999999999</v>
      </c>
      <c r="N25" s="142">
        <f>SUM(N16:N24)</f>
        <v>881.60028000000011</v>
      </c>
      <c r="O25" s="143">
        <f>SUM(O16:O24)</f>
        <v>24.444371400000001</v>
      </c>
      <c r="P25" s="144">
        <f>SUM(P16:P24)</f>
        <v>4913.3186513999999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4474.8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310.90800000000002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156.61799999999999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4007.2739999999999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881.60028000000011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4888.87428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24.444371400000001</v>
      </c>
    </row>
    <row r="35" spans="2:16" ht="15.75" customHeight="1" thickBot="1" x14ac:dyDescent="0.4">
      <c r="N35" s="213" t="s">
        <v>92</v>
      </c>
      <c r="O35" s="214"/>
      <c r="P35" s="160">
        <f>P33+P34</f>
        <v>4913.3186513999999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138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294.04671999999999</v>
      </c>
      <c r="O21" s="119">
        <f t="shared" si="6"/>
        <v>40.765568000000002</v>
      </c>
      <c r="P21" s="120">
        <f t="shared" si="1"/>
        <v>1671.3882880000001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2237.4</v>
      </c>
      <c r="J25" s="138"/>
      <c r="K25" s="139">
        <f t="shared" si="9"/>
        <v>27.461000000000006</v>
      </c>
      <c r="L25" s="140">
        <f t="shared" si="9"/>
        <v>155.45400000000001</v>
      </c>
      <c r="M25" s="141">
        <f t="shared" si="9"/>
        <v>2054.4850000000001</v>
      </c>
      <c r="N25" s="142">
        <f>SUM(N16:N24)</f>
        <v>451.98670000000004</v>
      </c>
      <c r="O25" s="143">
        <f>SUM(O16:O24)</f>
        <v>62.661792500000004</v>
      </c>
      <c r="P25" s="144">
        <f>SUM(P16:P24)</f>
        <v>2569.1334925000001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2237.4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155.45400000000001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27.461000000000006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2054.4850000000001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451.98670000000004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2506.4717000000001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62.661792500000004</v>
      </c>
    </row>
    <row r="35" spans="2:16" ht="15.75" customHeight="1" thickBot="1" x14ac:dyDescent="0.4">
      <c r="N35" s="213" t="s">
        <v>92</v>
      </c>
      <c r="O35" s="214"/>
      <c r="P35" s="160">
        <f>P33+P34</f>
        <v>2569.1334925000001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140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141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142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212.3682</v>
      </c>
      <c r="O16" s="107">
        <f>(N16+M16)*$O$15</f>
        <v>5.8883909999999995</v>
      </c>
      <c r="P16" s="105">
        <f t="shared" ref="P16:P24" si="1">M16+N16+O16</f>
        <v>1183.5665909999998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212.3682</v>
      </c>
      <c r="O17" s="119">
        <f t="shared" ref="O17:O24" si="6">(N17+M17)*$O$15</f>
        <v>5.8883909999999995</v>
      </c>
      <c r="P17" s="120">
        <f t="shared" si="1"/>
        <v>1183.5665909999998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4.3792449000000007</v>
      </c>
      <c r="P22" s="120">
        <f t="shared" si="1"/>
        <v>880.2282249000001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60</v>
      </c>
      <c r="I25" s="137">
        <f t="shared" si="9"/>
        <v>2883.1000000000004</v>
      </c>
      <c r="J25" s="138"/>
      <c r="K25" s="139">
        <f t="shared" si="9"/>
        <v>27.461000000000006</v>
      </c>
      <c r="L25" s="140">
        <f t="shared" si="9"/>
        <v>207.11</v>
      </c>
      <c r="M25" s="141">
        <f t="shared" si="9"/>
        <v>2648.529</v>
      </c>
      <c r="N25" s="142">
        <f>SUM(N16:N24)</f>
        <v>582.67637999999999</v>
      </c>
      <c r="O25" s="143">
        <f>SUM(O16:O24)</f>
        <v>16.156026900000001</v>
      </c>
      <c r="P25" s="144">
        <f>SUM(P16:P24)</f>
        <v>3247.3614068999996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2883.1000000000004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207.11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27.461000000000006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2648.5290000000005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582.67637999999999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3231.2053800000003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16.156026900000001</v>
      </c>
    </row>
    <row r="35" spans="2:16" ht="15.75" customHeight="1" thickBot="1" x14ac:dyDescent="0.4">
      <c r="N35" s="213" t="s">
        <v>92</v>
      </c>
      <c r="O35" s="214"/>
      <c r="P35" s="160">
        <f>P33+P34</f>
        <v>3247.3614069000005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143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136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144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3520194848806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481.16735999999997</v>
      </c>
      <c r="O19" s="119">
        <f t="shared" si="6"/>
        <v>15.771596799999999</v>
      </c>
      <c r="P19" s="120">
        <f t="shared" si="1"/>
        <v>3170.0909568000002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481.16735999999997</v>
      </c>
      <c r="O20" s="119">
        <f t="shared" si="6"/>
        <v>15.771596799999999</v>
      </c>
      <c r="P20" s="120">
        <f t="shared" si="1"/>
        <v>3170.0909568000002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481.16735999999997</v>
      </c>
      <c r="O21" s="119">
        <f t="shared" si="6"/>
        <v>15.771596799999999</v>
      </c>
      <c r="P21" s="120">
        <f t="shared" si="1"/>
        <v>3170.0909568000002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200</v>
      </c>
      <c r="I25" s="137">
        <f t="shared" si="9"/>
        <v>11855.2</v>
      </c>
      <c r="J25" s="138"/>
      <c r="K25" s="139">
        <f t="shared" si="9"/>
        <v>109.84400000000002</v>
      </c>
      <c r="L25" s="140">
        <f t="shared" si="9"/>
        <v>854.26400000000012</v>
      </c>
      <c r="M25" s="141">
        <f t="shared" si="9"/>
        <v>10891.092000000001</v>
      </c>
      <c r="N25" s="142">
        <f>SUM(N16:N24)</f>
        <v>1960.3965600000001</v>
      </c>
      <c r="O25" s="143">
        <f>SUM(O16:O24)</f>
        <v>64.257442800000007</v>
      </c>
      <c r="P25" s="144">
        <f>SUM(P16:P24)</f>
        <v>12915.7460028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11855.2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854.26400000000012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109.84400000000002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10891.092000000002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1960.3965600000001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12851.488560000002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64.257442800000007</v>
      </c>
    </row>
    <row r="35" spans="2:16" ht="15.75" customHeight="1" thickBot="1" x14ac:dyDescent="0.4">
      <c r="N35" s="213" t="s">
        <v>92</v>
      </c>
      <c r="O35" s="214"/>
      <c r="P35" s="160">
        <f>P33+P34</f>
        <v>12915.746002800002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7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145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146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147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3740504480721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46207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46206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2026-07-04T12:57:17Z</dcterms:modified>
</cp:coreProperties>
</file>