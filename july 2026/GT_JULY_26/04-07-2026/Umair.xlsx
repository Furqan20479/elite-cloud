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F2E8814-4629-4ABD-A293-645C60AE88F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18" i="19"/>
  <c r="K24" i="19"/>
  <c r="L24" i="19"/>
  <c r="K22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19" l="1"/>
  <c r="L24" i="17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M19" i="25" l="1"/>
  <c r="N19" i="25" s="1"/>
  <c r="O19" i="25" s="1"/>
  <c r="L17" i="16"/>
  <c r="K17" i="16"/>
  <c r="M23" i="22"/>
  <c r="N23" i="22" s="1"/>
  <c r="O23" i="22" s="1"/>
  <c r="L21" i="16"/>
  <c r="L21" i="15" s="1"/>
  <c r="K21" i="16"/>
  <c r="K25" i="19"/>
  <c r="P30" i="19" s="1"/>
  <c r="K22" i="16"/>
  <c r="K22" i="15" s="1"/>
  <c r="L22" i="16"/>
  <c r="L22" i="15" s="1"/>
  <c r="L19" i="16"/>
  <c r="K19" i="16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P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23" l="1"/>
  <c r="P34" i="23" s="1"/>
  <c r="P35" i="23" s="1"/>
  <c r="U21" i="15" s="1"/>
  <c r="N16" i="15"/>
  <c r="N18" i="15"/>
  <c r="P18" i="15" s="1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<sst xmlns="http://schemas.openxmlformats.org/spreadsheetml/2006/main" count="1635" uniqueCount="141">
  <si>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</si>
  <si>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</si>
  <si>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</si>
  <si>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</si>
  <si>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</si>
  <si>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</si>
  <si>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</si>
  <si>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</si>
  <si>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</si>
  <si>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</si>
  <si>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</si>
  <si>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</si>
  <si>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</si>
  <si>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</si>
  <si>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</si>
  <si>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</si>
  <si>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</si>
  <si>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</si>
  <si>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</si>
  <si>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</si>
  <si>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</si>
  <si>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</si>
  <si>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</si>
  <si>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</si>
  <si>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</si>
  <si>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</si>
  <si>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</si>
  <si>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</si>
  <si>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</si>
  <si>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</si>
  <si>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</si>
  <si>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</si>
  <si>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</si>
  <si>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</si>
  <si>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</si>
  <si>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</si>
  <si>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</si>
  <si>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</si>
  <si>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</si>
  <si>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</si>
  <si>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</si>
  <si>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</si>
  <si>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</si>
  <si>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</si>
  <si>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</si>
  <si>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</si>
  <si>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</si>
  <si>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</si>
  <si>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</si>
  <si>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</si>
  <si>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</si>
  <si>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</si>
  <si>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</si>
  <si>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</si>
  <si>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</si>
  <si>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</si>
  <si>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</si>
  <si>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</si>
  <si>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</si>
  <si>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</si>
  <si>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</si>
  <si>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</si>
  <si>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</si>
  <si>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</si>
  <si>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</si>
  <si>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</si>
  <si>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</si>
  <si>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</si>
  <si>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</si>
  <si>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</si>
  <si>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</si>
  <si>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</si>
  <si>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</si>
  <si>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</si>
  <si>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</si>
  <si>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</si>
  <si>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</si>
  <si>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</si>
  <si>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</si>
  <si>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</si>
  <si>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</si>
  <si>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</si>
  <si>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</si>
  <si>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</si>
  <si>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</si>
  <si>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</si>
  <si>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</si>
  <si>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</si>
  <si>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</si>
  <si>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</si>
  <si>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</si>
  <si>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</si>
  <si>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</si>
  <si>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</si>
  <si>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</si>
  <si>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</si>
  <si>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</si>
  <si>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</si>
  <si>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</si>
  <si>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</si>
  <si>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</si>
  <si>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</si>
  <si>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</si>
  <si>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</si>
  <si>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</si>
  <si>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</si>
  <si>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</si>
  <si>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</si>
  <si>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</si>
  <si>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</si>
  <si>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</si>
  <si>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</si>
  <si>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</si>
  <si>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</si>
  <si>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</si>
  <si>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</si>
  <si>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</si>
  <si>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</si>
  <si>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</si>
  <si>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</si>
  <si>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</si>
  <si>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(Umari)</t>
  </si>
  <si>
    <t xml:space="preserve">Customer Name : HK Mart </t>
  </si>
  <si>
    <t>Address: Punjab Coprative</t>
  </si>
  <si>
    <t>Customer Name : Husain Store</t>
  </si>
  <si>
    <t xml:space="preserve">Address: Punjab Coprative </t>
  </si>
  <si>
    <t>Customer Name : Punjab Store</t>
  </si>
  <si>
    <t>6925517-8</t>
  </si>
  <si>
    <t>Customer Name : Malik Store</t>
  </si>
  <si>
    <t>8561011-5</t>
  </si>
  <si>
    <t>Customer Name : TK Store</t>
  </si>
  <si>
    <t xml:space="preserve">Customer Name : Urban Mart </t>
  </si>
  <si>
    <t>5504813-8</t>
  </si>
  <si>
    <t>Customer Name : Imran Karayana Stoe</t>
  </si>
  <si>
    <t>Address: Ghazi Road</t>
  </si>
  <si>
    <t>Customer Name : Ravi Stoer</t>
  </si>
  <si>
    <t>Address: Shokat Chowk Ghazi |Road</t>
  </si>
  <si>
    <t>Customer Name : Dua Book &amp; GS</t>
  </si>
  <si>
    <t>Address: Ghazi Road Hamza chowk</t>
  </si>
  <si>
    <t>Customer Name : Muhammad Sultan GS</t>
  </si>
  <si>
    <t xml:space="preserve">Address: Shokat Town Hamza Chowk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</si>
</sst>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2" zoomScale="70" zoomScaleNormal="70" workbookViewId="0">
      <selection activeCell="V21" sqref="V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HK Mart </v>
      </c>
      <c r="U14" s="164">
        <f>+'1'!P35</f>
        <v>5079.8754471750008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Husain Store</v>
      </c>
      <c r="U15" s="164">
        <f>+'2'!P35</f>
        <v>3299.7398682000003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95</v>
      </c>
      <c r="I16" s="1">
        <f>(G16*D16)*F16+H16*F16</f>
        <v>4983.9375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398.71499999999997</v>
      </c>
      <c r="M16" s="106">
        <f>I16-K16-L16</f>
        <v>4511.7749999999996</v>
      </c>
      <c r="N16" s="101">
        <f>+'1'!N16+'2'!N16+'4'!N16+'3'!N16+'5'!N16+'6'!N16+'7'!N16+'8'!N16+'9'!N16+'10'!N16</f>
        <v>992.59050000000002</v>
      </c>
      <c r="O16" s="101">
        <f>+'1'!O16+'2'!O16+'4'!O16+'3'!O16+'5'!O16+'6'!O16+'7'!O16+'8'!O16+'9'!O16+'10'!O16</f>
        <v>27.521827500000001</v>
      </c>
      <c r="P16" s="105">
        <f t="shared" ref="P16:P24" si="0">M16+N16+O16</f>
        <v>5531.8873274999996</v>
      </c>
      <c r="Q16" s="108"/>
      <c r="T16" s="163" t="str">
        <f>+'3'!A5</f>
        <v>Customer Name : Punjab Store</v>
      </c>
      <c r="U16" s="164">
        <f>+'3'!P35</f>
        <v>19665.3100032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75</v>
      </c>
      <c r="I17" s="1">
        <f t="shared" ref="I17:I23" si="1">(G17*D17)*F17+H17*F17</f>
        <v>3934.6875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36.723750000000003</v>
      </c>
      <c r="L17" s="175">
        <f>+'1'!L17+'2'!L17+'4'!L17+'3'!L17+'5'!L17+'6'!L17+'7'!L17+'8'!L17+'9'!L17+'10'!L17</f>
        <v>314.77499999999998</v>
      </c>
      <c r="M17" s="118">
        <f t="shared" ref="M17:M23" si="2">I17-K17-L17</f>
        <v>3583.1887499999998</v>
      </c>
      <c r="N17" s="101">
        <f>+'1'!N17+'2'!N17+'4'!N17+'3'!N17+'5'!N17+'6'!N17+'7'!N17+'8'!N17+'9'!N17+'10'!N17</f>
        <v>788.30152500000008</v>
      </c>
      <c r="O17" s="101">
        <f>+'1'!O17+'2'!O17+'4'!O17+'3'!O17+'5'!O17+'6'!O17+'7'!O17+'8'!O17+'9'!O17+'10'!O17</f>
        <v>21.857451374999997</v>
      </c>
      <c r="P17" s="120">
        <f t="shared" si="0"/>
        <v>4393.3477263750001</v>
      </c>
      <c r="S17" s="64"/>
      <c r="T17" s="163" t="str">
        <f>+'4'!A5</f>
        <v>Customer Name : Malik Store</v>
      </c>
      <c r="U17" s="164">
        <f>+'4'!P35</f>
        <v>2215.4639989500001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TK Store</v>
      </c>
      <c r="U18" s="164">
        <f>+'5'!P35</f>
        <v>1474.8982502399999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218</v>
      </c>
      <c r="I19" s="1">
        <f t="shared" si="1"/>
        <v>15835.52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1266.8416000000002</v>
      </c>
      <c r="M19" s="118">
        <f t="shared" si="2"/>
        <v>14568.678400000001</v>
      </c>
      <c r="N19" s="101">
        <f>+'1'!N19+'2'!N19+'4'!N19+'3'!N19+'5'!N19+'6'!N19+'7'!N19+'8'!N19+'9'!N19+'10'!N19</f>
        <v>3205.1092479999998</v>
      </c>
      <c r="O19" s="101">
        <f>+'1'!O19+'2'!O19+'4'!O19+'3'!O19+'5'!O19+'6'!O19+'7'!O19+'8'!O19+'9'!O19+'10'!O19</f>
        <v>238.88622848</v>
      </c>
      <c r="P19" s="120">
        <f t="shared" si="0"/>
        <v>18012.673876480003</v>
      </c>
      <c r="T19" s="163" t="str">
        <f>+'6'!A5</f>
        <v xml:space="preserve">Customer Name : Urban Mart </v>
      </c>
      <c r="U19" s="164">
        <f>+'6'!P35</f>
        <v>16327.377815400003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148</v>
      </c>
      <c r="I20" s="1">
        <f t="shared" si="1"/>
        <v>10750.72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860.05759999999998</v>
      </c>
      <c r="M20" s="118">
        <f t="shared" si="2"/>
        <v>9890.6623999999993</v>
      </c>
      <c r="N20" s="101">
        <f>+'1'!N20+'2'!N20+'4'!N20+'3'!N20+'5'!N20+'6'!N20+'7'!N20+'8'!N20+'9'!N20+'10'!N20</f>
        <v>2175.9457279999997</v>
      </c>
      <c r="O20" s="101">
        <f>+'1'!O20+'2'!O20+'4'!O20+'3'!O20+'5'!O20+'6'!O20+'7'!O20+'8'!O20+'9'!O20+'10'!O20</f>
        <v>96.206740480000008</v>
      </c>
      <c r="P20" s="120">
        <f t="shared" si="0"/>
        <v>12162.81486848</v>
      </c>
      <c r="T20" s="163" t="str">
        <f>+'7'!A5</f>
        <v>Customer Name : Imran Karayana Stoe</v>
      </c>
      <c r="U20" s="164">
        <f>+'7'!P35</f>
        <v>835.69414400000005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138</v>
      </c>
      <c r="I21" s="1">
        <f t="shared" si="1"/>
        <v>10024.32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801.94560000000001</v>
      </c>
      <c r="M21" s="118">
        <f t="shared" si="2"/>
        <v>9222.3744000000006</v>
      </c>
      <c r="N21" s="101">
        <f>+'1'!N21+'2'!N21+'4'!N21+'3'!N21+'5'!N21+'6'!N21+'7'!N21+'8'!N21+'9'!N21+'10'!N21</f>
        <v>2028.9223679999996</v>
      </c>
      <c r="O21" s="101">
        <f>+'1'!O21+'2'!O21+'4'!O21+'3'!O21+'5'!O21+'6'!O21+'7'!O21+'8'!O21+'9'!O21+'10'!O21</f>
        <v>75.823956480000007</v>
      </c>
      <c r="P21" s="120">
        <f t="shared" si="0"/>
        <v>11327.120724480001</v>
      </c>
      <c r="T21" s="163" t="str">
        <f>+'8'!A5</f>
        <v>Customer Name : Ravi Stoer</v>
      </c>
      <c r="U21" s="164">
        <f>+'8'!P35</f>
        <v>1504.2494592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182</v>
      </c>
      <c r="I22" s="1">
        <f t="shared" si="1"/>
        <v>7139.8600000000006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249.89510000000007</v>
      </c>
      <c r="L22" s="175">
        <f>+'1'!L22+'2'!L22+'4'!L22+'3'!L22+'5'!L22+'6'!L22+'7'!L22+'8'!L22+'9'!L22+'10'!L22</f>
        <v>435.45300000000015</v>
      </c>
      <c r="M22" s="118">
        <f t="shared" si="2"/>
        <v>6454.5119000000004</v>
      </c>
      <c r="N22" s="101">
        <f>+'1'!N22+'2'!N22+'4'!N22+'3'!N22+'5'!N22+'6'!N22+'7'!N22+'8'!N22+'9'!N22+'10'!N22</f>
        <v>1419.992618</v>
      </c>
      <c r="O22" s="101">
        <f>+'1'!O22+'2'!O22+'4'!O22+'3'!O22+'5'!O22+'6'!O22+'7'!O22+'8'!O22+'9'!O22+'10'!O22</f>
        <v>119.95062875000002</v>
      </c>
      <c r="P22" s="120">
        <f t="shared" si="0"/>
        <v>7994.4551467500005</v>
      </c>
      <c r="T22" s="163" t="str">
        <f>+'9'!A5</f>
        <v>Customer Name : Dua Book &amp; GS</v>
      </c>
      <c r="U22" s="164">
        <f>+'9'!P35</f>
        <v>3881.4236986999999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Muhammad Sultan GS</v>
      </c>
      <c r="U23" s="164">
        <f>+'10'!P35</f>
        <v>5138.2669850000002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21.4</v>
      </c>
      <c r="D25" s="215"/>
      <c r="E25" s="215"/>
      <c r="F25" s="215"/>
      <c r="G25" s="176">
        <f t="shared" ref="G25:M25" si="3">SUM(G16:G24)</f>
        <v>0</v>
      </c>
      <c r="H25" s="177">
        <f t="shared" si="3"/>
        <v>856</v>
      </c>
      <c r="I25" s="178">
        <f t="shared" si="3"/>
        <v>52669.044999999998</v>
      </c>
      <c r="J25" s="177">
        <f t="shared" si="3"/>
        <v>0</v>
      </c>
      <c r="K25" s="178">
        <f t="shared" si="3"/>
        <v>360.06635000000006</v>
      </c>
      <c r="L25" s="179">
        <f t="shared" si="3"/>
        <v>4077.7878000000001</v>
      </c>
      <c r="M25" s="141">
        <f t="shared" si="3"/>
        <v>48231.190849999999</v>
      </c>
      <c r="N25" s="142">
        <f>SUM(N16:N24)</f>
        <v>10610.861987</v>
      </c>
      <c r="O25" s="143">
        <f>SUM(O16:O24)</f>
        <v>580.24683306500003</v>
      </c>
      <c r="P25" s="144">
        <f>SUM(P16:P24)</f>
        <v>59422.299670065004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59422.299670065004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52669.044999999998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4077.7878000000001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360.06635000000006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48231.190849999999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10610.861987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58842.052836999996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1471.051320925</v>
      </c>
    </row>
    <row r="43" spans="1:21" ht="15.75" customHeight="1" thickBot="1" x14ac:dyDescent="0.4">
      <c r="N43" s="213" t="s">
        <v>92</v>
      </c>
      <c r="O43" s="214"/>
      <c r="P43" s="160">
        <f>P41+P42</f>
        <v>60313.104157924994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7191091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 t="shared" ref="O16:O24" si="1">(N16+M16)*$O$15</f>
        <v>11.328752250000001</v>
      </c>
      <c r="P16" s="105">
        <f t="shared" ref="P16:P24" si="2">M16+N16+O16</f>
        <v>2277.07920225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204.28897500000002</v>
      </c>
      <c r="O17" s="119">
        <f t="shared" si="1"/>
        <v>5.6643761250000004</v>
      </c>
      <c r="P17" s="120">
        <f t="shared" si="2"/>
        <v>1138.539601125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298.61876000000007</v>
      </c>
      <c r="O22" s="119">
        <f t="shared" si="1"/>
        <v>8.2798838000000021</v>
      </c>
      <c r="P22" s="120">
        <f t="shared" si="2"/>
        <v>1664.2566438000003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100</v>
      </c>
      <c r="I25" s="137">
        <f t="shared" si="13"/>
        <v>4716.9500000000007</v>
      </c>
      <c r="J25" s="138"/>
      <c r="K25" s="139">
        <f t="shared" si="13"/>
        <v>165.09325000000001</v>
      </c>
      <c r="L25" s="140">
        <f t="shared" si="13"/>
        <v>408.74</v>
      </c>
      <c r="M25" s="141">
        <f t="shared" si="13"/>
        <v>4143.1167500000001</v>
      </c>
      <c r="N25" s="142">
        <f>SUM(N16:N24)</f>
        <v>911.4856850000001</v>
      </c>
      <c r="O25" s="143">
        <f>SUM(O16:O24)</f>
        <v>25.273012175000005</v>
      </c>
      <c r="P25" s="144">
        <f>SUM(P16:P24)</f>
        <v>5079.8754471749999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4716.9500000000007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408.74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165.09325000000001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4143.116750000001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911.4856850000001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5054.6024350000007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25.273012175000005</v>
      </c>
    </row>
    <row r="35" spans="2:16" ht="15.75" customHeight="1" thickBot="1" x14ac:dyDescent="0.4">
      <c r="N35" s="213" t="s">
        <v>92</v>
      </c>
      <c r="O35" s="214"/>
      <c r="P35" s="160">
        <f>P33+P34</f>
        <v>5079.8754471750008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12.229670400000002</v>
      </c>
      <c r="P20" s="120">
        <f t="shared" si="1"/>
        <v>501.4164864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58</v>
      </c>
      <c r="I25" s="137">
        <f t="shared" si="9"/>
        <v>2876.7200000000003</v>
      </c>
      <c r="J25" s="138"/>
      <c r="K25" s="139">
        <f t="shared" si="9"/>
        <v>54.922000000000011</v>
      </c>
      <c r="L25" s="140">
        <f t="shared" si="9"/>
        <v>183.06160000000006</v>
      </c>
      <c r="M25" s="141">
        <f t="shared" si="9"/>
        <v>2638.7364000000002</v>
      </c>
      <c r="N25" s="142">
        <f>SUM(N16:N24)</f>
        <v>580.52200800000003</v>
      </c>
      <c r="O25" s="143">
        <f>SUM(O16:O24)</f>
        <v>80.481460200000015</v>
      </c>
      <c r="P25" s="144">
        <f>SUM(P16:P24)</f>
        <v>3299.7398682000003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2876.7200000000003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183.06160000000006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2638.7364000000002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580.52200800000003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3219.2584080000001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80.481460200000015</v>
      </c>
    </row>
    <row r="35" spans="2:16" ht="15.75" customHeight="1" thickBot="1" x14ac:dyDescent="0.4">
      <c r="N35" s="213" t="s">
        <v>92</v>
      </c>
      <c r="O35" s="214"/>
      <c r="P35" s="160">
        <f>P33+P34</f>
        <v>3299.7398682000003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1176.18688</v>
      </c>
      <c r="O19" s="119">
        <f t="shared" si="6"/>
        <v>32.612454400000004</v>
      </c>
      <c r="P19" s="120">
        <f t="shared" si="1"/>
        <v>6555.1033344000007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1176.18688</v>
      </c>
      <c r="O20" s="119">
        <f t="shared" si="6"/>
        <v>32.612454400000004</v>
      </c>
      <c r="P20" s="120">
        <f t="shared" si="1"/>
        <v>6555.1033344000007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32.612454400000004</v>
      </c>
      <c r="P21" s="120">
        <f t="shared" si="1"/>
        <v>6555.1033344000007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240</v>
      </c>
      <c r="I25" s="137">
        <f t="shared" si="9"/>
        <v>17433.599999999999</v>
      </c>
      <c r="J25" s="138"/>
      <c r="K25" s="139">
        <f t="shared" si="9"/>
        <v>0</v>
      </c>
      <c r="L25" s="140">
        <f t="shared" si="9"/>
        <v>1394.6880000000001</v>
      </c>
      <c r="M25" s="141">
        <f t="shared" si="9"/>
        <v>16038.912</v>
      </c>
      <c r="N25" s="142">
        <f>SUM(N16:N24)</f>
        <v>3528.5606399999997</v>
      </c>
      <c r="O25" s="143">
        <f>SUM(O16:O24)</f>
        <v>97.837363200000013</v>
      </c>
      <c r="P25" s="144">
        <f>SUM(P16:P24)</f>
        <v>19665.3100032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17433.599999999999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1394.6880000000001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16038.911999999998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3528.5606399999997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19567.47264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97.837363199999999</v>
      </c>
    </row>
    <row r="35" spans="2:16" ht="15.75" customHeight="1" thickBot="1" x14ac:dyDescent="0.4">
      <c r="N35" s="213" t="s">
        <v>92</v>
      </c>
      <c r="O35" s="214"/>
      <c r="P35" s="160">
        <f>P33+P34</f>
        <v>19665.3100032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/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159.27615</v>
      </c>
      <c r="O17" s="119">
        <f t="shared" ref="O17:O24" si="6">(N17+M17)*$O$15</f>
        <v>4.4162932499999998</v>
      </c>
      <c r="P17" s="120">
        <f t="shared" si="1"/>
        <v>887.67494324999996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1966.1750000000002</v>
      </c>
      <c r="J25" s="138"/>
      <c r="K25" s="139">
        <f t="shared" si="9"/>
        <v>13.730500000000003</v>
      </c>
      <c r="L25" s="140">
        <f t="shared" si="9"/>
        <v>145.52500000000001</v>
      </c>
      <c r="M25" s="141">
        <f t="shared" si="9"/>
        <v>1806.9195</v>
      </c>
      <c r="N25" s="142">
        <f>SUM(N16:N24)</f>
        <v>397.52229</v>
      </c>
      <c r="O25" s="143">
        <f>SUM(O16:O24)</f>
        <v>11.02220895</v>
      </c>
      <c r="P25" s="144">
        <f>SUM(P16:P24)</f>
        <v>2215.4639989500001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1966.1750000000002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145.52500000000001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1806.9195000000002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397.52229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2204.4417900000003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11.022208950000001</v>
      </c>
    </row>
    <row r="35" spans="2:16" ht="15.75" customHeight="1" thickBot="1" x14ac:dyDescent="0.4">
      <c r="N35" s="213" t="s">
        <v>92</v>
      </c>
      <c r="O35" s="214"/>
      <c r="P35" s="160">
        <f>P33+P34</f>
        <v>2215.4639989500001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3330273999473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0</v>
      </c>
      <c r="L25" s="140">
        <f t="shared" si="9"/>
        <v>104.60160000000002</v>
      </c>
      <c r="M25" s="141">
        <f t="shared" si="9"/>
        <v>1202.9184</v>
      </c>
      <c r="N25" s="142">
        <f>SUM(N16:N24)</f>
        <v>264.64204799999999</v>
      </c>
      <c r="O25" s="143">
        <f>SUM(O16:O24)</f>
        <v>7.3378022400000003</v>
      </c>
      <c r="P25" s="144">
        <f>SUM(P16:P24)</f>
        <v>1474.8982502399999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1307.52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104.60160000000002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1202.9184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264.64204799999999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1467.560448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7.3378022400000003</v>
      </c>
    </row>
    <row r="35" spans="2:16" ht="15.75" customHeight="1" thickBot="1" x14ac:dyDescent="0.4">
      <c r="N35" s="213" t="s">
        <v>92</v>
      </c>
      <c r="O35" s="214"/>
      <c r="P35" s="160">
        <f>P33+P34</f>
        <v>1474.8982502399999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>(N16+M16)*$O$15</f>
        <v>11.776781999999999</v>
      </c>
      <c r="P16" s="105">
        <f t="shared" ref="P16:P24" si="1">M16+N16+O16</f>
        <v>2367.1331819999996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424.7364</v>
      </c>
      <c r="O17" s="119">
        <f t="shared" ref="O17:O24" si="6">(N17+M17)*$O$15</f>
        <v>11.776781999999999</v>
      </c>
      <c r="P17" s="120">
        <f t="shared" si="1"/>
        <v>2367.1331819999996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16.306227200000002</v>
      </c>
      <c r="P19" s="120">
        <f t="shared" si="1"/>
        <v>3277.5516672000003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16.306227200000002</v>
      </c>
      <c r="P20" s="120">
        <f t="shared" si="1"/>
        <v>3277.5516672000003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588.09343999999999</v>
      </c>
      <c r="O21" s="119">
        <f t="shared" si="6"/>
        <v>16.306227200000002</v>
      </c>
      <c r="P21" s="120">
        <f t="shared" si="1"/>
        <v>3277.5516672000003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54.922000000000011</v>
      </c>
      <c r="L25" s="140">
        <f t="shared" si="9"/>
        <v>1111.5640000000001</v>
      </c>
      <c r="M25" s="141">
        <f t="shared" si="9"/>
        <v>13316.513999999999</v>
      </c>
      <c r="N25" s="142">
        <f>SUM(N16:N24)</f>
        <v>2929.6330800000005</v>
      </c>
      <c r="O25" s="143">
        <f>SUM(O16:O24)</f>
        <v>81.230735400000015</v>
      </c>
      <c r="P25" s="144">
        <f>SUM(P16:P24)</f>
        <v>16327.377815399999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14483.000000000002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1111.5640000000001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13316.514000000001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2929.6330800000005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16246.147080000002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81.230735400000015</v>
      </c>
    </row>
    <row r="35" spans="2:16" ht="15.75" customHeight="1" thickBot="1" x14ac:dyDescent="0.4">
      <c r="N35" s="213" t="s">
        <v>92</v>
      </c>
      <c r="O35" s="214"/>
      <c r="P35" s="160">
        <f>P33+P34</f>
        <v>16327.377815400003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134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20.382784000000001</v>
      </c>
      <c r="P25" s="144">
        <f>SUM(P16:P24)</f>
        <v>835.69414400000005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668.28800000000001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815.31136000000004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20.382784000000001</v>
      </c>
    </row>
    <row r="35" spans="2:16" ht="15.75" customHeight="1" thickBot="1" x14ac:dyDescent="0.4">
      <c r="N35" s="213" t="s">
        <v>92</v>
      </c>
      <c r="O35" s="214"/>
      <c r="P35" s="160">
        <f>P33+P34</f>
        <v>835.69414400000005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136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12.229670400000002</v>
      </c>
      <c r="P20" s="120">
        <f t="shared" si="1"/>
        <v>501.4164864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0</v>
      </c>
      <c r="L25" s="140">
        <f t="shared" si="9"/>
        <v>104.60160000000002</v>
      </c>
      <c r="M25" s="141">
        <f t="shared" si="9"/>
        <v>1202.9184</v>
      </c>
      <c r="N25" s="142">
        <f>SUM(N16:N24)</f>
        <v>264.64204799999999</v>
      </c>
      <c r="O25" s="143">
        <f>SUM(O16:O24)</f>
        <v>36.689011200000003</v>
      </c>
      <c r="P25" s="144">
        <f>SUM(P16:P24)</f>
        <v>1504.2494592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1307.52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104.60160000000002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1202.9184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264.64204799999999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1467.560448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36.689011200000003</v>
      </c>
    </row>
    <row r="35" spans="2:16" ht="15.75" customHeight="1" thickBot="1" x14ac:dyDescent="0.4">
      <c r="N35" s="213" t="s">
        <v>92</v>
      </c>
      <c r="O35" s="214"/>
      <c r="P35" s="160">
        <f>P33+P34</f>
        <v>1504.2494592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138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81.531136000000004</v>
      </c>
      <c r="P19" s="120">
        <f t="shared" si="1"/>
        <v>3342.7765760000002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52</v>
      </c>
      <c r="I25" s="137">
        <f t="shared" si="9"/>
        <v>3376.36</v>
      </c>
      <c r="J25" s="138"/>
      <c r="K25" s="139">
        <f t="shared" si="9"/>
        <v>16.476600000000005</v>
      </c>
      <c r="L25" s="140">
        <f t="shared" si="9"/>
        <v>255.98600000000002</v>
      </c>
      <c r="M25" s="141">
        <f t="shared" si="9"/>
        <v>3103.8973999999998</v>
      </c>
      <c r="N25" s="142">
        <f>SUM(N16:N24)</f>
        <v>682.85742800000003</v>
      </c>
      <c r="O25" s="143">
        <f>SUM(O16:O24)</f>
        <v>94.668870700000014</v>
      </c>
      <c r="P25" s="144">
        <f>SUM(P16:P24)</f>
        <v>3881.4236987000004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3376.36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255.98600000000002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16.476600000000005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3103.8974000000003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682.85742800000003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3786.7548280000001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94.668870700000014</v>
      </c>
    </row>
    <row r="35" spans="2:16" ht="15.75" customHeight="1" thickBot="1" x14ac:dyDescent="0.4">
      <c r="N35" s="213" t="s">
        <v>92</v>
      </c>
      <c r="O35" s="214"/>
      <c r="P35" s="160">
        <f>P33+P34</f>
        <v>3881.4236986999999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140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81.531136000000004</v>
      </c>
      <c r="P19" s="120">
        <f t="shared" si="1"/>
        <v>3342.7765760000002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4108.97</v>
      </c>
      <c r="N25" s="142">
        <f>SUM(N16:N24)</f>
        <v>903.97340000000008</v>
      </c>
      <c r="O25" s="143">
        <f>SUM(O16:O24)</f>
        <v>125.32358500000001</v>
      </c>
      <c r="P25" s="144">
        <f>SUM(P16:P24)</f>
        <v>5138.2669850000002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310.90800000000002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4108.97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903.97340000000008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5012.9434000000001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125.32358500000001</v>
      </c>
    </row>
    <row r="35" spans="2:16" ht="15.75" customHeight="1" thickBot="1" x14ac:dyDescent="0.4">
      <c r="N35" s="213" t="s">
        <v>92</v>
      </c>
      <c r="O35" s="214"/>
      <c r="P35" s="160">
        <f>P33+P34</f>
        <v>5138.2669850000002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2026-07-03T13:10:49Z</dcterms:modified>
</cp:coreProperties>
</file>