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defaultThemeVersion="124226"/>
  <xr:revisionPtr revIDLastSave="0" documentId="13_ncr:1_{B914D942-CEFE-4D4F-B6AB-D094D8C706EE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Z23" i="16" l="1"/>
  <c r="Z24" i="16"/>
  <c r="Z25" i="16"/>
  <c r="V22" i="16"/>
  <c r="V23" i="16"/>
  <c r="V24" i="16"/>
  <c r="V25" i="16"/>
  <c r="V21" i="16"/>
  <c r="Z22" i="16"/>
  <c r="Z21" i="16"/>
  <c r="Z18" i="16"/>
  <c r="Z17" i="16"/>
  <c r="Z16" i="16"/>
  <c r="V17" i="16"/>
  <c r="V18" i="16"/>
  <c r="V16" i="16"/>
  <c r="T33" i="15"/>
  <c r="T32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B21" i="33"/>
  <c r="C21" i="33" s="1"/>
  <c r="F20" i="33"/>
  <c r="E20" i="33"/>
  <c r="D20" i="33"/>
  <c r="B20" i="33"/>
  <c r="C20" i="33" s="1"/>
  <c r="F19" i="33"/>
  <c r="E19" i="33"/>
  <c r="D19" i="33"/>
  <c r="B19" i="33"/>
  <c r="C19" i="33" s="1"/>
  <c r="F18" i="33"/>
  <c r="E18" i="33"/>
  <c r="D18" i="33"/>
  <c r="B18" i="33"/>
  <c r="C18" i="33" s="1"/>
  <c r="F17" i="33"/>
  <c r="I17" i="33" s="1"/>
  <c r="K17" i="33" s="1"/>
  <c r="E17" i="33"/>
  <c r="D17" i="33"/>
  <c r="B17" i="33"/>
  <c r="C17" i="33" s="1"/>
  <c r="F16" i="33"/>
  <c r="E16" i="33"/>
  <c r="D16" i="33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B22" i="32"/>
  <c r="C22" i="32" s="1"/>
  <c r="F21" i="32"/>
  <c r="E21" i="32"/>
  <c r="D21" i="32"/>
  <c r="B21" i="32"/>
  <c r="C21" i="32" s="1"/>
  <c r="F20" i="32"/>
  <c r="E20" i="32"/>
  <c r="D20" i="32"/>
  <c r="B20" i="32"/>
  <c r="C20" i="32" s="1"/>
  <c r="F19" i="32"/>
  <c r="E19" i="32"/>
  <c r="D19" i="32"/>
  <c r="B19" i="32"/>
  <c r="C19" i="32" s="1"/>
  <c r="F18" i="32"/>
  <c r="E18" i="32"/>
  <c r="D18" i="32"/>
  <c r="B18" i="32"/>
  <c r="C18" i="32" s="1"/>
  <c r="F17" i="32"/>
  <c r="E17" i="32"/>
  <c r="D17" i="32"/>
  <c r="B17" i="32"/>
  <c r="C17" i="32" s="1"/>
  <c r="F16" i="32"/>
  <c r="E16" i="32"/>
  <c r="D16" i="32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B24" i="30"/>
  <c r="C24" i="30" s="1"/>
  <c r="F23" i="30"/>
  <c r="E23" i="30"/>
  <c r="D23" i="30"/>
  <c r="B23" i="30"/>
  <c r="C23" i="30" s="1"/>
  <c r="F22" i="30"/>
  <c r="E22" i="30"/>
  <c r="D22" i="30"/>
  <c r="B22" i="30"/>
  <c r="C22" i="30" s="1"/>
  <c r="F21" i="30"/>
  <c r="E21" i="30"/>
  <c r="D21" i="30"/>
  <c r="B21" i="30"/>
  <c r="C21" i="30" s="1"/>
  <c r="F20" i="30"/>
  <c r="E20" i="30"/>
  <c r="D20" i="30"/>
  <c r="B20" i="30"/>
  <c r="C20" i="30" s="1"/>
  <c r="F19" i="30"/>
  <c r="E19" i="30"/>
  <c r="D19" i="30"/>
  <c r="B19" i="30"/>
  <c r="C19" i="30" s="1"/>
  <c r="F18" i="30"/>
  <c r="E18" i="30"/>
  <c r="D18" i="30"/>
  <c r="B18" i="30"/>
  <c r="C18" i="30" s="1"/>
  <c r="F17" i="30"/>
  <c r="E17" i="30"/>
  <c r="D17" i="30"/>
  <c r="B17" i="30"/>
  <c r="C17" i="30" s="1"/>
  <c r="F16" i="30"/>
  <c r="E16" i="30"/>
  <c r="D16" i="30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B24" i="28"/>
  <c r="C24" i="28" s="1"/>
  <c r="F23" i="28"/>
  <c r="E23" i="28"/>
  <c r="D23" i="28"/>
  <c r="B23" i="28"/>
  <c r="C23" i="28" s="1"/>
  <c r="F22" i="28"/>
  <c r="E22" i="28"/>
  <c r="D22" i="28"/>
  <c r="B22" i="28"/>
  <c r="C22" i="28" s="1"/>
  <c r="F21" i="28"/>
  <c r="E21" i="28"/>
  <c r="D21" i="28"/>
  <c r="B21" i="28"/>
  <c r="C21" i="28" s="1"/>
  <c r="F20" i="28"/>
  <c r="E20" i="28"/>
  <c r="D20" i="28"/>
  <c r="B20" i="28"/>
  <c r="C20" i="28" s="1"/>
  <c r="F19" i="28"/>
  <c r="E19" i="28"/>
  <c r="D19" i="28"/>
  <c r="B19" i="28"/>
  <c r="C19" i="28" s="1"/>
  <c r="F18" i="28"/>
  <c r="E18" i="28"/>
  <c r="D18" i="28"/>
  <c r="B18" i="28"/>
  <c r="C18" i="28" s="1"/>
  <c r="F17" i="28"/>
  <c r="E17" i="28"/>
  <c r="D17" i="28"/>
  <c r="B17" i="28"/>
  <c r="C17" i="28" s="1"/>
  <c r="F16" i="28"/>
  <c r="E16" i="28"/>
  <c r="D16" i="28"/>
  <c r="C16" i="28"/>
  <c r="B16" i="28"/>
  <c r="O15" i="28"/>
  <c r="N15" i="28"/>
  <c r="N4" i="28"/>
  <c r="N5" i="28" s="1"/>
  <c r="I16" i="28" l="1"/>
  <c r="I17" i="28"/>
  <c r="I18" i="28"/>
  <c r="K18" i="28" s="1"/>
  <c r="I19" i="28"/>
  <c r="K19" i="28" s="1"/>
  <c r="I20" i="28"/>
  <c r="I21" i="28"/>
  <c r="I22" i="28"/>
  <c r="K22" i="28" s="1"/>
  <c r="I23" i="28"/>
  <c r="L23" i="28" s="1"/>
  <c r="I24" i="28"/>
  <c r="I22" i="32"/>
  <c r="I18" i="33"/>
  <c r="K18" i="33" s="1"/>
  <c r="I20" i="33"/>
  <c r="K20" i="33" s="1"/>
  <c r="I16" i="30"/>
  <c r="I17" i="30"/>
  <c r="I18" i="30"/>
  <c r="K18" i="30" s="1"/>
  <c r="I19" i="30"/>
  <c r="K19" i="30" s="1"/>
  <c r="I20" i="30"/>
  <c r="I21" i="30"/>
  <c r="I22" i="30"/>
  <c r="L22" i="30" s="1"/>
  <c r="I23" i="30"/>
  <c r="K23" i="30" s="1"/>
  <c r="M23" i="30" s="1"/>
  <c r="I24" i="30"/>
  <c r="I16" i="32"/>
  <c r="I17" i="32"/>
  <c r="I18" i="32"/>
  <c r="K18" i="32" s="1"/>
  <c r="I19" i="32"/>
  <c r="I20" i="32"/>
  <c r="I21" i="32"/>
  <c r="I16" i="33"/>
  <c r="L16" i="33" s="1"/>
  <c r="I16" i="31"/>
  <c r="I17" i="31"/>
  <c r="I18" i="31"/>
  <c r="L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K22" i="33" s="1"/>
  <c r="M22" i="33" s="1"/>
  <c r="I16" i="34"/>
  <c r="I17" i="34"/>
  <c r="I18" i="34"/>
  <c r="I19" i="34"/>
  <c r="K19" i="34" s="1"/>
  <c r="I20" i="34"/>
  <c r="K20" i="34" s="1"/>
  <c r="I21" i="34"/>
  <c r="I22" i="34"/>
  <c r="I23" i="34"/>
  <c r="I24" i="34"/>
  <c r="L24" i="34" s="1"/>
  <c r="I16" i="29"/>
  <c r="I17" i="29"/>
  <c r="I18" i="29"/>
  <c r="K18" i="29" s="1"/>
  <c r="I19" i="29"/>
  <c r="K19" i="29" s="1"/>
  <c r="I20" i="29"/>
  <c r="I21" i="29"/>
  <c r="I22" i="29"/>
  <c r="I23" i="29"/>
  <c r="L23" i="29" s="1"/>
  <c r="I24" i="29"/>
  <c r="I24" i="32"/>
  <c r="I19" i="33"/>
  <c r="L19" i="33" s="1"/>
  <c r="I23" i="33"/>
  <c r="L23" i="33" s="1"/>
  <c r="L17" i="33"/>
  <c r="I25" i="35"/>
  <c r="P28" i="35" s="1"/>
  <c r="K16" i="35"/>
  <c r="L16" i="35"/>
  <c r="K17" i="35"/>
  <c r="L17" i="35"/>
  <c r="M17" i="35" s="1"/>
  <c r="K18" i="35"/>
  <c r="L18" i="35"/>
  <c r="M18" i="35" s="1"/>
  <c r="K19" i="35"/>
  <c r="L19" i="35"/>
  <c r="K20" i="35"/>
  <c r="L20" i="35"/>
  <c r="K21" i="35"/>
  <c r="L21" i="35"/>
  <c r="K22" i="35"/>
  <c r="L22" i="35"/>
  <c r="M22" i="35"/>
  <c r="K23" i="35"/>
  <c r="L23" i="35"/>
  <c r="K24" i="35"/>
  <c r="L24" i="35"/>
  <c r="L16" i="34"/>
  <c r="K17" i="34"/>
  <c r="L17" i="34"/>
  <c r="K18" i="34"/>
  <c r="L18" i="34"/>
  <c r="K21" i="34"/>
  <c r="L21" i="34"/>
  <c r="K22" i="34"/>
  <c r="L22" i="34"/>
  <c r="K23" i="34"/>
  <c r="K21" i="33"/>
  <c r="L21" i="33"/>
  <c r="L22" i="33"/>
  <c r="K19" i="33"/>
  <c r="L20" i="33"/>
  <c r="K24" i="33"/>
  <c r="L24" i="33"/>
  <c r="M17" i="33"/>
  <c r="K24" i="32"/>
  <c r="L24" i="32"/>
  <c r="I25" i="32"/>
  <c r="P28" i="32" s="1"/>
  <c r="K16" i="32"/>
  <c r="L16" i="32"/>
  <c r="K17" i="32"/>
  <c r="L17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K21" i="31"/>
  <c r="L21" i="31"/>
  <c r="L22" i="31"/>
  <c r="K24" i="31"/>
  <c r="L24" i="31"/>
  <c r="K16" i="31"/>
  <c r="L16" i="31"/>
  <c r="K18" i="31"/>
  <c r="K20" i="31"/>
  <c r="L20" i="31"/>
  <c r="L23" i="31"/>
  <c r="K20" i="30"/>
  <c r="L20" i="30"/>
  <c r="K21" i="30"/>
  <c r="L21" i="30"/>
  <c r="M21" i="30" s="1"/>
  <c r="L23" i="30"/>
  <c r="K16" i="30"/>
  <c r="L16" i="30"/>
  <c r="K17" i="30"/>
  <c r="L17" i="30"/>
  <c r="K22" i="30"/>
  <c r="K24" i="30"/>
  <c r="L24" i="30"/>
  <c r="K16" i="29"/>
  <c r="L16" i="29"/>
  <c r="K21" i="29"/>
  <c r="L21" i="29"/>
  <c r="K24" i="29"/>
  <c r="M24" i="29" s="1"/>
  <c r="L24" i="29"/>
  <c r="K17" i="29"/>
  <c r="L17" i="29"/>
  <c r="K20" i="29"/>
  <c r="L20" i="29"/>
  <c r="K22" i="29"/>
  <c r="L22" i="29"/>
  <c r="I25" i="28"/>
  <c r="P28" i="28" s="1"/>
  <c r="K16" i="28"/>
  <c r="L16" i="28"/>
  <c r="K17" i="28"/>
  <c r="L17" i="28"/>
  <c r="M17" i="28" s="1"/>
  <c r="L19" i="28"/>
  <c r="K20" i="28"/>
  <c r="L20" i="28"/>
  <c r="K21" i="28"/>
  <c r="L21" i="28"/>
  <c r="K24" i="28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3" i="28" l="1"/>
  <c r="M23" i="28" s="1"/>
  <c r="K23" i="29"/>
  <c r="M22" i="29"/>
  <c r="N22" i="29" s="1"/>
  <c r="O22" i="29" s="1"/>
  <c r="L19" i="30"/>
  <c r="M22" i="31"/>
  <c r="L19" i="31"/>
  <c r="K24" i="34"/>
  <c r="M24" i="34" s="1"/>
  <c r="L20" i="34"/>
  <c r="M21" i="35"/>
  <c r="I25" i="34"/>
  <c r="P28" i="34" s="1"/>
  <c r="M24" i="28"/>
  <c r="L22" i="28"/>
  <c r="L18" i="28"/>
  <c r="L18" i="29"/>
  <c r="L25" i="29" s="1"/>
  <c r="P29" i="29" s="1"/>
  <c r="M24" i="30"/>
  <c r="L18" i="30"/>
  <c r="L18" i="32"/>
  <c r="M24" i="32"/>
  <c r="N24" i="32" s="1"/>
  <c r="O24" i="32" s="1"/>
  <c r="P24" i="32" s="1"/>
  <c r="K23" i="33"/>
  <c r="L23" i="34"/>
  <c r="M23" i="34" s="1"/>
  <c r="N23" i="34" s="1"/>
  <c r="O23" i="34" s="1"/>
  <c r="P23" i="34" s="1"/>
  <c r="L19" i="34"/>
  <c r="M24" i="35"/>
  <c r="N24" i="35" s="1"/>
  <c r="O24" i="35" s="1"/>
  <c r="P24" i="35" s="1"/>
  <c r="L18" i="33"/>
  <c r="M18" i="33" s="1"/>
  <c r="I25" i="30"/>
  <c r="P28" i="30" s="1"/>
  <c r="M24" i="31"/>
  <c r="K16" i="33"/>
  <c r="K25" i="33" s="1"/>
  <c r="P30" i="33" s="1"/>
  <c r="M24" i="33"/>
  <c r="M23" i="35"/>
  <c r="M23" i="33"/>
  <c r="I16" i="26"/>
  <c r="K16" i="26" s="1"/>
  <c r="I17" i="26"/>
  <c r="I18" i="26"/>
  <c r="K18" i="26" s="1"/>
  <c r="I19" i="26"/>
  <c r="I20" i="26"/>
  <c r="L20" i="26" s="1"/>
  <c r="I21" i="26"/>
  <c r="I22" i="26"/>
  <c r="K22" i="26" s="1"/>
  <c r="I23" i="26"/>
  <c r="I24" i="26"/>
  <c r="L24" i="26" s="1"/>
  <c r="M24" i="26" s="1"/>
  <c r="I21" i="27"/>
  <c r="M18" i="28"/>
  <c r="N18" i="28" s="1"/>
  <c r="O18" i="28" s="1"/>
  <c r="P18" i="28" s="1"/>
  <c r="M20" i="29"/>
  <c r="M23" i="31"/>
  <c r="N23" i="31" s="1"/>
  <c r="O23" i="31" s="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L19" i="29"/>
  <c r="I25" i="29"/>
  <c r="P28" i="29" s="1"/>
  <c r="M23" i="29"/>
  <c r="N23" i="29" s="1"/>
  <c r="O23" i="29" s="1"/>
  <c r="M22" i="28"/>
  <c r="N22" i="28" s="1"/>
  <c r="O22" i="28" s="1"/>
  <c r="P22" i="28" s="1"/>
  <c r="M22" i="32"/>
  <c r="N22" i="32" s="1"/>
  <c r="O22" i="32" s="1"/>
  <c r="P22" i="32" s="1"/>
  <c r="M22" i="30"/>
  <c r="M21" i="33"/>
  <c r="N21" i="33" s="1"/>
  <c r="O21" i="33" s="1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L25" i="34"/>
  <c r="P29" i="34" s="1"/>
  <c r="N19" i="34"/>
  <c r="O19" i="34" s="1"/>
  <c r="N23" i="33"/>
  <c r="O23" i="33" s="1"/>
  <c r="N24" i="33"/>
  <c r="O24" i="33" s="1"/>
  <c r="N18" i="33"/>
  <c r="O18" i="33" s="1"/>
  <c r="N17" i="33"/>
  <c r="O17" i="33" s="1"/>
  <c r="N22" i="33"/>
  <c r="O22" i="33" s="1"/>
  <c r="M16" i="33"/>
  <c r="N17" i="32"/>
  <c r="O17" i="32" s="1"/>
  <c r="N23" i="32"/>
  <c r="O23" i="32" s="1"/>
  <c r="L25" i="32"/>
  <c r="P29" i="32" s="1"/>
  <c r="K25" i="32"/>
  <c r="P30" i="32" s="1"/>
  <c r="N21" i="31"/>
  <c r="O21" i="31" s="1"/>
  <c r="N24" i="31"/>
  <c r="O24" i="31" s="1"/>
  <c r="P24" i="3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16" i="29"/>
  <c r="N20" i="29"/>
  <c r="O20" i="29" s="1"/>
  <c r="N24" i="29"/>
  <c r="O24" i="29" s="1"/>
  <c r="P24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K21" i="26"/>
  <c r="L21" i="26"/>
  <c r="K24" i="26"/>
  <c r="L16" i="26"/>
  <c r="T23" i="15"/>
  <c r="T22" i="15"/>
  <c r="T21" i="15"/>
  <c r="T20" i="15"/>
  <c r="T19" i="15"/>
  <c r="T18" i="15"/>
  <c r="T15" i="15"/>
  <c r="T14" i="15"/>
  <c r="N24" i="34" l="1"/>
  <c r="O24" i="34" s="1"/>
  <c r="K25" i="34"/>
  <c r="P30" i="34" s="1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N25" i="34" l="1"/>
  <c r="P32" i="34" s="1"/>
  <c r="P24" i="34"/>
  <c r="I16" i="25"/>
  <c r="I17" i="25"/>
  <c r="I18" i="25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K20" i="19" s="1"/>
  <c r="I21" i="19"/>
  <c r="L21" i="19" s="1"/>
  <c r="I22" i="19"/>
  <c r="I23" i="19"/>
  <c r="L23" i="19" s="1"/>
  <c r="I24" i="19"/>
  <c r="P33" i="34"/>
  <c r="P34" i="34" s="1"/>
  <c r="P35" i="34" s="1"/>
  <c r="U32" i="15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L23" i="24" s="1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17" i="25"/>
  <c r="K17" i="25"/>
  <c r="L23" i="25"/>
  <c r="K23" i="25"/>
  <c r="K21" i="24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18" i="19"/>
  <c r="K24" i="19"/>
  <c r="L24" i="19"/>
  <c r="K22" i="19"/>
  <c r="L22" i="19"/>
  <c r="L21" i="18"/>
  <c r="K21" i="18"/>
  <c r="K24" i="18"/>
  <c r="M24" i="18" s="1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20" i="19" l="1"/>
  <c r="L24" i="17"/>
  <c r="K17" i="23"/>
  <c r="K17" i="24"/>
  <c r="K21" i="19"/>
  <c r="M21" i="19" s="1"/>
  <c r="K23" i="24"/>
  <c r="L22" i="25"/>
  <c r="I25" i="25"/>
  <c r="P28" i="25" s="1"/>
  <c r="K22" i="18"/>
  <c r="M22" i="18" s="1"/>
  <c r="N22" i="18" s="1"/>
  <c r="O22" i="18" s="1"/>
  <c r="L18" i="17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U33" i="1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M17" i="19" s="1"/>
  <c r="N17" i="19" s="1"/>
  <c r="O17" i="19" s="1"/>
  <c r="L16" i="17"/>
  <c r="M16" i="17" s="1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N23" i="24" s="1"/>
  <c r="O23" i="24" s="1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I18" i="16"/>
  <c r="K18" i="16" s="1"/>
  <c r="I19" i="16"/>
  <c r="I20" i="16"/>
  <c r="K20" i="16" s="1"/>
  <c r="I21" i="16"/>
  <c r="I22" i="16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4" i="24"/>
  <c r="O24" i="24" s="1"/>
  <c r="K25" i="24"/>
  <c r="P30" i="24" s="1"/>
  <c r="N18" i="22"/>
  <c r="O18" i="22" s="1"/>
  <c r="M16" i="22"/>
  <c r="M21" i="21"/>
  <c r="N21" i="21" s="1"/>
  <c r="N24" i="19"/>
  <c r="O24" i="19" s="1"/>
  <c r="L25" i="19"/>
  <c r="P29" i="19" s="1"/>
  <c r="N24" i="18"/>
  <c r="O24" i="18" s="1"/>
  <c r="N18" i="18"/>
  <c r="O18" i="18" s="1"/>
  <c r="I23" i="15"/>
  <c r="L17" i="16" l="1"/>
  <c r="K17" i="16"/>
  <c r="M23" i="22"/>
  <c r="N23" i="22" s="1"/>
  <c r="O23" i="22" s="1"/>
  <c r="L21" i="16"/>
  <c r="L21" i="15" s="1"/>
  <c r="K21" i="16"/>
  <c r="K25" i="19"/>
  <c r="P30" i="19" s="1"/>
  <c r="K22" i="16"/>
  <c r="K22" i="15" s="1"/>
  <c r="L22" i="16"/>
  <c r="L22" i="15" s="1"/>
  <c r="L19" i="16"/>
  <c r="K19" i="16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O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22" i="23"/>
  <c r="N22" i="23" s="1"/>
  <c r="O22" i="23" s="1"/>
  <c r="M22" i="20"/>
  <c r="N22" i="20" s="1"/>
  <c r="O22" i="20" s="1"/>
  <c r="M25" i="24"/>
  <c r="K20" i="15"/>
  <c r="K21" i="15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5"/>
  <c r="P23" i="22"/>
  <c r="I25" i="15"/>
  <c r="P36" i="15" s="1"/>
  <c r="M24" i="16"/>
  <c r="N24" i="16" s="1"/>
  <c r="K23" i="16"/>
  <c r="K19" i="15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N21" i="19"/>
  <c r="O21" i="19" s="1"/>
  <c r="P17" i="19"/>
  <c r="P31" i="19"/>
  <c r="P18" i="19"/>
  <c r="P20" i="19"/>
  <c r="P19" i="19"/>
  <c r="P23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5" i="19" l="1"/>
  <c r="M21" i="15"/>
  <c r="M16" i="16"/>
  <c r="N16" i="16" s="1"/>
  <c r="O16" i="16" s="1"/>
  <c r="M25" i="18"/>
  <c r="M16" i="15"/>
  <c r="M22" i="15"/>
  <c r="M18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O22" i="16"/>
  <c r="O22" i="15" s="1"/>
  <c r="P22" i="15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16" i="16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<sst xmlns="http://schemas.openxmlformats.org/spreadsheetml/2006/main" count="1632" uniqueCount="128">
  <si>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</si>
  <si>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</si>
  <si>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</si>
  <si>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</si>
  <si>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</si>
  <si>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</si>
  <si>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</si>
  <si>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</si>
  <si>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</si>
  <si>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</si>
  <si>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</si>
  <si>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</si>
  <si>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</si>
  <si>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</si>
  <si>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</si>
  <si>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</si>
  <si>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</si>
  <si>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</si>
  <si>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</si>
  <si>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</si>
  <si>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</si>
  <si>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</si>
  <si>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</si>
  <si>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</si>
  <si>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</si>
  <si>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</si>
  <si>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</si>
  <si>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</si>
  <si>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</si>
  <si>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</si>
  <si>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</si>
  <si>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</si>
  <si>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</si>
  <si>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</si>
  <si>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</si>
  <si>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</si>
  <si>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</si>
  <si>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</si>
  <si>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</si>
  <si>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</si>
  <si>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</si>
  <si>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</si>
  <si>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</si>
  <si>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</si>
  <si>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</si>
  <si>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</si>
  <si>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</si>
  <si>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</si>
  <si>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</si>
  <si>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</si>
  <si>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</si>
  <si>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</si>
  <si>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</si>
  <si>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</si>
  <si>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</si>
  <si>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</si>
  <si>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</si>
  <si>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</si>
  <si>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</si>
  <si>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</si>
  <si>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</si>
  <si>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</si>
  <si>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</si>
  <si>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</si>
  <si>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</si>
  <si>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</si>
  <si>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</si>
  <si>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</si>
  <si>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</si>
  <si>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</si>
  <si>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</si>
  <si>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</si>
  <si>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</si>
  <si>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</si>
  <si>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</si>
  <si>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</si>
  <si>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</si>
  <si>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</si>
  <si>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</si>
  <si>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</si>
  <si>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</si>
  <si>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</si>
  <si>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</si>
  <si>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</si>
  <si>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</si>
  <si>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</si>
  <si>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</si>
  <si>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</si>
  <si>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</si>
  <si>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</si>
  <si>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</si>
  <si>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</si>
  <si>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</si>
  <si>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</si>
  <si>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</si>
  <si>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</si>
  <si>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</si>
  <si>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</si>
  <si>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</si>
  <si>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</si>
  <si>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</si>
  <si>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</si>
  <si>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</si>
  <si>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</si>
  <si>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</si>
  <si>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</si>
  <si>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60G</t>
  </si>
  <si>
    <t>120G</t>
  </si>
  <si>
    <t>70G</t>
  </si>
  <si>
    <t>Gram</t>
  </si>
  <si>
    <t>Ctn Rate</t>
  </si>
  <si>
    <t>50 RS</t>
  </si>
  <si>
    <t>65 RS</t>
  </si>
  <si>
    <t>90 RS</t>
  </si>
  <si>
    <t>Retail Prize</t>
  </si>
  <si>
    <t xml:space="preserve">Single </t>
  </si>
  <si>
    <t>Non Filer &amp; Register</t>
  </si>
  <si>
    <t>Non Filer (Regular)</t>
  </si>
  <si>
    <t>Filer &amp; Register (LMT)</t>
  </si>
  <si>
    <t>Filer &amp; Non Register</t>
  </si>
  <si>
    <t>Salman</t>
  </si>
  <si>
    <t>Shop Bill Summary (Salman)</t>
  </si>
  <si>
    <t xml:space="preserve">Customer Name : Kashmir Bakers </t>
  </si>
  <si>
    <t>Address: LDA Flats</t>
  </si>
  <si>
    <t>Customer Name : Haji Store</t>
  </si>
  <si>
    <t>Address: Officer Colony</t>
  </si>
  <si>
    <t>Customer Name : Umer Store</t>
  </si>
  <si>
    <t xml:space="preserve">Address: Sabzi Mandi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</si>
</sst>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67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" fontId="0" fillId="7" borderId="1" xfId="0" applyNumberFormat="1" applyFill="1" applyBorder="1" applyAlignment="1">
      <alignment horizontal="center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Awan Store"/>
      <sheetName val="Rana Bilal"/>
      <sheetName val="clinix"/>
      <sheetName val="al-fatah"/>
      <sheetName val="AWAN MART"/>
      <sheetName val="MADINA STORE "/>
      <sheetName val="RANA MART "/>
      <sheetName val="DAIM STORE"/>
      <sheetName val="AL MADINA STORE "/>
      <sheetName val="CANTT STORE"/>
      <sheetName val="CHALET BAKER"/>
      <sheetName val="WELFARE STORE "/>
      <sheetName val="SHAHEEN BAKER"/>
      <sheetName val="MG STORE "/>
      <sheetName val="ABDULLAH STORE "/>
      <sheetName val="AHMAD STORE "/>
      <sheetName val="USMAN NADEEM STORE "/>
      <sheetName val="HASEEB PHARMACY"/>
      <sheetName val="TALHA STORE "/>
      <sheetName val="AHMAD STORE"/>
      <sheetName val="HASSAN STORE "/>
      <sheetName val="Order Details"/>
      <sheetName val="Sheet2"/>
      <sheetName val="A One"/>
      <sheetName val="Al Hamad"/>
      <sheetName val="Chanda"/>
      <sheetName val="Al Noor"/>
    </sheetNames>
    <sheetDataSet>
      <sheetData sheetId="0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/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/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/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/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/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/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/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</row>
        <row r="19"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</row>
        <row r="20"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93"/>
      <c r="B3" s="193"/>
      <c r="C3" s="193"/>
      <c r="D3" s="193"/>
      <c r="E3" s="193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</row>
    <row r="4" spans="1:29" x14ac:dyDescent="0.35">
      <c r="A4" s="195" t="s">
        <v>6</v>
      </c>
      <c r="B4" s="5" t="s">
        <v>7</v>
      </c>
      <c r="C4" s="5"/>
      <c r="D4" s="197" t="s">
        <v>8</v>
      </c>
      <c r="E4" s="199" t="s">
        <v>9</v>
      </c>
      <c r="F4" s="201" t="s">
        <v>3</v>
      </c>
      <c r="G4" s="201"/>
      <c r="H4" s="202" t="s">
        <v>10</v>
      </c>
      <c r="I4" s="202"/>
      <c r="J4" s="203" t="s">
        <v>11</v>
      </c>
      <c r="K4" s="204"/>
      <c r="L4" s="203" t="s">
        <v>12</v>
      </c>
      <c r="M4" s="204"/>
      <c r="N4" s="205" t="s">
        <v>13</v>
      </c>
      <c r="O4" s="205"/>
      <c r="P4" s="203" t="s">
        <v>4</v>
      </c>
      <c r="Q4" s="204"/>
      <c r="R4" s="203" t="s">
        <v>14</v>
      </c>
      <c r="S4" s="204"/>
      <c r="T4" s="206" t="s">
        <v>15</v>
      </c>
      <c r="U4" s="206"/>
      <c r="V4" s="207" t="s">
        <v>16</v>
      </c>
      <c r="W4" s="208"/>
      <c r="X4" s="207" t="s">
        <v>17</v>
      </c>
      <c r="Y4" s="208"/>
    </row>
    <row r="5" spans="1:29" ht="26.25" customHeight="1" thickBot="1" x14ac:dyDescent="0.4">
      <c r="A5" s="196"/>
      <c r="B5" s="7" t="s">
        <v>18</v>
      </c>
      <c r="C5" s="7" t="s">
        <v>8</v>
      </c>
      <c r="D5" s="198"/>
      <c r="E5" s="20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9" sqref="T3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09" t="s">
        <v>45</v>
      </c>
      <c r="B2" s="209"/>
      <c r="C2" s="209"/>
    </row>
    <row r="3" spans="1:21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14" t="s">
        <v>120</v>
      </c>
      <c r="B5" s="214"/>
      <c r="C5" s="214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21 16383:16384" ht="15" customHeight="1" x14ac:dyDescent="0.35">
      <c r="A6" s="214"/>
      <c r="B6" s="214"/>
      <c r="C6" s="214"/>
      <c r="F6" s="70"/>
      <c r="G6" s="74"/>
      <c r="K6" s="211" t="s">
        <v>52</v>
      </c>
      <c r="L6" s="211"/>
      <c r="M6" s="211"/>
      <c r="N6" s="213" t="s">
        <v>42</v>
      </c>
      <c r="O6" s="213"/>
      <c r="P6" s="21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1 16383:16384" hidden="1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1 16383:16384" x14ac:dyDescent="0.35">
      <c r="A10" s="216"/>
      <c r="B10" s="75"/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1 16383:16384" ht="15" thickBot="1" x14ac:dyDescent="0.4">
      <c r="A11" s="216"/>
      <c r="B11" s="76"/>
      <c r="C11" s="77"/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1 16383:16384" ht="14.65" customHeight="1" x14ac:dyDescent="0.35">
      <c r="A12" s="216"/>
      <c r="B12" s="76"/>
      <c r="C12" s="77"/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T12" s="225" t="s">
        <v>121</v>
      </c>
      <c r="U12" s="226"/>
      <c r="XFD12" t="s">
        <v>62</v>
      </c>
    </row>
    <row r="13" spans="1:21 16383:16384" ht="15" thickBot="1" x14ac:dyDescent="0.4">
      <c r="A13" s="253"/>
      <c r="J13" s="78"/>
      <c r="K13" s="78"/>
      <c r="L13" s="79">
        <v>0.05</v>
      </c>
      <c r="T13" s="227"/>
      <c r="U13" s="228"/>
      <c r="XFD13" t="s">
        <v>63</v>
      </c>
    </row>
    <row r="14" spans="1:21 16383:16384" ht="29.25" customHeight="1" x14ac:dyDescent="0.6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19" t="s">
        <v>68</v>
      </c>
      <c r="H14" s="220"/>
      <c r="I14" s="220" t="s">
        <v>69</v>
      </c>
      <c r="J14" s="220" t="s">
        <v>70</v>
      </c>
      <c r="K14" s="220"/>
      <c r="L14" s="222"/>
      <c r="M14" s="223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 xml:space="preserve">Customer Name : Kashmir Bakers </v>
      </c>
      <c r="U14" s="164">
        <f>+'1'!P35</f>
        <v>6014.5325877000005</v>
      </c>
      <c r="XFD14" t="s">
        <v>75</v>
      </c>
    </row>
    <row r="15" spans="1:21 16383:16384" ht="29.25" customHeight="1" thickBot="1" x14ac:dyDescent="0.65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21"/>
      <c r="J15" s="171" t="s">
        <v>78</v>
      </c>
      <c r="K15" s="171" t="s">
        <v>79</v>
      </c>
      <c r="L15" s="174" t="s">
        <v>80</v>
      </c>
      <c r="M15" s="22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Haji Store</v>
      </c>
      <c r="U15" s="164">
        <f>+'2'!P35</f>
        <v>2230.5591291000005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80</v>
      </c>
      <c r="I16" s="1">
        <f>(G16*D16)*F16+H16*F16</f>
        <v>4197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73.447500000000005</v>
      </c>
      <c r="L16" s="175">
        <f>+'1'!L16+'2'!L16+'4'!L16+'3'!L16+'5'!L16+'6'!L16+'7'!L16+'8'!L16+'9'!L16+'10'!L16</f>
        <v>335.76</v>
      </c>
      <c r="M16" s="106">
        <f>I16-K16-L16</f>
        <v>3787.7924999999996</v>
      </c>
      <c r="N16" s="101">
        <f>+'1'!N16+'2'!N16+'4'!N16+'3'!N16+'5'!N16+'6'!N16+'7'!N16+'8'!N16+'9'!N16+'10'!N16</f>
        <v>681.80264999999997</v>
      </c>
      <c r="O16" s="101">
        <f>+'1'!O16+'2'!O16+'4'!O16+'3'!O16+'5'!O16+'6'!O16+'7'!O16+'8'!O16+'9'!O16+'10'!O16</f>
        <v>67.910607749999997</v>
      </c>
      <c r="P16" s="105">
        <f t="shared" ref="P16:P24" si="0">M16+N16+O16</f>
        <v>4537.5057577499992</v>
      </c>
      <c r="Q16" s="108"/>
      <c r="T16" s="163" t="str">
        <f>+'3'!A5</f>
        <v>Customer Name : Umer Store</v>
      </c>
      <c r="U16" s="164">
        <f>+'3'!P35</f>
        <v>17842.945554000002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90</v>
      </c>
      <c r="I17" s="1">
        <f t="shared" ref="I17:I23" si="1">(G17*D17)*F17+H17*F17</f>
        <v>4721.625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73.447500000000005</v>
      </c>
      <c r="L17" s="175">
        <f>+'1'!L17+'2'!L17+'4'!L17+'3'!L17+'5'!L17+'6'!L17+'7'!L17+'8'!L17+'9'!L17+'10'!L17</f>
        <v>377.73</v>
      </c>
      <c r="M17" s="118">
        <f t="shared" ref="M17:M23" si="2">I17-K17-L17</f>
        <v>4270.4475000000002</v>
      </c>
      <c r="N17" s="101">
        <f>+'1'!N17+'2'!N17+'4'!N17+'3'!N17+'5'!N17+'6'!N17+'7'!N17+'8'!N17+'9'!N17+'10'!N17</f>
        <v>787.98675000000003</v>
      </c>
      <c r="O17" s="101">
        <f>+'1'!O17+'2'!O17+'4'!O17+'3'!O17+'5'!O17+'6'!O17+'7'!O17+'8'!O17+'9'!O17+'10'!O17</f>
        <v>70.854803249999989</v>
      </c>
      <c r="P17" s="120">
        <f t="shared" si="0"/>
        <v>5129.2890532500005</v>
      </c>
      <c r="S17" s="64"/>
      <c r="T17" s="163" t="str">
        <f>+'4'!A5</f>
        <v xml:space="preserve">Customer Name : </v>
      </c>
      <c r="U17" s="164">
        <f>+'4'!P35</f>
        <v>0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 xml:space="preserve">Customer Name : </v>
      </c>
      <c r="U18" s="164">
        <f>+'5'!P35</f>
        <v>0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50</v>
      </c>
      <c r="I19" s="1">
        <f t="shared" si="1"/>
        <v>3632</v>
      </c>
      <c r="J19" s="172">
        <f>+'1'!J19+'2'!J19+'4'!J19+'3'!J19+'5'!J19+'6'!J19+'7'!J19+'8'!J19+'9'!J19+'10'!J19+'11'!J19+'12'!J19+'13'!J19+'14'!J19+'15'!J19+'16'!J19+'17'!J19+'18'!J19+'19'!J19+'20'!J19</f>
        <v>0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290.56</v>
      </c>
      <c r="M19" s="118">
        <f t="shared" si="2"/>
        <v>3341.44</v>
      </c>
      <c r="N19" s="101">
        <f>+'1'!N19+'2'!N19+'4'!N19+'3'!N19+'5'!N19+'6'!N19+'7'!N19+'8'!N19+'9'!N19+'10'!N19</f>
        <v>628.19071999999994</v>
      </c>
      <c r="O19" s="101">
        <f>+'1'!O19+'2'!O19+'4'!O19+'3'!O19+'5'!O19+'6'!O19+'7'!O19+'8'!O19+'9'!O19+'10'!O19</f>
        <v>82.934540800000008</v>
      </c>
      <c r="P19" s="120">
        <f t="shared" si="0"/>
        <v>4052.5652608</v>
      </c>
      <c r="T19" s="163" t="str">
        <f>+'6'!A5</f>
        <v xml:space="preserve">Customer Name : </v>
      </c>
      <c r="U19" s="164">
        <f>+'6'!P35</f>
        <v>0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40</v>
      </c>
      <c r="I20" s="1">
        <f t="shared" si="1"/>
        <v>2905.6</v>
      </c>
      <c r="J20" s="172">
        <f>+'1'!J20+'2'!J20+'4'!J20+'3'!J20+'5'!J20+'6'!J20+'7'!J20+'8'!J20+'9'!J20+'10'!J20+'11'!J20+'12'!J20+'13'!J20+'14'!J20+'15'!J20+'16'!J20+'17'!J20+'18'!J20+'19'!J20+'20'!J20</f>
        <v>0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232.44800000000001</v>
      </c>
      <c r="M20" s="118">
        <f t="shared" si="2"/>
        <v>2673.152</v>
      </c>
      <c r="N20" s="101">
        <f>+'1'!N20+'2'!N20+'4'!N20+'3'!N20+'5'!N20+'6'!N20+'7'!N20+'8'!N20+'9'!N20+'10'!N20</f>
        <v>481.16735999999997</v>
      </c>
      <c r="O20" s="101">
        <f>+'1'!O20+'2'!O20+'4'!O20+'3'!O20+'5'!O20+'6'!O20+'7'!O20+'8'!O20+'9'!O20+'10'!O20</f>
        <v>78.857984000000002</v>
      </c>
      <c r="P20" s="120">
        <f t="shared" si="0"/>
        <v>3233.1773440000002</v>
      </c>
      <c r="T20" s="163" t="str">
        <f>+'7'!A5</f>
        <v xml:space="preserve">Customer Name : </v>
      </c>
      <c r="U20" s="164">
        <f>+'7'!P35</f>
        <v>0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50</v>
      </c>
      <c r="I21" s="1">
        <f t="shared" si="1"/>
        <v>3632</v>
      </c>
      <c r="J21" s="172">
        <f>+'1'!J21+'2'!J21+'4'!J21+'3'!J21+'5'!J21+'6'!J21+'7'!J21+'8'!J21+'9'!J21+'10'!J21+'11'!J21+'12'!J21+'13'!J21+'14'!J21+'15'!J21+'16'!J21+'17'!J21+'18'!J21+'19'!J21+'20'!J21</f>
        <v>0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290.56</v>
      </c>
      <c r="M21" s="118">
        <f t="shared" si="2"/>
        <v>3341.44</v>
      </c>
      <c r="N21" s="101">
        <f>+'1'!N21+'2'!N21+'4'!N21+'3'!N21+'5'!N21+'6'!N21+'7'!N21+'8'!N21+'9'!N21+'10'!N21</f>
        <v>628.19071999999994</v>
      </c>
      <c r="O21" s="101">
        <f>+'1'!O21+'2'!O21+'4'!O21+'3'!O21+'5'!O21+'6'!O21+'7'!O21+'8'!O21+'9'!O21+'10'!O21</f>
        <v>82.934540800000008</v>
      </c>
      <c r="P21" s="120">
        <f t="shared" si="0"/>
        <v>4052.5652608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120</v>
      </c>
      <c r="I22" s="1">
        <f t="shared" si="1"/>
        <v>4707.6000000000004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164.76600000000002</v>
      </c>
      <c r="L22" s="175">
        <f>+'1'!L22+'2'!L22+'4'!L22+'3'!L22+'5'!L22+'6'!L22+'7'!L22+'8'!L22+'9'!L22+'10'!L22</f>
        <v>313.84000000000009</v>
      </c>
      <c r="M22" s="118">
        <f t="shared" si="2"/>
        <v>4228.9940000000006</v>
      </c>
      <c r="N22" s="101">
        <f>+'1'!N22+'2'!N22+'4'!N22+'3'!N22+'5'!N22+'6'!N22+'7'!N22+'8'!N22+'9'!N22+'10'!N22</f>
        <v>761.21892000000003</v>
      </c>
      <c r="O22" s="101">
        <f>+'1'!O22+'2'!O22+'4'!O22+'3'!O22+'5'!O22+'6'!O22+'7'!O22+'8'!O22+'9'!O22+'10'!O22</f>
        <v>92.721674200000024</v>
      </c>
      <c r="P22" s="120">
        <f t="shared" si="0"/>
        <v>5082.9345942000009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35" t="s">
        <v>84</v>
      </c>
      <c r="B25" s="236"/>
      <c r="C25" s="237">
        <f>H25/40</f>
        <v>10.75</v>
      </c>
      <c r="D25" s="231"/>
      <c r="E25" s="231"/>
      <c r="F25" s="231"/>
      <c r="G25" s="176">
        <f t="shared" ref="G25:M25" si="3">SUM(G16:G24)</f>
        <v>0</v>
      </c>
      <c r="H25" s="177">
        <f t="shared" si="3"/>
        <v>430</v>
      </c>
      <c r="I25" s="178">
        <f t="shared" si="3"/>
        <v>23795.824999999997</v>
      </c>
      <c r="J25" s="177">
        <f t="shared" si="3"/>
        <v>0</v>
      </c>
      <c r="K25" s="178">
        <f t="shared" si="3"/>
        <v>311.66100000000006</v>
      </c>
      <c r="L25" s="179">
        <f t="shared" si="3"/>
        <v>1840.8980000000001</v>
      </c>
      <c r="M25" s="141">
        <f t="shared" si="3"/>
        <v>21643.266000000003</v>
      </c>
      <c r="N25" s="142">
        <f>SUM(N16:N24)</f>
        <v>3968.5571200000004</v>
      </c>
      <c r="O25" s="143">
        <f>SUM(O16:O24)</f>
        <v>476.21415080000008</v>
      </c>
      <c r="P25" s="144">
        <f>SUM(P16:P24)</f>
        <v>26088.0372708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26088.037270800003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38" t="s">
        <v>85</v>
      </c>
      <c r="C36" s="239"/>
      <c r="D36" s="239"/>
      <c r="E36" s="239"/>
      <c r="F36" s="239"/>
      <c r="G36" s="239"/>
      <c r="H36" s="239"/>
      <c r="I36" s="239"/>
      <c r="J36" s="239"/>
      <c r="K36" s="239"/>
      <c r="L36" s="240"/>
      <c r="N36" s="247" t="s">
        <v>86</v>
      </c>
      <c r="O36" s="248"/>
      <c r="P36" s="152">
        <f>I25</f>
        <v>23795.824999999997</v>
      </c>
    </row>
    <row r="37" spans="1:21" ht="15" customHeight="1" x14ac:dyDescent="0.35">
      <c r="B37" s="241"/>
      <c r="C37" s="242"/>
      <c r="D37" s="242"/>
      <c r="E37" s="242"/>
      <c r="F37" s="242"/>
      <c r="G37" s="242"/>
      <c r="H37" s="242"/>
      <c r="I37" s="242"/>
      <c r="J37" s="242"/>
      <c r="K37" s="242"/>
      <c r="L37" s="243"/>
      <c r="N37" s="249" t="s">
        <v>87</v>
      </c>
      <c r="O37" s="250"/>
      <c r="P37" s="153">
        <f>L25</f>
        <v>1840.8980000000001</v>
      </c>
    </row>
    <row r="38" spans="1:21" ht="15" customHeight="1" x14ac:dyDescent="0.35">
      <c r="B38" s="241"/>
      <c r="C38" s="242"/>
      <c r="D38" s="242"/>
      <c r="E38" s="242"/>
      <c r="F38" s="242"/>
      <c r="G38" s="242"/>
      <c r="H38" s="242"/>
      <c r="I38" s="242"/>
      <c r="J38" s="242"/>
      <c r="K38" s="242"/>
      <c r="L38" s="243"/>
      <c r="N38" s="249" t="s">
        <v>4</v>
      </c>
      <c r="O38" s="250"/>
      <c r="P38" s="154">
        <f>K25</f>
        <v>311.66100000000006</v>
      </c>
    </row>
    <row r="39" spans="1:21" ht="15" customHeight="1" x14ac:dyDescent="0.35">
      <c r="B39" s="241"/>
      <c r="C39" s="242"/>
      <c r="D39" s="242"/>
      <c r="E39" s="242"/>
      <c r="F39" s="242"/>
      <c r="G39" s="242"/>
      <c r="H39" s="242"/>
      <c r="I39" s="242"/>
      <c r="J39" s="242"/>
      <c r="K39" s="242"/>
      <c r="L39" s="243"/>
      <c r="M39" s="2"/>
      <c r="N39" s="249" t="s">
        <v>88</v>
      </c>
      <c r="O39" s="250"/>
      <c r="P39" s="153">
        <f>P36-P37-P38</f>
        <v>21643.265999999996</v>
      </c>
    </row>
    <row r="40" spans="1:21" ht="15" customHeight="1" x14ac:dyDescent="0.35">
      <c r="B40" s="241"/>
      <c r="C40" s="242"/>
      <c r="D40" s="242"/>
      <c r="E40" s="242"/>
      <c r="F40" s="242"/>
      <c r="G40" s="242"/>
      <c r="H40" s="242"/>
      <c r="I40" s="242"/>
      <c r="J40" s="242"/>
      <c r="K40" s="242"/>
      <c r="L40" s="243"/>
      <c r="M40" s="2"/>
      <c r="N40" s="155" t="s">
        <v>89</v>
      </c>
      <c r="O40" s="156">
        <f>IF(B12="Registered",18%,22%)</f>
        <v>0.22</v>
      </c>
      <c r="P40" s="153">
        <f>N25</f>
        <v>3968.5571200000004</v>
      </c>
    </row>
    <row r="41" spans="1:21" ht="15" customHeight="1" x14ac:dyDescent="0.35">
      <c r="B41" s="241"/>
      <c r="C41" s="242"/>
      <c r="D41" s="242"/>
      <c r="E41" s="242"/>
      <c r="F41" s="242"/>
      <c r="G41" s="242"/>
      <c r="H41" s="242"/>
      <c r="I41" s="242"/>
      <c r="J41" s="242"/>
      <c r="K41" s="242"/>
      <c r="L41" s="243"/>
      <c r="M41" s="2"/>
      <c r="N41" s="251" t="s">
        <v>90</v>
      </c>
      <c r="O41" s="252"/>
      <c r="P41" s="153">
        <f>P39+P40</f>
        <v>25611.823119999997</v>
      </c>
    </row>
    <row r="42" spans="1:21" ht="15" customHeight="1" thickBot="1" x14ac:dyDescent="0.4">
      <c r="B42" s="244"/>
      <c r="C42" s="245"/>
      <c r="D42" s="245"/>
      <c r="E42" s="245"/>
      <c r="F42" s="245"/>
      <c r="G42" s="245"/>
      <c r="H42" s="245"/>
      <c r="I42" s="245"/>
      <c r="J42" s="245"/>
      <c r="K42" s="245"/>
      <c r="L42" s="246"/>
      <c r="M42" s="157"/>
      <c r="N42" s="158" t="s">
        <v>91</v>
      </c>
      <c r="O42" s="159">
        <f>IF(B11="Filer",0.5%,2.5%)</f>
        <v>2.5000000000000001E-2</v>
      </c>
      <c r="P42" s="153">
        <f>O42*P41</f>
        <v>640.29557799999998</v>
      </c>
    </row>
    <row r="43" spans="1:21" ht="15.75" customHeight="1" thickBot="1" x14ac:dyDescent="0.4">
      <c r="N43" s="229" t="s">
        <v>92</v>
      </c>
      <c r="O43" s="230"/>
      <c r="P43" s="160">
        <f>P41+P42</f>
        <v>26252.118697999998</v>
      </c>
    </row>
    <row r="44" spans="1:21" ht="15" thickBot="1" x14ac:dyDescent="0.4">
      <c r="B44" s="161" t="s">
        <v>93</v>
      </c>
      <c r="C44" s="231"/>
      <c r="D44" s="231"/>
      <c r="E44" s="231"/>
      <c r="F44" s="231"/>
      <c r="G44" s="231"/>
      <c r="H44" s="231"/>
      <c r="I44" s="232"/>
      <c r="J44" s="233"/>
      <c r="K44" s="234"/>
    </row>
    <row r="45" spans="1:21" ht="15.75" customHeight="1" x14ac:dyDescent="0.35"/>
  </sheetData>
  <mergeCells count="47"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8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  <col min="19" max="19" width="7.453125" bestFit="1" customWidth="1"/>
    <col min="20" max="20" width="7.81640625" bestFit="1" customWidth="1"/>
    <col min="21" max="21" width="12.54296875" bestFit="1" customWidth="1"/>
    <col min="22" max="22" width="6.6328125" customWidth="1"/>
    <col min="23" max="23" width="5.453125" bestFit="1" customWidth="1"/>
    <col min="24" max="24" width="8" bestFit="1" customWidth="1"/>
    <col min="25" max="25" width="10.08984375" bestFit="1" customWidth="1"/>
    <col min="26" max="26" width="6.81640625" bestFit="1" customWidth="1"/>
  </cols>
  <sheetData>
    <row r="2" spans="1:26 16383:16384" ht="21" x14ac:dyDescent="0.5">
      <c r="A2" s="209" t="s">
        <v>45</v>
      </c>
      <c r="B2" s="209"/>
      <c r="C2" s="209"/>
    </row>
    <row r="3" spans="1:26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26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26 16383:16384" ht="15" customHeight="1" x14ac:dyDescent="0.35">
      <c r="A5" s="256" t="s">
        <v>122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26 16383:16384" ht="15" customHeight="1" x14ac:dyDescent="0.35">
      <c r="A6" s="211" t="s">
        <v>123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26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26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26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26 16383:16384" x14ac:dyDescent="0.35">
      <c r="A10" s="216" t="s">
        <v>95</v>
      </c>
      <c r="B10" s="75">
        <v>3520116508093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26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26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26 16383:16384" ht="15" thickBot="1" x14ac:dyDescent="0.4">
      <c r="A13" s="253"/>
      <c r="B13" s="75">
        <v>3520116508093</v>
      </c>
      <c r="J13" s="78"/>
      <c r="K13" s="78"/>
      <c r="L13" s="79">
        <v>0.05</v>
      </c>
      <c r="XFD13" t="s">
        <v>63</v>
      </c>
    </row>
    <row r="14" spans="1:26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S14" s="263" t="s">
        <v>117</v>
      </c>
      <c r="T14" s="263"/>
      <c r="U14" s="263"/>
      <c r="V14" s="263"/>
      <c r="W14" s="264" t="s">
        <v>119</v>
      </c>
      <c r="X14" s="264"/>
      <c r="Y14" s="264"/>
      <c r="Z14" s="264"/>
      <c r="XFD14" t="s">
        <v>75</v>
      </c>
    </row>
    <row r="15" spans="1:26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5.0000000000000001E-3</v>
      </c>
      <c r="P15" s="94" t="s">
        <v>1</v>
      </c>
      <c r="S15" s="185" t="s">
        <v>109</v>
      </c>
      <c r="T15" s="185" t="s">
        <v>110</v>
      </c>
      <c r="U15" s="185" t="s">
        <v>114</v>
      </c>
      <c r="V15" s="185" t="s">
        <v>115</v>
      </c>
      <c r="W15" s="186" t="s">
        <v>109</v>
      </c>
      <c r="X15" s="186" t="s">
        <v>110</v>
      </c>
      <c r="Y15" s="186" t="s">
        <v>114</v>
      </c>
      <c r="Z15" s="186" t="s">
        <v>115</v>
      </c>
      <c r="XFD15" t="s">
        <v>81</v>
      </c>
    </row>
    <row r="16" spans="1:26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I16*3.5%</f>
        <v>73.447500000000005</v>
      </c>
      <c r="L16" s="105">
        <f>I16*8%</f>
        <v>167.88</v>
      </c>
      <c r="M16" s="106">
        <f>I16-K16-L16</f>
        <v>1857.1725000000001</v>
      </c>
      <c r="N16" s="106">
        <f t="shared" ref="N16:N24" si="0">(M16*$N$15)+(J16*F16)*$N$15</f>
        <v>334.29104999999998</v>
      </c>
      <c r="O16" s="107">
        <f t="shared" ref="O16:O24" si="1">(N16+M16)*$O$15</f>
        <v>10.95731775</v>
      </c>
      <c r="P16" s="105">
        <f t="shared" ref="P16:P24" si="2">M16+N16+O16</f>
        <v>2202.4208677500001</v>
      </c>
      <c r="Q16" s="108"/>
      <c r="S16" s="183" t="s">
        <v>106</v>
      </c>
      <c r="T16" s="183">
        <v>1697</v>
      </c>
      <c r="U16" s="183" t="s">
        <v>111</v>
      </c>
      <c r="V16" s="183">
        <f>T16/40</f>
        <v>42.424999999999997</v>
      </c>
      <c r="W16" s="187" t="s">
        <v>106</v>
      </c>
      <c r="X16" s="187">
        <v>1664</v>
      </c>
      <c r="Y16" s="187" t="s">
        <v>111</v>
      </c>
      <c r="Z16" s="187">
        <f>X16/40</f>
        <v>41.6</v>
      </c>
      <c r="XFD16" t="s">
        <v>82</v>
      </c>
    </row>
    <row r="17" spans="1:26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3">(G17*D17)*F17+H17*F17</f>
        <v>2098.5</v>
      </c>
      <c r="J17" s="117"/>
      <c r="K17" s="104">
        <f t="shared" ref="K17:K21" si="4">I17*3.5%</f>
        <v>73.447500000000005</v>
      </c>
      <c r="L17" s="105">
        <f t="shared" ref="L17:L21" si="5">I17*8%</f>
        <v>167.88</v>
      </c>
      <c r="M17" s="118">
        <f t="shared" ref="M17:M23" si="6">I17-K17-L17</f>
        <v>1857.1725000000001</v>
      </c>
      <c r="N17" s="118">
        <f t="shared" si="0"/>
        <v>334.29104999999998</v>
      </c>
      <c r="O17" s="119">
        <f t="shared" si="1"/>
        <v>10.95731775</v>
      </c>
      <c r="P17" s="120">
        <f t="shared" si="2"/>
        <v>2202.4208677500001</v>
      </c>
      <c r="S17" s="184" t="s">
        <v>108</v>
      </c>
      <c r="T17" s="183">
        <v>2322</v>
      </c>
      <c r="U17" s="183" t="s">
        <v>112</v>
      </c>
      <c r="V17" s="183">
        <f t="shared" ref="V17:V18" si="7">T17/40</f>
        <v>58.05</v>
      </c>
      <c r="W17" s="188" t="s">
        <v>108</v>
      </c>
      <c r="X17" s="187">
        <v>2277</v>
      </c>
      <c r="Y17" s="187" t="s">
        <v>112</v>
      </c>
      <c r="Z17" s="187">
        <f t="shared" ref="Z17:Z18" si="8">X17/40</f>
        <v>56.924999999999997</v>
      </c>
      <c r="XFD17" t="s">
        <v>83</v>
      </c>
    </row>
    <row r="18" spans="1:26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04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  <c r="S18" s="183" t="s">
        <v>107</v>
      </c>
      <c r="T18" s="183">
        <v>3216</v>
      </c>
      <c r="U18" s="183" t="s">
        <v>113</v>
      </c>
      <c r="V18" s="183">
        <f t="shared" si="7"/>
        <v>80.400000000000006</v>
      </c>
      <c r="W18" s="187" t="s">
        <v>107</v>
      </c>
      <c r="X18" s="187">
        <v>3153</v>
      </c>
      <c r="Y18" s="187" t="s">
        <v>113</v>
      </c>
      <c r="Z18" s="187">
        <f t="shared" si="8"/>
        <v>78.825000000000003</v>
      </c>
    </row>
    <row r="19" spans="1:26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04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  <c r="S19" s="265" t="s">
        <v>118</v>
      </c>
      <c r="T19" s="265"/>
      <c r="U19" s="265"/>
      <c r="V19" s="265"/>
      <c r="W19" s="266" t="s">
        <v>116</v>
      </c>
      <c r="X19" s="266"/>
      <c r="Y19" s="266"/>
      <c r="Z19" s="266"/>
    </row>
    <row r="20" spans="1:26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04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  <c r="S20" s="185" t="s">
        <v>109</v>
      </c>
      <c r="T20" s="185" t="s">
        <v>110</v>
      </c>
      <c r="U20" s="185" t="s">
        <v>114</v>
      </c>
      <c r="V20" s="185" t="s">
        <v>115</v>
      </c>
      <c r="W20" s="185" t="s">
        <v>109</v>
      </c>
      <c r="X20" s="185" t="s">
        <v>110</v>
      </c>
      <c r="Y20" s="185" t="s">
        <v>114</v>
      </c>
      <c r="Z20" s="185" t="s">
        <v>115</v>
      </c>
    </row>
    <row r="21" spans="1:26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04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  <c r="S21" s="189" t="s">
        <v>106</v>
      </c>
      <c r="T21" s="189">
        <v>1610</v>
      </c>
      <c r="U21" s="189" t="s">
        <v>111</v>
      </c>
      <c r="V21" s="189">
        <f>T21/40</f>
        <v>40.25</v>
      </c>
      <c r="W21" s="191" t="s">
        <v>106</v>
      </c>
      <c r="X21" s="191">
        <v>1642</v>
      </c>
      <c r="Y21" s="191" t="s">
        <v>111</v>
      </c>
      <c r="Z21" s="191">
        <f>X21/40</f>
        <v>41.05</v>
      </c>
    </row>
    <row r="22" spans="1:26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3"/>
        <v>1569.2000000000003</v>
      </c>
      <c r="J22" s="117"/>
      <c r="K22" s="1">
        <f>I22*3.5%</f>
        <v>54.922000000000011</v>
      </c>
      <c r="L22" s="120">
        <f>I22*10%</f>
        <v>156.92000000000004</v>
      </c>
      <c r="M22" s="118">
        <f t="shared" si="6"/>
        <v>1357.3580000000002</v>
      </c>
      <c r="N22" s="118">
        <f t="shared" si="0"/>
        <v>244.32444000000001</v>
      </c>
      <c r="O22" s="119">
        <f t="shared" si="1"/>
        <v>8.0084122000000022</v>
      </c>
      <c r="P22" s="120">
        <f t="shared" si="2"/>
        <v>1609.6908522000003</v>
      </c>
      <c r="S22" s="190" t="s">
        <v>108</v>
      </c>
      <c r="T22" s="189">
        <v>2202</v>
      </c>
      <c r="U22" s="189" t="s">
        <v>112</v>
      </c>
      <c r="V22" s="189">
        <f t="shared" ref="V22:V25" si="9">T22/40</f>
        <v>55.05</v>
      </c>
      <c r="W22" s="192" t="s">
        <v>108</v>
      </c>
      <c r="X22" s="191">
        <v>2246</v>
      </c>
      <c r="Y22" s="191" t="s">
        <v>112</v>
      </c>
      <c r="Z22" s="191">
        <f t="shared" ref="Z22:Z25" si="10">X22/40</f>
        <v>56.15</v>
      </c>
    </row>
    <row r="23" spans="1:26 16384:16384" ht="15" hidden="1" customHeight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11">I23*3.5%</f>
        <v>0</v>
      </c>
      <c r="L23" s="120">
        <f t="shared" ref="L23:L24" si="12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  <c r="S23" s="189" t="s">
        <v>107</v>
      </c>
      <c r="T23" s="189">
        <v>3216</v>
      </c>
      <c r="U23" s="189" t="s">
        <v>113</v>
      </c>
      <c r="V23" s="189">
        <f t="shared" si="9"/>
        <v>80.400000000000006</v>
      </c>
      <c r="W23" s="191" t="s">
        <v>107</v>
      </c>
      <c r="X23" s="191">
        <v>3216</v>
      </c>
      <c r="Y23" s="191" t="s">
        <v>112</v>
      </c>
      <c r="Z23" s="191">
        <f t="shared" si="10"/>
        <v>80.400000000000006</v>
      </c>
    </row>
    <row r="24" spans="1:26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11"/>
        <v>0</v>
      </c>
      <c r="L24" s="132">
        <f t="shared" si="12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  <c r="S24" s="189" t="s">
        <v>107</v>
      </c>
      <c r="T24" s="189">
        <v>3216</v>
      </c>
      <c r="U24" s="189" t="s">
        <v>113</v>
      </c>
      <c r="V24" s="189">
        <f t="shared" si="9"/>
        <v>80.400000000000006</v>
      </c>
      <c r="W24" s="191"/>
      <c r="X24" s="191"/>
      <c r="Y24" s="191" t="s">
        <v>112</v>
      </c>
      <c r="Z24" s="191">
        <f t="shared" si="10"/>
        <v>0</v>
      </c>
    </row>
    <row r="25" spans="1:26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13">SUM(G16:G24)</f>
        <v>0</v>
      </c>
      <c r="H25" s="136">
        <f t="shared" si="13"/>
        <v>120</v>
      </c>
      <c r="I25" s="137">
        <f t="shared" si="13"/>
        <v>5766.2000000000007</v>
      </c>
      <c r="J25" s="138"/>
      <c r="K25" s="139">
        <f t="shared" si="13"/>
        <v>201.81700000000001</v>
      </c>
      <c r="L25" s="140">
        <f t="shared" si="13"/>
        <v>492.68000000000006</v>
      </c>
      <c r="M25" s="141">
        <f t="shared" si="13"/>
        <v>5071.7030000000004</v>
      </c>
      <c r="N25" s="142">
        <f>SUM(N16:N24)</f>
        <v>912.90653999999995</v>
      </c>
      <c r="O25" s="143">
        <f>SUM(O16:O24)</f>
        <v>29.923047700000001</v>
      </c>
      <c r="P25" s="144">
        <f>SUM(P16:P24)</f>
        <v>6014.5325877000005</v>
      </c>
      <c r="S25" s="189" t="s">
        <v>107</v>
      </c>
      <c r="T25" s="189">
        <v>3216</v>
      </c>
      <c r="U25" s="189" t="s">
        <v>113</v>
      </c>
      <c r="V25" s="189">
        <f t="shared" si="9"/>
        <v>80.400000000000006</v>
      </c>
      <c r="W25" s="191" t="s">
        <v>107</v>
      </c>
      <c r="X25" s="191">
        <v>3110</v>
      </c>
      <c r="Y25" s="191" t="s">
        <v>113</v>
      </c>
      <c r="Z25" s="191">
        <f t="shared" si="10"/>
        <v>77.75</v>
      </c>
    </row>
    <row r="26" spans="1:26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26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26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5766.2000000000007</v>
      </c>
    </row>
    <row r="29" spans="1:26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492.68000000000006</v>
      </c>
    </row>
    <row r="30" spans="1:26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201.81700000000001</v>
      </c>
    </row>
    <row r="31" spans="1:26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5071.7030000000004</v>
      </c>
    </row>
    <row r="32" spans="1:26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912.90653999999995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5984.6095400000004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29.923047700000001</v>
      </c>
    </row>
    <row r="35" spans="2:16" ht="15.75" customHeight="1" thickBot="1" x14ac:dyDescent="0.4">
      <c r="N35" s="229" t="s">
        <v>92</v>
      </c>
      <c r="O35" s="230"/>
      <c r="P35" s="160">
        <f>P33+P34</f>
        <v>6014.5325877000005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51">
    <mergeCell ref="S14:V14"/>
    <mergeCell ref="W14:Z14"/>
    <mergeCell ref="S19:V19"/>
    <mergeCell ref="W19:Z19"/>
    <mergeCell ref="N35:O35"/>
    <mergeCell ref="N28:O28"/>
    <mergeCell ref="N29:O29"/>
    <mergeCell ref="N30:O30"/>
    <mergeCell ref="N31:O31"/>
    <mergeCell ref="N33:O33"/>
    <mergeCell ref="C36:I36"/>
    <mergeCell ref="J36:K36"/>
    <mergeCell ref="A25:B25"/>
    <mergeCell ref="C25:F25"/>
    <mergeCell ref="B28:L34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2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124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125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3520256212131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48</v>
      </c>
      <c r="C11" s="77" t="str">
        <f>IF($O34&gt;2.49%,"No","Yes")</f>
        <v>Yes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/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106.1841</v>
      </c>
      <c r="O17" s="119">
        <f t="shared" ref="O17:O24" si="6">(N17+M17)*$O$15</f>
        <v>2.9441954999999997</v>
      </c>
      <c r="P17" s="120">
        <f t="shared" si="1"/>
        <v>591.78329549999989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30</v>
      </c>
      <c r="I25" s="137">
        <f t="shared" si="9"/>
        <v>1977.4250000000002</v>
      </c>
      <c r="J25" s="138"/>
      <c r="K25" s="139">
        <f t="shared" si="9"/>
        <v>0</v>
      </c>
      <c r="L25" s="140">
        <f t="shared" si="9"/>
        <v>158.19399999999999</v>
      </c>
      <c r="M25" s="141">
        <f t="shared" si="9"/>
        <v>1819.231</v>
      </c>
      <c r="N25" s="142">
        <f>SUM(N16:N24)</f>
        <v>400.23081999999999</v>
      </c>
      <c r="O25" s="143">
        <f>SUM(O16:O24)</f>
        <v>11.0973091</v>
      </c>
      <c r="P25" s="144">
        <f>SUM(P16:P24)</f>
        <v>2230.5591291000001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1977.4250000000002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158.19399999999999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1819.2310000000002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400.23081999999999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2219.4618200000004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5.0000000000000001E-3</v>
      </c>
      <c r="P34" s="153">
        <f>O34*P33</f>
        <v>11.097309100000002</v>
      </c>
    </row>
    <row r="35" spans="2:16" ht="15.75" customHeight="1" thickBot="1" x14ac:dyDescent="0.4">
      <c r="N35" s="229" t="s">
        <v>92</v>
      </c>
      <c r="O35" s="230"/>
      <c r="P35" s="160">
        <f>P33+P34</f>
        <v>2230.5591291000005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20" workbookViewId="0">
      <selection sqref="A1:P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4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126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127</v>
      </c>
      <c r="B6" s="211"/>
      <c r="C6" s="211"/>
      <c r="F6" s="70"/>
      <c r="G6" s="74"/>
      <c r="K6" s="211" t="s">
        <v>52</v>
      </c>
      <c r="L6" s="211"/>
      <c r="M6" s="211"/>
      <c r="N6" s="213" t="s">
        <v>98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53</v>
      </c>
      <c r="C12" s="77" t="str">
        <f>IF($O32&gt;21.99%,"No","Yes")</f>
        <v>Yes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56">
        <v>3520296393577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0.18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/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347.51159999999999</v>
      </c>
      <c r="O16" s="107">
        <f>(N16+M16)*$O$15</f>
        <v>56.953289999999996</v>
      </c>
      <c r="P16" s="105">
        <f t="shared" ref="P16:P24" si="1">M16+N16+O16</f>
        <v>2335.0848899999996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/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347.51159999999999</v>
      </c>
      <c r="O17" s="119">
        <f t="shared" ref="O17:O24" si="6">(N17+M17)*$O$15</f>
        <v>56.953289999999996</v>
      </c>
      <c r="P17" s="120">
        <f t="shared" si="1"/>
        <v>2335.0848899999996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/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481.16735999999997</v>
      </c>
      <c r="O19" s="119">
        <f t="shared" si="6"/>
        <v>78.857984000000002</v>
      </c>
      <c r="P19" s="120">
        <f t="shared" si="1"/>
        <v>3233.1773440000002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/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481.16735999999997</v>
      </c>
      <c r="O20" s="119">
        <f t="shared" si="6"/>
        <v>78.857984000000002</v>
      </c>
      <c r="P20" s="120">
        <f t="shared" si="1"/>
        <v>3233.1773440000002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/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481.16735999999997</v>
      </c>
      <c r="O21" s="119">
        <f t="shared" si="6"/>
        <v>78.857984000000002</v>
      </c>
      <c r="P21" s="120">
        <f t="shared" si="1"/>
        <v>3233.1773440000002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516.89448000000004</v>
      </c>
      <c r="O22" s="119">
        <f t="shared" si="6"/>
        <v>84.713262000000014</v>
      </c>
      <c r="P22" s="120">
        <f t="shared" si="1"/>
        <v>3473.2437420000006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280</v>
      </c>
      <c r="I25" s="137">
        <f t="shared" si="9"/>
        <v>16052.2</v>
      </c>
      <c r="J25" s="138"/>
      <c r="K25" s="139">
        <f t="shared" si="9"/>
        <v>109.84400000000002</v>
      </c>
      <c r="L25" s="140">
        <f t="shared" si="9"/>
        <v>1190.0240000000001</v>
      </c>
      <c r="M25" s="141">
        <f t="shared" si="9"/>
        <v>14752.332</v>
      </c>
      <c r="N25" s="142">
        <f>SUM(N16:N24)</f>
        <v>2655.4197599999998</v>
      </c>
      <c r="O25" s="143">
        <f>SUM(O16:O24)</f>
        <v>435.19379400000003</v>
      </c>
      <c r="P25" s="144">
        <f>SUM(P16:P24)</f>
        <v>17842.945553999998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16052.2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1190.0240000000001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109.84400000000002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14752.332000000002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0.18</v>
      </c>
      <c r="P32" s="153">
        <f>N25</f>
        <v>2655.4197599999998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17407.751760000003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435.19379400000008</v>
      </c>
    </row>
    <row r="35" spans="2:16" ht="15.75" customHeight="1" thickBot="1" x14ac:dyDescent="0.4">
      <c r="N35" s="229" t="s">
        <v>92</v>
      </c>
      <c r="O35" s="230"/>
      <c r="P35" s="160">
        <f>P33+P34</f>
        <v>17842.945554000002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4" workbookViewId="0">
      <selection activeCell="K8" sqref="K8:M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3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5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6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7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9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8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9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67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41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180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09" t="s">
        <v>45</v>
      </c>
      <c r="B2" s="209"/>
      <c r="C2" s="209"/>
    </row>
    <row r="3" spans="1:19 16383:16384" ht="15" customHeight="1" x14ac:dyDescent="0.35">
      <c r="A3" s="210" t="s">
        <v>46</v>
      </c>
      <c r="B3" s="210"/>
      <c r="C3" s="210"/>
      <c r="F3" s="70"/>
      <c r="G3" s="71"/>
      <c r="K3" s="211" t="s">
        <v>47</v>
      </c>
      <c r="L3" s="211"/>
      <c r="M3" s="211"/>
      <c r="N3" s="210">
        <v>10</v>
      </c>
      <c r="O3" s="210"/>
      <c r="P3" s="21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10" t="s">
        <v>94</v>
      </c>
      <c r="B4" s="210"/>
      <c r="C4" s="210"/>
      <c r="F4" s="70"/>
      <c r="G4" s="71"/>
      <c r="K4" s="211" t="s">
        <v>49</v>
      </c>
      <c r="L4" s="211"/>
      <c r="M4" s="211"/>
      <c r="N4" s="212">
        <f ca="1">TODAY()</f>
        <v>46207</v>
      </c>
      <c r="O4" s="212"/>
      <c r="P4" s="212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6" t="s">
        <v>102</v>
      </c>
      <c r="B5" s="256"/>
      <c r="C5" s="256"/>
      <c r="F5" s="70"/>
      <c r="G5" s="71"/>
      <c r="K5" s="211" t="s">
        <v>51</v>
      </c>
      <c r="L5" s="211"/>
      <c r="M5" s="211"/>
      <c r="N5" s="212">
        <f ca="1">N4-1</f>
        <v>46206</v>
      </c>
      <c r="O5" s="210"/>
      <c r="P5" s="210"/>
      <c r="R5" s="70"/>
      <c r="S5" s="71"/>
    </row>
    <row r="6" spans="1:19 16383:16384" ht="15" customHeight="1" x14ac:dyDescent="0.35">
      <c r="A6" s="211" t="s">
        <v>103</v>
      </c>
      <c r="B6" s="211"/>
      <c r="C6" s="211"/>
      <c r="F6" s="70"/>
      <c r="G6" s="74"/>
      <c r="K6" s="211" t="s">
        <v>52</v>
      </c>
      <c r="L6" s="211"/>
      <c r="M6" s="211"/>
      <c r="N6" s="213" t="s">
        <v>97</v>
      </c>
      <c r="O6" s="213"/>
      <c r="P6" s="21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11"/>
      <c r="B7" s="211"/>
      <c r="C7" s="211"/>
      <c r="F7" s="70"/>
      <c r="G7" s="74"/>
      <c r="K7" s="211"/>
      <c r="L7" s="211"/>
      <c r="M7" s="211"/>
      <c r="N7" s="213"/>
      <c r="O7" s="213"/>
      <c r="P7" s="21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15"/>
      <c r="B8" s="215"/>
      <c r="C8" s="215"/>
      <c r="F8" s="70"/>
      <c r="G8" s="74"/>
      <c r="K8" s="211"/>
      <c r="L8" s="211"/>
      <c r="M8" s="211"/>
      <c r="N8" s="213"/>
      <c r="O8" s="213"/>
      <c r="P8" s="213"/>
      <c r="R8" s="70"/>
      <c r="S8" s="74"/>
    </row>
    <row r="9" spans="1:19 16383:16384" x14ac:dyDescent="0.35">
      <c r="A9" s="215"/>
      <c r="B9" s="215"/>
      <c r="C9" s="215"/>
      <c r="F9" s="70"/>
      <c r="G9" s="74"/>
      <c r="K9" s="211"/>
      <c r="L9" s="211"/>
      <c r="M9" s="211"/>
      <c r="N9" s="213"/>
      <c r="O9" s="213"/>
      <c r="P9" s="213"/>
      <c r="R9" s="70"/>
      <c r="S9" s="74"/>
      <c r="XFD9" t="s">
        <v>55</v>
      </c>
    </row>
    <row r="10" spans="1:19 16383:16384" x14ac:dyDescent="0.35">
      <c r="A10" s="216" t="s">
        <v>95</v>
      </c>
      <c r="B10" s="75">
        <v>0</v>
      </c>
      <c r="C10" s="75"/>
      <c r="F10" s="70"/>
      <c r="G10" s="71"/>
      <c r="K10" s="211" t="s">
        <v>56</v>
      </c>
      <c r="L10" s="211"/>
      <c r="M10" s="211"/>
      <c r="N10" s="210" t="s">
        <v>57</v>
      </c>
      <c r="O10" s="210"/>
      <c r="P10" s="210"/>
      <c r="R10" s="70"/>
      <c r="S10" s="71"/>
      <c r="XFD10" t="s">
        <v>58</v>
      </c>
    </row>
    <row r="11" spans="1:19 16383:16384" x14ac:dyDescent="0.35">
      <c r="A11" s="216"/>
      <c r="B11" s="76" t="s">
        <v>50</v>
      </c>
      <c r="C11" s="77" t="str">
        <f>IF($O34&gt;2.49%,"No","Yes")</f>
        <v>No</v>
      </c>
      <c r="F11" s="70"/>
      <c r="G11" s="71"/>
      <c r="K11" s="211" t="s">
        <v>59</v>
      </c>
      <c r="L11" s="211"/>
      <c r="M11" s="211"/>
      <c r="N11" s="210" t="s">
        <v>55</v>
      </c>
      <c r="O11" s="210"/>
      <c r="P11" s="210"/>
      <c r="R11" s="70"/>
      <c r="S11" s="71"/>
    </row>
    <row r="12" spans="1:19 16383:16384" ht="14.65" customHeight="1" x14ac:dyDescent="0.35">
      <c r="A12" s="216" t="s">
        <v>60</v>
      </c>
      <c r="B12" s="76" t="s">
        <v>54</v>
      </c>
      <c r="C12" s="77" t="str">
        <f>IF($O32&gt;21.99%,"No","Yes")</f>
        <v>No</v>
      </c>
      <c r="F12" s="70"/>
      <c r="G12" s="71"/>
      <c r="K12" s="211" t="s">
        <v>61</v>
      </c>
      <c r="L12" s="211"/>
      <c r="M12" s="211"/>
      <c r="N12" s="210"/>
      <c r="O12" s="210"/>
      <c r="P12" s="210"/>
      <c r="R12" s="70"/>
      <c r="S12" s="71"/>
      <c r="XFD12" t="s">
        <v>62</v>
      </c>
    </row>
    <row r="13" spans="1:19 16383:16384" ht="15" thickBot="1" x14ac:dyDescent="0.4">
      <c r="A13" s="253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54" t="s">
        <v>64</v>
      </c>
      <c r="B14" s="223"/>
      <c r="C14" s="217" t="s">
        <v>65</v>
      </c>
      <c r="D14" s="80" t="s">
        <v>2</v>
      </c>
      <c r="E14" s="81" t="s">
        <v>66</v>
      </c>
      <c r="F14" s="82" t="s">
        <v>67</v>
      </c>
      <c r="G14" s="257" t="s">
        <v>68</v>
      </c>
      <c r="H14" s="258"/>
      <c r="I14" s="259" t="s">
        <v>69</v>
      </c>
      <c r="J14" s="257" t="s">
        <v>70</v>
      </c>
      <c r="K14" s="261"/>
      <c r="L14" s="258"/>
      <c r="M14" s="25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55"/>
      <c r="B15" s="224"/>
      <c r="C15" s="218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60"/>
      <c r="J15" s="88" t="s">
        <v>78</v>
      </c>
      <c r="K15" s="90" t="s">
        <v>79</v>
      </c>
      <c r="L15" s="91" t="s">
        <v>80</v>
      </c>
      <c r="M15" s="26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35" t="s">
        <v>84</v>
      </c>
      <c r="B25" s="236"/>
      <c r="C25" s="237"/>
      <c r="D25" s="231"/>
      <c r="E25" s="231"/>
      <c r="F25" s="262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38" t="s">
        <v>85</v>
      </c>
      <c r="C28" s="239"/>
      <c r="D28" s="239"/>
      <c r="E28" s="239"/>
      <c r="F28" s="239"/>
      <c r="G28" s="239"/>
      <c r="H28" s="239"/>
      <c r="I28" s="239"/>
      <c r="J28" s="239"/>
      <c r="K28" s="239"/>
      <c r="L28" s="240"/>
      <c r="N28" s="247" t="s">
        <v>86</v>
      </c>
      <c r="O28" s="248"/>
      <c r="P28" s="152">
        <f>I25</f>
        <v>0</v>
      </c>
    </row>
    <row r="29" spans="1:19 16384:16384" ht="15" customHeight="1" x14ac:dyDescent="0.35">
      <c r="B29" s="241"/>
      <c r="C29" s="242"/>
      <c r="D29" s="242"/>
      <c r="E29" s="242"/>
      <c r="F29" s="242"/>
      <c r="G29" s="242"/>
      <c r="H29" s="242"/>
      <c r="I29" s="242"/>
      <c r="J29" s="242"/>
      <c r="K29" s="242"/>
      <c r="L29" s="243"/>
      <c r="N29" s="249" t="s">
        <v>87</v>
      </c>
      <c r="O29" s="250"/>
      <c r="P29" s="153">
        <f>L25</f>
        <v>0</v>
      </c>
    </row>
    <row r="30" spans="1:19 16384:16384" ht="15" customHeight="1" x14ac:dyDescent="0.35">
      <c r="B30" s="241"/>
      <c r="C30" s="242"/>
      <c r="D30" s="242"/>
      <c r="E30" s="242"/>
      <c r="F30" s="242"/>
      <c r="G30" s="242"/>
      <c r="H30" s="242"/>
      <c r="I30" s="242"/>
      <c r="J30" s="242"/>
      <c r="K30" s="242"/>
      <c r="L30" s="243"/>
      <c r="N30" s="249" t="s">
        <v>4</v>
      </c>
      <c r="O30" s="250"/>
      <c r="P30" s="154">
        <f>K25</f>
        <v>0</v>
      </c>
    </row>
    <row r="31" spans="1:19 16384:16384" ht="15" customHeight="1" x14ac:dyDescent="0.35">
      <c r="B31" s="241"/>
      <c r="C31" s="242"/>
      <c r="D31" s="242"/>
      <c r="E31" s="242"/>
      <c r="F31" s="242"/>
      <c r="G31" s="242"/>
      <c r="H31" s="242"/>
      <c r="I31" s="242"/>
      <c r="J31" s="242"/>
      <c r="K31" s="242"/>
      <c r="L31" s="243"/>
      <c r="M31" s="2"/>
      <c r="N31" s="249" t="s">
        <v>88</v>
      </c>
      <c r="O31" s="250"/>
      <c r="P31" s="153">
        <f>P28-P29-P30</f>
        <v>0</v>
      </c>
    </row>
    <row r="32" spans="1:19 16384:16384" ht="15" customHeight="1" x14ac:dyDescent="0.35">
      <c r="B32" s="241"/>
      <c r="C32" s="242"/>
      <c r="D32" s="242"/>
      <c r="E32" s="242"/>
      <c r="F32" s="242"/>
      <c r="G32" s="242"/>
      <c r="H32" s="242"/>
      <c r="I32" s="242"/>
      <c r="J32" s="242"/>
      <c r="K32" s="242"/>
      <c r="L32" s="243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41"/>
      <c r="C33" s="242"/>
      <c r="D33" s="242"/>
      <c r="E33" s="242"/>
      <c r="F33" s="242"/>
      <c r="G33" s="242"/>
      <c r="H33" s="242"/>
      <c r="I33" s="242"/>
      <c r="J33" s="242"/>
      <c r="K33" s="242"/>
      <c r="L33" s="243"/>
      <c r="M33" s="2"/>
      <c r="N33" s="251" t="s">
        <v>90</v>
      </c>
      <c r="O33" s="252"/>
      <c r="P33" s="153">
        <f>P31+P32</f>
        <v>0</v>
      </c>
    </row>
    <row r="34" spans="2:16" ht="15" customHeight="1" thickBot="1" x14ac:dyDescent="0.4">
      <c r="B34" s="244"/>
      <c r="C34" s="245"/>
      <c r="D34" s="245"/>
      <c r="E34" s="245"/>
      <c r="F34" s="245"/>
      <c r="G34" s="245"/>
      <c r="H34" s="245"/>
      <c r="I34" s="245"/>
      <c r="J34" s="245"/>
      <c r="K34" s="245"/>
      <c r="L34" s="246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29" t="s">
        <v>92</v>
      </c>
      <c r="O35" s="230"/>
      <c r="P35" s="160">
        <f>P33+P34</f>
        <v>0</v>
      </c>
    </row>
    <row r="36" spans="2:16" ht="15" thickBot="1" x14ac:dyDescent="0.4">
      <c r="B36" s="161" t="s">
        <v>93</v>
      </c>
      <c r="C36" s="231"/>
      <c r="D36" s="231"/>
      <c r="E36" s="231"/>
      <c r="F36" s="231"/>
      <c r="G36" s="231"/>
      <c r="H36" s="231"/>
      <c r="I36" s="232"/>
      <c r="J36" s="233"/>
      <c r="K36" s="234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2026-07-04T04:14:58Z</dcterms:modified>
</cp:coreProperties>
</file>