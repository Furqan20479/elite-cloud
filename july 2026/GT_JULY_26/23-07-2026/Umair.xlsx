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E0F2FD5-4037-4042-9678-8F2F84D3E991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2" i="43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<sst xmlns="http://schemas.openxmlformats.org/spreadsheetml/2006/main" count="3913" uniqueCount="522">
  <si>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</si>
  <si>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</si>
  <si>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</si>
  <si>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</si>
  <si>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</si>
  <si>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</si>
  <si>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</si>
  <si>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</si>
  <si>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</si>
  <si>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</si>
  <si>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</si>
  <si>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</si>
  <si>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</si>
  <si>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</si>
  <si>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</si>
  <si>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</si>
  <si>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</si>
  <si>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</si>
  <si>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</si>
  <si>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</si>
  <si>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</si>
  <si>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</si>
  <si>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</si>
  <si>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</si>
  <si>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</si>
  <si>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</si>
  <si>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</si>
  <si>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</si>
  <si>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</si>
  <si>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</si>
  <si>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</si>
  <si>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</si>
  <si>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</si>
  <si>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</si>
  <si>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</si>
  <si>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</si>
  <si>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</si>
  <si>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</si>
  <si>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</si>
  <si>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</si>
  <si>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</si>
  <si>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</si>
  <si>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</si>
  <si>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</si>
  <si>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</si>
  <si>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</si>
  <si>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</si>
  <si>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</si>
  <si>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</si>
  <si>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</si>
  <si>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</si>
  <si>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</si>
  <si>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</si>
  <si>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</si>
  <si>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</si>
  <si>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</si>
  <si>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</si>
  <si>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</si>
  <si>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</si>
  <si>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</si>
  <si>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</si>
  <si>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</si>
  <si>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</si>
  <si>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</si>
  <si>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</si>
  <si>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</si>
  <si>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</si>
  <si>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</si>
  <si>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</si>
  <si>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</si>
  <si>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</si>
  <si>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</si>
  <si>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</si>
  <si>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</si>
  <si>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</si>
  <si>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</si>
  <si>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</si>
  <si>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</si>
  <si>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</si>
  <si>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</si>
  <si>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</si>
  <si>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</si>
  <si>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</si>
  <si>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</si>
  <si>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</si>
  <si>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</si>
  <si>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</si>
  <si>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</si>
  <si>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</si>
  <si>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</si>
  <si>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</si>
  <si>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</si>
  <si>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</si>
  <si>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</si>
  <si>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</si>
  <si>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</si>
  <si>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</si>
  <si>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</si>
  <si>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</si>
  <si>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</si>
  <si>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</si>
  <si>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</si>
  <si>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</si>
  <si>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</si>
  <si>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</si>
  <si>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</si>
  <si>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</si>
  <si>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</si>
  <si>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</si>
  <si>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</si>
  <si>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</si>
  <si>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</si>
  <si>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</si>
  <si>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</si>
  <si>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</si>
  <si>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</si>
  <si>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</si>
  <si>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</si>
  <si>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</si>
  <si>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</si>
  <si>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</si>
  <si>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</si>
  <si>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</si>
  <si>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</si>
  <si>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</si>
  <si>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</si>
  <si>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</si>
  <si>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</si>
  <si>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</si>
  <si>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</si>
  <si>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</si>
  <si>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</si>
  <si>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</si>
  <si>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</si>
  <si>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</si>
  <si>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</si>
  <si>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</si>
  <si>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</si>
  <si>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</si>
  <si>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</si>
  <si>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</si>
  <si>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</si>
  <si>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</si>
  <si>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</si>
  <si>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</si>
  <si>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</si>
  <si>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</si>
  <si>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</si>
  <si>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</si>
  <si>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</si>
  <si>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</si>
  <si>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</si>
  <si>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</si>
  <si>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</si>
  <si>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</si>
  <si>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</si>
  <si>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</si>
  <si>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</si>
  <si>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</si>
  <si>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</si>
  <si>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</si>
  <si>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</si>
  <si>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</si>
  <si>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</si>
  <si>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</si>
  <si>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</si>
  <si>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</si>
  <si>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</si>
  <si>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</si>
  <si>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</si>
  <si>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</si>
  <si>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</si>
  <si>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</si>
  <si>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</si>
  <si>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</si>
  <si>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</si>
  <si>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</si>
  <si>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</si>
  <si>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</si>
  <si>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</si>
  <si>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</si>
  <si>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</si>
  <si>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</si>
  <si>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</si>
  <si>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</si>
  <si>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</si>
  <si>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</si>
  <si>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</si>
  <si>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</si>
  <si>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</si>
  <si>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</si>
  <si>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</si>
  <si>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</si>
  <si>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</si>
  <si>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</si>
  <si>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</si>
  <si>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</si>
  <si>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</si>
  <si>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</si>
  <si>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</si>
  <si>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</si>
  <si>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</si>
  <si>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</si>
  <si>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</si>
  <si>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</si>
  <si>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</si>
  <si>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</si>
  <si>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</si>
  <si>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</si>
  <si>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</si>
  <si>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</si>
  <si>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</si>
  <si>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</si>
  <si>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</si>
  <si>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</si>
  <si>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</si>
  <si>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</si>
  <si>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</si>
  <si>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</si>
  <si>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</si>
  <si>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</si>
  <si>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</si>
  <si>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</si>
  <si>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</si>
  <si>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</si>
  <si>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</si>
  <si>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</si>
  <si>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</si>
  <si>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</si>
  <si>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</si>
  <si>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</si>
  <si>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</si>
  <si>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</si>
  <si>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</si>
  <si>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</si>
  <si>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</si>
  <si>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</si>
  <si>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</si>
  <si>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</si>
  <si>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</si>
  <si>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</si>
  <si>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</si>
  <si>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</si>
  <si>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</si>
  <si>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</si>
  <si>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</si>
  <si>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</si>
  <si>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</si>
  <si>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</si>
  <si>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</si>
  <si>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</si>
  <si>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</si>
  <si>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</si>
  <si>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</si>
  <si>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</si>
  <si>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</si>
  <si>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</si>
  <si>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</si>
  <si>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</si>
  <si>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</si>
  <si>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</si>
  <si>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</si>
  <si>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</si>
  <si>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</si>
  <si>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</si>
  <si>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</si>
  <si>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</si>
  <si>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</si>
  <si>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</si>
  <si>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</si>
  <si>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</si>
  <si>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</si>
  <si>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</si>
  <si>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</si>
  <si>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</si>
  <si>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</si>
  <si>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</si>
  <si>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</si>
  <si>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</si>
  <si>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</si>
  <si>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</si>
  <si>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</si>
  <si>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</si>
  <si>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</si>
  <si>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</si>
  <si>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</si>
  <si>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</si>
  <si>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</si>
  <si>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</si>
  <si>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</si>
  <si>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</si>
  <si>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</si>
  <si>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</si>
  <si>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</si>
  <si>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</si>
  <si>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</si>
  <si>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</si>
  <si>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</si>
  <si>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</si>
  <si>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</si>
  <si>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</si>
  <si>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</si>
  <si>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</si>
  <si>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</si>
  <si>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</si>
  <si>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</si>
  <si>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</si>
  <si>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</si>
  <si>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</si>
  <si>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</si>
  <si>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</si>
  <si>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</si>
  <si>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</si>
  <si>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</si>
  <si>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</si>
  <si>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</si>
  <si>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</si>
  <si>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</si>
  <si>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</si>
  <si>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</si>
  <si>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</si>
  <si>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</si>
  <si>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</si>
  <si>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</si>
  <si>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</si>
  <si>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</si>
  <si>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</si>
  <si>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</si>
  <si>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</si>
  <si>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</si>
  <si>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</si>
  <si>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</si>
  <si>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</si>
  <si>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</si>
  <si>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</si>
  <si>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</si>
  <si>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</si>
  <si>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</si>
  <si>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</si>
  <si>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</si>
  <si>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</si>
  <si>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</si>
  <si>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</si>
  <si>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</si>
  <si>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</si>
  <si>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</si>
  <si>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</si>
  <si>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</si>
  <si>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</si>
  <si>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</si>
  <si>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</si>
  <si>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</si>
  <si>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</si>
  <si>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</si>
  <si>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</si>
  <si>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</si>
  <si>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</si>
  <si>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</si>
  <si>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</si>
  <si>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</si>
  <si>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</si>
  <si>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</si>
  <si>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</si>
  <si>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</si>
  <si>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</si>
  <si>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</si>
  <si>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</si>
  <si>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</si>
  <si>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</si>
  <si>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</si>
  <si>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</si>
  <si>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</si>
  <si>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</si>
  <si>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</si>
  <si>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</si>
  <si>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</si>
  <si>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</si>
  <si>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</si>
  <si>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</si>
  <si>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</si>
  <si>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</si>
  <si>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</si>
  <si>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</si>
  <si>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</si>
  <si>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</si>
  <si>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</si>
  <si>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</si>
  <si>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</si>
  <si>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</si>
  <si>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</si>
  <si>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</si>
  <si>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</si>
  <si>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</si>
  <si>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</si>
  <si>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</si>
  <si>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</si>
  <si>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</si>
  <si>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</si>
  <si>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</si>
  <si>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</si>
  <si>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</si>
  <si>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</si>
  <si>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</si>
  <si>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</si>
  <si>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</si>
  <si>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</si>
  <si>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</si>
  <si>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</si>
  <si>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</si>
  <si>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</si>
  <si>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</si>
  <si>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</si>
  <si>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</si>
  <si>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</si>
  <si>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</si>
  <si>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</si>
  <si>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</si>
  <si>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</si>
  <si>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</si>
  <si>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</si>
  <si>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</si>
  <si>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</si>
  <si>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</si>
  <si>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</si>
  <si>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</si>
  <si>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</si>
  <si>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</si>
  <si>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</si>
  <si>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</si>
  <si>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</si>
  <si>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</si>
  <si>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</si>
  <si>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</si>
  <si>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</si>
  <si>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</si>
  <si>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</si>
  <si>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</si>
  <si>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</si>
  <si>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</si>
  <si>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</si>
  <si>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</si>
  <si>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</si>
  <si>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</si>
  <si>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</si>
  <si>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</si>
  <si>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</si>
  <si>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</si>
  <si>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</si>
  <si>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</si>
  <si>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</si>
  <si>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</si>
  <si>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</si>
  <si>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</si>
  <si>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</si>
  <si>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</si>
  <si>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</si>
  <si>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</si>
  <si>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</si>
  <si>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</si>
  <si>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</si>
  <si>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</si>
  <si>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</si>
  <si>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</si>
  <si>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</si>
  <si>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</si>
  <si>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</si>
  <si>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</si>
  <si>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</si>
  <si>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</si>
  <si>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</si>
  <si>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</si>
  <si>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</si>
  <si>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</si>
  <si>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</si>
  <si>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</si>
  <si>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</si>
  <si>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</si>
  <si>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</si>
  <si>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</si>
  <si>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</si>
  <si>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</si>
  <si>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</si>
  <si>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</si>
  <si>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</si>
  <si>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</si>
  <si>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</si>
  <si>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</si>
  <si>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</si>
  <si>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</si>
  <si>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</si>
  <si>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</si>
  <si>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</si>
  <si>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</si>
  <si>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</si>
  <si>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</si>
  <si>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</si>
  <si>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</si>
  <si>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</si>
  <si>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</si>
  <si>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</si>
  <si>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</si>
  <si>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</si>
  <si>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</si>
  <si>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</si>
  <si>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</si>
  <si>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</si>
  <si>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</si>
  <si>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</si>
  <si>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</si>
  <si>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</si>
  <si>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</si>
  <si>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KS Mart </t>
  </si>
  <si>
    <t>Address:Ghazi Raod</t>
  </si>
  <si>
    <t>MS Mart</t>
  </si>
  <si>
    <t>Address:Shadab Colony</t>
  </si>
  <si>
    <t xml:space="preserve">MF Chanda </t>
  </si>
  <si>
    <t>Bhati Super Store</t>
  </si>
  <si>
    <t xml:space="preserve">Multani Bakers </t>
  </si>
  <si>
    <t>Shadab Super Store</t>
  </si>
  <si>
    <t>Husnain Store</t>
  </si>
  <si>
    <t>Address:Shadab colony</t>
  </si>
  <si>
    <t>Shop Summary Umair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</si>
</sst>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Q5" sqref="Q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503</v>
      </c>
      <c r="I2" s="368"/>
      <c r="J2" s="369"/>
      <c r="R2" s="365" t="s">
        <v>521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46228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0" t="str">
        <f>+'1'!A6:A6</f>
        <v xml:space="preserve">KS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MS Mart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MF Chanda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Bhati Super Store</v>
      </c>
      <c r="T6" s="301">
        <f>+'4'!P35</f>
        <v>7868.4589926610161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 xml:space="preserve">Multani Bakers </v>
      </c>
      <c r="T7" s="301">
        <f>+'5'!P35</f>
        <v>23622.659009084742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Shadab Super Store</v>
      </c>
      <c r="T8" s="301">
        <f>+'6'!P35</f>
        <v>17277.093747915253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Husnain Store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155</v>
      </c>
      <c r="I10" s="236">
        <f t="shared" si="0"/>
        <v>11259.2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900.73599999999999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394.07200000000006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9964.3919999999998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2127.9661016949153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60.461790508474571</v>
      </c>
      <c r="P10" s="119">
        <f t="shared" si="2"/>
        <v>12152.81989220339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145</v>
      </c>
      <c r="I11" s="236">
        <f t="shared" si="0"/>
        <v>10532.8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842.62400000000002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368.64800000000008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9321.5279999999984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1990.6779661016953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56.561029830508481</v>
      </c>
      <c r="P11" s="119">
        <f t="shared" si="2"/>
        <v>11368.766995932203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180</v>
      </c>
      <c r="I12" s="236">
        <f t="shared" si="0"/>
        <v>13075.2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457.63200000000001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11571.552000000001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2471.1864406779664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70.21369220338984</v>
      </c>
      <c r="P12" s="119">
        <f t="shared" si="2"/>
        <v>14112.952132881357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280</v>
      </c>
      <c r="I13" s="236">
        <f t="shared" si="0"/>
        <v>10984.400000000001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549.22000000000014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384.45400000000006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560.20440000000008</v>
      </c>
      <c r="M13" s="230">
        <f t="shared" si="1"/>
        <v>9490.5216000000019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2135.5932203389821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58.130574101694918</v>
      </c>
      <c r="P13" s="119">
        <f t="shared" si="2"/>
        <v>11684.245394440679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>H16/40</f>
        <v>23</v>
      </c>
      <c r="H16" s="113">
        <f t="shared" ref="H16:M16" si="3">SUM(H7:H15)</f>
        <v>920</v>
      </c>
      <c r="I16" s="114">
        <f t="shared" si="3"/>
        <v>54245.599999999999</v>
      </c>
      <c r="J16" s="274">
        <f>SUM(J7:J15)</f>
        <v>4010.116</v>
      </c>
      <c r="K16" s="275">
        <f t="shared" si="3"/>
        <v>1898.5960000000005</v>
      </c>
      <c r="L16" s="276">
        <f t="shared" si="3"/>
        <v>560.20440000000008</v>
      </c>
      <c r="M16" s="232">
        <f t="shared" si="3"/>
        <v>47776.683600000004</v>
      </c>
      <c r="N16" s="233">
        <f>SUM(N7:N15)</f>
        <v>10311.864406779659</v>
      </c>
      <c r="O16" s="101">
        <f>SUM(O7:O15)</f>
        <v>290.4427400338983</v>
      </c>
      <c r="P16" s="234">
        <f>SUM(P7:P15)</f>
        <v>58378.990746813564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54245.599999999999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4010.116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2458.8004000000005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47776.683599999997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10311.864406779659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58088.54800677966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290.4427400338983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58378.990746813557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58378.99074681355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7.25" customHeight="1" x14ac:dyDescent="0.4">
      <c r="A6" s="384" t="s">
        <v>511</v>
      </c>
      <c r="B6" s="384"/>
      <c r="C6" s="384"/>
      <c r="F6" s="85"/>
      <c r="G6" s="86"/>
      <c r="K6" s="379" t="s">
        <v>69</v>
      </c>
      <c r="L6" s="379"/>
      <c r="M6" s="379"/>
      <c r="N6" s="381" t="s">
        <v>507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512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513</v>
      </c>
      <c r="B6" s="384"/>
      <c r="C6" s="384"/>
      <c r="F6" s="85"/>
      <c r="G6" s="86"/>
      <c r="K6" s="379" t="s">
        <v>69</v>
      </c>
      <c r="L6" s="379"/>
      <c r="M6" s="379"/>
      <c r="N6" s="381" t="s">
        <v>507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514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4474.8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310.90800000000002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236.64720000000003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3927.2447999999999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4781.4820881355927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59" t="s">
        <v>88</v>
      </c>
      <c r="O35" s="360"/>
      <c r="P35" s="297">
        <f>+P33+P34</f>
        <v>4805.3894985762709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515</v>
      </c>
      <c r="B6" s="384"/>
      <c r="C6" s="384"/>
      <c r="F6" s="85"/>
      <c r="G6" s="86"/>
      <c r="K6" s="379" t="s">
        <v>69</v>
      </c>
      <c r="L6" s="379"/>
      <c r="M6" s="379"/>
      <c r="N6" s="381" t="s">
        <v>507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514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516</v>
      </c>
      <c r="B6" s="384"/>
      <c r="C6" s="384"/>
      <c r="F6" s="85"/>
      <c r="G6" s="86"/>
      <c r="K6" s="379" t="s">
        <v>69</v>
      </c>
      <c r="L6" s="379"/>
      <c r="M6" s="379"/>
      <c r="N6" s="381" t="s">
        <v>507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514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160</v>
      </c>
      <c r="I25" s="114">
        <f t="shared" si="7"/>
        <v>7335.4000000000005</v>
      </c>
      <c r="J25" s="274">
        <f>SUM(J16:J24)</f>
        <v>492.68000000000006</v>
      </c>
      <c r="K25" s="275">
        <f t="shared" si="7"/>
        <v>256.73900000000003</v>
      </c>
      <c r="L25" s="276">
        <f t="shared" si="7"/>
        <v>160.05840000000001</v>
      </c>
      <c r="M25" s="232">
        <f t="shared" si="7"/>
        <v>6425.9226000000008</v>
      </c>
      <c r="N25" s="233">
        <f>SUM(N16:N24)</f>
        <v>1403.389830508474</v>
      </c>
      <c r="O25" s="101">
        <f>SUM(O16:O24)</f>
        <v>39.146562152542373</v>
      </c>
      <c r="P25" s="234">
        <f>SUM(P16:P24)</f>
        <v>7868.458992661017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7335.4000000000005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492.68000000000006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416.79740000000004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6425.9225999999999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1403.389830508474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7829.3124305084739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39.146562152542373</v>
      </c>
    </row>
    <row r="35" spans="2:16" ht="15.75" customHeight="1" thickBot="1" x14ac:dyDescent="0.4">
      <c r="N35" s="359" t="s">
        <v>88</v>
      </c>
      <c r="O35" s="360"/>
      <c r="P35" s="297">
        <f>+P33+P34</f>
        <v>7868.4589926610161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517</v>
      </c>
      <c r="B6" s="384"/>
      <c r="C6" s="384"/>
      <c r="F6" s="85"/>
      <c r="G6" s="86"/>
      <c r="K6" s="379" t="s">
        <v>69</v>
      </c>
      <c r="L6" s="379"/>
      <c r="M6" s="379"/>
      <c r="N6" s="381" t="s">
        <v>507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514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697.34399999999994</v>
      </c>
      <c r="K21" s="128">
        <f t="shared" si="1"/>
        <v>305.08800000000002</v>
      </c>
      <c r="L21" s="119">
        <f t="shared" si="1"/>
        <v>0</v>
      </c>
      <c r="M21" s="230">
        <f t="shared" si="2"/>
        <v>7714.3679999999995</v>
      </c>
      <c r="N21" s="277">
        <f t="shared" si="3"/>
        <v>1647.4576271186443</v>
      </c>
      <c r="O21" s="239">
        <f t="shared" si="4"/>
        <v>46.80912813559322</v>
      </c>
      <c r="P21" s="119">
        <f t="shared" si="5"/>
        <v>9408.6347552542375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320</v>
      </c>
      <c r="I25" s="114">
        <f t="shared" si="7"/>
        <v>21908.399999999998</v>
      </c>
      <c r="J25" s="274">
        <f>SUM(J16:J24)</f>
        <v>1705.596</v>
      </c>
      <c r="K25" s="275">
        <f t="shared" si="7"/>
        <v>766.7940000000001</v>
      </c>
      <c r="L25" s="276">
        <f t="shared" si="7"/>
        <v>80.029200000000003</v>
      </c>
      <c r="M25" s="232">
        <f t="shared" si="7"/>
        <v>19355.980799999998</v>
      </c>
      <c r="N25" s="233">
        <f>SUM(N16:N24)</f>
        <v>4149.1525423728817</v>
      </c>
      <c r="O25" s="101">
        <f>SUM(O16:O24)</f>
        <v>117.5256667118644</v>
      </c>
      <c r="P25" s="234">
        <f>SUM(P16:P24)</f>
        <v>23622.659009084746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21908.399999999998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1705.596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846.82320000000004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19355.980799999998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4149.1525423728817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23505.133342372879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117.5256667118644</v>
      </c>
    </row>
    <row r="35" spans="2:16" ht="15.75" customHeight="1" thickBot="1" x14ac:dyDescent="0.4">
      <c r="N35" s="359" t="s">
        <v>88</v>
      </c>
      <c r="O35" s="360"/>
      <c r="P35" s="297">
        <f>+P33+P34</f>
        <v>23622.659009084742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518</v>
      </c>
      <c r="B6" s="384"/>
      <c r="C6" s="384"/>
      <c r="F6" s="85"/>
      <c r="G6" s="86"/>
      <c r="K6" s="379" t="s">
        <v>69</v>
      </c>
      <c r="L6" s="379"/>
      <c r="M6" s="379"/>
      <c r="N6" s="381" t="s">
        <v>507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514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280</v>
      </c>
      <c r="I25" s="114">
        <f t="shared" si="7"/>
        <v>16052.2</v>
      </c>
      <c r="J25" s="274">
        <f>SUM(J16:J24)</f>
        <v>1190.0240000000001</v>
      </c>
      <c r="K25" s="275">
        <f t="shared" si="7"/>
        <v>561.82700000000011</v>
      </c>
      <c r="L25" s="276">
        <f t="shared" si="7"/>
        <v>160.05840000000001</v>
      </c>
      <c r="M25" s="232">
        <f t="shared" si="7"/>
        <v>14140.290600000002</v>
      </c>
      <c r="N25" s="233">
        <f>SUM(N16:N24)</f>
        <v>3050.8474576271178</v>
      </c>
      <c r="O25" s="101">
        <f>SUM(O16:O24)</f>
        <v>85.955690288135585</v>
      </c>
      <c r="P25" s="234">
        <f>SUM(P16:P24)</f>
        <v>17277.093747915256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16052.2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1190.0240000000001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721.88540000000012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14140.2906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3050.8474576271178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17191.138057627119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85.9556902881356</v>
      </c>
    </row>
    <row r="35" spans="2:16" ht="15.75" customHeight="1" thickBot="1" x14ac:dyDescent="0.4">
      <c r="N35" s="359" t="s">
        <v>88</v>
      </c>
      <c r="O35" s="360"/>
      <c r="P35" s="297">
        <f>+P33+P34</f>
        <v>17277.093747915253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519</v>
      </c>
      <c r="B6" s="384"/>
      <c r="C6" s="384"/>
      <c r="F6" s="85"/>
      <c r="G6" s="86"/>
      <c r="K6" s="379" t="s">
        <v>69</v>
      </c>
      <c r="L6" s="379"/>
      <c r="M6" s="379"/>
      <c r="N6" s="381" t="s">
        <v>507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520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4474.8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310.90800000000002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236.64720000000003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3927.2447999999999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4781.4820881355927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59" t="s">
        <v>88</v>
      </c>
      <c r="O35" s="360"/>
      <c r="P35" s="297">
        <f>+P33+P34</f>
        <v>4805.3894985762709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504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510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510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46228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46227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2026-07-24T05:18:47Z</dcterms:modified>
</cp:coreProperties>
</file>