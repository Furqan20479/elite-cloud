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E35332-B03D-4428-B6BB-D3F2E5F52AB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<sst xmlns="http://schemas.openxmlformats.org/spreadsheetml/2006/main" count="3913" uniqueCount="524">
  <si>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</si>
  <si>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</si>
  <si>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</si>
  <si>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</si>
  <si>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</si>
  <si>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</si>
  <si>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</si>
  <si>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</si>
  <si>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</si>
  <si>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</si>
  <si>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</si>
  <si>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</si>
  <si>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</si>
  <si>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</si>
  <si>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</si>
  <si>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</si>
  <si>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</si>
  <si>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</si>
  <si>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</si>
  <si>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</si>
  <si>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</si>
  <si>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</si>
  <si>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</si>
  <si>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</si>
  <si>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</si>
  <si>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</si>
  <si>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</si>
  <si>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</si>
  <si>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</si>
  <si>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</si>
  <si>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</si>
  <si>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</si>
  <si>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</si>
  <si>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</si>
  <si>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</si>
  <si>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</si>
  <si>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</si>
  <si>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</si>
  <si>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</si>
  <si>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</si>
  <si>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</si>
  <si>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</si>
  <si>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</si>
  <si>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</si>
  <si>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</si>
  <si>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</si>
  <si>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</si>
  <si>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</si>
  <si>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</si>
  <si>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</si>
  <si>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</si>
  <si>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</si>
  <si>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</si>
  <si>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</si>
  <si>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</si>
  <si>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</si>
  <si>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</si>
  <si>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</si>
  <si>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</si>
  <si>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</si>
  <si>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</si>
  <si>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</si>
  <si>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</si>
  <si>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</si>
  <si>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</si>
  <si>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</si>
  <si>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</si>
  <si>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</si>
  <si>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</si>
  <si>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</si>
  <si>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</si>
  <si>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</si>
  <si>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</si>
  <si>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</si>
  <si>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</si>
  <si>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</si>
  <si>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</si>
  <si>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</si>
  <si>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</si>
  <si>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</si>
  <si>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</si>
  <si>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</si>
  <si>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</si>
  <si>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</si>
  <si>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</si>
  <si>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</si>
  <si>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</si>
  <si>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</si>
  <si>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</si>
  <si>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</si>
  <si>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</si>
  <si>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</si>
  <si>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</si>
  <si>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</si>
  <si>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</si>
  <si>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</si>
  <si>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</si>
  <si>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</si>
  <si>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</si>
  <si>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</si>
  <si>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</si>
  <si>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</si>
  <si>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</si>
  <si>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</si>
  <si>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</si>
  <si>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</si>
  <si>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</si>
  <si>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</si>
  <si>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</si>
  <si>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</si>
  <si>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</si>
  <si>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</si>
  <si>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</si>
  <si>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</si>
  <si>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</si>
  <si>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</si>
  <si>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</si>
  <si>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</si>
  <si>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</si>
  <si>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</si>
  <si>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</si>
  <si>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</si>
  <si>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</si>
  <si>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</si>
  <si>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</si>
  <si>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</si>
  <si>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</si>
  <si>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</si>
  <si>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</si>
  <si>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</si>
  <si>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</si>
  <si>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</si>
  <si>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</si>
  <si>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</si>
  <si>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</si>
  <si>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</si>
  <si>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</si>
  <si>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</si>
  <si>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</si>
  <si>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</si>
  <si>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</si>
  <si>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</si>
  <si>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</si>
  <si>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</si>
  <si>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</si>
  <si>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</si>
  <si>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</si>
  <si>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</si>
  <si>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</si>
  <si>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</si>
  <si>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</si>
  <si>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</si>
  <si>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</si>
  <si>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</si>
  <si>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</si>
  <si>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</si>
  <si>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</si>
  <si>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</si>
  <si>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</si>
  <si>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</si>
  <si>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</si>
  <si>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</si>
  <si>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</si>
  <si>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</si>
  <si>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</si>
  <si>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</si>
  <si>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</si>
  <si>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</si>
  <si>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</si>
  <si>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</si>
  <si>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</si>
  <si>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</si>
  <si>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</si>
  <si>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</si>
  <si>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</si>
  <si>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</si>
  <si>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</si>
  <si>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</si>
  <si>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</si>
  <si>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</si>
  <si>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</si>
  <si>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</si>
  <si>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</si>
  <si>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</si>
  <si>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</si>
  <si>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</si>
  <si>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</si>
  <si>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</si>
  <si>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</si>
  <si>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</si>
  <si>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</si>
  <si>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</si>
  <si>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</si>
  <si>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</si>
  <si>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</si>
  <si>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</si>
  <si>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</si>
  <si>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</si>
  <si>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</si>
  <si>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</si>
  <si>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</si>
  <si>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</si>
  <si>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</si>
  <si>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</si>
  <si>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</si>
  <si>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</si>
  <si>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</si>
  <si>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</si>
  <si>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</si>
  <si>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</si>
  <si>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</si>
  <si>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</si>
  <si>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</si>
  <si>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</si>
  <si>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</si>
  <si>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</si>
  <si>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</si>
  <si>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</si>
  <si>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</si>
  <si>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</si>
  <si>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</si>
  <si>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</si>
  <si>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</si>
  <si>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</si>
  <si>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</si>
  <si>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</si>
  <si>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</si>
  <si>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</si>
  <si>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</si>
  <si>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</si>
  <si>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</si>
  <si>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</si>
  <si>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</si>
  <si>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</si>
  <si>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</si>
  <si>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</si>
  <si>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</si>
  <si>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</si>
  <si>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</si>
  <si>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</si>
  <si>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</si>
  <si>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</si>
  <si>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</si>
  <si>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</si>
  <si>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</si>
  <si>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</si>
  <si>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</si>
  <si>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</si>
  <si>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</si>
  <si>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</si>
  <si>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</si>
  <si>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</si>
  <si>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</si>
  <si>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</si>
  <si>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</si>
  <si>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</si>
  <si>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</si>
  <si>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</si>
  <si>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</si>
  <si>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</si>
  <si>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</si>
  <si>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</si>
  <si>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</si>
  <si>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</si>
  <si>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</si>
  <si>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</si>
  <si>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</si>
  <si>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</si>
  <si>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</si>
  <si>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</si>
  <si>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</si>
  <si>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</si>
  <si>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</si>
  <si>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</si>
  <si>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</si>
  <si>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</si>
  <si>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</si>
  <si>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</si>
  <si>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</si>
  <si>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</si>
  <si>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</si>
  <si>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</si>
  <si>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</si>
  <si>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</si>
  <si>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</si>
  <si>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</si>
  <si>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</si>
  <si>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</si>
  <si>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</si>
  <si>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</si>
  <si>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</si>
  <si>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</si>
  <si>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</si>
  <si>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</si>
  <si>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</si>
  <si>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</si>
  <si>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</si>
  <si>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</si>
  <si>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</si>
  <si>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</si>
  <si>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</si>
  <si>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</si>
  <si>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</si>
  <si>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</si>
  <si>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</si>
  <si>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</si>
  <si>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</si>
  <si>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</si>
  <si>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</si>
  <si>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</si>
  <si>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</si>
  <si>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</si>
  <si>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</si>
  <si>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</si>
  <si>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</si>
  <si>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</si>
  <si>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</si>
  <si>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</si>
  <si>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</si>
  <si>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</si>
  <si>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</si>
  <si>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</si>
  <si>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</si>
  <si>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</si>
  <si>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</si>
  <si>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</si>
  <si>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</si>
  <si>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</si>
  <si>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</si>
  <si>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</si>
  <si>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</si>
  <si>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</si>
  <si>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</si>
  <si>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</si>
  <si>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</si>
  <si>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</si>
  <si>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</si>
  <si>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</si>
  <si>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</si>
  <si>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</si>
  <si>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</si>
  <si>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</si>
  <si>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</si>
  <si>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</si>
  <si>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</si>
  <si>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</si>
  <si>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</si>
  <si>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</si>
  <si>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</si>
  <si>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</si>
  <si>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</si>
  <si>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</si>
  <si>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</si>
  <si>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</si>
  <si>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</si>
  <si>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</si>
  <si>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</si>
  <si>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</si>
  <si>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</si>
  <si>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</si>
  <si>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</si>
  <si>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</si>
  <si>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</si>
  <si>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</si>
  <si>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</si>
  <si>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</si>
  <si>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</si>
  <si>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</si>
  <si>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</si>
  <si>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</si>
  <si>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</si>
  <si>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</si>
  <si>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</si>
  <si>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</si>
  <si>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</si>
  <si>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</si>
  <si>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</si>
  <si>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</si>
  <si>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</si>
  <si>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</si>
  <si>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</si>
  <si>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</si>
  <si>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</si>
  <si>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</si>
  <si>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</si>
  <si>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</si>
  <si>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</si>
  <si>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</si>
  <si>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</si>
  <si>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</si>
  <si>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</si>
  <si>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</si>
  <si>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</si>
  <si>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</si>
  <si>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</si>
  <si>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</si>
  <si>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</si>
  <si>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</si>
  <si>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</si>
  <si>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</si>
  <si>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</si>
  <si>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</si>
  <si>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</si>
  <si>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</si>
  <si>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</si>
  <si>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</si>
  <si>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</si>
  <si>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</si>
  <si>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</si>
  <si>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</si>
  <si>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</si>
  <si>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</si>
  <si>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</si>
  <si>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</si>
  <si>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</si>
  <si>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</si>
  <si>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</si>
  <si>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</si>
  <si>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</si>
  <si>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</si>
  <si>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</si>
  <si>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</si>
  <si>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</si>
  <si>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</si>
  <si>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</si>
  <si>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</si>
  <si>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</si>
  <si>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</si>
  <si>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</si>
  <si>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</si>
  <si>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</si>
  <si>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</si>
  <si>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</si>
  <si>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</si>
  <si>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</si>
  <si>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</si>
  <si>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</si>
  <si>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</si>
  <si>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</si>
  <si>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</si>
  <si>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</si>
  <si>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</si>
  <si>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</si>
  <si>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</si>
  <si>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</si>
  <si>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</si>
  <si>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</si>
  <si>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</si>
  <si>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</si>
  <si>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</si>
  <si>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</si>
  <si>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</si>
  <si>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</si>
  <si>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</si>
  <si>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</si>
  <si>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</si>
  <si>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</si>
  <si>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</si>
  <si>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</si>
  <si>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</si>
  <si>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</si>
  <si>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</si>
  <si>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</si>
  <si>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</si>
  <si>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</si>
  <si>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</si>
  <si>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</si>
  <si>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</si>
  <si>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</si>
  <si>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</si>
  <si>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</si>
  <si>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</si>
  <si>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</si>
  <si>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</si>
  <si>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</si>
  <si>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</si>
  <si>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</si>
  <si>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</si>
  <si>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</si>
  <si>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</si>
  <si>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</si>
  <si>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</si>
  <si>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</si>
  <si>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</si>
  <si>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</si>
  <si>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</si>
  <si>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</si>
  <si>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</si>
  <si>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</si>
  <si>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</si>
  <si>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</si>
  <si>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</si>
  <si>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</si>
  <si>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</si>
  <si>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</si>
  <si>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</si>
  <si>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</si>
  <si>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</si>
  <si>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</si>
  <si>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</si>
  <si>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</si>
  <si>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</si>
  <si>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</si>
  <si>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</si>
  <si>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</si>
  <si>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</si>
  <si>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</si>
  <si>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</si>
  <si>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</si>
  <si>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</si>
  <si>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</si>
  <si>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>Al Madina Store</t>
  </si>
  <si>
    <t xml:space="preserve">Address:Gulberg </t>
  </si>
  <si>
    <t xml:space="preserve">Al Fallah Bakers </t>
  </si>
  <si>
    <t xml:space="preserve">Address:Gullberg </t>
  </si>
  <si>
    <t xml:space="preserve">Kinza Bakers </t>
  </si>
  <si>
    <t>Kamal Store</t>
  </si>
  <si>
    <t xml:space="preserve">Bake &amp; Bite </t>
  </si>
  <si>
    <t>Address:Gullberg</t>
  </si>
  <si>
    <t xml:space="preserve">Wahid Pharmacy </t>
  </si>
  <si>
    <t xml:space="preserve">Murad GS </t>
  </si>
  <si>
    <t>M Sadiq Store</t>
  </si>
  <si>
    <t xml:space="preserve">Ahmad Usman Mart </t>
  </si>
  <si>
    <t>Shop Summary 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</si>
</sst>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2" workbookViewId="0">
      <selection activeCell="U8" sqref="U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510</v>
      </c>
      <c r="I2" s="339"/>
      <c r="J2" s="340"/>
      <c r="R2" s="336" t="s">
        <v>523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Al Madina Store</v>
      </c>
      <c r="T3" s="301">
        <f>+'1'!P35</f>
        <v>1732.5954271716098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Fallah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Kinza Bakers </v>
      </c>
      <c r="T5" s="301">
        <f>+'3'!P35</f>
        <v>3099.640539584746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Kamal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41</v>
      </c>
      <c r="I7" s="235">
        <f>(G7*D7)*F7+H7*F7</f>
        <v>2150.9625000000001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172.07699999999997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75.283687500000013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1903.6018125000001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406.52542372881334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28.454006202330504</v>
      </c>
      <c r="P7" s="118">
        <f>M7+N7+O7</f>
        <v>2338.5812424311439</v>
      </c>
      <c r="Q7" s="142"/>
      <c r="R7" s="299">
        <v>5</v>
      </c>
      <c r="S7" s="300" t="str">
        <f>+'5'!A6:A6</f>
        <v xml:space="preserve">Bake &amp; Bite </v>
      </c>
      <c r="T7" s="301">
        <f>+'5'!P35</f>
        <v>1096.809953224576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41</v>
      </c>
      <c r="I8" s="236">
        <f t="shared" ref="I8:I14" si="0">(G8*D8)*F8+H8*F8</f>
        <v>2150.9625000000001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172.07699999999997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75.283687500000013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1903.6018125000001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406.52542372881334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28.454006202330504</v>
      </c>
      <c r="P8" s="119">
        <f t="shared" ref="P8:P15" si="2">M8+N8+O8</f>
        <v>2338.5812424311439</v>
      </c>
      <c r="R8" s="299">
        <v>6</v>
      </c>
      <c r="S8" s="300" t="str">
        <f>+'6'!A6:A6</f>
        <v xml:space="preserve">Wahid Pharmacy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 xml:space="preserve">Murad GS </v>
      </c>
      <c r="T9" s="301">
        <f>+'7'!P35</f>
        <v>625.941717559322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119">
        <f t="shared" si="2"/>
        <v>784.05289627118646</v>
      </c>
      <c r="R10" s="299">
        <v>8</v>
      </c>
      <c r="S10" s="300" t="str">
        <f>+'8'!A6:A6</f>
        <v>M Sadiq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119">
        <f t="shared" si="2"/>
        <v>784.05289627118646</v>
      </c>
      <c r="R11" s="299">
        <v>9</v>
      </c>
      <c r="S11" s="300" t="str">
        <f>+'9'!A6:A6</f>
        <v xml:space="preserve">Ahmad Usman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119">
        <f t="shared" si="2"/>
        <v>1568.1057925423729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85</v>
      </c>
      <c r="I13" s="236">
        <f t="shared" si="0"/>
        <v>3334.55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166.72750000000002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116.70925000000003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170.06205</v>
      </c>
      <c r="M13" s="230">
        <f t="shared" si="1"/>
        <v>2881.0511999999999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648.30508474576231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17.646781423728815</v>
      </c>
      <c r="P13" s="119">
        <f t="shared" si="2"/>
        <v>3547.0030661694914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5.1749999999999998</v>
      </c>
      <c r="H16" s="113">
        <f t="shared" ref="H16:M16" si="3">SUM(H7:H15)</f>
        <v>207</v>
      </c>
      <c r="I16" s="114">
        <f t="shared" si="3"/>
        <v>10542.075000000001</v>
      </c>
      <c r="J16" s="274">
        <f>SUM(J7:J15)</f>
        <v>743.32950000000005</v>
      </c>
      <c r="K16" s="275">
        <f t="shared" si="3"/>
        <v>368.97262500000011</v>
      </c>
      <c r="L16" s="276">
        <f t="shared" si="3"/>
        <v>170.06205</v>
      </c>
      <c r="M16" s="232">
        <f t="shared" si="3"/>
        <v>9259.7108249999983</v>
      </c>
      <c r="N16" s="233">
        <f>SUM(N7:N15)</f>
        <v>2010.5084745762704</v>
      </c>
      <c r="O16" s="101">
        <f>SUM(O7:O15)</f>
        <v>90.157836540254237</v>
      </c>
      <c r="P16" s="234">
        <f>SUM(P7:P15)</f>
        <v>11360.377136116525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10542.075000000001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743.32950000000005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539.03467500000011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9259.7108250000001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2010.5084745762704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11270.219299576271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90.157836540254237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11360.377136116525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11360.377136116525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activeCell="H25" sqref="H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511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512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21.129212526483048</v>
      </c>
      <c r="P16" s="118">
        <f>M16+N16+O16</f>
        <v>866.2977135858049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21.129212526483048</v>
      </c>
      <c r="P17" s="119">
        <f t="shared" ref="P17:P24" si="5">M17+N17+O17</f>
        <v>866.2977135858049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30</v>
      </c>
      <c r="I25" s="114">
        <f t="shared" ref="I25:M25" si="10">SUM(I16:I24)</f>
        <v>1573.875</v>
      </c>
      <c r="J25" s="274">
        <f>SUM(J16:J24)</f>
        <v>125.91</v>
      </c>
      <c r="K25" s="275">
        <f t="shared" si="10"/>
        <v>55.085625000000007</v>
      </c>
      <c r="L25" s="276">
        <f t="shared" si="10"/>
        <v>0</v>
      </c>
      <c r="M25" s="232">
        <f t="shared" si="10"/>
        <v>1392.879375</v>
      </c>
      <c r="N25" s="233">
        <f>SUM(N16:N24)</f>
        <v>297.45762711864393</v>
      </c>
      <c r="O25" s="101">
        <f>SUM(O16:O24)</f>
        <v>42.258425052966096</v>
      </c>
      <c r="P25" s="234">
        <f>SUM(P16:P24)</f>
        <v>1732.5954271716098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1573.875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125.91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55.085625000000007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1392.879375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1690.3370021186438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2.5000000000000001E-2</v>
      </c>
      <c r="P34" s="140">
        <f>O34*P33</f>
        <v>42.258425052966096</v>
      </c>
    </row>
    <row r="35" spans="2:16" ht="15.75" customHeight="1" thickBot="1" x14ac:dyDescent="0.4">
      <c r="N35" s="330" t="s">
        <v>88</v>
      </c>
      <c r="O35" s="331"/>
      <c r="P35" s="297">
        <f>+P33+P34</f>
        <v>1732.5954271716098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8" workbookViewId="0">
      <selection activeCell="B37" sqref="B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513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514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0" t="s">
        <v>88</v>
      </c>
      <c r="O35" s="331"/>
      <c r="P35" s="297">
        <f>+P33+P34</f>
        <v>3136.2115850847458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B37" sqref="B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515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514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60</v>
      </c>
      <c r="I25" s="114">
        <f t="shared" si="7"/>
        <v>2883.1000000000004</v>
      </c>
      <c r="J25" s="274">
        <f>SUM(J16:J24)</f>
        <v>207.11</v>
      </c>
      <c r="K25" s="275">
        <f t="shared" si="7"/>
        <v>100.9085</v>
      </c>
      <c r="L25" s="276">
        <f t="shared" si="7"/>
        <v>40.014600000000002</v>
      </c>
      <c r="M25" s="232">
        <f t="shared" si="7"/>
        <v>2535.0669000000003</v>
      </c>
      <c r="N25" s="233">
        <f>SUM(N16:N24)</f>
        <v>549.15254237288104</v>
      </c>
      <c r="O25" s="101">
        <f>SUM(O16:O24)</f>
        <v>15.421097211864407</v>
      </c>
      <c r="P25" s="234">
        <f>SUM(P16:P24)</f>
        <v>3099.640539584746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2883.1000000000004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207.11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140.92310000000001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2535.0669000000003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3084.2194423728815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15.421097211864408</v>
      </c>
    </row>
    <row r="35" spans="2:16" ht="15.75" customHeight="1" thickBot="1" x14ac:dyDescent="0.4">
      <c r="N35" s="330" t="s">
        <v>88</v>
      </c>
      <c r="O35" s="331"/>
      <c r="P35" s="297">
        <f>+P33+P34</f>
        <v>3099.640539584746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8.726562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516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B37" sqref="B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517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518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22</v>
      </c>
      <c r="I25" s="114">
        <f t="shared" si="7"/>
        <v>1021.85</v>
      </c>
      <c r="J25" s="274">
        <f>SUM(J16:J24)</f>
        <v>69.978999999999999</v>
      </c>
      <c r="K25" s="275">
        <f t="shared" si="7"/>
        <v>35.764750000000006</v>
      </c>
      <c r="L25" s="276">
        <f t="shared" si="7"/>
        <v>20.007300000000001</v>
      </c>
      <c r="M25" s="232">
        <f t="shared" si="7"/>
        <v>896.09895000000006</v>
      </c>
      <c r="N25" s="233">
        <f>SUM(N16:N24)</f>
        <v>195.2542372881355</v>
      </c>
      <c r="O25" s="101">
        <f>SUM(O16:O24)</f>
        <v>5.4567659364406778</v>
      </c>
      <c r="P25" s="234">
        <f>SUM(P16:P24)</f>
        <v>1096.8099532245762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1021.85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69.978999999999999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55.772050000000007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896.09894999999995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195.2542372881355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1091.3531872881354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5.4567659364406769</v>
      </c>
    </row>
    <row r="35" spans="2:16" ht="15.75" customHeight="1" thickBot="1" x14ac:dyDescent="0.4">
      <c r="N35" s="330" t="s">
        <v>88</v>
      </c>
      <c r="O35" s="331"/>
      <c r="P35" s="297">
        <f>+P33+P34</f>
        <v>1096.809953224576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519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514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B37" sqref="B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520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514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588.45000000000005</v>
      </c>
      <c r="J25" s="274">
        <f>SUM(J16:J24)</f>
        <v>29.422500000000003</v>
      </c>
      <c r="K25" s="275">
        <f t="shared" si="7"/>
        <v>20.595750000000002</v>
      </c>
      <c r="L25" s="276">
        <f t="shared" si="7"/>
        <v>30.010950000000001</v>
      </c>
      <c r="M25" s="232">
        <f t="shared" si="7"/>
        <v>508.42080000000004</v>
      </c>
      <c r="N25" s="233">
        <f>SUM(N16:N24)</f>
        <v>114.40677966101688</v>
      </c>
      <c r="O25" s="101">
        <f>SUM(O16:O24)</f>
        <v>3.1141378983050845</v>
      </c>
      <c r="P25" s="234">
        <f>SUM(P16:P24)</f>
        <v>625.941717559322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588.45000000000005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29.422500000000003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50.606700000000004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508.42080000000004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114.40677966101688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622.8275796610169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3.1141378983050845</v>
      </c>
    </row>
    <row r="35" spans="2:16" ht="15.75" customHeight="1" thickBot="1" x14ac:dyDescent="0.4">
      <c r="N35" s="330" t="s">
        <v>88</v>
      </c>
      <c r="O35" s="331"/>
      <c r="P35" s="297">
        <f>+P33+P34</f>
        <v>625.941717559322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B37" sqref="B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521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514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0" t="s">
        <v>88</v>
      </c>
      <c r="O35" s="331"/>
      <c r="P35" s="297">
        <f>+P33+P34</f>
        <v>1669.1779134915255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522</v>
      </c>
      <c r="B6" s="383"/>
      <c r="C6" s="383"/>
      <c r="F6" s="85"/>
      <c r="G6" s="86"/>
      <c r="K6" s="355" t="s">
        <v>69</v>
      </c>
      <c r="L6" s="355"/>
      <c r="M6" s="355"/>
      <c r="N6" s="384" t="s">
        <v>507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514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503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509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509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2026-07-24T05:18:39Z</dcterms:modified>
</cp:coreProperties>
</file>