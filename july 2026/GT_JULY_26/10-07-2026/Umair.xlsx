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92AE743-0A29-4EEB-A398-B3D9C03F425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21" i="16"/>
  <c r="K16" i="17"/>
  <c r="K16" i="19"/>
  <c r="K16" i="18"/>
  <c r="K16" i="20"/>
  <c r="K16" i="21"/>
  <c r="K16" i="22"/>
  <c r="K16" i="23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I17" i="24"/>
  <c r="I18" i="24"/>
  <c r="I19" i="24"/>
  <c r="I20" i="24"/>
  <c r="K20" i="24" s="1"/>
  <c r="I21" i="24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4" l="1"/>
  <c r="K21" i="24"/>
  <c r="L19" i="24"/>
  <c r="K19" i="24"/>
  <c r="L17" i="24"/>
  <c r="K17" i="24"/>
  <c r="L16" i="24"/>
  <c r="K16" i="24"/>
  <c r="L20" i="23"/>
  <c r="K20" i="23"/>
  <c r="L19" i="19"/>
  <c r="K19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4" l="1"/>
  <c r="N22" i="24" s="1"/>
  <c r="O22" i="24" s="1"/>
  <c r="P22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3" l="1"/>
  <c r="P34" i="23" s="1"/>
  <c r="P35" i="23" s="1"/>
  <c r="U21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<sst xmlns="http://schemas.openxmlformats.org/spreadsheetml/2006/main" count="1633" uniqueCount="141">
  <si>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</si>
  <si>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</si>
  <si>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</si>
  <si>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</si>
  <si>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</si>
  <si>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</si>
  <si>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</si>
  <si>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</si>
  <si>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</si>
  <si>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</si>
  <si>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</si>
  <si>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</si>
  <si>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</si>
  <si>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</si>
  <si>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</si>
  <si>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</si>
  <si>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</si>
  <si>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</si>
  <si>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</si>
  <si>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</si>
  <si>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</si>
  <si>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</si>
  <si>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</si>
  <si>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</si>
  <si>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</si>
  <si>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</si>
  <si>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</si>
  <si>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</si>
  <si>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</si>
  <si>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</si>
  <si>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</si>
  <si>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</si>
  <si>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</si>
  <si>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</si>
  <si>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</si>
  <si>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</si>
  <si>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</si>
  <si>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</si>
  <si>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</si>
  <si>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</si>
  <si>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</si>
  <si>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</si>
  <si>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</si>
  <si>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</si>
  <si>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</si>
  <si>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</si>
  <si>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</si>
  <si>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</si>
  <si>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</si>
  <si>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</si>
  <si>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</si>
  <si>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</si>
  <si>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</si>
  <si>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</si>
  <si>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</si>
  <si>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</si>
  <si>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</si>
  <si>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</si>
  <si>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</si>
  <si>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</si>
  <si>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</si>
  <si>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</si>
  <si>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</si>
  <si>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</si>
  <si>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</si>
  <si>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</si>
  <si>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</si>
  <si>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</si>
  <si>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</si>
  <si>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</si>
  <si>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</si>
  <si>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</si>
  <si>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</si>
  <si>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</si>
  <si>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</si>
  <si>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</si>
  <si>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</si>
  <si>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</si>
  <si>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</si>
  <si>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</si>
  <si>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</si>
  <si>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</si>
  <si>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</si>
  <si>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</si>
  <si>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</si>
  <si>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</si>
  <si>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</si>
  <si>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</si>
  <si>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</si>
  <si>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</si>
  <si>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</si>
  <si>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</si>
  <si>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</si>
  <si>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</si>
  <si>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</si>
  <si>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</si>
  <si>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</si>
  <si>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</si>
  <si>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</si>
  <si>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</si>
  <si>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</si>
  <si>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</si>
  <si>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</si>
  <si>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</si>
  <si>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</si>
  <si>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</si>
  <si>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</si>
  <si>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</si>
  <si>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</si>
  <si>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</si>
  <si>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</si>
  <si>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</si>
  <si>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</si>
  <si>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</si>
  <si>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</si>
  <si>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</si>
  <si>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</si>
  <si>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</si>
  <si>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</si>
  <si>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</si>
  <si>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</si>
  <si>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</si>
  <si>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Khatija Kareyana Store</t>
  </si>
  <si>
    <t xml:space="preserve">Address: Youna Abad </t>
  </si>
  <si>
    <t xml:space="preserve">Customer Name : Grace Land Mart </t>
  </si>
  <si>
    <t>Address: Youna abad</t>
  </si>
  <si>
    <t>3419367-7</t>
  </si>
  <si>
    <t>Customer Name : Mahmood Quality Store</t>
  </si>
  <si>
    <t>Address: Youna Abad B Block</t>
  </si>
  <si>
    <t>Customer Name : Shehriyar Store</t>
  </si>
  <si>
    <t xml:space="preserve">Address: Clink Charch k opsite </t>
  </si>
  <si>
    <t>Customer Name : Bhati Store</t>
  </si>
  <si>
    <t>Address: Clink Charch k opsite</t>
  </si>
  <si>
    <t xml:space="preserve">Customer Name : Malik Ijaz </t>
  </si>
  <si>
    <t>Address: Youna Abad</t>
  </si>
  <si>
    <t xml:space="preserve">Customer Name : Noor Madina Mart </t>
  </si>
  <si>
    <t xml:space="preserve">Address: Setlight Town Orange Station  </t>
  </si>
  <si>
    <t xml:space="preserve">Customer Name : Sufi Kareyana </t>
  </si>
  <si>
    <t xml:space="preserve">Address: Sadiqia Sweets Orange Station </t>
  </si>
  <si>
    <t xml:space="preserve">Customer Name : Altaf Cash &amp; Carry </t>
  </si>
  <si>
    <t xml:space="preserve">Address: Central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</si>
</sst>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NumberFormat="1" applyFont="1" applyAlignment="1">
      <alignment horizontal="center" vertical="top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V20" sqref="V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Khatija Kareyana Store</v>
      </c>
      <c r="U14" s="164">
        <f>+'1'!P35</f>
        <v>254.31208416000001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Grace Land Mart </v>
      </c>
      <c r="U15" s="164">
        <f>+'2'!P35</f>
        <v>4815.1948492799993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Mahmood Quality Store</v>
      </c>
      <c r="U16" s="164">
        <f>+'3'!P35</f>
        <v>964.68171840000002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Shehriyar Store</v>
      </c>
      <c r="U17" s="164">
        <f>+'4'!P35</f>
        <v>1695.4138944000003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Bhati Store</v>
      </c>
      <c r="U18" s="164">
        <f>+'5'!P35</f>
        <v>1695.4138944000003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54</v>
      </c>
      <c r="I19" s="1">
        <f t="shared" si="1"/>
        <v>3922.56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137.28960000000001</v>
      </c>
      <c r="L19" s="174">
        <f>+'1'!L19+'2'!L19+'4'!L19+'3'!L19+'5'!L19+'6'!L19+'7'!L19+'8'!L19+'9'!L19+'10'!L19</f>
        <v>313.8048</v>
      </c>
      <c r="M19" s="118">
        <f t="shared" si="2"/>
        <v>3471.4656</v>
      </c>
      <c r="N19" s="101">
        <f>+'1'!N19+'2'!N19+'4'!N19+'3'!N19+'5'!N19+'6'!N19+'7'!N19+'8'!N19+'9'!N19+'10'!N19</f>
        <v>660.864192</v>
      </c>
      <c r="O19" s="101">
        <f>+'1'!O19+'2'!O19+'4'!O19+'3'!O19+'5'!O19+'6'!O19+'7'!O19+'8'!O19+'9'!O19+'10'!O19</f>
        <v>42.621883199999999</v>
      </c>
      <c r="P19" s="120">
        <f t="shared" si="0"/>
        <v>4174.9516752000009</v>
      </c>
      <c r="T19" s="163" t="str">
        <f>+'6'!A5</f>
        <v xml:space="preserve">Customer Name : Malik Ijaz </v>
      </c>
      <c r="U19" s="164">
        <f>+'6'!P35</f>
        <v>508.62416832000002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62</v>
      </c>
      <c r="I20" s="1">
        <f t="shared" si="1"/>
        <v>4503.68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157.62880000000001</v>
      </c>
      <c r="L20" s="174">
        <f>+'1'!L20+'2'!L20+'4'!L20+'3'!L20+'5'!L20+'6'!L20+'7'!L20+'8'!L20+'9'!L20+'10'!L20</f>
        <v>360.2944</v>
      </c>
      <c r="M20" s="118">
        <f t="shared" si="2"/>
        <v>3985.7568000000001</v>
      </c>
      <c r="N20" s="101">
        <f>+'1'!N20+'2'!N20+'4'!N20+'3'!N20+'5'!N20+'6'!N20+'7'!N20+'8'!N20+'9'!N20+'10'!N20</f>
        <v>774.00825600000007</v>
      </c>
      <c r="O20" s="101">
        <f>+'1'!O20+'2'!O20+'4'!O20+'3'!O20+'5'!O20+'6'!O20+'7'!O20+'8'!O20+'9'!O20+'10'!O20</f>
        <v>26.936001599999997</v>
      </c>
      <c r="P20" s="120">
        <f t="shared" si="0"/>
        <v>4786.7010576000002</v>
      </c>
      <c r="T20" s="163" t="str">
        <f>+'7'!A5</f>
        <v xml:space="preserve">Customer Name : Noor Madina Mart </v>
      </c>
      <c r="U20" s="164">
        <f>+'7'!P35</f>
        <v>847.70694720000017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62</v>
      </c>
      <c r="I21" s="1">
        <f t="shared" si="1"/>
        <v>4503.68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157.62880000000001</v>
      </c>
      <c r="L21" s="174">
        <f>+'1'!L21+'2'!L21+'4'!L21+'3'!L21+'5'!L21+'6'!L21+'7'!L21+'8'!L21+'9'!L21+'10'!L21</f>
        <v>360.2944</v>
      </c>
      <c r="M21" s="118">
        <f t="shared" si="2"/>
        <v>3985.7568000000001</v>
      </c>
      <c r="N21" s="101">
        <f>+'1'!N21+'2'!N21+'4'!N21+'3'!N21+'5'!N21+'6'!N21+'7'!N21+'8'!N21+'9'!N21+'10'!N21</f>
        <v>774.00825600000007</v>
      </c>
      <c r="O21" s="101">
        <f>+'1'!O21+'2'!O21+'4'!O21+'3'!O21+'5'!O21+'6'!O21+'7'!O21+'8'!O21+'9'!O21+'10'!O21</f>
        <v>26.936001599999997</v>
      </c>
      <c r="P21" s="120">
        <f t="shared" si="0"/>
        <v>4786.7010576000002</v>
      </c>
      <c r="T21" s="163" t="str">
        <f>+'8'!A5</f>
        <v xml:space="preserve">Customer Name : Sufi Kareyana </v>
      </c>
      <c r="U21" s="164">
        <f>+'8'!P35</f>
        <v>990.96502752000015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210</v>
      </c>
      <c r="I22" s="1">
        <f t="shared" si="1"/>
        <v>8238.3000000000011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708.49379999999996</v>
      </c>
      <c r="L22" s="174">
        <f>+'1'!L22+'2'!L22+'4'!L22+'3'!L22+'5'!L22+'6'!L22+'7'!L22+'8'!L22+'9'!L22+'10'!L22</f>
        <v>411.91500000000013</v>
      </c>
      <c r="M22" s="118">
        <f t="shared" si="2"/>
        <v>7117.8912000000009</v>
      </c>
      <c r="N22" s="101">
        <f>+'1'!N22+'2'!N22+'4'!N22+'3'!N22+'5'!N22+'6'!N22+'7'!N22+'8'!N22+'9'!N22+'10'!N22</f>
        <v>1511.704512</v>
      </c>
      <c r="O22" s="101">
        <f>+'1'!O22+'2'!O22+'4'!O22+'3'!O22+'5'!O22+'6'!O22+'7'!O22+'8'!O22+'9'!O22+'10'!O22</f>
        <v>150.66203040000005</v>
      </c>
      <c r="P22" s="120">
        <f t="shared" si="0"/>
        <v>8780.257742400001</v>
      </c>
      <c r="T22" s="163" t="str">
        <f>+'9'!A5</f>
        <v xml:space="preserve">Customer Name : Altaf Cash &amp; Carry </v>
      </c>
      <c r="U22" s="164">
        <f>+'9'!P35</f>
        <v>15161.140684620001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11.7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468</v>
      </c>
      <c r="I25" s="177">
        <f t="shared" si="3"/>
        <v>25365.22</v>
      </c>
      <c r="J25" s="176">
        <f t="shared" si="3"/>
        <v>0</v>
      </c>
      <c r="K25" s="177">
        <f t="shared" si="3"/>
        <v>1307.9360000000001</v>
      </c>
      <c r="L25" s="178">
        <f t="shared" si="3"/>
        <v>1782.0686000000003</v>
      </c>
      <c r="M25" s="141">
        <f t="shared" si="3"/>
        <v>22275.215400000001</v>
      </c>
      <c r="N25" s="142">
        <f>SUM(N16:N24)</f>
        <v>4389.167316</v>
      </c>
      <c r="O25" s="143">
        <f>SUM(O16:O24)</f>
        <v>269.07055230000003</v>
      </c>
      <c r="P25" s="144">
        <f>SUM(P16:P24)</f>
        <v>26933.4532683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1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0" t="str">
        <f>+'16'!A5</f>
        <v xml:space="preserve">Customer Name : </v>
      </c>
      <c r="U29" s="181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0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0" t="str">
        <f>+'18'!A5</f>
        <v xml:space="preserve">Customer Name : </v>
      </c>
      <c r="U31" s="181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0" t="str">
        <f>+'19'!A5</f>
        <v xml:space="preserve">Customer Name : </v>
      </c>
      <c r="U32" s="181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0" t="str">
        <f>+'20'!A5</f>
        <v xml:space="preserve">Customer Name : </v>
      </c>
      <c r="U33" s="181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26933.4532683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25365.22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1782.0686000000003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1307.9360000000001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22275.215400000001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4389.167316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26664.382716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666.6095679</v>
      </c>
    </row>
    <row r="43" spans="1:21" ht="15.75" customHeight="1" thickBot="1" x14ac:dyDescent="0.4">
      <c r="N43" s="212" t="s">
        <v>92</v>
      </c>
      <c r="O43" s="213"/>
      <c r="P43" s="160">
        <f>P41+P42</f>
        <v>27330.992283899999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44.7410304</v>
      </c>
      <c r="O22" s="119">
        <f t="shared" si="1"/>
        <v>6.202733760000001</v>
      </c>
      <c r="P22" s="120">
        <f t="shared" si="2"/>
        <v>254.31208416000001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6</v>
      </c>
      <c r="I25" s="137">
        <f t="shared" si="13"/>
        <v>235.38000000000002</v>
      </c>
      <c r="J25" s="138"/>
      <c r="K25" s="139">
        <f t="shared" si="13"/>
        <v>20.24268</v>
      </c>
      <c r="L25" s="140">
        <f t="shared" si="13"/>
        <v>11.769000000000002</v>
      </c>
      <c r="M25" s="141">
        <f t="shared" si="13"/>
        <v>203.36832000000001</v>
      </c>
      <c r="N25" s="142">
        <f>SUM(N16:N24)</f>
        <v>44.7410304</v>
      </c>
      <c r="O25" s="143">
        <f>SUM(O16:O24)</f>
        <v>6.202733760000001</v>
      </c>
      <c r="P25" s="144">
        <f>SUM(P16:P24)</f>
        <v>254.31208416000001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44.7410304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248.10935040000001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6.202733760000001</v>
      </c>
    </row>
    <row r="35" spans="2:16" ht="15.75" customHeight="1" thickBot="1" x14ac:dyDescent="0.4">
      <c r="N35" s="212" t="s">
        <v>92</v>
      </c>
      <c r="O35" s="213"/>
      <c r="P35" s="160">
        <f>P33+P34</f>
        <v>254.31208416000001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863.99385600000005</v>
      </c>
      <c r="O25" s="143">
        <f>SUM(O16:O24)</f>
        <v>23.956193280000001</v>
      </c>
      <c r="P25" s="144">
        <f>SUM(P16:P24)</f>
        <v>4815.1948492800002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863.99385600000005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4791.2386559999995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23.956193279999997</v>
      </c>
    </row>
    <row r="35" spans="2:16" ht="15.75" customHeight="1" thickBot="1" x14ac:dyDescent="0.4">
      <c r="N35" s="212" t="s">
        <v>92</v>
      </c>
      <c r="O35" s="213"/>
      <c r="P35" s="160">
        <f>P33+P34</f>
        <v>4815.1948492799993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23.528822400000003</v>
      </c>
      <c r="P19" s="120">
        <f t="shared" si="1"/>
        <v>964.68171840000002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30.508800000000004</v>
      </c>
      <c r="L25" s="140">
        <f t="shared" si="9"/>
        <v>69.734400000000008</v>
      </c>
      <c r="M25" s="141">
        <f t="shared" si="9"/>
        <v>771.43680000000006</v>
      </c>
      <c r="N25" s="142">
        <f>SUM(N16:N24)</f>
        <v>169.71609600000002</v>
      </c>
      <c r="O25" s="143">
        <f>SUM(O16:O24)</f>
        <v>23.528822400000003</v>
      </c>
      <c r="P25" s="144">
        <f>SUM(P16:P24)</f>
        <v>964.68171840000002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871.68000000000006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69.734400000000008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30.508800000000004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771.43680000000006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169.71609600000002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941.15289600000006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23.528822400000003</v>
      </c>
    </row>
    <row r="35" spans="2:16" ht="15.75" customHeight="1" thickBot="1" x14ac:dyDescent="0.4">
      <c r="N35" s="212" t="s">
        <v>92</v>
      </c>
      <c r="O35" s="213"/>
      <c r="P35" s="160">
        <f>P33+P34</f>
        <v>964.68171840000002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1654.0623360000004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2" t="s">
        <v>92</v>
      </c>
      <c r="O35" s="213"/>
      <c r="P35" s="160">
        <f>P33+P34</f>
        <v>1695.4138944000003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1654.0623360000004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2" t="s">
        <v>92</v>
      </c>
      <c r="O35" s="213"/>
      <c r="P35" s="160">
        <f>P33+P34</f>
        <v>1695.4138944000003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496.21870080000002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12" t="s">
        <v>92</v>
      </c>
      <c r="O35" s="213"/>
      <c r="P35" s="160">
        <f>P33+P34</f>
        <v>508.62416832000002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136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149.13676800000002</v>
      </c>
      <c r="O25" s="143">
        <f>SUM(O16:O24)</f>
        <v>20.675779200000008</v>
      </c>
      <c r="P25" s="144">
        <f>SUM(P16:P24)</f>
        <v>847.70694720000017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149.13676800000002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827.03116800000021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20.675779200000008</v>
      </c>
    </row>
    <row r="35" spans="2:16" ht="15.75" customHeight="1" thickBot="1" x14ac:dyDescent="0.4">
      <c r="N35" s="212" t="s">
        <v>92</v>
      </c>
      <c r="O35" s="213"/>
      <c r="P35" s="160">
        <f>P33+P34</f>
        <v>847.70694720000017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138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</v>
      </c>
      <c r="I19" s="116">
        <f t="shared" si="2"/>
        <v>145.28</v>
      </c>
      <c r="J19" s="117"/>
      <c r="K19" s="104">
        <f t="shared" si="3"/>
        <v>5.0848000000000004</v>
      </c>
      <c r="L19" s="105">
        <f t="shared" si="4"/>
        <v>11.622400000000001</v>
      </c>
      <c r="M19" s="118">
        <f t="shared" si="5"/>
        <v>128.5728</v>
      </c>
      <c r="N19" s="118">
        <f t="shared" si="0"/>
        <v>28.286016</v>
      </c>
      <c r="O19" s="119">
        <f t="shared" si="6"/>
        <v>3.9214704</v>
      </c>
      <c r="P19" s="120">
        <f t="shared" si="1"/>
        <v>160.78028639999999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</v>
      </c>
      <c r="I20" s="116">
        <f t="shared" si="2"/>
        <v>145.28</v>
      </c>
      <c r="J20" s="117"/>
      <c r="K20" s="104">
        <f t="shared" si="3"/>
        <v>5.0848000000000004</v>
      </c>
      <c r="L20" s="105">
        <f t="shared" si="4"/>
        <v>11.622400000000001</v>
      </c>
      <c r="M20" s="118">
        <f t="shared" si="5"/>
        <v>128.5728</v>
      </c>
      <c r="N20" s="118">
        <f t="shared" si="0"/>
        <v>28.286016</v>
      </c>
      <c r="O20" s="119">
        <f t="shared" si="6"/>
        <v>3.9214704</v>
      </c>
      <c r="P20" s="120">
        <f t="shared" si="1"/>
        <v>160.78028639999999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</v>
      </c>
      <c r="I21" s="116">
        <f t="shared" si="2"/>
        <v>145.28</v>
      </c>
      <c r="J21" s="117"/>
      <c r="K21" s="104">
        <f t="shared" si="3"/>
        <v>5.0848000000000004</v>
      </c>
      <c r="L21" s="105">
        <f t="shared" si="4"/>
        <v>11.622400000000001</v>
      </c>
      <c r="M21" s="118">
        <f t="shared" si="5"/>
        <v>128.5728</v>
      </c>
      <c r="N21" s="118">
        <f t="shared" si="0"/>
        <v>28.286016</v>
      </c>
      <c r="O21" s="119">
        <f t="shared" si="6"/>
        <v>3.9214704</v>
      </c>
      <c r="P21" s="120">
        <f t="shared" si="1"/>
        <v>160.78028639999999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906.60000000000014</v>
      </c>
      <c r="J25" s="138"/>
      <c r="K25" s="139">
        <f t="shared" si="9"/>
        <v>55.739760000000004</v>
      </c>
      <c r="L25" s="140">
        <f t="shared" si="9"/>
        <v>58.405200000000008</v>
      </c>
      <c r="M25" s="141">
        <f t="shared" si="9"/>
        <v>792.45504000000005</v>
      </c>
      <c r="N25" s="142">
        <f>SUM(N16:N24)</f>
        <v>174.3401088</v>
      </c>
      <c r="O25" s="143">
        <f>SUM(O16:O24)</f>
        <v>24.16987872</v>
      </c>
      <c r="P25" s="144">
        <f>SUM(P16:P24)</f>
        <v>990.96502751999992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906.60000000000014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58.405200000000008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55.739760000000004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792.45504000000005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174.3401088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966.79514880000011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24.169878720000003</v>
      </c>
    </row>
    <row r="35" spans="2:16" ht="15.75" customHeight="1" thickBot="1" x14ac:dyDescent="0.4">
      <c r="N35" s="212" t="s">
        <v>92</v>
      </c>
      <c r="O35" s="213"/>
      <c r="P35" s="160">
        <f>P33+P34</f>
        <v>990.96502752000015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266">
        <v>631515315313153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266">
        <v>631515315313153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586.93420000000003</v>
      </c>
      <c r="L25" s="140">
        <f t="shared" si="9"/>
        <v>1111.5640000000001</v>
      </c>
      <c r="M25" s="141">
        <f t="shared" si="9"/>
        <v>12784.501800000002</v>
      </c>
      <c r="N25" s="142">
        <f>SUM(N16:N24)</f>
        <v>2301.2103239999997</v>
      </c>
      <c r="O25" s="143">
        <f>SUM(O16:O24)</f>
        <v>75.428560619999999</v>
      </c>
      <c r="P25" s="144">
        <f>SUM(P16:P24)</f>
        <v>15161.140684620001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14483.000000000002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1111.5640000000001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586.93420000000003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12784.501800000002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2301.2103239999997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15085.712124000001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75.428560620000013</v>
      </c>
    </row>
    <row r="35" spans="2:16" ht="15.75" customHeight="1" thickBot="1" x14ac:dyDescent="0.4">
      <c r="N35" s="212" t="s">
        <v>92</v>
      </c>
      <c r="O35" s="213"/>
      <c r="P35" s="160">
        <f>P33+P34</f>
        <v>15161.140684620001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79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46212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46211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2026-07-09T11:29:55Z</dcterms:modified>
</cp:coreProperties>
</file>