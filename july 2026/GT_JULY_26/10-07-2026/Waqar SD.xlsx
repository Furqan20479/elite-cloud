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0A349EA7-97AE-4ADC-9EE1-26B729748DFF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20" i="16"/>
  <c r="K21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3" l="1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K19" i="16" s="1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21" l="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L17" i="16"/>
  <c r="M23" i="22"/>
  <c r="N23" i="22" s="1"/>
  <c r="O23" i="22" s="1"/>
  <c r="L21" i="16"/>
  <c r="L21" i="15" s="1"/>
  <c r="K25" i="19"/>
  <c r="P30" i="19" s="1"/>
  <c r="P31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<sst xmlns="http://schemas.openxmlformats.org/spreadsheetml/2006/main" count="1632" uniqueCount="124">
  <si>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</si>
  <si>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</si>
  <si>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</si>
  <si>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</si>
  <si>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</si>
  <si>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</si>
  <si>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</si>
  <si>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</si>
  <si>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</si>
  <si>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</si>
  <si>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</si>
  <si>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</si>
  <si>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</si>
  <si>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</si>
  <si>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</si>
  <si>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</si>
  <si>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</si>
  <si>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</si>
  <si>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</si>
  <si>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</si>
  <si>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</si>
  <si>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</si>
  <si>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</si>
  <si>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</si>
  <si>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</si>
  <si>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</si>
  <si>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</si>
  <si>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</si>
  <si>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</si>
  <si>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</si>
  <si>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</si>
  <si>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</si>
  <si>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</si>
  <si>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</si>
  <si>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</si>
  <si>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</si>
  <si>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</si>
  <si>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</si>
  <si>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</si>
  <si>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</si>
  <si>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</si>
  <si>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</si>
  <si>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</si>
  <si>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</si>
  <si>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</si>
  <si>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</si>
  <si>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</si>
  <si>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</si>
  <si>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</si>
  <si>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</si>
  <si>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</si>
  <si>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</si>
  <si>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</si>
  <si>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</si>
  <si>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</si>
  <si>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</si>
  <si>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</si>
  <si>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</si>
  <si>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</si>
  <si>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</si>
  <si>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</si>
  <si>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</si>
  <si>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</si>
  <si>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</si>
  <si>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</si>
  <si>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</si>
  <si>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</si>
  <si>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</si>
  <si>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</si>
  <si>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</si>
  <si>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</si>
  <si>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</si>
  <si>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</si>
  <si>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</si>
  <si>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</si>
  <si>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</si>
  <si>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</si>
  <si>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</si>
  <si>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</si>
  <si>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</si>
  <si>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</si>
  <si>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</si>
  <si>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</si>
  <si>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</si>
  <si>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</si>
  <si>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</si>
  <si>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</si>
  <si>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</si>
  <si>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</si>
  <si>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</si>
  <si>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</si>
  <si>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</si>
  <si>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</si>
  <si>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</si>
  <si>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</si>
  <si>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</si>
  <si>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</si>
  <si>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</si>
  <si>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</si>
  <si>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</si>
  <si>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</si>
  <si>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</si>
  <si>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</si>
  <si>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</si>
  <si>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</si>
  <si>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</si>
  <si>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</si>
  <si>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</si>
  <si>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</si>
  <si>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</si>
  <si>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</si>
  <si>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</si>
  <si>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</si>
  <si>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</si>
  <si>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</si>
  <si>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</si>
  <si>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</si>
  <si>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</si>
  <si>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</si>
  <si>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</si>
  <si>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</si>
  <si>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</si>
  <si>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Address: Native</t>
  </si>
  <si>
    <t>Customer Name : Waqar SB  to DKD Fasal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</si>
</sst>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  <c r="B15" t="s">
        <v>107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25" zoomScale="70" zoomScaleNormal="70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104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105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Waqar SB  to DKD Fasal</v>
      </c>
      <c r="U14" s="164">
        <f>+'1'!P35</f>
        <v>5086.2416832000008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120</v>
      </c>
      <c r="I22" s="1">
        <f t="shared" si="1"/>
        <v>4707.6000000000004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404.85359999999997</v>
      </c>
      <c r="L22" s="175">
        <f>+'1'!L22+'2'!L22+'4'!L22+'3'!L22+'5'!L22+'6'!L22+'7'!L22+'8'!L22+'9'!L22+'10'!L22</f>
        <v>235.38000000000002</v>
      </c>
      <c r="M22" s="118">
        <f t="shared" si="2"/>
        <v>4067.3663999999999</v>
      </c>
      <c r="N22" s="101">
        <f>+'1'!N22+'2'!N22+'4'!N22+'3'!N22+'5'!N22+'6'!N22+'7'!N22+'8'!N22+'9'!N22+'10'!N22</f>
        <v>894.82060799999999</v>
      </c>
      <c r="O22" s="101">
        <f>+'1'!O22+'2'!O22+'4'!O22+'3'!O22+'5'!O22+'6'!O22+'7'!O22+'8'!O22+'9'!O22+'10'!O22</f>
        <v>124.05467520000001</v>
      </c>
      <c r="P22" s="120">
        <f t="shared" si="0"/>
        <v>5086.2416831999999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3</v>
      </c>
      <c r="D25" s="215"/>
      <c r="E25" s="215"/>
      <c r="F25" s="215"/>
      <c r="G25" s="176">
        <f t="shared" ref="G25:M25" si="3">SUM(G16:G24)</f>
        <v>0</v>
      </c>
      <c r="H25" s="177">
        <f t="shared" si="3"/>
        <v>120</v>
      </c>
      <c r="I25" s="178">
        <f t="shared" si="3"/>
        <v>4707.6000000000004</v>
      </c>
      <c r="J25" s="177">
        <f t="shared" si="3"/>
        <v>0</v>
      </c>
      <c r="K25" s="178">
        <f t="shared" si="3"/>
        <v>404.85359999999997</v>
      </c>
      <c r="L25" s="179">
        <f t="shared" si="3"/>
        <v>235.38000000000002</v>
      </c>
      <c r="M25" s="141">
        <f t="shared" si="3"/>
        <v>4067.3663999999999</v>
      </c>
      <c r="N25" s="142">
        <f>SUM(N16:N24)</f>
        <v>894.82060799999999</v>
      </c>
      <c r="O25" s="143">
        <f>SUM(O16:O24)</f>
        <v>124.05467520000001</v>
      </c>
      <c r="P25" s="144">
        <f>SUM(P16:P24)</f>
        <v>5086.2416831999999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5086.2416832000008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4707.6000000000004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235.38000000000002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404.85359999999997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4067.3664000000003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894.82060799999999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4962.1870080000008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124.05467520000002</v>
      </c>
    </row>
    <row r="43" spans="1:21" ht="15.75" customHeight="1" thickBot="1" x14ac:dyDescent="0.4">
      <c r="N43" s="213" t="s">
        <v>92</v>
      </c>
      <c r="O43" s="214"/>
      <c r="P43" s="160">
        <f>P41+P42</f>
        <v>5086.2416832000008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26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101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119</v>
      </c>
      <c r="T14" s="256"/>
      <c r="U14" s="256"/>
      <c r="V14" s="256"/>
      <c r="W14" s="257" t="s">
        <v>121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5" t="s">
        <v>111</v>
      </c>
      <c r="T15" s="185" t="s">
        <v>112</v>
      </c>
      <c r="U15" s="185" t="s">
        <v>116</v>
      </c>
      <c r="V15" s="185" t="s">
        <v>117</v>
      </c>
      <c r="W15" s="186" t="s">
        <v>111</v>
      </c>
      <c r="X15" s="186" t="s">
        <v>112</v>
      </c>
      <c r="Y15" s="186" t="s">
        <v>116</v>
      </c>
      <c r="Z15" s="186" t="s">
        <v>117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108</v>
      </c>
      <c r="T16" s="183">
        <v>1697</v>
      </c>
      <c r="U16" s="183" t="s">
        <v>113</v>
      </c>
      <c r="V16" s="183">
        <f>T16/40</f>
        <v>42.424999999999997</v>
      </c>
      <c r="W16" s="187" t="s">
        <v>108</v>
      </c>
      <c r="X16" s="187">
        <v>1664</v>
      </c>
      <c r="Y16" s="187" t="s">
        <v>113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110</v>
      </c>
      <c r="T17" s="183">
        <v>2322</v>
      </c>
      <c r="U17" s="183" t="s">
        <v>114</v>
      </c>
      <c r="V17" s="183">
        <f t="shared" ref="V17:V18" si="7">T17/40</f>
        <v>58.05</v>
      </c>
      <c r="W17" s="188" t="s">
        <v>110</v>
      </c>
      <c r="X17" s="187">
        <v>2277</v>
      </c>
      <c r="Y17" s="187" t="s">
        <v>114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109</v>
      </c>
      <c r="T18" s="183">
        <v>3216</v>
      </c>
      <c r="U18" s="183" t="s">
        <v>115</v>
      </c>
      <c r="V18" s="183">
        <f t="shared" si="7"/>
        <v>80.400000000000006</v>
      </c>
      <c r="W18" s="187" t="s">
        <v>109</v>
      </c>
      <c r="X18" s="187">
        <v>3153</v>
      </c>
      <c r="Y18" s="187" t="s">
        <v>115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8" t="s">
        <v>120</v>
      </c>
      <c r="T19" s="258"/>
      <c r="U19" s="258"/>
      <c r="V19" s="258"/>
      <c r="W19" s="259" t="s">
        <v>118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111</v>
      </c>
      <c r="T20" s="185" t="s">
        <v>112</v>
      </c>
      <c r="U20" s="185" t="s">
        <v>116</v>
      </c>
      <c r="V20" s="185" t="s">
        <v>117</v>
      </c>
      <c r="W20" s="185" t="s">
        <v>111</v>
      </c>
      <c r="X20" s="185" t="s">
        <v>112</v>
      </c>
      <c r="Y20" s="185" t="s">
        <v>116</v>
      </c>
      <c r="Z20" s="185" t="s">
        <v>117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108</v>
      </c>
      <c r="T21" s="189">
        <v>1610</v>
      </c>
      <c r="U21" s="189" t="s">
        <v>113</v>
      </c>
      <c r="V21" s="189">
        <f>T21/40</f>
        <v>40.25</v>
      </c>
      <c r="W21" s="191" t="s">
        <v>108</v>
      </c>
      <c r="X21" s="191">
        <v>1642</v>
      </c>
      <c r="Y21" s="191" t="s">
        <v>113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120</v>
      </c>
      <c r="I22" s="116">
        <f t="shared" si="3"/>
        <v>4707.6000000000004</v>
      </c>
      <c r="J22" s="117"/>
      <c r="K22" s="104">
        <f>I22*8.6%</f>
        <v>404.85359999999997</v>
      </c>
      <c r="L22" s="120">
        <f>I22*5%</f>
        <v>235.38000000000002</v>
      </c>
      <c r="M22" s="118">
        <f t="shared" si="6"/>
        <v>4067.3663999999999</v>
      </c>
      <c r="N22" s="118">
        <f t="shared" si="0"/>
        <v>894.82060799999999</v>
      </c>
      <c r="O22" s="119">
        <f t="shared" si="1"/>
        <v>124.05467520000001</v>
      </c>
      <c r="P22" s="120">
        <f t="shared" si="2"/>
        <v>5086.2416831999999</v>
      </c>
      <c r="S22" s="190" t="s">
        <v>110</v>
      </c>
      <c r="T22" s="189">
        <v>2202</v>
      </c>
      <c r="U22" s="189" t="s">
        <v>114</v>
      </c>
      <c r="V22" s="189">
        <f t="shared" ref="V22:V25" si="9">T22/40</f>
        <v>55.05</v>
      </c>
      <c r="W22" s="192" t="s">
        <v>110</v>
      </c>
      <c r="X22" s="191">
        <v>2246</v>
      </c>
      <c r="Y22" s="191" t="s">
        <v>114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109</v>
      </c>
      <c r="T23" s="189">
        <v>3216</v>
      </c>
      <c r="U23" s="189" t="s">
        <v>115</v>
      </c>
      <c r="V23" s="189">
        <f t="shared" si="9"/>
        <v>80.400000000000006</v>
      </c>
      <c r="W23" s="191" t="s">
        <v>109</v>
      </c>
      <c r="X23" s="191">
        <v>3216</v>
      </c>
      <c r="Y23" s="191" t="s">
        <v>114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109</v>
      </c>
      <c r="T24" s="189">
        <v>3216</v>
      </c>
      <c r="U24" s="189" t="s">
        <v>115</v>
      </c>
      <c r="V24" s="189">
        <f t="shared" si="9"/>
        <v>80.400000000000006</v>
      </c>
      <c r="W24" s="191"/>
      <c r="X24" s="191"/>
      <c r="Y24" s="191" t="s">
        <v>114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120</v>
      </c>
      <c r="I25" s="137">
        <f t="shared" si="13"/>
        <v>4707.6000000000004</v>
      </c>
      <c r="J25" s="138"/>
      <c r="K25" s="139">
        <f t="shared" si="13"/>
        <v>404.85359999999997</v>
      </c>
      <c r="L25" s="140">
        <f t="shared" si="13"/>
        <v>235.38000000000002</v>
      </c>
      <c r="M25" s="141">
        <f t="shared" si="13"/>
        <v>4067.3663999999999</v>
      </c>
      <c r="N25" s="142">
        <f>SUM(N16:N24)</f>
        <v>894.82060799999999</v>
      </c>
      <c r="O25" s="143">
        <f>SUM(O16:O24)</f>
        <v>124.05467520000001</v>
      </c>
      <c r="P25" s="144">
        <f>SUM(P16:P24)</f>
        <v>5086.2416831999999</v>
      </c>
      <c r="S25" s="189" t="s">
        <v>109</v>
      </c>
      <c r="T25" s="189">
        <v>3216</v>
      </c>
      <c r="U25" s="189" t="s">
        <v>115</v>
      </c>
      <c r="V25" s="189">
        <f t="shared" si="9"/>
        <v>80.400000000000006</v>
      </c>
      <c r="W25" s="191" t="s">
        <v>109</v>
      </c>
      <c r="X25" s="191">
        <v>3110</v>
      </c>
      <c r="Y25" s="191" t="s">
        <v>115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4707.6000000000004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235.38000000000002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404.85359999999997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4067.3664000000003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894.82060799999999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4962.1870080000008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124.05467520000002</v>
      </c>
    </row>
    <row r="35" spans="2:16" ht="15.75" customHeight="1" thickBot="1" x14ac:dyDescent="0.4">
      <c r="N35" s="213" t="s">
        <v>92</v>
      </c>
      <c r="O35" s="214"/>
      <c r="P35" s="160">
        <f>P33+P34</f>
        <v>5086.2416832000008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2026-07-09T12:59:59Z</dcterms:modified>
</cp:coreProperties>
</file>