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F18565-11C2-4ADD-9B7D-233962FA6E1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J7" i="62"/>
  <c r="M16" i="44"/>
  <c r="M21" i="44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<sst xmlns="http://schemas.openxmlformats.org/spreadsheetml/2006/main" count="3914" uniqueCount="519">
  <si>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</si>
  <si>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</si>
  <si>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</si>
  <si>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</si>
  <si>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</si>
  <si>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</si>
  <si>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</si>
  <si>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</si>
  <si>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</si>
  <si>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</si>
  <si>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</si>
  <si>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</si>
  <si>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</si>
  <si>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</si>
  <si>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</si>
  <si>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</si>
  <si>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</si>
  <si>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</si>
  <si>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</si>
  <si>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</si>
  <si>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</si>
  <si>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</si>
  <si>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</si>
  <si>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</si>
  <si>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</si>
  <si>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</si>
  <si>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</si>
  <si>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</si>
  <si>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</si>
  <si>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</si>
  <si>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</si>
  <si>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</si>
  <si>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</si>
  <si>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</si>
  <si>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</si>
  <si>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</si>
  <si>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</si>
  <si>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</si>
  <si>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</si>
  <si>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</si>
  <si>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</si>
  <si>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</si>
  <si>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</si>
  <si>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</si>
  <si>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</si>
  <si>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</si>
  <si>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</si>
  <si>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</si>
  <si>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</si>
  <si>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</si>
  <si>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</si>
  <si>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</si>
  <si>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</si>
  <si>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</si>
  <si>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</si>
  <si>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</si>
  <si>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</si>
  <si>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</si>
  <si>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</si>
  <si>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</si>
  <si>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</si>
  <si>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</si>
  <si>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</si>
  <si>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</si>
  <si>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</si>
  <si>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</si>
  <si>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</si>
  <si>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</si>
  <si>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</si>
  <si>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</si>
  <si>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</si>
  <si>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</si>
  <si>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</si>
  <si>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</si>
  <si>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</si>
  <si>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</si>
  <si>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</si>
  <si>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</si>
  <si>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</si>
  <si>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</si>
  <si>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</si>
  <si>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</si>
  <si>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</si>
  <si>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</si>
  <si>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</si>
  <si>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</si>
  <si>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</si>
  <si>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</si>
  <si>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</si>
  <si>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</si>
  <si>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</si>
  <si>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</si>
  <si>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</si>
  <si>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</si>
  <si>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</si>
  <si>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</si>
  <si>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</si>
  <si>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</si>
  <si>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</si>
  <si>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</si>
  <si>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</si>
  <si>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</si>
  <si>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</si>
  <si>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</si>
  <si>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</si>
  <si>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</si>
  <si>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</si>
  <si>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</si>
  <si>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</si>
  <si>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</si>
  <si>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</si>
  <si>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</si>
  <si>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</si>
  <si>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</si>
  <si>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</si>
  <si>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</si>
  <si>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</si>
  <si>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</si>
  <si>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</si>
  <si>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</si>
  <si>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</si>
  <si>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</si>
  <si>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</si>
  <si>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</si>
  <si>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</si>
  <si>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</si>
  <si>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</si>
  <si>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</si>
  <si>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</si>
  <si>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</si>
  <si>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</si>
  <si>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</si>
  <si>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</si>
  <si>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</si>
  <si>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</si>
  <si>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</si>
  <si>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</si>
  <si>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</si>
  <si>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</si>
  <si>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</si>
  <si>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</si>
  <si>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</si>
  <si>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</si>
  <si>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</si>
  <si>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</si>
  <si>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</si>
  <si>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</si>
  <si>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</si>
  <si>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</si>
  <si>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</si>
  <si>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</si>
  <si>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</si>
  <si>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</si>
  <si>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</si>
  <si>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</si>
  <si>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</si>
  <si>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</si>
  <si>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</si>
  <si>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</si>
  <si>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</si>
  <si>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</si>
  <si>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</si>
  <si>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</si>
  <si>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</si>
  <si>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</si>
  <si>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</si>
  <si>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</si>
  <si>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</si>
  <si>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</si>
  <si>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</si>
  <si>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</si>
  <si>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</si>
  <si>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</si>
  <si>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</si>
  <si>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</si>
  <si>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</si>
  <si>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</si>
  <si>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</si>
  <si>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</si>
  <si>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</si>
  <si>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</si>
  <si>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</si>
  <si>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</si>
  <si>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</si>
  <si>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</si>
  <si>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</si>
  <si>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</si>
  <si>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</si>
  <si>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</si>
  <si>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</si>
  <si>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</si>
  <si>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</si>
  <si>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</si>
  <si>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</si>
  <si>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</si>
  <si>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</si>
  <si>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</si>
  <si>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</si>
  <si>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</si>
  <si>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</si>
  <si>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</si>
  <si>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</si>
  <si>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</si>
  <si>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</si>
  <si>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</si>
  <si>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</si>
  <si>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</si>
  <si>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</si>
  <si>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</si>
  <si>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</si>
  <si>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</si>
  <si>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</si>
  <si>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</si>
  <si>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</si>
  <si>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</si>
  <si>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</si>
  <si>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</si>
  <si>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</si>
  <si>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</si>
  <si>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</si>
  <si>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</si>
  <si>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</si>
  <si>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</si>
  <si>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</si>
  <si>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</si>
  <si>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</si>
  <si>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</si>
  <si>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</si>
  <si>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</si>
  <si>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</si>
  <si>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</si>
  <si>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</si>
  <si>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</si>
  <si>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</si>
  <si>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</si>
  <si>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</si>
  <si>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</si>
  <si>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</si>
  <si>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</si>
  <si>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</si>
  <si>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</si>
  <si>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</si>
  <si>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</si>
  <si>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</si>
  <si>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</si>
  <si>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</si>
  <si>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</si>
  <si>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</si>
  <si>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</si>
  <si>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</si>
  <si>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</si>
  <si>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</si>
  <si>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</si>
  <si>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</si>
  <si>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</si>
  <si>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</si>
  <si>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</si>
  <si>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</si>
  <si>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</si>
  <si>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</si>
  <si>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</si>
  <si>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</si>
  <si>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</si>
  <si>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</si>
  <si>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</si>
  <si>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</si>
  <si>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</si>
  <si>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</si>
  <si>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</si>
  <si>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</si>
  <si>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</si>
  <si>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</si>
  <si>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</si>
  <si>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</si>
  <si>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</si>
  <si>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</si>
  <si>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</si>
  <si>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</si>
  <si>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</si>
  <si>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</si>
  <si>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</si>
  <si>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</si>
  <si>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</si>
  <si>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</si>
  <si>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</si>
  <si>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</si>
  <si>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</si>
  <si>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</si>
  <si>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</si>
  <si>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</si>
  <si>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</si>
  <si>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</si>
  <si>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</si>
  <si>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</si>
  <si>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</si>
  <si>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</si>
  <si>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</si>
  <si>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</si>
  <si>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</si>
  <si>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</si>
  <si>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</si>
  <si>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</si>
  <si>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</si>
  <si>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</si>
  <si>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</si>
  <si>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</si>
  <si>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</si>
  <si>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</si>
  <si>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</si>
  <si>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</si>
  <si>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</si>
  <si>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</si>
  <si>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</si>
  <si>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</si>
  <si>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</si>
  <si>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</si>
  <si>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</si>
  <si>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</si>
  <si>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</si>
  <si>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</si>
  <si>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</si>
  <si>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</si>
  <si>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</si>
  <si>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</si>
  <si>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</si>
  <si>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</si>
  <si>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</si>
  <si>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</si>
  <si>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</si>
  <si>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</si>
  <si>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</si>
  <si>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</si>
  <si>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</si>
  <si>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</si>
  <si>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</si>
  <si>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</si>
  <si>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</si>
  <si>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</si>
  <si>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</si>
  <si>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</si>
  <si>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</si>
  <si>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</si>
  <si>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</si>
  <si>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</si>
  <si>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</si>
  <si>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</si>
  <si>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</si>
  <si>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</si>
  <si>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</si>
  <si>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</si>
  <si>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</si>
  <si>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</si>
  <si>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</si>
  <si>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</si>
  <si>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</si>
  <si>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</si>
  <si>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</si>
  <si>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</si>
  <si>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</si>
  <si>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</si>
  <si>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</si>
  <si>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</si>
  <si>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</si>
  <si>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</si>
  <si>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</si>
  <si>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</si>
  <si>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</si>
  <si>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</si>
  <si>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</si>
  <si>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</si>
  <si>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</si>
  <si>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</si>
  <si>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</si>
  <si>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</si>
  <si>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</si>
  <si>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</si>
  <si>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</si>
  <si>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</si>
  <si>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</si>
  <si>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</si>
  <si>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</si>
  <si>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</si>
  <si>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</si>
  <si>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</si>
  <si>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</si>
  <si>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</si>
  <si>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</si>
  <si>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</si>
  <si>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</si>
  <si>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</si>
  <si>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</si>
  <si>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</si>
  <si>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</si>
  <si>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</si>
  <si>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</si>
  <si>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</si>
  <si>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</si>
  <si>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</si>
  <si>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</si>
  <si>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</si>
  <si>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</si>
  <si>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</si>
  <si>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</si>
  <si>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</si>
  <si>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</si>
  <si>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</si>
  <si>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</si>
  <si>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</si>
  <si>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</si>
  <si>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</si>
  <si>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</si>
  <si>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</si>
  <si>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</si>
  <si>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</si>
  <si>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</si>
  <si>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</si>
  <si>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</si>
  <si>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</si>
  <si>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</si>
  <si>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</si>
  <si>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</si>
  <si>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</si>
  <si>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</si>
  <si>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</si>
  <si>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</si>
  <si>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</si>
  <si>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</si>
  <si>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</si>
  <si>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</si>
  <si>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</si>
  <si>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</si>
  <si>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</si>
  <si>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</si>
  <si>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</si>
  <si>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</si>
  <si>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</si>
  <si>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</si>
  <si>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</si>
  <si>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</si>
  <si>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</si>
  <si>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</si>
  <si>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</si>
  <si>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</si>
  <si>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</si>
  <si>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</si>
  <si>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</si>
  <si>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</si>
  <si>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</si>
  <si>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</si>
  <si>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</si>
  <si>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</si>
  <si>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</si>
  <si>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</si>
  <si>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</si>
  <si>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</si>
  <si>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</si>
  <si>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</si>
  <si>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</si>
  <si>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</si>
  <si>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</si>
  <si>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</si>
  <si>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</si>
  <si>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</si>
  <si>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</si>
  <si>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</si>
  <si>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</si>
  <si>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</si>
  <si>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</si>
  <si>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</si>
  <si>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</si>
  <si>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</si>
  <si>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</si>
  <si>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</si>
  <si>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</si>
  <si>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</si>
  <si>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</si>
  <si>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</si>
  <si>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</si>
  <si>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</si>
  <si>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</si>
  <si>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</si>
  <si>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</si>
  <si>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</si>
  <si>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</si>
  <si>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</si>
  <si>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</si>
  <si>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</si>
  <si>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</si>
  <si>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</si>
  <si>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</si>
  <si>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</si>
  <si>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</si>
  <si>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</si>
  <si>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</si>
  <si>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</si>
  <si>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</si>
  <si>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</si>
  <si>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</si>
  <si>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</si>
  <si>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</si>
  <si>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</si>
  <si>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</si>
  <si>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</si>
  <si>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</si>
  <si>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</si>
  <si>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</si>
  <si>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</si>
  <si>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</si>
  <si>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</si>
  <si>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</si>
  <si>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</si>
  <si>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</si>
  <si>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</si>
  <si>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>Satara Bakers</t>
  </si>
  <si>
    <t>Address:Sadar Bazar</t>
  </si>
  <si>
    <t>OLD</t>
  </si>
  <si>
    <t>Shalimar Store</t>
  </si>
  <si>
    <t>Bismillah Mart</t>
  </si>
  <si>
    <t xml:space="preserve">Address:Ravi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</si>
</sst>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1" fontId="38" fillId="0" borderId="45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499</v>
      </c>
      <c r="F2" s="373"/>
      <c r="G2" s="373"/>
      <c r="H2" s="373" t="s">
        <v>512</v>
      </c>
      <c r="I2" s="373"/>
      <c r="J2" s="374"/>
      <c r="R2" s="370" t="s">
        <v>498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46228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Satara Bakers</v>
      </c>
      <c r="T3" s="301">
        <f>+'1'!P35</f>
        <v>13938.737920932204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Shalimar Store</v>
      </c>
      <c r="T4" s="301">
        <f>+'2'!P35</f>
        <v>18817.269510508475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Bismillah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46.809128135593227</v>
      </c>
      <c r="P10" s="119">
        <f t="shared" si="2"/>
        <v>9408.6347552542375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46.809128135593227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119">
        <f t="shared" si="2"/>
        <v>9408.6347552542375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310">
        <f t="shared" si="3"/>
        <v>440</v>
      </c>
      <c r="I16" s="114">
        <f t="shared" si="3"/>
        <v>30347.399999999998</v>
      </c>
      <c r="J16" s="274">
        <f>SUM(J7:J15)</f>
        <v>2427.7920000000004</v>
      </c>
      <c r="K16" s="275">
        <f t="shared" si="3"/>
        <v>1062.1590000000001</v>
      </c>
      <c r="L16" s="276">
        <f t="shared" si="3"/>
        <v>0</v>
      </c>
      <c r="M16" s="232">
        <f t="shared" si="3"/>
        <v>26857.448999999997</v>
      </c>
      <c r="N16" s="233">
        <f>SUM(N7:N15)</f>
        <v>5735.5932203389839</v>
      </c>
      <c r="O16" s="101">
        <f>SUM(O7:O15)</f>
        <v>162.96521110169493</v>
      </c>
      <c r="P16" s="234">
        <f>SUM(P7:P15)</f>
        <v>32756.007431440674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30347.399999999998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2427.7920000000004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1062.1590000000001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26857.448999999997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5735.5932203389839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32593.042220338983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162.96521110169493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32756.007431440677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32756.007431440681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opLeftCell="A8" workbookViewId="0">
      <selection activeCell="Q14" sqref="Q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Q15" s="268" t="s">
        <v>515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215">
        <v>2202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6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6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61">
        <v>3050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61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6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61">
        <v>1608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1033.104</v>
      </c>
      <c r="K25" s="275">
        <f t="shared" si="10"/>
        <v>451.98300000000006</v>
      </c>
      <c r="L25" s="276">
        <f t="shared" si="10"/>
        <v>0</v>
      </c>
      <c r="M25" s="232">
        <f t="shared" si="10"/>
        <v>11428.713000000002</v>
      </c>
      <c r="N25" s="233">
        <f>SUM(N16:N24)</f>
        <v>2440.6779661016944</v>
      </c>
      <c r="O25" s="101">
        <f>SUM(O16:O24)</f>
        <v>69.346954830508466</v>
      </c>
      <c r="P25" s="234">
        <f>SUM(P16:P24)</f>
        <v>13938.737920932204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12913.800000000001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1033.104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451.98300000000006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11428.713000000002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13869.390966101695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64" t="s">
        <v>88</v>
      </c>
      <c r="O35" s="365"/>
      <c r="P35" s="297">
        <f>+P33+P34</f>
        <v>13938.737920932204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6" workbookViewId="0">
      <selection activeCell="I25" sqref="I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1394.6880000000001</v>
      </c>
      <c r="K25" s="275">
        <f t="shared" si="7"/>
        <v>610.17600000000004</v>
      </c>
      <c r="L25" s="276">
        <f t="shared" si="7"/>
        <v>0</v>
      </c>
      <c r="M25" s="232">
        <f t="shared" si="7"/>
        <v>15428.736000000001</v>
      </c>
      <c r="N25" s="233">
        <f>SUM(N16:N24)</f>
        <v>3294.9152542372885</v>
      </c>
      <c r="O25" s="101">
        <f>SUM(O16:O24)</f>
        <v>93.618256271186453</v>
      </c>
      <c r="P25" s="234">
        <f>SUM(P16:P24)</f>
        <v>18817.269510508475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17433.599999999999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1394.6880000000001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610.17600000000004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15428.735999999999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18723.651254237288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64" t="s">
        <v>88</v>
      </c>
      <c r="O35" s="365"/>
      <c r="P35" s="297">
        <f>+P33+P34</f>
        <v>18817.269510508475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C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v>46105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46104</v>
      </c>
      <c r="O5" s="383"/>
      <c r="P5" s="383"/>
      <c r="R5" s="85"/>
      <c r="S5" s="266"/>
    </row>
    <row r="6" spans="1:22 16383:16384" ht="18.7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2.5000000000000001E-2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8.7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46228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46227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2026-07-24T12:23:14Z</dcterms:modified>
</cp:coreProperties>
</file>