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1FA46C4-2F52-4FDC-B85F-2C411252190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5" i="16" l="1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M17" i="18" s="1"/>
  <c r="N17" i="18" s="1"/>
  <c r="O17" i="18" s="1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M18" i="17" s="1"/>
  <c r="N18" i="17" s="1"/>
  <c r="O18" i="17" s="1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9" i="19" l="1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18" l="1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<sst xmlns="http://schemas.openxmlformats.org/spreadsheetml/2006/main" count="1632" uniqueCount="128">
  <si>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</si>
  <si>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</si>
  <si>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</si>
  <si>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</si>
  <si>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</si>
  <si>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</si>
  <si>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</si>
  <si>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</si>
  <si>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</si>
  <si>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</si>
  <si>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</si>
  <si>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</si>
  <si>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</si>
  <si>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</si>
  <si>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</si>
  <si>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</si>
  <si>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</si>
  <si>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</si>
  <si>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</si>
  <si>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</si>
  <si>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</si>
  <si>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</si>
  <si>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</si>
  <si>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</si>
  <si>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</si>
  <si>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</si>
  <si>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</si>
  <si>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</si>
  <si>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</si>
  <si>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</si>
  <si>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</si>
  <si>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</si>
  <si>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</si>
  <si>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</si>
  <si>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</si>
  <si>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</si>
  <si>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</si>
  <si>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</si>
  <si>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</si>
  <si>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</si>
  <si>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</si>
  <si>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</si>
  <si>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</si>
  <si>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</si>
  <si>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</si>
  <si>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</si>
  <si>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</si>
  <si>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</si>
  <si>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</si>
  <si>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</si>
  <si>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</si>
  <si>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</si>
  <si>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</si>
  <si>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</si>
  <si>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</si>
  <si>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</si>
  <si>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</si>
  <si>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</si>
  <si>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</si>
  <si>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</si>
  <si>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</si>
  <si>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</si>
  <si>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</si>
  <si>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</si>
  <si>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</si>
  <si>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</si>
  <si>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</si>
  <si>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</si>
  <si>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</si>
  <si>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</si>
  <si>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</si>
  <si>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</si>
  <si>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</si>
  <si>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</si>
  <si>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</si>
  <si>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</si>
  <si>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</si>
  <si>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</si>
  <si>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</si>
  <si>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</si>
  <si>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</si>
  <si>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</si>
  <si>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</si>
  <si>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</si>
  <si>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</si>
  <si>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</si>
  <si>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</si>
  <si>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</si>
  <si>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</si>
  <si>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</si>
  <si>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</si>
  <si>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</si>
  <si>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</si>
  <si>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</si>
  <si>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</si>
  <si>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</si>
  <si>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</si>
  <si>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</si>
  <si>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</si>
  <si>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</si>
  <si>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</si>
  <si>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</si>
  <si>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</si>
  <si>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</si>
  <si>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</si>
  <si>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</si>
  <si>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</si>
  <si>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</si>
  <si>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</si>
  <si>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</si>
  <si>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</si>
  <si>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</si>
  <si>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</si>
  <si>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</si>
  <si>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</si>
  <si>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</si>
  <si>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</si>
  <si>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</si>
  <si>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</si>
  <si>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</si>
  <si>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</si>
  <si>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</si>
  <si>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Cant Store</t>
  </si>
  <si>
    <t>Address: Sadar</t>
  </si>
  <si>
    <t>Customer Name : Al Makkah Super Store</t>
  </si>
  <si>
    <t xml:space="preserve">Address: Sadar </t>
  </si>
  <si>
    <t xml:space="preserve">Customer Name : Chalet Bakers </t>
  </si>
  <si>
    <t>Customer Name : Askari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</si>
</sst>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NumberFormat="1" applyFont="1" applyAlignment="1">
      <alignment horizontal="center" vertical="top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1"/>
      <c r="B3" s="191"/>
      <c r="C3" s="191"/>
      <c r="D3" s="191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9" x14ac:dyDescent="0.35">
      <c r="A4" s="193" t="s">
        <v>6</v>
      </c>
      <c r="B4" s="5" t="s">
        <v>7</v>
      </c>
      <c r="C4" s="5"/>
      <c r="D4" s="195" t="s">
        <v>8</v>
      </c>
      <c r="E4" s="197" t="s">
        <v>9</v>
      </c>
      <c r="F4" s="199" t="s">
        <v>3</v>
      </c>
      <c r="G4" s="199"/>
      <c r="H4" s="200" t="s">
        <v>10</v>
      </c>
      <c r="I4" s="200"/>
      <c r="J4" s="201" t="s">
        <v>11</v>
      </c>
      <c r="K4" s="202"/>
      <c r="L4" s="201" t="s">
        <v>12</v>
      </c>
      <c r="M4" s="202"/>
      <c r="N4" s="203" t="s">
        <v>13</v>
      </c>
      <c r="O4" s="203"/>
      <c r="P4" s="201" t="s">
        <v>4</v>
      </c>
      <c r="Q4" s="202"/>
      <c r="R4" s="201" t="s">
        <v>14</v>
      </c>
      <c r="S4" s="202"/>
      <c r="T4" s="204" t="s">
        <v>15</v>
      </c>
      <c r="U4" s="204"/>
      <c r="V4" s="205" t="s">
        <v>16</v>
      </c>
      <c r="W4" s="206"/>
      <c r="X4" s="205" t="s">
        <v>17</v>
      </c>
      <c r="Y4" s="206"/>
    </row>
    <row r="5" spans="1:29" ht="26.25" customHeight="1" thickBot="1" x14ac:dyDescent="0.4">
      <c r="A5" s="194"/>
      <c r="B5" s="7" t="s">
        <v>18</v>
      </c>
      <c r="C5" s="7" t="s">
        <v>8</v>
      </c>
      <c r="D5" s="196"/>
      <c r="E5" s="19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3" t="s">
        <v>45</v>
      </c>
      <c r="B2" s="253"/>
      <c r="C2" s="253"/>
    </row>
    <row r="3" spans="1:21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2" t="s">
        <v>120</v>
      </c>
      <c r="B5" s="252"/>
      <c r="C5" s="252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21 16383:16384" ht="15" customHeight="1" x14ac:dyDescent="0.35">
      <c r="A6" s="252"/>
      <c r="B6" s="252"/>
      <c r="C6" s="252"/>
      <c r="F6" s="70"/>
      <c r="G6" s="74"/>
      <c r="K6" s="237" t="s">
        <v>52</v>
      </c>
      <c r="L6" s="237"/>
      <c r="M6" s="237"/>
      <c r="N6" s="250" t="s">
        <v>42</v>
      </c>
      <c r="O6" s="250"/>
      <c r="P6" s="25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21 16383:16384" hidden="1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21 16383:16384" x14ac:dyDescent="0.35">
      <c r="A10" s="235"/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21 16383:16384" ht="15" thickBot="1" x14ac:dyDescent="0.4">
      <c r="A11" s="235"/>
      <c r="B11" s="76"/>
      <c r="C11" s="77"/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21 16383:16384" ht="14.65" customHeight="1" x14ac:dyDescent="0.35">
      <c r="A12" s="235"/>
      <c r="B12" s="76"/>
      <c r="C12" s="77"/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T12" s="207" t="s">
        <v>121</v>
      </c>
      <c r="U12" s="208"/>
      <c r="XFD12" t="s">
        <v>62</v>
      </c>
    </row>
    <row r="13" spans="1:21 16383:16384" ht="15" thickBot="1" x14ac:dyDescent="0.4">
      <c r="A13" s="236"/>
      <c r="J13" s="78"/>
      <c r="K13" s="78"/>
      <c r="L13" s="79">
        <v>0.05</v>
      </c>
      <c r="T13" s="209"/>
      <c r="U13" s="210"/>
      <c r="XFD13" t="s">
        <v>63</v>
      </c>
    </row>
    <row r="14" spans="1:21 16383:16384" ht="29.25" customHeight="1" x14ac:dyDescent="0.6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6" t="s">
        <v>69</v>
      </c>
      <c r="J14" s="246" t="s">
        <v>70</v>
      </c>
      <c r="K14" s="246"/>
      <c r="L14" s="248"/>
      <c r="M14" s="24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Cant Store</v>
      </c>
      <c r="U14" s="164">
        <f>+'1'!P35</f>
        <v>7706.8092787199994</v>
      </c>
      <c r="XFD14" t="s">
        <v>75</v>
      </c>
    </row>
    <row r="15" spans="1:21 16383:16384" ht="29.25" customHeight="1" thickBot="1" x14ac:dyDescent="0.65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47"/>
      <c r="J15" s="169" t="s">
        <v>78</v>
      </c>
      <c r="K15" s="169" t="s">
        <v>79</v>
      </c>
      <c r="L15" s="172" t="s">
        <v>80</v>
      </c>
      <c r="M15" s="24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 Makkah Super Store</v>
      </c>
      <c r="U15" s="164">
        <f>+'2'!P35</f>
        <v>4404.8417355000001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8">
        <f>VLOOKUP(A16,'[1]Cust. Price List'!D6:M14,10,0)</f>
        <v>52.462499999999999</v>
      </c>
      <c r="G16" s="114"/>
      <c r="H16" s="170">
        <f>+'1'!H16+'2'!H16+'4'!H16+'3'!H16+'5'!H16+'6'!H16+'7'!H16+'8'!H16+'9'!H16+'10'!H16+'11'!H16+'12'!H16+'13'!H16+'14'!H16+'15'!H16+'16'!H16+'17'!H16+'18'!H16+'19'!H16+'20'!H16</f>
        <v>60</v>
      </c>
      <c r="I16" s="1">
        <f>(G16*D16)*F16+H16*F16</f>
        <v>3147.75</v>
      </c>
      <c r="J16" s="170">
        <f>+'1'!J16+'2'!J16+'4'!J16+'3'!J16+'5'!J16+'6'!J16+'7'!J16+'8'!J16+'9'!J16+'10'!J16+'11'!J16+'12'!J16+'13'!J16+'14'!J16+'15'!J16+'16'!J16+'17'!J16+'18'!J16+'19'!J16+'20'!J16</f>
        <v>0</v>
      </c>
      <c r="K16" s="170">
        <f>+'1'!K16+'2'!K16+'4'!K16+'3'!K16+'5'!K16+'6'!K16+'7'!K16+'8'!K16+'9'!K16+'10'!K16</f>
        <v>110.17125000000001</v>
      </c>
      <c r="L16" s="173">
        <f>+'1'!L16+'2'!L16+'4'!L16+'3'!L16+'5'!L16+'6'!L16+'7'!L16+'8'!L16+'9'!L16+'10'!L16</f>
        <v>251.82</v>
      </c>
      <c r="M16" s="106">
        <f>I16-K16-L16</f>
        <v>2785.75875</v>
      </c>
      <c r="N16" s="101">
        <f>+'1'!N16+'2'!N16+'4'!N16+'3'!N16+'5'!N16+'6'!N16+'7'!N16+'8'!N16+'9'!N16+'10'!N16</f>
        <v>501.43657499999995</v>
      </c>
      <c r="O16" s="101">
        <f>+'1'!O16+'2'!O16+'4'!O16+'3'!O16+'5'!O16+'6'!O16+'7'!O16+'8'!O16+'9'!O16+'10'!O16</f>
        <v>16.435976624999999</v>
      </c>
      <c r="P16" s="105">
        <f t="shared" ref="P16:P24" si="0">M16+N16+O16</f>
        <v>3303.6313016249997</v>
      </c>
      <c r="Q16" s="108"/>
      <c r="T16" s="163" t="str">
        <f>+'3'!A5</f>
        <v xml:space="preserve">Customer Name : Chalet Bakers </v>
      </c>
      <c r="U16" s="164">
        <f>+'3'!P35</f>
        <v>2312.0427836160002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0">
        <f>+'1'!H17+'2'!H17+'4'!H17+'3'!H17+'5'!H17+'6'!H17+'7'!H17+'8'!H17+'9'!H17+'10'!H17+'11'!H17+'12'!H17+'13'!H17+'14'!H17+'15'!H17+'16'!H17+'17'!H17+'18'!H17+'19'!H17+'20'!H17</f>
        <v>60</v>
      </c>
      <c r="I17" s="1">
        <f t="shared" ref="I17:I23" si="1">(G17*D17)*F17+H17*F17</f>
        <v>3147.75</v>
      </c>
      <c r="J17" s="170">
        <f>+'1'!J17+'2'!J17+'4'!J17+'3'!J17+'5'!J17+'6'!J17+'7'!J17+'8'!J17+'9'!J17+'10'!J17+'11'!J17+'12'!J17+'13'!J17+'14'!J17+'15'!J17+'16'!J17+'17'!J17+'18'!J17+'19'!J17+'20'!J17</f>
        <v>0</v>
      </c>
      <c r="K17" s="170">
        <f>+'1'!K17+'2'!K17+'4'!K17+'3'!K17+'5'!K17+'6'!K17+'7'!K17+'8'!K17+'9'!K17+'10'!K17</f>
        <v>110.17125000000001</v>
      </c>
      <c r="L17" s="173">
        <f>+'1'!L17+'2'!L17+'4'!L17+'3'!L17+'5'!L17+'6'!L17+'7'!L17+'8'!L17+'9'!L17+'10'!L17</f>
        <v>251.82</v>
      </c>
      <c r="M17" s="118">
        <f t="shared" ref="M17:M23" si="2">I17-K17-L17</f>
        <v>2785.75875</v>
      </c>
      <c r="N17" s="101">
        <f>+'1'!N17+'2'!N17+'4'!N17+'3'!N17+'5'!N17+'6'!N17+'7'!N17+'8'!N17+'9'!N17+'10'!N17</f>
        <v>501.43657499999995</v>
      </c>
      <c r="O17" s="101">
        <f>+'1'!O17+'2'!O17+'4'!O17+'3'!O17+'5'!O17+'6'!O17+'7'!O17+'8'!O17+'9'!O17+'10'!O17</f>
        <v>16.435976624999999</v>
      </c>
      <c r="P17" s="120">
        <f t="shared" si="0"/>
        <v>3303.6313016249997</v>
      </c>
      <c r="S17" s="64"/>
      <c r="T17" s="163" t="str">
        <f>+'4'!A5</f>
        <v>Customer Name : Askari Store</v>
      </c>
      <c r="U17" s="164">
        <f>+'4'!P35</f>
        <v>8384.4853112700002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0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+'1'!J18+'2'!J18+'4'!J18+'3'!J18+'5'!J18+'6'!J18+'7'!J18+'8'!J18+'9'!J18+'10'!J18+'11'!J18+'12'!J18+'13'!J18+'14'!J18+'15'!J18+'16'!J18+'17'!J18+'18'!J18+'19'!J18+'20'!J18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0">
        <f>+'1'!H19+'2'!H19+'4'!H19+'3'!H19+'5'!H19+'6'!H19+'7'!H19+'8'!H19+'9'!H19+'10'!H19+'11'!H19+'12'!H19+'13'!H19+'14'!H19+'15'!H19+'16'!H19+'17'!H19+'18'!H19+'19'!H19+'20'!H19</f>
        <v>72</v>
      </c>
      <c r="I19" s="1">
        <f t="shared" si="1"/>
        <v>5230.08</v>
      </c>
      <c r="J19" s="170">
        <f>+'1'!J19+'2'!J19+'4'!J19+'3'!J19+'5'!J19+'6'!J19+'7'!J19+'8'!J19+'9'!J19+'10'!J19+'11'!J19+'12'!J19+'13'!J19+'14'!J19+'15'!J19+'16'!J19+'17'!J19+'18'!J19+'19'!J19+'20'!J19</f>
        <v>0</v>
      </c>
      <c r="K19" s="170">
        <f>+'1'!K19+'2'!K19+'4'!K19+'3'!K19+'5'!K19+'6'!K19+'7'!K19+'8'!K19+'9'!K19+'10'!K19</f>
        <v>183.05280000000002</v>
      </c>
      <c r="L19" s="173">
        <f>+'1'!L19+'2'!L19+'4'!L19+'3'!L19+'5'!L19+'6'!L19+'7'!L19+'8'!L19+'9'!L19+'10'!L19</f>
        <v>418.40640000000002</v>
      </c>
      <c r="M19" s="118">
        <f t="shared" si="2"/>
        <v>4628.6207999999997</v>
      </c>
      <c r="N19" s="101">
        <f>+'1'!N19+'2'!N19+'4'!N19+'3'!N19+'5'!N19+'6'!N19+'7'!N19+'8'!N19+'9'!N19+'10'!N19</f>
        <v>833.15174400000001</v>
      </c>
      <c r="O19" s="101">
        <f>+'1'!O19+'2'!O19+'4'!O19+'3'!O19+'5'!O19+'6'!O19+'7'!O19+'8'!O19+'9'!O19+'10'!O19</f>
        <v>27.30886272</v>
      </c>
      <c r="P19" s="120">
        <f t="shared" si="0"/>
        <v>5489.0814067199999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0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0">
        <f>+'1'!J20+'2'!J20+'4'!J20+'3'!J20+'5'!J20+'6'!J20+'7'!J20+'8'!J20+'9'!J20+'10'!J20+'11'!J20+'12'!J20+'13'!J20+'14'!J20+'15'!J20+'16'!J20+'17'!J20+'18'!J20+'19'!J20+'20'!J20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0">
        <f>+'1'!H21+'2'!H21+'4'!H21+'3'!H21+'5'!H21+'6'!H21+'7'!H21+'8'!H21+'9'!H21+'10'!H21+'11'!H21+'12'!H21+'13'!H21+'14'!H21+'15'!H21+'16'!H21+'17'!H21+'18'!H21+'19'!H21+'20'!H21</f>
        <v>92</v>
      </c>
      <c r="I21" s="1">
        <f t="shared" si="1"/>
        <v>6682.88</v>
      </c>
      <c r="J21" s="170">
        <f>+'1'!J21+'2'!J21+'4'!J21+'3'!J21+'5'!J21+'6'!J21+'7'!J21+'8'!J21+'9'!J21+'10'!J21+'11'!J21+'12'!J21+'13'!J21+'14'!J21+'15'!J21+'16'!J21+'17'!J21+'18'!J21+'19'!J21+'20'!J21</f>
        <v>0</v>
      </c>
      <c r="K21" s="170">
        <f>+'1'!K21+'2'!K21+'4'!K21+'3'!K21+'5'!K21+'6'!K21+'7'!K21+'8'!K21+'9'!K21+'10'!K21</f>
        <v>233.90080000000003</v>
      </c>
      <c r="L21" s="173">
        <f>+'1'!L21+'2'!L21+'4'!L21+'3'!L21+'5'!L21+'6'!L21+'7'!L21+'8'!L21+'9'!L21+'10'!L21</f>
        <v>534.63040000000001</v>
      </c>
      <c r="M21" s="118">
        <f t="shared" si="2"/>
        <v>5914.3487999999998</v>
      </c>
      <c r="N21" s="101">
        <f>+'1'!N21+'2'!N21+'4'!N21+'3'!N21+'5'!N21+'6'!N21+'7'!N21+'8'!N21+'9'!N21+'10'!N21</f>
        <v>1064.5827839999999</v>
      </c>
      <c r="O21" s="101">
        <f>+'1'!O21+'2'!O21+'4'!O21+'3'!O21+'5'!O21+'6'!O21+'7'!O21+'8'!O21+'9'!O21+'10'!O21</f>
        <v>34.89465792</v>
      </c>
      <c r="P21" s="120">
        <f t="shared" si="0"/>
        <v>7013.82624192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0">
        <f>+'1'!H22+'2'!H22+'4'!H22+'3'!H22+'5'!H22+'6'!H22+'7'!H22+'8'!H22+'9'!H22+'10'!H22+'11'!H22+'12'!H22+'13'!H22+'14'!H22+'15'!H22+'16'!H22+'17'!H22+'18'!H22+'19'!H22+'20'!H22</f>
        <v>92</v>
      </c>
      <c r="I22" s="1">
        <f t="shared" si="1"/>
        <v>3609.1600000000003</v>
      </c>
      <c r="J22" s="170">
        <f>+'1'!J22+'2'!J22+'4'!J22+'3'!J22+'5'!J22+'6'!J22+'7'!J22+'8'!J22+'9'!J22+'10'!J22+'11'!J22+'12'!J22+'13'!J22+'14'!J22+'15'!J22+'16'!J22+'17'!J22+'18'!J22+'19'!J22+'20'!J22</f>
        <v>0</v>
      </c>
      <c r="K22" s="170">
        <f>+'1'!K22+'2'!K22+'4'!K22+'3'!K22+'5'!K22+'6'!K22+'7'!K22+'8'!K22+'9'!K22+'10'!K22</f>
        <v>310.38776000000001</v>
      </c>
      <c r="L22" s="173">
        <f>+'1'!L22+'2'!L22+'4'!L22+'3'!L22+'5'!L22+'6'!L22+'7'!L22+'8'!L22+'9'!L22+'10'!L22</f>
        <v>180.45800000000006</v>
      </c>
      <c r="M22" s="118">
        <f t="shared" si="2"/>
        <v>3118.3142400000002</v>
      </c>
      <c r="N22" s="101">
        <f>+'1'!N22+'2'!N22+'4'!N22+'3'!N22+'5'!N22+'6'!N22+'7'!N22+'8'!N22+'9'!N22+'10'!N22</f>
        <v>561.29656320000004</v>
      </c>
      <c r="O22" s="101">
        <f>+'1'!O22+'2'!O22+'4'!O22+'3'!O22+'5'!O22+'6'!O22+'7'!O22+'8'!O22+'9'!O22+'10'!O22</f>
        <v>18.398054016000003</v>
      </c>
      <c r="P22" s="120">
        <f t="shared" si="0"/>
        <v>3698.0088572160003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0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+'1'!J23+'2'!J23+'4'!J23+'3'!J23+'5'!J23+'6'!J23+'7'!J23+'8'!J23+'9'!J23+'10'!J23+'11'!J23+'12'!J23+'13'!J23+'14'!J23+'15'!J23+'16'!J23+'17'!J23+'18'!J23+'19'!J23+'20'!J23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0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+'1'!J24+'2'!J24+'4'!J24+'3'!J24+'5'!J24+'6'!J24+'7'!J24+'8'!J24+'9'!J24+'10'!J24+'11'!J24+'12'!J24+'13'!J24+'14'!J24+'15'!J24+'16'!J24+'17'!J24+'18'!J24+'19'!J24+'20'!J24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7" t="s">
        <v>84</v>
      </c>
      <c r="B25" s="218"/>
      <c r="C25" s="219">
        <f>H25/40</f>
        <v>9.4</v>
      </c>
      <c r="D25" s="213"/>
      <c r="E25" s="213"/>
      <c r="F25" s="213"/>
      <c r="G25" s="174">
        <f t="shared" ref="G25:M25" si="3">SUM(G16:G24)</f>
        <v>0</v>
      </c>
      <c r="H25" s="175">
        <f t="shared" si="3"/>
        <v>376</v>
      </c>
      <c r="I25" s="176">
        <f t="shared" si="3"/>
        <v>21817.62</v>
      </c>
      <c r="J25" s="175">
        <f t="shared" si="3"/>
        <v>0</v>
      </c>
      <c r="K25" s="176">
        <f t="shared" si="3"/>
        <v>947.6838600000001</v>
      </c>
      <c r="L25" s="177">
        <f t="shared" si="3"/>
        <v>1637.1348</v>
      </c>
      <c r="M25" s="141">
        <f t="shared" si="3"/>
        <v>19232.801339999998</v>
      </c>
      <c r="N25" s="142">
        <f>SUM(N16:N24)</f>
        <v>3461.9042411999999</v>
      </c>
      <c r="O25" s="143">
        <f>SUM(O16:O24)</f>
        <v>113.473527906</v>
      </c>
      <c r="P25" s="144">
        <f>SUM(P16:P24)</f>
        <v>22808.179109106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79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8" t="str">
        <f>+'16'!A5</f>
        <v xml:space="preserve">Customer Name : </v>
      </c>
      <c r="U29" s="179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8" t="str">
        <f>+'17'!A5</f>
        <v xml:space="preserve">Customer Name : </v>
      </c>
      <c r="U30" s="179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8" t="str">
        <f>+'18'!A5</f>
        <v xml:space="preserve">Customer Name : </v>
      </c>
      <c r="U31" s="179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8" t="str">
        <f>+'19'!A5</f>
        <v xml:space="preserve">Customer Name : </v>
      </c>
      <c r="U32" s="179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8" t="str">
        <f>+'20'!A5</f>
        <v xml:space="preserve">Customer Name : </v>
      </c>
      <c r="U33" s="179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22808.179109106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0" t="s">
        <v>85</v>
      </c>
      <c r="C36" s="221"/>
      <c r="D36" s="221"/>
      <c r="E36" s="221"/>
      <c r="F36" s="221"/>
      <c r="G36" s="221"/>
      <c r="H36" s="221"/>
      <c r="I36" s="221"/>
      <c r="J36" s="221"/>
      <c r="K36" s="221"/>
      <c r="L36" s="222"/>
      <c r="N36" s="229" t="s">
        <v>86</v>
      </c>
      <c r="O36" s="230"/>
      <c r="P36" s="152">
        <f>I25</f>
        <v>21817.62</v>
      </c>
    </row>
    <row r="37" spans="1:21" ht="15" customHeight="1" x14ac:dyDescent="0.35">
      <c r="B37" s="223"/>
      <c r="C37" s="224"/>
      <c r="D37" s="224"/>
      <c r="E37" s="224"/>
      <c r="F37" s="224"/>
      <c r="G37" s="224"/>
      <c r="H37" s="224"/>
      <c r="I37" s="224"/>
      <c r="J37" s="224"/>
      <c r="K37" s="224"/>
      <c r="L37" s="225"/>
      <c r="N37" s="231" t="s">
        <v>87</v>
      </c>
      <c r="O37" s="232"/>
      <c r="P37" s="153">
        <f>L25</f>
        <v>1637.1348</v>
      </c>
    </row>
    <row r="38" spans="1:21" ht="15" customHeight="1" x14ac:dyDescent="0.35">
      <c r="B38" s="223"/>
      <c r="C38" s="224"/>
      <c r="D38" s="224"/>
      <c r="E38" s="224"/>
      <c r="F38" s="224"/>
      <c r="G38" s="224"/>
      <c r="H38" s="224"/>
      <c r="I38" s="224"/>
      <c r="J38" s="224"/>
      <c r="K38" s="224"/>
      <c r="L38" s="225"/>
      <c r="N38" s="231" t="s">
        <v>4</v>
      </c>
      <c r="O38" s="232"/>
      <c r="P38" s="154">
        <f>K25</f>
        <v>947.6838600000001</v>
      </c>
    </row>
    <row r="39" spans="1:21" ht="15" customHeight="1" x14ac:dyDescent="0.35">
      <c r="B39" s="223"/>
      <c r="C39" s="224"/>
      <c r="D39" s="224"/>
      <c r="E39" s="224"/>
      <c r="F39" s="224"/>
      <c r="G39" s="224"/>
      <c r="H39" s="224"/>
      <c r="I39" s="224"/>
      <c r="J39" s="224"/>
      <c r="K39" s="224"/>
      <c r="L39" s="225"/>
      <c r="M39" s="2"/>
      <c r="N39" s="231" t="s">
        <v>88</v>
      </c>
      <c r="O39" s="232"/>
      <c r="P39" s="153">
        <f>P36-P37-P38</f>
        <v>19232.801339999998</v>
      </c>
    </row>
    <row r="40" spans="1:21" ht="15" customHeight="1" x14ac:dyDescent="0.35">
      <c r="B40" s="223"/>
      <c r="C40" s="224"/>
      <c r="D40" s="224"/>
      <c r="E40" s="224"/>
      <c r="F40" s="224"/>
      <c r="G40" s="224"/>
      <c r="H40" s="224"/>
      <c r="I40" s="224"/>
      <c r="J40" s="224"/>
      <c r="K40" s="224"/>
      <c r="L40" s="225"/>
      <c r="M40" s="2"/>
      <c r="N40" s="155" t="s">
        <v>89</v>
      </c>
      <c r="O40" s="156">
        <f>IF(B12="Registered",18%,22%)</f>
        <v>0.22</v>
      </c>
      <c r="P40" s="153">
        <f>N25</f>
        <v>3461.9042411999999</v>
      </c>
    </row>
    <row r="41" spans="1:21" ht="15" customHeight="1" x14ac:dyDescent="0.35">
      <c r="B41" s="223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"/>
      <c r="N41" s="233" t="s">
        <v>90</v>
      </c>
      <c r="O41" s="234"/>
      <c r="P41" s="153">
        <f>P39+P40</f>
        <v>22694.705581199996</v>
      </c>
    </row>
    <row r="42" spans="1:21" ht="15" customHeight="1" thickBot="1" x14ac:dyDescent="0.4">
      <c r="B42" s="226"/>
      <c r="C42" s="227"/>
      <c r="D42" s="227"/>
      <c r="E42" s="227"/>
      <c r="F42" s="227"/>
      <c r="G42" s="227"/>
      <c r="H42" s="227"/>
      <c r="I42" s="227"/>
      <c r="J42" s="227"/>
      <c r="K42" s="227"/>
      <c r="L42" s="228"/>
      <c r="M42" s="157"/>
      <c r="N42" s="158" t="s">
        <v>91</v>
      </c>
      <c r="O42" s="159">
        <f>IF(B11="Filer",0.5%,2.5%)</f>
        <v>2.5000000000000001E-2</v>
      </c>
      <c r="P42" s="153">
        <f>O42*P41</f>
        <v>567.36763952999991</v>
      </c>
    </row>
    <row r="43" spans="1:21" ht="15.75" customHeight="1" thickBot="1" x14ac:dyDescent="0.4">
      <c r="N43" s="211" t="s">
        <v>92</v>
      </c>
      <c r="O43" s="212"/>
      <c r="P43" s="160">
        <f>P41+P42</f>
        <v>23262.073220729995</v>
      </c>
    </row>
    <row r="44" spans="1:21" ht="15" thickBot="1" x14ac:dyDescent="0.4">
      <c r="B44" s="161" t="s">
        <v>93</v>
      </c>
      <c r="C44" s="213"/>
      <c r="D44" s="213"/>
      <c r="E44" s="213"/>
      <c r="F44" s="213"/>
      <c r="G44" s="213"/>
      <c r="H44" s="213"/>
      <c r="I44" s="214"/>
      <c r="J44" s="215"/>
      <c r="K44" s="216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I13" sqref="I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3" t="s">
        <v>45</v>
      </c>
      <c r="B2" s="253"/>
      <c r="C2" s="253"/>
    </row>
    <row r="3" spans="1:26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4" t="s">
        <v>122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26 16383:16384" ht="15" customHeight="1" x14ac:dyDescent="0.35">
      <c r="A6" s="237" t="s">
        <v>123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26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26 16383:16384" x14ac:dyDescent="0.35">
      <c r="A10" s="235" t="s">
        <v>95</v>
      </c>
      <c r="B10" s="75">
        <v>5.6561651561654501E+19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26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26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26 16383:16384" ht="15" thickBot="1" x14ac:dyDescent="0.4">
      <c r="A13" s="236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S14" s="254" t="s">
        <v>117</v>
      </c>
      <c r="T14" s="254"/>
      <c r="U14" s="254"/>
      <c r="V14" s="254"/>
      <c r="W14" s="255" t="s">
        <v>119</v>
      </c>
      <c r="X14" s="255"/>
      <c r="Y14" s="255"/>
      <c r="Z14" s="255"/>
      <c r="XFD14" t="s">
        <v>75</v>
      </c>
    </row>
    <row r="15" spans="1:26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2" t="s">
        <v>109</v>
      </c>
      <c r="T15" s="182" t="s">
        <v>110</v>
      </c>
      <c r="U15" s="182" t="s">
        <v>114</v>
      </c>
      <c r="V15" s="182" t="s">
        <v>115</v>
      </c>
      <c r="W15" s="183" t="s">
        <v>109</v>
      </c>
      <c r="X15" s="183" t="s">
        <v>110</v>
      </c>
      <c r="Y15" s="183" t="s">
        <v>114</v>
      </c>
      <c r="Z15" s="183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0" t="s">
        <v>106</v>
      </c>
      <c r="T16" s="180">
        <v>1697</v>
      </c>
      <c r="U16" s="180" t="s">
        <v>111</v>
      </c>
      <c r="V16" s="180">
        <f>T16/40</f>
        <v>42.424999999999997</v>
      </c>
      <c r="W16" s="184" t="s">
        <v>106</v>
      </c>
      <c r="X16" s="184">
        <v>1664</v>
      </c>
      <c r="Y16" s="184" t="s">
        <v>111</v>
      </c>
      <c r="Z16" s="184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1" t="s">
        <v>108</v>
      </c>
      <c r="T17" s="180">
        <v>2322</v>
      </c>
      <c r="U17" s="180" t="s">
        <v>112</v>
      </c>
      <c r="V17" s="180">
        <f t="shared" ref="V17:V18" si="7">T17/40</f>
        <v>58.05</v>
      </c>
      <c r="W17" s="185" t="s">
        <v>108</v>
      </c>
      <c r="X17" s="184">
        <v>2277</v>
      </c>
      <c r="Y17" s="184" t="s">
        <v>112</v>
      </c>
      <c r="Z17" s="184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0" t="s">
        <v>107</v>
      </c>
      <c r="T18" s="180">
        <v>3216</v>
      </c>
      <c r="U18" s="180" t="s">
        <v>113</v>
      </c>
      <c r="V18" s="180">
        <f t="shared" si="7"/>
        <v>80.400000000000006</v>
      </c>
      <c r="W18" s="184" t="s">
        <v>107</v>
      </c>
      <c r="X18" s="184">
        <v>3153</v>
      </c>
      <c r="Y18" s="184" t="s">
        <v>113</v>
      </c>
      <c r="Z18" s="184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6" t="s">
        <v>118</v>
      </c>
      <c r="T19" s="256"/>
      <c r="U19" s="256"/>
      <c r="V19" s="256"/>
      <c r="W19" s="257" t="s">
        <v>116</v>
      </c>
      <c r="X19" s="257"/>
      <c r="Y19" s="257"/>
      <c r="Z19" s="257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2" t="s">
        <v>109</v>
      </c>
      <c r="T20" s="182" t="s">
        <v>110</v>
      </c>
      <c r="U20" s="182" t="s">
        <v>114</v>
      </c>
      <c r="V20" s="182" t="s">
        <v>115</v>
      </c>
      <c r="W20" s="182" t="s">
        <v>109</v>
      </c>
      <c r="X20" s="182" t="s">
        <v>110</v>
      </c>
      <c r="Y20" s="182" t="s">
        <v>114</v>
      </c>
      <c r="Z20" s="182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6" t="s">
        <v>106</v>
      </c>
      <c r="T21" s="186">
        <v>1610</v>
      </c>
      <c r="U21" s="186" t="s">
        <v>111</v>
      </c>
      <c r="V21" s="186">
        <f>T21/40</f>
        <v>40.25</v>
      </c>
      <c r="W21" s="188" t="s">
        <v>106</v>
      </c>
      <c r="X21" s="188">
        <v>1642</v>
      </c>
      <c r="Y21" s="188" t="s">
        <v>111</v>
      </c>
      <c r="Z21" s="188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7" t="s">
        <v>108</v>
      </c>
      <c r="T22" s="186">
        <v>2202</v>
      </c>
      <c r="U22" s="186" t="s">
        <v>112</v>
      </c>
      <c r="V22" s="186">
        <f t="shared" ref="V22:V25" si="9">T22/40</f>
        <v>55.05</v>
      </c>
      <c r="W22" s="189" t="s">
        <v>108</v>
      </c>
      <c r="X22" s="188">
        <v>2246</v>
      </c>
      <c r="Y22" s="188" t="s">
        <v>112</v>
      </c>
      <c r="Z22" s="188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6" t="s">
        <v>107</v>
      </c>
      <c r="T23" s="186">
        <v>3216</v>
      </c>
      <c r="U23" s="186" t="s">
        <v>113</v>
      </c>
      <c r="V23" s="186">
        <f t="shared" si="9"/>
        <v>80.400000000000006</v>
      </c>
      <c r="W23" s="188" t="s">
        <v>107</v>
      </c>
      <c r="X23" s="188">
        <v>3216</v>
      </c>
      <c r="Y23" s="188" t="s">
        <v>112</v>
      </c>
      <c r="Z23" s="188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6" t="s">
        <v>107</v>
      </c>
      <c r="T24" s="186">
        <v>3216</v>
      </c>
      <c r="U24" s="186" t="s">
        <v>113</v>
      </c>
      <c r="V24" s="186">
        <f t="shared" si="9"/>
        <v>80.400000000000006</v>
      </c>
      <c r="W24" s="188"/>
      <c r="X24" s="188"/>
      <c r="Y24" s="188" t="s">
        <v>112</v>
      </c>
      <c r="Z24" s="188">
        <f t="shared" si="10"/>
        <v>0</v>
      </c>
    </row>
    <row r="25" spans="1:26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13">SUM(G16:G24)</f>
        <v>0</v>
      </c>
      <c r="H25" s="136">
        <f t="shared" si="13"/>
        <v>120</v>
      </c>
      <c r="I25" s="137">
        <f t="shared" si="13"/>
        <v>7380.4</v>
      </c>
      <c r="J25" s="138"/>
      <c r="K25" s="139">
        <f t="shared" si="13"/>
        <v>338.34320000000002</v>
      </c>
      <c r="L25" s="140">
        <f t="shared" si="13"/>
        <v>543.35599999999999</v>
      </c>
      <c r="M25" s="141">
        <f t="shared" si="13"/>
        <v>6498.7008000000005</v>
      </c>
      <c r="N25" s="142">
        <f>SUM(N16:N24)</f>
        <v>1169.7661439999999</v>
      </c>
      <c r="O25" s="143">
        <f>SUM(O16:O24)</f>
        <v>38.342334719999997</v>
      </c>
      <c r="P25" s="144">
        <f>SUM(P16:P24)</f>
        <v>7706.8092787200003</v>
      </c>
      <c r="S25" s="186" t="s">
        <v>107</v>
      </c>
      <c r="T25" s="186">
        <v>3216</v>
      </c>
      <c r="U25" s="186" t="s">
        <v>113</v>
      </c>
      <c r="V25" s="186">
        <f t="shared" si="9"/>
        <v>80.400000000000006</v>
      </c>
      <c r="W25" s="188" t="s">
        <v>107</v>
      </c>
      <c r="X25" s="188">
        <v>3110</v>
      </c>
      <c r="Y25" s="188" t="s">
        <v>113</v>
      </c>
      <c r="Z25" s="188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7380.4</v>
      </c>
    </row>
    <row r="29" spans="1:26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543.35599999999999</v>
      </c>
    </row>
    <row r="30" spans="1:26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338.34320000000002</v>
      </c>
    </row>
    <row r="31" spans="1:26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6498.7007999999996</v>
      </c>
    </row>
    <row r="32" spans="1:26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1169.7661439999999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7668.4669439999998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38.342334719999997</v>
      </c>
    </row>
    <row r="35" spans="2:16" ht="15.75" customHeight="1" thickBot="1" x14ac:dyDescent="0.4">
      <c r="N35" s="211" t="s">
        <v>92</v>
      </c>
      <c r="O35" s="212"/>
      <c r="P35" s="160">
        <f>P33+P34</f>
        <v>7706.8092787199994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2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124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125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>
        <v>5.16165156650564E+16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80</v>
      </c>
      <c r="I25" s="137">
        <f t="shared" si="9"/>
        <v>4197</v>
      </c>
      <c r="J25" s="138"/>
      <c r="K25" s="139">
        <f t="shared" si="9"/>
        <v>146.89500000000001</v>
      </c>
      <c r="L25" s="140">
        <f t="shared" si="9"/>
        <v>335.76</v>
      </c>
      <c r="M25" s="141">
        <f t="shared" si="9"/>
        <v>3714.3450000000003</v>
      </c>
      <c r="N25" s="142">
        <f>SUM(N16:N24)</f>
        <v>668.58209999999997</v>
      </c>
      <c r="O25" s="143">
        <f>SUM(O16:O24)</f>
        <v>21.914635499999999</v>
      </c>
      <c r="P25" s="144">
        <f>SUM(P16:P24)</f>
        <v>4404.8417355000001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4197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335.76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146.89500000000001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3714.3449999999998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668.58209999999997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4382.9270999999999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21.914635499999999</v>
      </c>
    </row>
    <row r="35" spans="2:16" ht="15.75" customHeight="1" thickBot="1" x14ac:dyDescent="0.4">
      <c r="N35" s="211" t="s">
        <v>92</v>
      </c>
      <c r="O35" s="212"/>
      <c r="P35" s="160">
        <f>P33+P34</f>
        <v>4404.8417355000001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I14" sqref="I14:I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4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126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123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265">
        <v>4.1561561561651597E+17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138.85862399999999</v>
      </c>
      <c r="O19" s="119">
        <f t="shared" si="6"/>
        <v>4.5514771200000004</v>
      </c>
      <c r="P19" s="120">
        <f t="shared" si="1"/>
        <v>914.84690111999998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36</v>
      </c>
      <c r="I25" s="137">
        <f t="shared" si="9"/>
        <v>2214.1200000000003</v>
      </c>
      <c r="J25" s="138"/>
      <c r="K25" s="139">
        <f t="shared" si="9"/>
        <v>101.50296</v>
      </c>
      <c r="L25" s="140">
        <f t="shared" si="9"/>
        <v>163.00680000000003</v>
      </c>
      <c r="M25" s="141">
        <f t="shared" si="9"/>
        <v>1949.6102400000002</v>
      </c>
      <c r="N25" s="142">
        <f>SUM(N16:N24)</f>
        <v>350.92984319999999</v>
      </c>
      <c r="O25" s="143">
        <f>SUM(O16:O24)</f>
        <v>11.502700416000001</v>
      </c>
      <c r="P25" s="144">
        <f>SUM(P16:P24)</f>
        <v>2312.0427836160002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2214.1200000000003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163.00680000000003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101.50296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1949.6102400000002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350.92984319999999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2300.5400832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11.502700416</v>
      </c>
    </row>
    <row r="35" spans="2:16" ht="15.75" customHeight="1" thickBot="1" x14ac:dyDescent="0.4">
      <c r="N35" s="211" t="s">
        <v>92</v>
      </c>
      <c r="O35" s="212"/>
      <c r="P35" s="160">
        <f>P33+P34</f>
        <v>2312.0427836160002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3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127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123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>
        <v>5.4561561561561498E+18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140</v>
      </c>
      <c r="I25" s="137">
        <f t="shared" si="9"/>
        <v>8026.1</v>
      </c>
      <c r="J25" s="138"/>
      <c r="K25" s="139">
        <f t="shared" si="9"/>
        <v>360.94270000000006</v>
      </c>
      <c r="L25" s="140">
        <f t="shared" si="9"/>
        <v>595.01200000000006</v>
      </c>
      <c r="M25" s="141">
        <f t="shared" si="9"/>
        <v>7070.1453000000001</v>
      </c>
      <c r="N25" s="142">
        <f>SUM(N16:N24)</f>
        <v>1272.626154</v>
      </c>
      <c r="O25" s="143">
        <f>SUM(O16:O24)</f>
        <v>41.713857270000005</v>
      </c>
      <c r="P25" s="144">
        <f>SUM(P16:P24)</f>
        <v>8384.4853112700002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8026.1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595.01200000000006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360.94270000000006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7070.1453000000001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1272.626154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8342.7714539999997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41.713857269999998</v>
      </c>
    </row>
    <row r="35" spans="2:16" ht="15.75" customHeight="1" thickBot="1" x14ac:dyDescent="0.4">
      <c r="N35" s="211" t="s">
        <v>92</v>
      </c>
      <c r="O35" s="212"/>
      <c r="P35" s="160">
        <f>P33+P34</f>
        <v>8384.4853112700002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5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6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7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8" thickBot="1" x14ac:dyDescent="0.4">
      <c r="A13" s="236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8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9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8" thickBot="1" x14ac:dyDescent="0.4">
      <c r="A13" s="236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190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97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46219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46218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97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2026-07-16T11:51:41Z</dcterms:modified>
</cp:coreProperties>
</file>