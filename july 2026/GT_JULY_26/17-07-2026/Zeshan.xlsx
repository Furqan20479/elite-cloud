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9F5AC63-1578-465E-8312-819E6D35DCE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C12" i="35" s="1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N22" i="35" s="1"/>
  <c r="O22" i="35" s="1"/>
  <c r="K22" i="34"/>
  <c r="M22" i="34" s="1"/>
  <c r="N22" i="34" s="1"/>
  <c r="O22" i="34" s="1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K25" i="33" s="1"/>
  <c r="P30" i="33" s="1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N16" i="33"/>
  <c r="P22" i="33"/>
  <c r="P21" i="33"/>
  <c r="P24" i="33"/>
  <c r="P23" i="33"/>
  <c r="N25" i="32"/>
  <c r="P32" i="32" s="1"/>
  <c r="O16" i="32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33" l="1"/>
  <c r="M25" i="32"/>
  <c r="O25" i="32"/>
  <c r="P31" i="30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M17" i="23" s="1"/>
  <c r="N17" i="23" s="1"/>
  <c r="O17" i="23" s="1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1" i="25" l="1"/>
  <c r="N21" i="25" s="1"/>
  <c r="O21" i="25" s="1"/>
  <c r="P21" i="25" s="1"/>
  <c r="M21" i="19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<sst xmlns="http://schemas.openxmlformats.org/spreadsheetml/2006/main" count="1634" uniqueCount="141">
  <si>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</si>
  <si>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</si>
  <si>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</si>
  <si>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</si>
  <si>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</si>
  <si>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</si>
  <si>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</si>
  <si>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</si>
  <si>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</si>
  <si>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</si>
  <si>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</si>
  <si>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</si>
  <si>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</si>
  <si>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</si>
  <si>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</si>
  <si>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</si>
  <si>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</si>
  <si>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</si>
  <si>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</si>
  <si>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</si>
  <si>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</si>
  <si>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</si>
  <si>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</si>
  <si>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</si>
  <si>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</si>
  <si>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</si>
  <si>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</si>
  <si>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</si>
  <si>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</si>
  <si>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</si>
  <si>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</si>
  <si>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</si>
  <si>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</si>
  <si>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</si>
  <si>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</si>
  <si>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</si>
  <si>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</si>
  <si>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</si>
  <si>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</si>
  <si>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</si>
  <si>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</si>
  <si>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</si>
  <si>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</si>
  <si>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</si>
  <si>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</si>
  <si>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</si>
  <si>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</si>
  <si>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</si>
  <si>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</si>
  <si>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</si>
  <si>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</si>
  <si>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</si>
  <si>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</si>
  <si>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</si>
  <si>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</si>
  <si>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</si>
  <si>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</si>
  <si>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</si>
  <si>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</si>
  <si>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</si>
  <si>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</si>
  <si>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</si>
  <si>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</si>
  <si>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</si>
  <si>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</si>
  <si>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</si>
  <si>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</si>
  <si>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</si>
  <si>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</si>
  <si>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</si>
  <si>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</si>
  <si>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</si>
  <si>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</si>
  <si>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</si>
  <si>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</si>
  <si>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</si>
  <si>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</si>
  <si>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</si>
  <si>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</si>
  <si>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</si>
  <si>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</si>
  <si>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</si>
  <si>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</si>
  <si>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</si>
  <si>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</si>
  <si>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</si>
  <si>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</si>
  <si>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</si>
  <si>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</si>
  <si>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</si>
  <si>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</si>
  <si>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</si>
  <si>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</si>
  <si>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</si>
  <si>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</si>
  <si>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</si>
  <si>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</si>
  <si>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</si>
  <si>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</si>
  <si>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</si>
  <si>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</si>
  <si>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</si>
  <si>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</si>
  <si>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</si>
  <si>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</si>
  <si>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</si>
  <si>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</si>
  <si>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</si>
  <si>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</si>
  <si>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</si>
  <si>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</si>
  <si>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</si>
  <si>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</si>
  <si>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</si>
  <si>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</si>
  <si>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</si>
  <si>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</si>
  <si>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</si>
  <si>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</si>
  <si>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Daim Store</t>
  </si>
  <si>
    <t>Address: Peer Colony</t>
  </si>
  <si>
    <t>Customer Name : Khan Store</t>
  </si>
  <si>
    <t>Customer Name : Al Makkah</t>
  </si>
  <si>
    <t xml:space="preserve">Customer Name : Hikers </t>
  </si>
  <si>
    <t>Customer Name : Ahmad Store</t>
  </si>
  <si>
    <t xml:space="preserve">Customer Name : Kashmir Bakers </t>
  </si>
  <si>
    <t>Customer Name : Rana Store</t>
  </si>
  <si>
    <t>Customer Name : Madina Store</t>
  </si>
  <si>
    <t>4596365-7</t>
  </si>
  <si>
    <t xml:space="preserve">Customer Name : Sheikh Asraf </t>
  </si>
  <si>
    <t xml:space="preserve">Customer Name : Mirch Mahal </t>
  </si>
  <si>
    <t xml:space="preserve">Customer Name : One O One </t>
  </si>
  <si>
    <t xml:space="preserve">Customer Name : Shamza Bakers </t>
  </si>
  <si>
    <t>Customer Name : Khawaja Store</t>
  </si>
  <si>
    <t>Customer Name : Shabir Store</t>
  </si>
  <si>
    <t>Customer Name : Mian Store</t>
  </si>
  <si>
    <t>Customer Name : Al Barket Store</t>
  </si>
  <si>
    <t>Customer Name : Awan Store</t>
  </si>
  <si>
    <t>Customer Name : Bread &amp; Butter</t>
  </si>
  <si>
    <t>8979221-2</t>
  </si>
  <si>
    <t>Customer Name : Khawar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</si>
</sst>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  <c r="B14" t="s">
        <v>101</v>
      </c>
    </row>
    <row r="15" spans="1:2" x14ac:dyDescent="0.35">
      <c r="A15">
        <v>10</v>
      </c>
      <c r="B15" t="s">
        <v>102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S32" sqref="S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117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118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Daim Store</v>
      </c>
      <c r="U14" s="164">
        <f>+'1'!P35</f>
        <v>401.95748448000006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Khan Store</v>
      </c>
      <c r="U15" s="164">
        <f>+'2'!P35</f>
        <v>762.37241759999995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90</v>
      </c>
      <c r="I16" s="1">
        <f>(G16*D16)*F16+H16*F16</f>
        <v>4721.625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128.53312500000001</v>
      </c>
      <c r="L16" s="174">
        <f>+'1'!L16+'2'!L16+'4'!L16+'3'!L16+'5'!L16+'6'!L16+'7'!L16+'8'!L16+'9'!L16+'10'!L16</f>
        <v>293.78999999999996</v>
      </c>
      <c r="M16" s="106">
        <f>I16-K16-L16</f>
        <v>4299.3018750000001</v>
      </c>
      <c r="N16" s="101">
        <f>+'1'!N16+'2'!N16+'4'!N16+'3'!N16+'5'!N16+'6'!N16+'7'!N16+'8'!N16+'9'!N16+'10'!N16</f>
        <v>585.0093374999999</v>
      </c>
      <c r="O16" s="101">
        <f>+'1'!O16+'2'!O16+'4'!O16+'3'!O16+'5'!O16+'6'!O16+'7'!O16+'8'!O16+'9'!O16+'10'!O16</f>
        <v>19.175306062499999</v>
      </c>
      <c r="P16" s="105">
        <f t="shared" ref="P16:P24" si="0">M16+N16+O16</f>
        <v>4903.4865185624994</v>
      </c>
      <c r="Q16" s="108"/>
      <c r="T16" s="163" t="str">
        <f>+'3'!A5</f>
        <v>Customer Name : Al Makkah</v>
      </c>
      <c r="U16" s="164">
        <f>+'3'!P35</f>
        <v>4014.1876331519998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90</v>
      </c>
      <c r="I17" s="1">
        <f t="shared" ref="I17:I23" si="1">(G17*D17)*F17+H17*F17</f>
        <v>4721.625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128.53312500000001</v>
      </c>
      <c r="L17" s="174">
        <f>+'1'!L17+'2'!L17+'4'!L17+'3'!L17+'5'!L17+'6'!L17+'7'!L17+'8'!L17+'9'!L17+'10'!L17</f>
        <v>293.78999999999996</v>
      </c>
      <c r="M17" s="118">
        <f t="shared" ref="M17:M23" si="2">I17-K17-L17</f>
        <v>4299.3018750000001</v>
      </c>
      <c r="N17" s="101">
        <f>+'1'!N17+'2'!N17+'4'!N17+'3'!N17+'5'!N17+'6'!N17+'7'!N17+'8'!N17+'9'!N17+'10'!N17</f>
        <v>585.0093374999999</v>
      </c>
      <c r="O17" s="101">
        <f>+'1'!O17+'2'!O17+'4'!O17+'3'!O17+'5'!O17+'6'!O17+'7'!O17+'8'!O17+'9'!O17+'10'!O17</f>
        <v>19.175306062499999</v>
      </c>
      <c r="P17" s="120">
        <f t="shared" si="0"/>
        <v>4903.4865185624994</v>
      </c>
      <c r="S17" s="64"/>
      <c r="T17" s="163" t="str">
        <f>+'4'!A5</f>
        <v xml:space="preserve">Customer Name : Hikers </v>
      </c>
      <c r="U17" s="164">
        <f>+'4'!P35</f>
        <v>1372.27035168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Ahmad Store</v>
      </c>
      <c r="U18" s="164">
        <f>+'5'!P35</f>
        <v>6055.8255071100002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152</v>
      </c>
      <c r="I19" s="1">
        <f t="shared" si="1"/>
        <v>11041.28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320.34240000000005</v>
      </c>
      <c r="L19" s="174">
        <f>+'1'!L19+'2'!L19+'4'!L19+'3'!L19+'5'!L19+'6'!L19+'7'!L19+'8'!L19+'9'!L19+'10'!L19</f>
        <v>732.21120000000008</v>
      </c>
      <c r="M19" s="118">
        <f t="shared" si="2"/>
        <v>9988.7264000000014</v>
      </c>
      <c r="N19" s="101">
        <f>+'1'!N19+'2'!N19+'4'!N19+'3'!N19+'5'!N19+'6'!N19+'7'!N19+'8'!N19+'9'!N19+'10'!N19</f>
        <v>1458.0155519999998</v>
      </c>
      <c r="O19" s="101">
        <f>+'1'!O19+'2'!O19+'4'!O19+'3'!O19+'5'!O19+'6'!O19+'7'!O19+'8'!O19+'9'!O19+'10'!O19</f>
        <v>47.790509759999999</v>
      </c>
      <c r="P19" s="120">
        <f t="shared" si="0"/>
        <v>11494.53246176</v>
      </c>
      <c r="T19" s="163" t="str">
        <f>+'6'!A5</f>
        <v xml:space="preserve">Customer Name : Kashmir Bakers </v>
      </c>
      <c r="U19" s="164">
        <f>+'6'!P35</f>
        <v>4657.31960832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Rana Store</v>
      </c>
      <c r="U20" s="164">
        <f>+'7'!P35</f>
        <v>3027.9127535550001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160</v>
      </c>
      <c r="I21" s="1">
        <f t="shared" si="1"/>
        <v>11622.4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340.6816</v>
      </c>
      <c r="L21" s="174">
        <f>+'1'!L21+'2'!L21+'4'!L21+'3'!L21+'5'!L21+'6'!L21+'7'!L21+'8'!L21+'9'!L21+'10'!L21</f>
        <v>778.70080000000007</v>
      </c>
      <c r="M21" s="118">
        <f t="shared" si="2"/>
        <v>10503.017599999999</v>
      </c>
      <c r="N21" s="101">
        <f>+'1'!N21+'2'!N21+'4'!N21+'3'!N21+'5'!N21+'6'!N21+'7'!N21+'8'!N21+'9'!N21+'10'!N21</f>
        <v>1550.5879679999998</v>
      </c>
      <c r="O21" s="101">
        <f>+'1'!O21+'2'!O21+'4'!O21+'3'!O21+'5'!O21+'6'!O21+'7'!O21+'8'!O21+'9'!O21+'10'!O21</f>
        <v>50.824827839999998</v>
      </c>
      <c r="P21" s="120">
        <f t="shared" si="0"/>
        <v>12104.43039584</v>
      </c>
      <c r="T21" s="163" t="str">
        <f>+'8'!A5</f>
        <v>Customer Name : Madina Store</v>
      </c>
      <c r="U21" s="164">
        <f>+'8'!P35</f>
        <v>12111.65101422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222</v>
      </c>
      <c r="I22" s="1">
        <f t="shared" si="1"/>
        <v>8709.0600000000013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485.82431999999994</v>
      </c>
      <c r="L22" s="174">
        <f>+'1'!L22+'2'!L22+'4'!L22+'3'!L22+'5'!L22+'6'!L22+'7'!L22+'8'!L22+'9'!L22+'10'!L22</f>
        <v>282.45600000000007</v>
      </c>
      <c r="M22" s="118">
        <f t="shared" si="2"/>
        <v>7940.7796800000015</v>
      </c>
      <c r="N22" s="101">
        <f>+'1'!N22+'2'!N22+'4'!N22+'3'!N22+'5'!N22+'6'!N22+'7'!N22+'8'!N22+'9'!N22+'10'!N22</f>
        <v>878.55114240000012</v>
      </c>
      <c r="O22" s="101">
        <f>+'1'!O22+'2'!O22+'4'!O22+'3'!O22+'5'!O22+'6'!O22+'7'!O22+'8'!O22+'9'!O22+'10'!O22</f>
        <v>28.796954112000005</v>
      </c>
      <c r="P22" s="120">
        <f t="shared" si="0"/>
        <v>8848.1277765120012</v>
      </c>
      <c r="T22" s="163" t="str">
        <f>+'9'!A5</f>
        <v xml:space="preserve">Customer Name : Sheikh Asraf </v>
      </c>
      <c r="U22" s="164">
        <f>+'9'!P35</f>
        <v>457.42345055999999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Ahmad Store</v>
      </c>
      <c r="U23" s="164">
        <f>+'10'!P35</f>
        <v>457.42345055999999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Mirch Mahal </v>
      </c>
      <c r="U24" s="164">
        <f>+'11'!P35</f>
        <v>457.42345055999999</v>
      </c>
    </row>
    <row r="25" spans="1:21 16384:16384" ht="26.5" thickBot="1" x14ac:dyDescent="0.65">
      <c r="A25" s="234" t="s">
        <v>84</v>
      </c>
      <c r="B25" s="235"/>
      <c r="C25" s="236">
        <f>H25/40</f>
        <v>17.850000000000001</v>
      </c>
      <c r="D25" s="230"/>
      <c r="E25" s="230"/>
      <c r="F25" s="230"/>
      <c r="G25" s="175">
        <f t="shared" ref="G25:M25" si="3">SUM(G16:G24)</f>
        <v>0</v>
      </c>
      <c r="H25" s="176">
        <f t="shared" si="3"/>
        <v>714</v>
      </c>
      <c r="I25" s="177">
        <f t="shared" si="3"/>
        <v>40815.990000000005</v>
      </c>
      <c r="J25" s="176">
        <f t="shared" si="3"/>
        <v>0</v>
      </c>
      <c r="K25" s="177">
        <f t="shared" si="3"/>
        <v>1403.9145699999999</v>
      </c>
      <c r="L25" s="178">
        <f t="shared" si="3"/>
        <v>2380.9480000000003</v>
      </c>
      <c r="M25" s="141">
        <f t="shared" si="3"/>
        <v>37031.12743</v>
      </c>
      <c r="N25" s="142">
        <f>SUM(N16:N24)</f>
        <v>5057.1733373999996</v>
      </c>
      <c r="O25" s="143">
        <f>SUM(O16:O24)</f>
        <v>165.76290383699998</v>
      </c>
      <c r="P25" s="144">
        <f>SUM(P16:P24)</f>
        <v>42254.063671237003</v>
      </c>
      <c r="T25" s="163" t="str">
        <f>+'12'!A5</f>
        <v xml:space="preserve">Customer Name : One O One </v>
      </c>
      <c r="U25" s="164">
        <f>+'12'!P35</f>
        <v>457.42345055999999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Shamza Bakers </v>
      </c>
      <c r="U26" s="164">
        <f>+'13'!P35</f>
        <v>241.17449068800002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Khawaja Store</v>
      </c>
      <c r="U27" s="164">
        <f>+'14'!P35</f>
        <v>241.17449068800002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Shabir Store</v>
      </c>
      <c r="U28" s="180">
        <f>+'15'!P35</f>
        <v>401.95748448000006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Mian Store</v>
      </c>
      <c r="U29" s="180">
        <f>+'16'!P35</f>
        <v>401.95748448000006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>Customer Name : Al Barket Store</v>
      </c>
      <c r="U30" s="180">
        <f>+'17'!P35</f>
        <v>401.95748448000006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>Customer Name : Awan Store</v>
      </c>
      <c r="U31" s="180">
        <f>+'18'!P35</f>
        <v>401.95748448000006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>Customer Name : Bread &amp; Butter</v>
      </c>
      <c r="U32" s="180">
        <f>+'19'!P35</f>
        <v>6055.8255071100002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>Customer Name : Khawar Store</v>
      </c>
      <c r="U33" s="180">
        <f>+'20'!P35</f>
        <v>241.17449068800002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42620.369489451012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40815.990000000005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2380.9480000000003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1403.9145699999999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37031.12743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5057.1733373999996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42088.300767399996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1052.2075191849999</v>
      </c>
    </row>
    <row r="43" spans="1:21" ht="15.75" customHeight="1" thickBot="1" x14ac:dyDescent="0.4">
      <c r="N43" s="228" t="s">
        <v>92</v>
      </c>
      <c r="O43" s="229"/>
      <c r="P43" s="160">
        <f>P41+P42</f>
        <v>43140.508286584998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119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26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>
        <v>9865447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114</v>
      </c>
      <c r="T14" s="262"/>
      <c r="U14" s="262"/>
      <c r="V14" s="262"/>
      <c r="W14" s="263" t="s">
        <v>116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106</v>
      </c>
      <c r="T15" s="183" t="s">
        <v>107</v>
      </c>
      <c r="U15" s="183" t="s">
        <v>111</v>
      </c>
      <c r="V15" s="183" t="s">
        <v>112</v>
      </c>
      <c r="W15" s="184" t="s">
        <v>106</v>
      </c>
      <c r="X15" s="184" t="s">
        <v>107</v>
      </c>
      <c r="Y15" s="184" t="s">
        <v>111</v>
      </c>
      <c r="Z15" s="184" t="s">
        <v>112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103</v>
      </c>
      <c r="T16" s="181">
        <v>1697</v>
      </c>
      <c r="U16" s="181" t="s">
        <v>108</v>
      </c>
      <c r="V16" s="181">
        <f>T16/40</f>
        <v>42.424999999999997</v>
      </c>
      <c r="W16" s="185" t="s">
        <v>103</v>
      </c>
      <c r="X16" s="185">
        <v>1664</v>
      </c>
      <c r="Y16" s="185" t="s">
        <v>108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105</v>
      </c>
      <c r="T17" s="181">
        <v>2322</v>
      </c>
      <c r="U17" s="181" t="s">
        <v>109</v>
      </c>
      <c r="V17" s="181">
        <f t="shared" ref="V17:V18" si="7">T17/40</f>
        <v>58.05</v>
      </c>
      <c r="W17" s="186" t="s">
        <v>105</v>
      </c>
      <c r="X17" s="185">
        <v>2277</v>
      </c>
      <c r="Y17" s="185" t="s">
        <v>109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104</v>
      </c>
      <c r="T18" s="181">
        <v>3216</v>
      </c>
      <c r="U18" s="181" t="s">
        <v>110</v>
      </c>
      <c r="V18" s="181">
        <f t="shared" si="7"/>
        <v>80.400000000000006</v>
      </c>
      <c r="W18" s="185" t="s">
        <v>104</v>
      </c>
      <c r="X18" s="185">
        <v>3153</v>
      </c>
      <c r="Y18" s="185" t="s">
        <v>110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115</v>
      </c>
      <c r="T19" s="264"/>
      <c r="U19" s="264"/>
      <c r="V19" s="264"/>
      <c r="W19" s="265" t="s">
        <v>113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106</v>
      </c>
      <c r="T20" s="183" t="s">
        <v>107</v>
      </c>
      <c r="U20" s="183" t="s">
        <v>111</v>
      </c>
      <c r="V20" s="183" t="s">
        <v>112</v>
      </c>
      <c r="W20" s="183" t="s">
        <v>106</v>
      </c>
      <c r="X20" s="183" t="s">
        <v>107</v>
      </c>
      <c r="Y20" s="183" t="s">
        <v>111</v>
      </c>
      <c r="Z20" s="183" t="s">
        <v>112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103</v>
      </c>
      <c r="T21" s="187">
        <v>1610</v>
      </c>
      <c r="U21" s="187" t="s">
        <v>108</v>
      </c>
      <c r="V21" s="187">
        <f>T21/40</f>
        <v>40.25</v>
      </c>
      <c r="W21" s="189" t="s">
        <v>103</v>
      </c>
      <c r="X21" s="189">
        <v>1642</v>
      </c>
      <c r="Y21" s="189" t="s">
        <v>108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6"/>
        <v>338.94720000000007</v>
      </c>
      <c r="N22" s="118">
        <f t="shared" si="0"/>
        <v>61.01049600000001</v>
      </c>
      <c r="O22" s="119">
        <f t="shared" si="1"/>
        <v>1.9997884800000003</v>
      </c>
      <c r="P22" s="120">
        <f t="shared" si="2"/>
        <v>401.95748448000006</v>
      </c>
      <c r="S22" s="188" t="s">
        <v>105</v>
      </c>
      <c r="T22" s="187">
        <v>2202</v>
      </c>
      <c r="U22" s="187" t="s">
        <v>109</v>
      </c>
      <c r="V22" s="187">
        <f t="shared" ref="V22:V25" si="9">T22/40</f>
        <v>55.05</v>
      </c>
      <c r="W22" s="190" t="s">
        <v>105</v>
      </c>
      <c r="X22" s="189">
        <v>2246</v>
      </c>
      <c r="Y22" s="189" t="s">
        <v>109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104</v>
      </c>
      <c r="T23" s="187">
        <v>3216</v>
      </c>
      <c r="U23" s="187" t="s">
        <v>110</v>
      </c>
      <c r="V23" s="187">
        <f t="shared" si="9"/>
        <v>80.400000000000006</v>
      </c>
      <c r="W23" s="189" t="s">
        <v>104</v>
      </c>
      <c r="X23" s="189">
        <v>3216</v>
      </c>
      <c r="Y23" s="189" t="s">
        <v>109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104</v>
      </c>
      <c r="T24" s="187">
        <v>3216</v>
      </c>
      <c r="U24" s="187" t="s">
        <v>110</v>
      </c>
      <c r="V24" s="187">
        <f t="shared" si="9"/>
        <v>80.400000000000006</v>
      </c>
      <c r="W24" s="189"/>
      <c r="X24" s="189"/>
      <c r="Y24" s="189" t="s">
        <v>109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10</v>
      </c>
      <c r="I25" s="137">
        <f t="shared" si="13"/>
        <v>392.30000000000007</v>
      </c>
      <c r="J25" s="138"/>
      <c r="K25" s="139">
        <f t="shared" si="13"/>
        <v>33.7378</v>
      </c>
      <c r="L25" s="140">
        <f t="shared" si="13"/>
        <v>19.615000000000006</v>
      </c>
      <c r="M25" s="141">
        <f t="shared" si="13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  <c r="S25" s="187" t="s">
        <v>104</v>
      </c>
      <c r="T25" s="187">
        <v>3216</v>
      </c>
      <c r="U25" s="187" t="s">
        <v>110</v>
      </c>
      <c r="V25" s="187">
        <f t="shared" si="9"/>
        <v>80.400000000000006</v>
      </c>
      <c r="W25" s="189" t="s">
        <v>104</v>
      </c>
      <c r="X25" s="189">
        <v>3110</v>
      </c>
      <c r="Y25" s="189" t="s">
        <v>110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8282762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7764487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64</v>
      </c>
      <c r="I25" s="137">
        <f t="shared" si="9"/>
        <v>3847.12</v>
      </c>
      <c r="J25" s="138"/>
      <c r="K25" s="139">
        <f t="shared" si="9"/>
        <v>182.66672</v>
      </c>
      <c r="L25" s="140">
        <f t="shared" si="9"/>
        <v>279.524</v>
      </c>
      <c r="M25" s="141">
        <f t="shared" si="9"/>
        <v>3384.9292800000003</v>
      </c>
      <c r="N25" s="142">
        <f>SUM(N16:N24)</f>
        <v>609.28727040000001</v>
      </c>
      <c r="O25" s="143">
        <f>SUM(O16:O24)</f>
        <v>19.971082752000001</v>
      </c>
      <c r="P25" s="144">
        <f>SUM(P16:P24)</f>
        <v>4014.1876331519998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3847.12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279.524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182.66672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3384.9292799999998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609.28727040000001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3994.2165504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19.971082752000001</v>
      </c>
    </row>
    <row r="35" spans="2:16" ht="15.75" customHeight="1" thickBot="1" x14ac:dyDescent="0.4">
      <c r="N35" s="228" t="s">
        <v>92</v>
      </c>
      <c r="O35" s="229"/>
      <c r="P35" s="160">
        <f>P33+P34</f>
        <v>4014.1876331519998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2993126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6.8272156800000001</v>
      </c>
      <c r="P25" s="144">
        <f>SUM(P16:P24)</f>
        <v>1372.27035168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1307.52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104.60160000000002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45.763200000000005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1157.1551999999999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1365.4431359999999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6.8272156799999992</v>
      </c>
    </row>
    <row r="35" spans="2:16" ht="15.75" customHeight="1" thickBot="1" x14ac:dyDescent="0.4">
      <c r="N35" s="228" t="s">
        <v>92</v>
      </c>
      <c r="O35" s="229"/>
      <c r="P35" s="160">
        <f>P33+P34</f>
        <v>1372.27035168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8765447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439.55799999999999</v>
      </c>
      <c r="M25" s="141">
        <f t="shared" si="9"/>
        <v>5106.5229000000008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6055.8255071100002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5788.7000000000007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439.55799999999999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242.6191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5106.5229000000008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6025.6970220000003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28" t="s">
        <v>92</v>
      </c>
      <c r="O35" s="229"/>
      <c r="P35" s="160">
        <f>P33+P34</f>
        <v>6055.8255071100002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876559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4474.8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310.90800000000002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236.6472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3927.2447999999999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4634.1488639999998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28" t="s">
        <v>92</v>
      </c>
      <c r="O35" s="229"/>
      <c r="P35" s="160">
        <f>P33+P34</f>
        <v>4657.31960832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1264436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50</v>
      </c>
      <c r="I25" s="137">
        <f t="shared" si="9"/>
        <v>2894.3500000000004</v>
      </c>
      <c r="J25" s="138"/>
      <c r="K25" s="139">
        <f t="shared" si="9"/>
        <v>121.30955</v>
      </c>
      <c r="L25" s="140">
        <f t="shared" si="9"/>
        <v>219.779</v>
      </c>
      <c r="M25" s="141">
        <f t="shared" si="9"/>
        <v>2553.2614500000004</v>
      </c>
      <c r="N25" s="142">
        <f>SUM(N16:N24)</f>
        <v>459.58706099999995</v>
      </c>
      <c r="O25" s="143">
        <f>SUM(O16:O24)</f>
        <v>15.064242555</v>
      </c>
      <c r="P25" s="144">
        <f>SUM(P16:P24)</f>
        <v>3027.9127535550001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2894.3500000000004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219.779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121.30955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2553.2614500000004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459.58706099999995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3012.8485110000001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15.064242555000002</v>
      </c>
    </row>
    <row r="35" spans="2:16" ht="15.75" customHeight="1" thickBot="1" x14ac:dyDescent="0.4">
      <c r="N35" s="228" t="s">
        <v>92</v>
      </c>
      <c r="O35" s="229"/>
      <c r="P35" s="160">
        <f>P33+P34</f>
        <v>3027.9127535550001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485.23820000000001</v>
      </c>
      <c r="L25" s="140">
        <f t="shared" si="9"/>
        <v>879.11599999999999</v>
      </c>
      <c r="M25" s="141">
        <f t="shared" si="9"/>
        <v>10213.045800000002</v>
      </c>
      <c r="N25" s="142">
        <f>SUM(N16:N24)</f>
        <v>1838.3482439999998</v>
      </c>
      <c r="O25" s="143">
        <f>SUM(O16:O24)</f>
        <v>60.256970219999999</v>
      </c>
      <c r="P25" s="144">
        <f>SUM(P16:P24)</f>
        <v>12111.65101422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11577.400000000001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879.11599999999999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485.23820000000001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10213.045800000002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1838.3482439999998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12051.394044000001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60.256970220000007</v>
      </c>
    </row>
    <row r="35" spans="2:16" ht="15.75" customHeight="1" thickBot="1" x14ac:dyDescent="0.4">
      <c r="N35" s="228" t="s">
        <v>92</v>
      </c>
      <c r="O35" s="229"/>
      <c r="P35" s="160">
        <f>P33+P34</f>
        <v>12111.65101422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5788644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455.14771200000001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28" t="s">
        <v>92</v>
      </c>
      <c r="O35" s="229"/>
      <c r="P35" s="160">
        <f>P33+P34</f>
        <v>457.42345055999999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986555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455.14771200000001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28" t="s">
        <v>92</v>
      </c>
      <c r="O35" s="229"/>
      <c r="P35" s="160">
        <f>P33+P34</f>
        <v>457.42345055999999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8765558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455.14771200000001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28" t="s">
        <v>92</v>
      </c>
      <c r="O35" s="229"/>
      <c r="P35" s="160">
        <f>P33+P34</f>
        <v>457.42345055999999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886548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455.14771200000001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28" t="s">
        <v>92</v>
      </c>
      <c r="O35" s="229"/>
      <c r="P35" s="160">
        <f>P33+P34</f>
        <v>457.42345055999999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865589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774447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6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9755444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245788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865447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432577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139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439.55799999999999</v>
      </c>
      <c r="M25" s="141">
        <f t="shared" si="9"/>
        <v>5106.5229000000008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6055.8255071100002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5788.7000000000007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439.55799999999999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242.6191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5106.5229000000008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6025.6970220000003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28" t="s">
        <v>92</v>
      </c>
      <c r="O35" s="229"/>
      <c r="P35" s="160">
        <f>P33+P34</f>
        <v>6055.8255071100002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774447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2026-07-17T04:10:40Z</dcterms:modified>
</cp:coreProperties>
</file>