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38F3111B-5D21-47A9-B79F-A10EE536A4E1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L25" i="33" l="1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6" l="1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M25" i="26" l="1"/>
  <c r="L21" i="17"/>
  <c r="K21" i="17"/>
  <c r="L21" i="19"/>
  <c r="K21" i="19"/>
  <c r="L20" i="23"/>
  <c r="K20" i="23"/>
  <c r="L20" i="19"/>
  <c r="L20" i="18"/>
  <c r="K20" i="18"/>
  <c r="P33" i="34"/>
  <c r="P34" i="34" s="1"/>
  <c r="P35" i="34" s="1"/>
  <c r="U32" i="15" s="1"/>
  <c r="L19" i="19"/>
  <c r="K19" i="19"/>
  <c r="M19" i="19" s="1"/>
  <c r="N19" i="19" s="1"/>
  <c r="O19" i="19" s="1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M17" i="18" s="1"/>
  <c r="N17" i="18" s="1"/>
  <c r="O17" i="18" s="1"/>
  <c r="K17" i="18"/>
  <c r="L17" i="25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L20" i="25"/>
  <c r="L21" i="25"/>
  <c r="M21" i="25" s="1"/>
  <c r="N21" i="25" s="1"/>
  <c r="O21" i="25" s="1"/>
  <c r="P21" i="25" s="1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M21" i="21"/>
  <c r="N21" i="21" s="1"/>
  <c r="N24" i="19"/>
  <c r="O24" i="19" s="1"/>
  <c r="N24" i="18"/>
  <c r="O24" i="18" s="1"/>
  <c r="I23" i="15"/>
  <c r="M21" i="19" l="1"/>
  <c r="M20" i="20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0" i="20" l="1"/>
  <c r="P22" i="2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7"/>
  <c r="O25" i="17" s="1"/>
  <c r="N25" i="17"/>
  <c r="P32" i="17" s="1"/>
  <c r="P33" i="21" l="1"/>
  <c r="P34" i="21" s="1"/>
  <c r="P35" i="21" s="1"/>
  <c r="U19" i="15" s="1"/>
  <c r="P33" i="18"/>
  <c r="P33" i="20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<sst xmlns="http://schemas.openxmlformats.org/spreadsheetml/2006/main" count="1636" uniqueCount="137">
  <si>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</si>
  <si>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</si>
  <si>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</si>
  <si>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</si>
  <si>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</si>
  <si>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</si>
  <si>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</si>
  <si>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</si>
  <si>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</si>
  <si>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</si>
  <si>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</si>
  <si>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</si>
  <si>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</si>
  <si>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</si>
  <si>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</si>
  <si>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</si>
  <si>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</si>
  <si>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</si>
  <si>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</si>
  <si>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</si>
  <si>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</si>
  <si>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</si>
  <si>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</si>
  <si>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</si>
  <si>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</si>
  <si>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</si>
  <si>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</si>
  <si>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</si>
  <si>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</si>
  <si>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</si>
  <si>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</si>
  <si>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</si>
  <si>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</si>
  <si>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</si>
  <si>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</si>
  <si>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</si>
  <si>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</si>
  <si>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</si>
  <si>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</si>
  <si>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</si>
  <si>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</si>
  <si>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</si>
  <si>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</si>
  <si>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</si>
  <si>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</si>
  <si>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</si>
  <si>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</si>
  <si>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</si>
  <si>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</si>
  <si>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</si>
  <si>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</si>
  <si>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</si>
  <si>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</si>
  <si>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</si>
  <si>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</si>
  <si>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</si>
  <si>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</si>
  <si>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</si>
  <si>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</si>
  <si>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</si>
  <si>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</si>
  <si>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</si>
  <si>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</si>
  <si>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</si>
  <si>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</si>
  <si>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</si>
  <si>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</si>
  <si>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</si>
  <si>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</si>
  <si>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</si>
  <si>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</si>
  <si>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</si>
  <si>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</si>
  <si>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</si>
  <si>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</si>
  <si>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</si>
  <si>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</si>
  <si>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</si>
  <si>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</si>
  <si>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</si>
  <si>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</si>
  <si>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</si>
  <si>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</si>
  <si>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</si>
  <si>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</si>
  <si>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</si>
  <si>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</si>
  <si>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</si>
  <si>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</si>
  <si>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</si>
  <si>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</si>
  <si>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</si>
  <si>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</si>
  <si>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</si>
  <si>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</si>
  <si>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</si>
  <si>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</si>
  <si>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</si>
  <si>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</si>
  <si>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</si>
  <si>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</si>
  <si>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</si>
  <si>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</si>
  <si>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</si>
  <si>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</si>
  <si>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</si>
  <si>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</si>
  <si>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</si>
  <si>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</si>
  <si>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</si>
  <si>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</si>
  <si>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</si>
  <si>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</si>
  <si>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</si>
  <si>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</si>
  <si>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</si>
  <si>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</si>
  <si>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</si>
  <si>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</si>
  <si>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</si>
  <si>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Shop Bill Summary(Furqan)</t>
  </si>
  <si>
    <t>Customer Name : Murad G Store</t>
  </si>
  <si>
    <t xml:space="preserve">Address: Gullberg </t>
  </si>
  <si>
    <t xml:space="preserve">Customer Name : SK Mart </t>
  </si>
  <si>
    <t>Address: Gullberg</t>
  </si>
  <si>
    <t xml:space="preserve">Customer Name : Shell Perto Mart </t>
  </si>
  <si>
    <t>4550863-0</t>
  </si>
  <si>
    <t xml:space="preserve">Address: Press Club Shimla Pahari </t>
  </si>
  <si>
    <t>Customer Name : Tufail Store</t>
  </si>
  <si>
    <t xml:space="preserve">Address: Qilla Gujjer Singh </t>
  </si>
  <si>
    <t>1942640-2</t>
  </si>
  <si>
    <t>Customer Name : Ali Brothers</t>
  </si>
  <si>
    <t>Address: Qillah Gujjer Singh</t>
  </si>
  <si>
    <t>6925517-8</t>
  </si>
  <si>
    <t>Customer Name : Arif Store</t>
  </si>
  <si>
    <t xml:space="preserve">Address: Gwal Mandi </t>
  </si>
  <si>
    <t>E156529-1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</si>
</sst>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11" zoomScale="70" zoomScaleNormal="70" workbookViewId="0">
      <selection activeCell="H25" sqref="H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4" t="s">
        <v>45</v>
      </c>
      <c r="B2" s="254"/>
      <c r="C2" s="254"/>
    </row>
    <row r="3" spans="1:21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3" t="s">
        <v>96</v>
      </c>
      <c r="B5" s="253"/>
      <c r="C5" s="253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21 16383:16384" ht="15" customHeight="1" x14ac:dyDescent="0.35">
      <c r="A6" s="253"/>
      <c r="B6" s="253"/>
      <c r="C6" s="253"/>
      <c r="F6" s="70"/>
      <c r="G6" s="74"/>
      <c r="K6" s="238" t="s">
        <v>52</v>
      </c>
      <c r="L6" s="238"/>
      <c r="M6" s="238"/>
      <c r="N6" s="251" t="s">
        <v>42</v>
      </c>
      <c r="O6" s="251"/>
      <c r="P6" s="25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1 16383:16384" hidden="1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1 16383:16384" x14ac:dyDescent="0.35">
      <c r="A10" s="236"/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1 16383:16384" ht="15" thickBot="1" x14ac:dyDescent="0.4">
      <c r="A11" s="236"/>
      <c r="B11" s="76"/>
      <c r="C11" s="77"/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1 16383:16384" ht="14.65" customHeight="1" x14ac:dyDescent="0.35">
      <c r="A12" s="236"/>
      <c r="B12" s="76"/>
      <c r="C12" s="77"/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T12" s="208" t="s">
        <v>120</v>
      </c>
      <c r="U12" s="209"/>
      <c r="XFD12" t="s">
        <v>62</v>
      </c>
    </row>
    <row r="13" spans="1:21 16383:16384" ht="15" thickBot="1" x14ac:dyDescent="0.4">
      <c r="A13" s="237"/>
      <c r="J13" s="78"/>
      <c r="K13" s="78"/>
      <c r="L13" s="79">
        <v>0.05</v>
      </c>
      <c r="T13" s="210"/>
      <c r="U13" s="211"/>
      <c r="XFD13" t="s">
        <v>63</v>
      </c>
    </row>
    <row r="14" spans="1:21 16383:16384" ht="29.25" customHeight="1" x14ac:dyDescent="0.6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7" t="s">
        <v>69</v>
      </c>
      <c r="J14" s="247" t="s">
        <v>70</v>
      </c>
      <c r="K14" s="247"/>
      <c r="L14" s="249"/>
      <c r="M14" s="241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Murad G Store</v>
      </c>
      <c r="U14" s="164">
        <f>+'1'!P35</f>
        <v>491.94796608000001</v>
      </c>
      <c r="XFD14" t="s">
        <v>75</v>
      </c>
    </row>
    <row r="15" spans="1:21 16383:16384" ht="29.25" customHeight="1" thickBot="1" x14ac:dyDescent="0.65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8"/>
      <c r="J15" s="170" t="s">
        <v>78</v>
      </c>
      <c r="K15" s="170" t="s">
        <v>79</v>
      </c>
      <c r="L15" s="173" t="s">
        <v>80</v>
      </c>
      <c r="M15" s="24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SK Mart </v>
      </c>
      <c r="U15" s="164">
        <f>+'2'!P35</f>
        <v>1839.6980493299998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42</v>
      </c>
      <c r="I16" s="1">
        <f>(G16*D16)*F16+H16*F16</f>
        <v>2203.4249999999997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77.119875000000008</v>
      </c>
      <c r="L16" s="174">
        <f>+'1'!L16+'2'!L16+'4'!L16+'3'!L16+'5'!L16+'6'!L16+'7'!L16+'8'!L16+'9'!L16+'10'!L16</f>
        <v>176.274</v>
      </c>
      <c r="M16" s="106">
        <f>I16-K16-L16</f>
        <v>1950.031125</v>
      </c>
      <c r="N16" s="101">
        <f>+'1'!N16+'2'!N16+'4'!N16+'3'!N16+'5'!N16+'6'!N16+'7'!N16+'8'!N16+'9'!N16+'10'!N16</f>
        <v>351.00560249999995</v>
      </c>
      <c r="O16" s="101">
        <f>+'1'!O16+'2'!O16+'4'!O16+'3'!O16+'5'!O16+'6'!O16+'7'!O16+'8'!O16+'9'!O16+'10'!O16</f>
        <v>24.653964937499993</v>
      </c>
      <c r="P16" s="105">
        <f t="shared" ref="P16:P24" si="0">M16+N16+O16</f>
        <v>2325.6906924374998</v>
      </c>
      <c r="Q16" s="108"/>
      <c r="T16" s="163" t="str">
        <f>+'3'!A5</f>
        <v xml:space="preserve">Customer Name : Shell Perto Mart </v>
      </c>
      <c r="U16" s="164">
        <f>+'3'!P35</f>
        <v>3049.4896703999998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42</v>
      </c>
      <c r="I17" s="1">
        <f t="shared" ref="I17:I23" si="1">(G17*D17)*F17+H17*F17</f>
        <v>2203.4249999999997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77.119875000000008</v>
      </c>
      <c r="L17" s="174">
        <f>+'1'!L17+'2'!L17+'4'!L17+'3'!L17+'5'!L17+'6'!L17+'7'!L17+'8'!L17+'9'!L17+'10'!L17</f>
        <v>176.274</v>
      </c>
      <c r="M17" s="118">
        <f t="shared" ref="M17:M23" si="2">I17-K17-L17</f>
        <v>1950.031125</v>
      </c>
      <c r="N17" s="101">
        <f>+'1'!N17+'2'!N17+'4'!N17+'3'!N17+'5'!N17+'6'!N17+'7'!N17+'8'!N17+'9'!N17+'10'!N17</f>
        <v>351.00560249999995</v>
      </c>
      <c r="O17" s="101">
        <f>+'1'!O17+'2'!O17+'4'!O17+'3'!O17+'5'!O17+'6'!O17+'7'!O17+'8'!O17+'9'!O17+'10'!O17</f>
        <v>24.653964937499993</v>
      </c>
      <c r="P17" s="120">
        <f t="shared" si="0"/>
        <v>2325.6906924374998</v>
      </c>
      <c r="S17" s="64"/>
      <c r="T17" s="163" t="str">
        <f>+'4'!A5</f>
        <v>Customer Name : Tufail Store</v>
      </c>
      <c r="U17" s="164">
        <f>+'4'!P35</f>
        <v>4107.5462705850005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Ali Brothers</v>
      </c>
      <c r="U18" s="164">
        <f>+'5'!P35</f>
        <v>914.84690111999998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66</v>
      </c>
      <c r="I19" s="1">
        <f t="shared" si="1"/>
        <v>4794.24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167.79840000000002</v>
      </c>
      <c r="L19" s="174">
        <f>+'1'!L19+'2'!L19+'4'!L19+'3'!L19+'5'!L19+'6'!L19+'7'!L19+'8'!L19+'9'!L19+'10'!L19</f>
        <v>383.53920000000005</v>
      </c>
      <c r="M19" s="118">
        <f t="shared" si="2"/>
        <v>4242.9023999999999</v>
      </c>
      <c r="N19" s="101">
        <f>+'1'!N19+'2'!N19+'4'!N19+'3'!N19+'5'!N19+'6'!N19+'7'!N19+'8'!N19+'9'!N19+'10'!N19</f>
        <v>763.72243200000003</v>
      </c>
      <c r="O19" s="101">
        <f>+'1'!O19+'2'!O19+'4'!O19+'3'!O19+'5'!O19+'6'!O19+'7'!O19+'8'!O19+'9'!O19+'10'!O19</f>
        <v>25.03312416</v>
      </c>
      <c r="P19" s="120">
        <f t="shared" si="0"/>
        <v>5031.6579561599992</v>
      </c>
      <c r="T19" s="163" t="str">
        <f>+'6'!A5</f>
        <v>Customer Name : Arif Store</v>
      </c>
      <c r="U19" s="164">
        <f>+'6'!P35</f>
        <v>6098.9793407999996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66</v>
      </c>
      <c r="I21" s="1">
        <f t="shared" si="1"/>
        <v>4794.24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167.79840000000002</v>
      </c>
      <c r="L21" s="174">
        <f>+'1'!L21+'2'!L21+'4'!L21+'3'!L21+'5'!L21+'6'!L21+'7'!L21+'8'!L21+'9'!L21+'10'!L21</f>
        <v>383.53920000000005</v>
      </c>
      <c r="M21" s="118">
        <f t="shared" si="2"/>
        <v>4242.9023999999999</v>
      </c>
      <c r="N21" s="101">
        <f>+'1'!N21+'2'!N21+'4'!N21+'3'!N21+'5'!N21+'6'!N21+'7'!N21+'8'!N21+'9'!N21+'10'!N21</f>
        <v>763.72243200000003</v>
      </c>
      <c r="O21" s="101">
        <f>+'1'!O21+'2'!O21+'4'!O21+'3'!O21+'5'!O21+'6'!O21+'7'!O21+'8'!O21+'9'!O21+'10'!O21</f>
        <v>25.03312416</v>
      </c>
      <c r="P21" s="120">
        <f t="shared" si="0"/>
        <v>5031.6579561599992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44</v>
      </c>
      <c r="I22" s="1">
        <f t="shared" si="1"/>
        <v>1726.1200000000001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148.44632000000001</v>
      </c>
      <c r="L22" s="174">
        <f>+'1'!L22+'2'!L22+'4'!L22+'3'!L22+'5'!L22+'6'!L22+'7'!L22+'8'!L22+'9'!L22+'10'!L22</f>
        <v>86.306000000000012</v>
      </c>
      <c r="M22" s="118">
        <f t="shared" si="2"/>
        <v>1491.3676800000001</v>
      </c>
      <c r="N22" s="101">
        <f>+'1'!N22+'2'!N22+'4'!N22+'3'!N22+'5'!N22+'6'!N22+'7'!N22+'8'!N22+'9'!N22+'10'!N22</f>
        <v>268.4461824</v>
      </c>
      <c r="O22" s="101">
        <f>+'1'!O22+'2'!O22+'4'!O22+'3'!O22+'5'!O22+'6'!O22+'7'!O22+'8'!O22+'9'!O22+'10'!O22</f>
        <v>27.997038720000006</v>
      </c>
      <c r="P22" s="120">
        <f t="shared" si="0"/>
        <v>1787.8109011200002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8" t="s">
        <v>84</v>
      </c>
      <c r="B25" s="219"/>
      <c r="C25" s="220">
        <f>H25/40</f>
        <v>6.5</v>
      </c>
      <c r="D25" s="214"/>
      <c r="E25" s="214"/>
      <c r="F25" s="214"/>
      <c r="G25" s="175">
        <f t="shared" ref="G25:M25" si="3">SUM(G16:G24)</f>
        <v>0</v>
      </c>
      <c r="H25" s="176">
        <f t="shared" si="3"/>
        <v>260</v>
      </c>
      <c r="I25" s="177">
        <f t="shared" si="3"/>
        <v>15721.45</v>
      </c>
      <c r="J25" s="176">
        <f t="shared" si="3"/>
        <v>0</v>
      </c>
      <c r="K25" s="177">
        <f t="shared" si="3"/>
        <v>638.28287</v>
      </c>
      <c r="L25" s="178">
        <f t="shared" si="3"/>
        <v>1205.9324000000001</v>
      </c>
      <c r="M25" s="141">
        <f t="shared" si="3"/>
        <v>13877.23473</v>
      </c>
      <c r="N25" s="142">
        <f>SUM(N16:N24)</f>
        <v>2497.9022513999998</v>
      </c>
      <c r="O25" s="143">
        <f>SUM(O16:O24)</f>
        <v>127.37121691499999</v>
      </c>
      <c r="P25" s="144">
        <f>SUM(P16:P24)</f>
        <v>16502.508198314998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16502.508198314998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1" t="s">
        <v>85</v>
      </c>
      <c r="C36" s="222"/>
      <c r="D36" s="222"/>
      <c r="E36" s="222"/>
      <c r="F36" s="222"/>
      <c r="G36" s="222"/>
      <c r="H36" s="222"/>
      <c r="I36" s="222"/>
      <c r="J36" s="222"/>
      <c r="K36" s="222"/>
      <c r="L36" s="223"/>
      <c r="N36" s="230" t="s">
        <v>86</v>
      </c>
      <c r="O36" s="231"/>
      <c r="P36" s="152">
        <f>I25</f>
        <v>15721.45</v>
      </c>
    </row>
    <row r="37" spans="1:21" ht="15" customHeight="1" x14ac:dyDescent="0.35">
      <c r="B37" s="224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N37" s="232" t="s">
        <v>87</v>
      </c>
      <c r="O37" s="233"/>
      <c r="P37" s="153">
        <f>L25</f>
        <v>1205.9324000000001</v>
      </c>
    </row>
    <row r="38" spans="1:21" ht="15" customHeight="1" x14ac:dyDescent="0.35">
      <c r="B38" s="224"/>
      <c r="C38" s="225"/>
      <c r="D38" s="225"/>
      <c r="E38" s="225"/>
      <c r="F38" s="225"/>
      <c r="G38" s="225"/>
      <c r="H38" s="225"/>
      <c r="I38" s="225"/>
      <c r="J38" s="225"/>
      <c r="K38" s="225"/>
      <c r="L38" s="226"/>
      <c r="N38" s="232" t="s">
        <v>4</v>
      </c>
      <c r="O38" s="233"/>
      <c r="P38" s="154">
        <f>K25</f>
        <v>638.28287</v>
      </c>
    </row>
    <row r="39" spans="1:21" ht="15" customHeight="1" x14ac:dyDescent="0.35">
      <c r="B39" s="224"/>
      <c r="C39" s="225"/>
      <c r="D39" s="225"/>
      <c r="E39" s="225"/>
      <c r="F39" s="225"/>
      <c r="G39" s="225"/>
      <c r="H39" s="225"/>
      <c r="I39" s="225"/>
      <c r="J39" s="225"/>
      <c r="K39" s="225"/>
      <c r="L39" s="226"/>
      <c r="M39" s="2"/>
      <c r="N39" s="232" t="s">
        <v>88</v>
      </c>
      <c r="O39" s="233"/>
      <c r="P39" s="153">
        <f>P36-P37-P38</f>
        <v>13877.23473</v>
      </c>
    </row>
    <row r="40" spans="1:21" ht="15" customHeight="1" x14ac:dyDescent="0.35">
      <c r="B40" s="224"/>
      <c r="C40" s="225"/>
      <c r="D40" s="225"/>
      <c r="E40" s="225"/>
      <c r="F40" s="225"/>
      <c r="G40" s="225"/>
      <c r="H40" s="225"/>
      <c r="I40" s="225"/>
      <c r="J40" s="225"/>
      <c r="K40" s="225"/>
      <c r="L40" s="226"/>
      <c r="M40" s="2"/>
      <c r="N40" s="155" t="s">
        <v>89</v>
      </c>
      <c r="O40" s="156">
        <f>IF(B12="Registered",18%,22%)</f>
        <v>0.22</v>
      </c>
      <c r="P40" s="153">
        <f>N25</f>
        <v>2497.9022513999998</v>
      </c>
    </row>
    <row r="41" spans="1:21" ht="15" customHeight="1" x14ac:dyDescent="0.35">
      <c r="B41" s="224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"/>
      <c r="N41" s="234" t="s">
        <v>90</v>
      </c>
      <c r="O41" s="235"/>
      <c r="P41" s="153">
        <f>P39+P40</f>
        <v>16375.136981399999</v>
      </c>
    </row>
    <row r="42" spans="1:21" ht="15" customHeight="1" thickBot="1" x14ac:dyDescent="0.4">
      <c r="B42" s="227"/>
      <c r="C42" s="228"/>
      <c r="D42" s="228"/>
      <c r="E42" s="228"/>
      <c r="F42" s="228"/>
      <c r="G42" s="228"/>
      <c r="H42" s="228"/>
      <c r="I42" s="228"/>
      <c r="J42" s="228"/>
      <c r="K42" s="228"/>
      <c r="L42" s="229"/>
      <c r="M42" s="157"/>
      <c r="N42" s="158" t="s">
        <v>91</v>
      </c>
      <c r="O42" s="159">
        <f>IF(B11="Filer",0.5%,2.5%)</f>
        <v>2.5000000000000001E-2</v>
      </c>
      <c r="P42" s="153">
        <f>O42*P41</f>
        <v>409.37842453500002</v>
      </c>
    </row>
    <row r="43" spans="1:21" ht="15.75" customHeight="1" thickBot="1" x14ac:dyDescent="0.4">
      <c r="N43" s="212" t="s">
        <v>92</v>
      </c>
      <c r="O43" s="213"/>
      <c r="P43" s="160">
        <f>P41+P42</f>
        <v>16784.515405934999</v>
      </c>
    </row>
    <row r="44" spans="1:21" ht="15" thickBot="1" x14ac:dyDescent="0.4">
      <c r="B44" s="161" t="s">
        <v>93</v>
      </c>
      <c r="C44" s="214"/>
      <c r="D44" s="214"/>
      <c r="E44" s="214"/>
      <c r="F44" s="214"/>
      <c r="G44" s="214"/>
      <c r="H44" s="214"/>
      <c r="I44" s="215"/>
      <c r="J44" s="216"/>
      <c r="K44" s="217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5" workbookViewId="0">
      <selection activeCell="B36" sqref="B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4" t="s">
        <v>45</v>
      </c>
      <c r="B2" s="254"/>
      <c r="C2" s="254"/>
    </row>
    <row r="3" spans="1:26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5" t="s">
        <v>121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26 16383:16384" ht="15" customHeight="1" x14ac:dyDescent="0.35">
      <c r="A6" s="238" t="s">
        <v>122</v>
      </c>
      <c r="B6" s="238"/>
      <c r="C6" s="238"/>
      <c r="F6" s="70"/>
      <c r="G6" s="74"/>
      <c r="K6" s="238" t="s">
        <v>52</v>
      </c>
      <c r="L6" s="238"/>
      <c r="M6" s="238"/>
      <c r="N6" s="251" t="s">
        <v>96</v>
      </c>
      <c r="O6" s="251"/>
      <c r="P6" s="251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6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6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6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6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26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S14" s="255" t="s">
        <v>117</v>
      </c>
      <c r="T14" s="255"/>
      <c r="U14" s="255"/>
      <c r="V14" s="255"/>
      <c r="W14" s="256" t="s">
        <v>119</v>
      </c>
      <c r="X14" s="256"/>
      <c r="Y14" s="256"/>
      <c r="Z14" s="256"/>
      <c r="XFD14" t="s">
        <v>75</v>
      </c>
    </row>
    <row r="15" spans="1:26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57" t="s">
        <v>118</v>
      </c>
      <c r="T19" s="257"/>
      <c r="U19" s="257"/>
      <c r="V19" s="257"/>
      <c r="W19" s="258" t="s">
        <v>116</v>
      </c>
      <c r="X19" s="258"/>
      <c r="Y19" s="258"/>
      <c r="Z19" s="258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3"/>
        <v>470.76000000000005</v>
      </c>
      <c r="J22" s="117"/>
      <c r="K22" s="104">
        <f>I22*8.6%</f>
        <v>40.48536</v>
      </c>
      <c r="L22" s="120">
        <f>I22*5%</f>
        <v>23.538000000000004</v>
      </c>
      <c r="M22" s="118">
        <f t="shared" si="6"/>
        <v>406.73664000000002</v>
      </c>
      <c r="N22" s="118">
        <f t="shared" si="0"/>
        <v>73.212595199999996</v>
      </c>
      <c r="O22" s="119">
        <f t="shared" si="1"/>
        <v>11.998730880000002</v>
      </c>
      <c r="P22" s="120">
        <f t="shared" si="2"/>
        <v>491.94796608000001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13">SUM(G16:G24)</f>
        <v>0</v>
      </c>
      <c r="H25" s="136">
        <f t="shared" si="13"/>
        <v>12</v>
      </c>
      <c r="I25" s="137">
        <f t="shared" si="13"/>
        <v>470.76000000000005</v>
      </c>
      <c r="J25" s="138"/>
      <c r="K25" s="139">
        <f t="shared" si="13"/>
        <v>40.48536</v>
      </c>
      <c r="L25" s="140">
        <f t="shared" si="13"/>
        <v>23.538000000000004</v>
      </c>
      <c r="M25" s="141">
        <f t="shared" si="13"/>
        <v>406.73664000000002</v>
      </c>
      <c r="N25" s="142">
        <f>SUM(N16:N24)</f>
        <v>73.212595199999996</v>
      </c>
      <c r="O25" s="143">
        <f>SUM(O16:O24)</f>
        <v>11.998730880000002</v>
      </c>
      <c r="P25" s="144">
        <f>SUM(P16:P24)</f>
        <v>491.94796608000001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470.76000000000005</v>
      </c>
    </row>
    <row r="29" spans="1:26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23.538000000000004</v>
      </c>
    </row>
    <row r="30" spans="1:26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40.48536</v>
      </c>
    </row>
    <row r="31" spans="1:26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406.73664000000002</v>
      </c>
    </row>
    <row r="32" spans="1:26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73.212595199999996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479.94923520000003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11.998730880000002</v>
      </c>
    </row>
    <row r="35" spans="2:16" ht="15.75" customHeight="1" thickBot="1" x14ac:dyDescent="0.4">
      <c r="N35" s="212" t="s">
        <v>92</v>
      </c>
      <c r="O35" s="213"/>
      <c r="P35" s="160">
        <f>P33+P34</f>
        <v>491.94796608000001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5" workbookViewId="0">
      <selection activeCell="B36" sqref="B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2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123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124</v>
      </c>
      <c r="B6" s="238"/>
      <c r="C6" s="238"/>
      <c r="F6" s="70"/>
      <c r="G6" s="74"/>
      <c r="K6" s="238" t="s">
        <v>52</v>
      </c>
      <c r="L6" s="238"/>
      <c r="M6" s="238"/>
      <c r="N6" s="251" t="s">
        <v>96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</v>
      </c>
      <c r="I16" s="102">
        <f>(G16*D16)*F16+H16*F16</f>
        <v>629.54999999999995</v>
      </c>
      <c r="J16" s="103"/>
      <c r="K16" s="104">
        <f>I16*3.5%</f>
        <v>22.03425</v>
      </c>
      <c r="L16" s="105">
        <f>I16*8%</f>
        <v>50.363999999999997</v>
      </c>
      <c r="M16" s="106">
        <f>I16-K16-L16</f>
        <v>557.15174999999988</v>
      </c>
      <c r="N16" s="106">
        <f t="shared" ref="N16:N24" si="0">(M16*$N$15)+(J16*F16)*$N$15</f>
        <v>100.28731499999998</v>
      </c>
      <c r="O16" s="107">
        <f>(N16+M16)*$O$15</f>
        <v>16.435976624999995</v>
      </c>
      <c r="P16" s="105">
        <f t="shared" ref="P16:P24" si="1">M16+N16+O16</f>
        <v>673.87504162499977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</v>
      </c>
      <c r="I17" s="116">
        <f t="shared" ref="I17:I23" si="2">(G17*D17)*F17+H17*F17</f>
        <v>629.54999999999995</v>
      </c>
      <c r="J17" s="117"/>
      <c r="K17" s="104">
        <f t="shared" ref="K17:K21" si="3">I17*3.5%</f>
        <v>22.03425</v>
      </c>
      <c r="L17" s="105">
        <f t="shared" ref="L17:L21" si="4">I17*8%</f>
        <v>50.363999999999997</v>
      </c>
      <c r="M17" s="118">
        <f t="shared" ref="M17:M23" si="5">I17-K17-L17</f>
        <v>557.15174999999988</v>
      </c>
      <c r="N17" s="118">
        <f t="shared" si="0"/>
        <v>100.28731499999998</v>
      </c>
      <c r="O17" s="119">
        <f t="shared" ref="O17:O24" si="6">(N17+M17)*$O$15</f>
        <v>16.435976624999995</v>
      </c>
      <c r="P17" s="120">
        <f t="shared" si="1"/>
        <v>673.87504162499977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04">
        <f>I22*8.6%</f>
        <v>40.48536</v>
      </c>
      <c r="L22" s="120">
        <f>I22*5%</f>
        <v>23.538000000000004</v>
      </c>
      <c r="M22" s="118">
        <f t="shared" si="5"/>
        <v>406.73664000000002</v>
      </c>
      <c r="N22" s="118">
        <f t="shared" si="0"/>
        <v>73.212595199999996</v>
      </c>
      <c r="O22" s="119">
        <f t="shared" si="6"/>
        <v>11.998730880000002</v>
      </c>
      <c r="P22" s="120">
        <f t="shared" si="1"/>
        <v>491.94796608000001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36</v>
      </c>
      <c r="I25" s="137">
        <f t="shared" si="9"/>
        <v>1729.86</v>
      </c>
      <c r="J25" s="138"/>
      <c r="K25" s="139">
        <f t="shared" si="9"/>
        <v>84.55386</v>
      </c>
      <c r="L25" s="140">
        <f t="shared" si="9"/>
        <v>124.26599999999999</v>
      </c>
      <c r="M25" s="141">
        <f t="shared" si="9"/>
        <v>1521.0401399999998</v>
      </c>
      <c r="N25" s="142">
        <f>SUM(N16:N24)</f>
        <v>273.78722519999997</v>
      </c>
      <c r="O25" s="143">
        <f>SUM(O16:O24)</f>
        <v>44.870684129999994</v>
      </c>
      <c r="P25" s="144">
        <f>SUM(P16:P24)</f>
        <v>1839.6980493299995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1729.86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124.26599999999999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84.55386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1521.0401399999998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273.78722519999997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1794.8273651999998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44.870684130000001</v>
      </c>
    </row>
    <row r="35" spans="2:16" ht="15.75" customHeight="1" thickBot="1" x14ac:dyDescent="0.4">
      <c r="N35" s="212" t="s">
        <v>92</v>
      </c>
      <c r="O35" s="213"/>
      <c r="P35" s="160">
        <f>P33+P34</f>
        <v>1839.6980493299998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B36" sqref="B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4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125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127</v>
      </c>
      <c r="B6" s="238"/>
      <c r="C6" s="238"/>
      <c r="F6" s="70"/>
      <c r="G6" s="74"/>
      <c r="K6" s="238" t="s">
        <v>52</v>
      </c>
      <c r="L6" s="238"/>
      <c r="M6" s="238"/>
      <c r="N6" s="251" t="s">
        <v>96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 t="s">
        <v>126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04">
        <f t="shared" si="3"/>
        <v>50.848000000000006</v>
      </c>
      <c r="L19" s="105">
        <f t="shared" si="4"/>
        <v>116.224</v>
      </c>
      <c r="M19" s="118">
        <f t="shared" si="5"/>
        <v>1285.7280000000001</v>
      </c>
      <c r="N19" s="118">
        <f t="shared" si="0"/>
        <v>231.43104</v>
      </c>
      <c r="O19" s="119">
        <f t="shared" si="6"/>
        <v>7.5857951999999997</v>
      </c>
      <c r="P19" s="120">
        <f t="shared" si="1"/>
        <v>1524.7448351999999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231.43104</v>
      </c>
      <c r="O21" s="119">
        <f t="shared" si="6"/>
        <v>7.5857951999999997</v>
      </c>
      <c r="P21" s="120">
        <f t="shared" si="1"/>
        <v>1524.7448351999999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101.69600000000001</v>
      </c>
      <c r="L25" s="140">
        <f t="shared" si="9"/>
        <v>232.44800000000001</v>
      </c>
      <c r="M25" s="141">
        <f t="shared" si="9"/>
        <v>2571.4560000000001</v>
      </c>
      <c r="N25" s="142">
        <f>SUM(N16:N24)</f>
        <v>462.86207999999999</v>
      </c>
      <c r="O25" s="143">
        <f>SUM(O16:O24)</f>
        <v>15.171590399999999</v>
      </c>
      <c r="P25" s="144">
        <f>SUM(P16:P24)</f>
        <v>3049.4896703999998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2905.6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232.44800000000001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101.69600000000001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2571.4560000000001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3034.31808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15.171590399999999</v>
      </c>
    </row>
    <row r="35" spans="2:16" ht="15.75" customHeight="1" thickBot="1" x14ac:dyDescent="0.4">
      <c r="N35" s="212" t="s">
        <v>92</v>
      </c>
      <c r="O35" s="213"/>
      <c r="P35" s="160">
        <f>P33+P34</f>
        <v>3049.4896703999998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activeCell="B36" sqref="B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3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128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129</v>
      </c>
      <c r="B6" s="238"/>
      <c r="C6" s="238"/>
      <c r="F6" s="70"/>
      <c r="G6" s="74"/>
      <c r="K6" s="238" t="s">
        <v>52</v>
      </c>
      <c r="L6" s="238"/>
      <c r="M6" s="238"/>
      <c r="N6" s="251" t="s">
        <v>96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130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30</v>
      </c>
      <c r="I16" s="102">
        <f>(G16*D16)*F16+H16*F16</f>
        <v>1573.875</v>
      </c>
      <c r="J16" s="103"/>
      <c r="K16" s="104">
        <f>I16*3.5%</f>
        <v>55.085625000000007</v>
      </c>
      <c r="L16" s="105">
        <f>I16*8%</f>
        <v>125.91</v>
      </c>
      <c r="M16" s="106">
        <f>I16-K16-L16</f>
        <v>1392.879375</v>
      </c>
      <c r="N16" s="106">
        <f t="shared" ref="N16:N24" si="0">(M16*$N$15)+(J16*F16)*$N$15</f>
        <v>250.71828749999997</v>
      </c>
      <c r="O16" s="107">
        <f>(N16+M16)*$O$15</f>
        <v>8.2179883124999993</v>
      </c>
      <c r="P16" s="105">
        <f t="shared" ref="P16:P24" si="1">M16+N16+O16</f>
        <v>1651.8156508124998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30</v>
      </c>
      <c r="I17" s="116">
        <f t="shared" ref="I17:I23" si="2">(G17*D17)*F17+H17*F17</f>
        <v>1573.875</v>
      </c>
      <c r="J17" s="117"/>
      <c r="K17" s="104">
        <f t="shared" ref="K17:K21" si="3">I17*3.5%</f>
        <v>55.085625000000007</v>
      </c>
      <c r="L17" s="105">
        <f t="shared" ref="L17:L21" si="4">I17*8%</f>
        <v>125.91</v>
      </c>
      <c r="M17" s="118">
        <f t="shared" ref="M17:M23" si="5">I17-K17-L17</f>
        <v>1392.879375</v>
      </c>
      <c r="N17" s="118">
        <f t="shared" si="0"/>
        <v>250.71828749999997</v>
      </c>
      <c r="O17" s="119">
        <f t="shared" ref="O17:O24" si="6">(N17+M17)*$O$15</f>
        <v>8.2179883124999993</v>
      </c>
      <c r="P17" s="120">
        <f t="shared" si="1"/>
        <v>1651.8156508124998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04">
        <f>I22*8.6%</f>
        <v>67.4756</v>
      </c>
      <c r="L22" s="120">
        <f>I22*5%</f>
        <v>39.230000000000011</v>
      </c>
      <c r="M22" s="118">
        <f t="shared" si="5"/>
        <v>677.89440000000013</v>
      </c>
      <c r="N22" s="118">
        <f t="shared" si="0"/>
        <v>122.02099200000002</v>
      </c>
      <c r="O22" s="119">
        <f t="shared" si="6"/>
        <v>3.9995769600000006</v>
      </c>
      <c r="P22" s="120">
        <f t="shared" si="1"/>
        <v>803.91496896000012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80</v>
      </c>
      <c r="I25" s="137">
        <f t="shared" si="9"/>
        <v>3932.3500000000004</v>
      </c>
      <c r="J25" s="138"/>
      <c r="K25" s="139">
        <f t="shared" si="9"/>
        <v>177.64685000000003</v>
      </c>
      <c r="L25" s="140">
        <f t="shared" si="9"/>
        <v>291.05</v>
      </c>
      <c r="M25" s="141">
        <f t="shared" si="9"/>
        <v>3463.6531500000001</v>
      </c>
      <c r="N25" s="142">
        <f>SUM(N16:N24)</f>
        <v>623.45756699999993</v>
      </c>
      <c r="O25" s="143">
        <f>SUM(O16:O24)</f>
        <v>20.435553585000001</v>
      </c>
      <c r="P25" s="144">
        <f>SUM(P16:P24)</f>
        <v>4107.5462705849995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3932.3500000000004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291.05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177.64685000000003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3463.6531500000001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623.45756699999993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4087.110717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20.435553585000001</v>
      </c>
    </row>
    <row r="35" spans="2:16" ht="15.75" customHeight="1" thickBot="1" x14ac:dyDescent="0.4">
      <c r="N35" s="212" t="s">
        <v>92</v>
      </c>
      <c r="O35" s="213"/>
      <c r="P35" s="160">
        <f>P33+P34</f>
        <v>4107.5462705850005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4" workbookViewId="0">
      <selection activeCell="B36" sqref="B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5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131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132</v>
      </c>
      <c r="B6" s="238"/>
      <c r="C6" s="238"/>
      <c r="F6" s="70"/>
      <c r="G6" s="74"/>
      <c r="K6" s="238" t="s">
        <v>52</v>
      </c>
      <c r="L6" s="238"/>
      <c r="M6" s="238"/>
      <c r="N6" s="251" t="s">
        <v>96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133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04">
        <f t="shared" si="3"/>
        <v>15.254400000000002</v>
      </c>
      <c r="L19" s="105">
        <f t="shared" si="4"/>
        <v>34.867200000000004</v>
      </c>
      <c r="M19" s="118">
        <f t="shared" si="5"/>
        <v>385.71840000000003</v>
      </c>
      <c r="N19" s="118">
        <f t="shared" si="0"/>
        <v>69.429311999999996</v>
      </c>
      <c r="O19" s="119">
        <f t="shared" si="6"/>
        <v>2.2757385600000002</v>
      </c>
      <c r="P19" s="120">
        <f t="shared" si="1"/>
        <v>457.42345055999999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04">
        <f t="shared" si="3"/>
        <v>15.254400000000002</v>
      </c>
      <c r="L21" s="105">
        <f t="shared" si="4"/>
        <v>34.867200000000004</v>
      </c>
      <c r="M21" s="118">
        <f t="shared" si="5"/>
        <v>385.71840000000003</v>
      </c>
      <c r="N21" s="118">
        <f t="shared" si="0"/>
        <v>69.429311999999996</v>
      </c>
      <c r="O21" s="119">
        <f t="shared" si="6"/>
        <v>2.2757385600000002</v>
      </c>
      <c r="P21" s="120">
        <f t="shared" si="1"/>
        <v>457.42345055999999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12</v>
      </c>
      <c r="I25" s="137">
        <f t="shared" si="9"/>
        <v>871.68000000000006</v>
      </c>
      <c r="J25" s="138"/>
      <c r="K25" s="139">
        <f t="shared" si="9"/>
        <v>30.508800000000004</v>
      </c>
      <c r="L25" s="140">
        <f t="shared" si="9"/>
        <v>69.734400000000008</v>
      </c>
      <c r="M25" s="141">
        <f t="shared" si="9"/>
        <v>771.43680000000006</v>
      </c>
      <c r="N25" s="142">
        <f>SUM(N16:N24)</f>
        <v>138.85862399999999</v>
      </c>
      <c r="O25" s="143">
        <f>SUM(O16:O24)</f>
        <v>4.5514771200000004</v>
      </c>
      <c r="P25" s="144">
        <f>SUM(P16:P24)</f>
        <v>914.84690111999998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871.68000000000006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69.734400000000008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30.508800000000004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771.43680000000006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138.85862399999999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910.29542400000003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4.5514771200000004</v>
      </c>
    </row>
    <row r="35" spans="2:16" ht="15.75" customHeight="1" thickBot="1" x14ac:dyDescent="0.4">
      <c r="N35" s="212" t="s">
        <v>92</v>
      </c>
      <c r="O35" s="213"/>
      <c r="P35" s="160">
        <f>P33+P34</f>
        <v>914.84690111999998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B36" sqref="B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6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134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135</v>
      </c>
      <c r="B6" s="238"/>
      <c r="C6" s="238"/>
      <c r="F6" s="70"/>
      <c r="G6" s="74"/>
      <c r="K6" s="238" t="s">
        <v>52</v>
      </c>
      <c r="L6" s="238"/>
      <c r="M6" s="238"/>
      <c r="N6" s="251" t="s">
        <v>96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136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15.171590399999999</v>
      </c>
      <c r="P21" s="120">
        <f t="shared" si="1"/>
        <v>3049.4896703999998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80</v>
      </c>
      <c r="I25" s="137">
        <f t="shared" si="9"/>
        <v>5811.2</v>
      </c>
      <c r="J25" s="138"/>
      <c r="K25" s="139">
        <f t="shared" si="9"/>
        <v>203.39200000000002</v>
      </c>
      <c r="L25" s="140">
        <f t="shared" si="9"/>
        <v>464.89600000000002</v>
      </c>
      <c r="M25" s="141">
        <f t="shared" si="9"/>
        <v>5142.9120000000003</v>
      </c>
      <c r="N25" s="142">
        <f>SUM(N16:N24)</f>
        <v>925.72415999999998</v>
      </c>
      <c r="O25" s="143">
        <f>SUM(O16:O24)</f>
        <v>30.343180799999999</v>
      </c>
      <c r="P25" s="144">
        <f>SUM(P16:P24)</f>
        <v>6098.9793407999996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5811.2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464.89600000000002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203.39200000000002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5142.9120000000003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925.72415999999998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6068.63616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30.343180799999999</v>
      </c>
    </row>
    <row r="35" spans="2:16" ht="15.75" customHeight="1" thickBot="1" x14ac:dyDescent="0.4">
      <c r="N35" s="212" t="s">
        <v>92</v>
      </c>
      <c r="O35" s="213"/>
      <c r="P35" s="160">
        <f>P33+P34</f>
        <v>6098.9793407999996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7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8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9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2026-07-16T11:25:25Z</dcterms:modified>
</cp:coreProperties>
</file>