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611C81B-12E4-47F4-9FF9-BD9AAE6112E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0" l="1"/>
  <c r="N21" i="20" s="1"/>
  <c r="O21" i="20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<sst xmlns="http://schemas.openxmlformats.org/spreadsheetml/2006/main" count="1633" uniqueCount="132">
  <si>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</si>
  <si>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</si>
  <si>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</si>
  <si>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</si>
  <si>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</si>
  <si>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</si>
  <si>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</si>
  <si>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</si>
  <si>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</si>
  <si>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</si>
  <si>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</si>
  <si>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</si>
  <si>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</si>
  <si>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</si>
  <si>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</si>
  <si>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</si>
  <si>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</si>
  <si>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</si>
  <si>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</si>
  <si>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</si>
  <si>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</si>
  <si>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</si>
  <si>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</si>
  <si>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</si>
  <si>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</si>
  <si>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</si>
  <si>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</si>
  <si>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</si>
  <si>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</si>
  <si>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</si>
  <si>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</si>
  <si>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</si>
  <si>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</si>
  <si>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</si>
  <si>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</si>
  <si>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</si>
  <si>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</si>
  <si>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</si>
  <si>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</si>
  <si>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</si>
  <si>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</si>
  <si>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</si>
  <si>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</si>
  <si>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</si>
  <si>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</si>
  <si>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</si>
  <si>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</si>
  <si>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</si>
  <si>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</si>
  <si>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</si>
  <si>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</si>
  <si>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</si>
  <si>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</si>
  <si>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</si>
  <si>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</si>
  <si>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</si>
  <si>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</si>
  <si>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</si>
  <si>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</si>
  <si>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</si>
  <si>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</si>
  <si>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</si>
  <si>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</si>
  <si>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</si>
  <si>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</si>
  <si>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</si>
  <si>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</si>
  <si>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</si>
  <si>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</si>
  <si>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</si>
  <si>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</si>
  <si>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</si>
  <si>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</si>
  <si>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</si>
  <si>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</si>
  <si>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</si>
  <si>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</si>
  <si>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</si>
  <si>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</si>
  <si>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</si>
  <si>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</si>
  <si>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</si>
  <si>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</si>
  <si>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</si>
  <si>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</si>
  <si>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</si>
  <si>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</si>
  <si>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</si>
  <si>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</si>
  <si>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</si>
  <si>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</si>
  <si>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</si>
  <si>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</si>
  <si>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</si>
  <si>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</si>
  <si>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</si>
  <si>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</si>
  <si>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</si>
  <si>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</si>
  <si>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</si>
  <si>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</si>
  <si>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</si>
  <si>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</si>
  <si>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</si>
  <si>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</si>
  <si>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</si>
  <si>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</si>
  <si>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</si>
  <si>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</si>
  <si>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</si>
  <si>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</si>
  <si>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</si>
  <si>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</si>
  <si>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</si>
  <si>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</si>
  <si>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</si>
  <si>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</si>
  <si>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</si>
  <si>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</si>
  <si>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</si>
  <si>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</si>
  <si>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</si>
  <si>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United Store</t>
  </si>
  <si>
    <t>Address: Askari 9</t>
  </si>
  <si>
    <t>Customer Name : Smart Pharmacy</t>
  </si>
  <si>
    <t>Customer Name : Cant Store</t>
  </si>
  <si>
    <t>Address: Pepsi Road</t>
  </si>
  <si>
    <t>Customer Name : Askari Store</t>
  </si>
  <si>
    <t xml:space="preserve">Customer Name : City Mart </t>
  </si>
  <si>
    <t xml:space="preserve">Customer Name : Best One Mart </t>
  </si>
  <si>
    <t>D161558-8</t>
  </si>
  <si>
    <t>Customer Name : Classic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</si>
</sst>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United Store</v>
      </c>
      <c r="U14" s="164">
        <f>+'1'!P35</f>
        <v>878.23883518875004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Pharmacy</v>
      </c>
      <c r="U15" s="164">
        <f>+'2'!P35</f>
        <v>1524.7448352000001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45</v>
      </c>
      <c r="I16" s="1">
        <f>(G16*D16)*F16+H16*F16</f>
        <v>2360.8125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82.628437500000004</v>
      </c>
      <c r="L16" s="174">
        <f>+'1'!L16+'2'!L16+'4'!L16+'3'!L16+'5'!L16+'6'!L16+'7'!L16+'8'!L16+'9'!L16+'10'!L16</f>
        <v>188.86500000000001</v>
      </c>
      <c r="M16" s="106">
        <f>I16-K16-L16</f>
        <v>2089.3190624999997</v>
      </c>
      <c r="N16" s="101">
        <f>+'1'!N16+'2'!N16+'4'!N16+'3'!N16+'5'!N16+'6'!N16+'7'!N16+'8'!N16+'9'!N16+'10'!N16</f>
        <v>376.07743124999996</v>
      </c>
      <c r="O16" s="101">
        <f>+'1'!O16+'2'!O16+'4'!O16+'3'!O16+'5'!O16+'6'!O16+'7'!O16+'8'!O16+'9'!O16+'10'!O16</f>
        <v>12.32698246875</v>
      </c>
      <c r="P16" s="105">
        <f t="shared" ref="P16:P24" si="0">M16+N16+O16</f>
        <v>2477.7234762187495</v>
      </c>
      <c r="Q16" s="108"/>
      <c r="T16" s="163" t="str">
        <f>+'3'!A5</f>
        <v>Customer Name : Cant Store</v>
      </c>
      <c r="U16" s="164">
        <f>+'3'!P35</f>
        <v>9314.6392166400001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Askari Store</v>
      </c>
      <c r="U17" s="164">
        <f>+'4'!P35</f>
        <v>1607.8299379200002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City Mart </v>
      </c>
      <c r="U18" s="164">
        <f>+'5'!P35</f>
        <v>3049.4896703999998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77</v>
      </c>
      <c r="I19" s="1">
        <f t="shared" si="1"/>
        <v>5593.28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195.76480000000001</v>
      </c>
      <c r="L19" s="174">
        <f>+'1'!L19+'2'!L19+'4'!L19+'3'!L19+'5'!L19+'6'!L19+'7'!L19+'8'!L19+'9'!L19+'10'!L19</f>
        <v>447.4624</v>
      </c>
      <c r="M19" s="118">
        <f t="shared" si="2"/>
        <v>4950.0527999999995</v>
      </c>
      <c r="N19" s="101">
        <f>+'1'!N19+'2'!N19+'4'!N19+'3'!N19+'5'!N19+'6'!N19+'7'!N19+'8'!N19+'9'!N19+'10'!N19</f>
        <v>891.00950399999999</v>
      </c>
      <c r="O19" s="101">
        <f>+'1'!O19+'2'!O19+'4'!O19+'3'!O19+'5'!O19+'6'!O19+'7'!O19+'8'!O19+'9'!O19+'10'!O19</f>
        <v>29.205311519999999</v>
      </c>
      <c r="P19" s="120">
        <f t="shared" si="0"/>
        <v>5870.2676155199988</v>
      </c>
      <c r="T19" s="163" t="str">
        <f>+'6'!A5</f>
        <v xml:space="preserve">Customer Name : Best One Mart </v>
      </c>
      <c r="U19" s="164">
        <f>+'6'!P35</f>
        <v>6859.740476070001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16</v>
      </c>
      <c r="I20" s="1">
        <f t="shared" si="1"/>
        <v>1162.24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40.678400000000003</v>
      </c>
      <c r="L20" s="174">
        <f>+'1'!L20+'2'!L20+'4'!L20+'3'!L20+'5'!L20+'6'!L20+'7'!L20+'8'!L20+'9'!L20+'10'!L20</f>
        <v>92.979200000000006</v>
      </c>
      <c r="M20" s="118">
        <f t="shared" si="2"/>
        <v>1028.5824</v>
      </c>
      <c r="N20" s="101">
        <f>+'1'!N20+'2'!N20+'4'!N20+'3'!N20+'5'!N20+'6'!N20+'7'!N20+'8'!N20+'9'!N20+'10'!N20</f>
        <v>185.14483200000001</v>
      </c>
      <c r="O20" s="101">
        <f>+'1'!O20+'2'!O20+'4'!O20+'3'!O20+'5'!O20+'6'!O20+'7'!O20+'8'!O20+'9'!O20+'10'!O20</f>
        <v>6.0686361600000005</v>
      </c>
      <c r="P20" s="120">
        <f t="shared" si="0"/>
        <v>1219.7958681600001</v>
      </c>
      <c r="T20" s="163" t="str">
        <f>+'7'!A5</f>
        <v>Customer Name : Classic Super Store</v>
      </c>
      <c r="U20" s="164">
        <f>+'7'!P35</f>
        <v>3049.4896703999998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127</v>
      </c>
      <c r="I21" s="1">
        <f t="shared" si="1"/>
        <v>9225.2800000000007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322.88480000000004</v>
      </c>
      <c r="L21" s="174">
        <f>+'1'!L21+'2'!L21+'4'!L21+'3'!L21+'5'!L21+'6'!L21+'7'!L21+'8'!L21+'9'!L21+'10'!L21</f>
        <v>738.02240000000006</v>
      </c>
      <c r="M21" s="118">
        <f t="shared" si="2"/>
        <v>8164.372800000001</v>
      </c>
      <c r="N21" s="101">
        <f>+'1'!N21+'2'!N21+'4'!N21+'3'!N21+'5'!N21+'6'!N21+'7'!N21+'8'!N21+'9'!N21+'10'!N21</f>
        <v>1469.587104</v>
      </c>
      <c r="O21" s="101">
        <f>+'1'!O21+'2'!O21+'4'!O21+'3'!O21+'5'!O21+'6'!O21+'7'!O21+'8'!O21+'9'!O21+'10'!O21</f>
        <v>48.169799519999998</v>
      </c>
      <c r="P21" s="120">
        <f t="shared" si="0"/>
        <v>9682.1297035200005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175</v>
      </c>
      <c r="I22" s="1">
        <f t="shared" si="1"/>
        <v>6865.2500000000009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590.41149999999993</v>
      </c>
      <c r="L22" s="174">
        <f>+'1'!L22+'2'!L22+'4'!L22+'3'!L22+'5'!L22+'6'!L22+'7'!L22+'8'!L22+'9'!L22+'10'!L22</f>
        <v>343.2625000000001</v>
      </c>
      <c r="M22" s="118">
        <f t="shared" si="2"/>
        <v>5931.5760000000009</v>
      </c>
      <c r="N22" s="101">
        <f>+'1'!N22+'2'!N22+'4'!N22+'3'!N22+'5'!N22+'6'!N22+'7'!N22+'8'!N22+'9'!N22+'10'!N22</f>
        <v>1067.6836800000001</v>
      </c>
      <c r="O22" s="101">
        <f>+'1'!O22+'2'!O22+'4'!O22+'3'!O22+'5'!O22+'6'!O22+'7'!O22+'8'!O22+'9'!O22+'10'!O22</f>
        <v>34.996298400000001</v>
      </c>
      <c r="P22" s="120">
        <f t="shared" si="0"/>
        <v>7034.2559784000014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440</v>
      </c>
      <c r="I25" s="177">
        <f t="shared" si="3"/>
        <v>25206.862500000003</v>
      </c>
      <c r="J25" s="176">
        <f t="shared" si="3"/>
        <v>0</v>
      </c>
      <c r="K25" s="177">
        <f t="shared" si="3"/>
        <v>1232.3679374999999</v>
      </c>
      <c r="L25" s="178">
        <f t="shared" si="3"/>
        <v>1810.5915000000002</v>
      </c>
      <c r="M25" s="141">
        <f t="shared" si="3"/>
        <v>22163.903062500001</v>
      </c>
      <c r="N25" s="142">
        <f>SUM(N16:N24)</f>
        <v>3989.5025512499997</v>
      </c>
      <c r="O25" s="143">
        <f>SUM(O16:O24)</f>
        <v>130.76702806874999</v>
      </c>
      <c r="P25" s="144">
        <f>SUM(P16:P24)</f>
        <v>26284.17264181875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26284.17264181875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25206.862500000003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1810.5915000000002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1232.3679374999999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22163.903062500005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3989.5025512499997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26153.405613750005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653.83514034375014</v>
      </c>
    </row>
    <row r="43" spans="1:21" ht="15.75" customHeight="1" thickBot="1" x14ac:dyDescent="0.4">
      <c r="N43" s="212" t="s">
        <v>92</v>
      </c>
      <c r="O43" s="213"/>
      <c r="P43" s="160">
        <f>P41+P42</f>
        <v>26807.240754093757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1.56165156486541E+19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I16*3.5%</f>
        <v>9.1809375000000006</v>
      </c>
      <c r="L16" s="105">
        <f>I16*8%</f>
        <v>20.984999999999999</v>
      </c>
      <c r="M16" s="106">
        <f>I16-K16-L16</f>
        <v>232.14656250000002</v>
      </c>
      <c r="N16" s="106">
        <f t="shared" ref="N16:N24" si="0">(M16*$N$15)+(J16*F16)*$N$15</f>
        <v>41.786381249999998</v>
      </c>
      <c r="O16" s="107">
        <f t="shared" ref="O16:O24" si="1">(N16+M16)*$O$15</f>
        <v>1.36966471875</v>
      </c>
      <c r="P16" s="105">
        <f t="shared" ref="P16:P24" si="2">M16+N16+O16</f>
        <v>275.30260846875001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3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6"/>
        <v>508.42079999999999</v>
      </c>
      <c r="N22" s="118">
        <f t="shared" si="0"/>
        <v>91.515743999999998</v>
      </c>
      <c r="O22" s="119">
        <f t="shared" si="1"/>
        <v>2.99968272</v>
      </c>
      <c r="P22" s="120">
        <f t="shared" si="2"/>
        <v>602.93622672000004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20</v>
      </c>
      <c r="I25" s="137">
        <f t="shared" si="13"/>
        <v>850.76250000000005</v>
      </c>
      <c r="J25" s="138"/>
      <c r="K25" s="139">
        <f t="shared" si="13"/>
        <v>59.787637499999995</v>
      </c>
      <c r="L25" s="140">
        <f t="shared" si="13"/>
        <v>50.407499999999999</v>
      </c>
      <c r="M25" s="141">
        <f t="shared" si="13"/>
        <v>740.56736249999994</v>
      </c>
      <c r="N25" s="142">
        <f>SUM(N16:N24)</f>
        <v>133.30212524999999</v>
      </c>
      <c r="O25" s="143">
        <f>SUM(O16:O24)</f>
        <v>4.3693474387500002</v>
      </c>
      <c r="P25" s="144">
        <f>SUM(P16:P24)</f>
        <v>878.23883518875004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850.76250000000005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50.407499999999999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59.787637499999995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740.56736250000006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133.30212524999999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873.86948775000008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4.3693474387500002</v>
      </c>
    </row>
    <row r="35" spans="2:16" ht="15.75" customHeight="1" thickBot="1" x14ac:dyDescent="0.4">
      <c r="N35" s="212" t="s">
        <v>92</v>
      </c>
      <c r="O35" s="213"/>
      <c r="P35" s="160">
        <f>P33+P34</f>
        <v>878.23883518875004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4561453135215310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04">
        <f t="shared" si="3"/>
        <v>10.169600000000001</v>
      </c>
      <c r="L19" s="105">
        <f t="shared" si="4"/>
        <v>23.244800000000001</v>
      </c>
      <c r="M19" s="118">
        <f t="shared" si="5"/>
        <v>257.1456</v>
      </c>
      <c r="N19" s="118">
        <f t="shared" si="0"/>
        <v>46.286208000000002</v>
      </c>
      <c r="O19" s="119">
        <f t="shared" si="6"/>
        <v>1.5171590399999999</v>
      </c>
      <c r="P19" s="120">
        <f t="shared" si="1"/>
        <v>304.94896704000001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04">
        <f t="shared" si="3"/>
        <v>10.169600000000001</v>
      </c>
      <c r="L20" s="105">
        <f t="shared" si="4"/>
        <v>23.244800000000001</v>
      </c>
      <c r="M20" s="118">
        <f t="shared" si="5"/>
        <v>257.1456</v>
      </c>
      <c r="N20" s="118">
        <f t="shared" si="0"/>
        <v>46.286208000000002</v>
      </c>
      <c r="O20" s="119">
        <f t="shared" si="6"/>
        <v>1.5171590399999999</v>
      </c>
      <c r="P20" s="120">
        <f t="shared" si="1"/>
        <v>304.94896704000001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1524.7448352000001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1452.8000000000002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116.22400000000002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50.848000000000006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1285.7280000000003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1517.1590400000002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7.5857952000000015</v>
      </c>
    </row>
    <row r="35" spans="2:16" ht="15.75" customHeight="1" thickBot="1" x14ac:dyDescent="0.4">
      <c r="N35" s="212" t="s">
        <v>92</v>
      </c>
      <c r="O35" s="213"/>
      <c r="P35" s="160">
        <f>P33+P34</f>
        <v>1524.7448352000001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3520242563059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8949.6</v>
      </c>
      <c r="J25" s="138"/>
      <c r="K25" s="139">
        <f t="shared" si="9"/>
        <v>473.2944</v>
      </c>
      <c r="L25" s="140">
        <f t="shared" si="9"/>
        <v>621.81600000000003</v>
      </c>
      <c r="M25" s="141">
        <f t="shared" si="9"/>
        <v>7854.4896000000008</v>
      </c>
      <c r="N25" s="142">
        <f>SUM(N16:N24)</f>
        <v>1413.8081280000001</v>
      </c>
      <c r="O25" s="143">
        <f>SUM(O16:O24)</f>
        <v>46.341488640000001</v>
      </c>
      <c r="P25" s="144">
        <f>SUM(P16:P24)</f>
        <v>9314.6392166400001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8949.6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621.81600000000003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473.2944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7854.4895999999999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1413.8081280000001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9268.2977279999996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46.341488640000001</v>
      </c>
    </row>
    <row r="35" spans="2:16" ht="15.75" customHeight="1" thickBot="1" x14ac:dyDescent="0.4">
      <c r="N35" s="212" t="s">
        <v>92</v>
      </c>
      <c r="O35" s="213"/>
      <c r="P35" s="160">
        <f>P33+P34</f>
        <v>9314.6392166400001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3120238789925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3520220919324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310.09469999999999</v>
      </c>
      <c r="L25" s="140">
        <f t="shared" si="9"/>
        <v>478.78800000000001</v>
      </c>
      <c r="M25" s="141">
        <f t="shared" si="9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6573.3000000000011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478.78800000000001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310.09469999999999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5784.417300000001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6825.6124140000011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12" t="s">
        <v>92</v>
      </c>
      <c r="O35" s="213"/>
      <c r="P35" s="160">
        <f>P33+P34</f>
        <v>6859.740476070001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3310544134515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15.171590400000001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2026-07-13T12:15:33Z</dcterms:modified>
</cp:coreProperties>
</file>