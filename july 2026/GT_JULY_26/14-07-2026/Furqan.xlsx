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1EE775AA-4BC2-401D-A279-030C7D5C0FA5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C12" i="24" s="1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8" l="1"/>
  <c r="M25" i="26"/>
  <c r="L21" i="17"/>
  <c r="K21" i="17"/>
  <c r="L21" i="19"/>
  <c r="K21" i="19"/>
  <c r="M21" i="19" s="1"/>
  <c r="L20" i="23"/>
  <c r="K20" i="23"/>
  <c r="M20" i="23" s="1"/>
  <c r="N20" i="23" s="1"/>
  <c r="O20" i="23" s="1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M21" i="21" s="1"/>
  <c r="N21" i="21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N24" i="19"/>
  <c r="O24" i="19" s="1"/>
  <c r="N24" i="18"/>
  <c r="O24" i="18" s="1"/>
  <c r="I23" i="15"/>
  <c r="M22" i="18" l="1"/>
  <c r="N22" i="18" s="1"/>
  <c r="O22" i="18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0" i="20" l="1"/>
  <c r="P22" i="2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3" l="1"/>
  <c r="P34" i="23" s="1"/>
  <c r="P35" i="23" s="1"/>
  <c r="U21" i="15" s="1"/>
  <c r="P33" i="21"/>
  <c r="P34" i="21" s="1"/>
  <c r="P35" i="21" s="1"/>
  <c r="U19" i="15" s="1"/>
  <c r="P33" i="18"/>
  <c r="P33" i="20"/>
  <c r="P34" i="20" s="1"/>
  <c r="P35" i="20" s="1"/>
  <c r="U18" i="15" s="1"/>
  <c r="N16" i="15"/>
  <c r="N18" i="15"/>
  <c r="P18" i="15" s="1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<sst xmlns="http://schemas.openxmlformats.org/spreadsheetml/2006/main" count="1637" uniqueCount="141">
  <si>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</si>
  <si>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</si>
  <si>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</si>
  <si>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</si>
  <si>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</si>
  <si>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</si>
  <si>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</si>
  <si>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</si>
  <si>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</si>
  <si>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</si>
  <si>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</si>
  <si>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</si>
  <si>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</si>
  <si>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</si>
  <si>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</si>
  <si>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</si>
  <si>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</si>
  <si>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</si>
  <si>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</si>
  <si>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</si>
  <si>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</si>
  <si>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</si>
  <si>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</si>
  <si>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</si>
  <si>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</si>
  <si>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</si>
  <si>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</si>
  <si>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</si>
  <si>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</si>
  <si>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</si>
  <si>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</si>
  <si>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</si>
  <si>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</si>
  <si>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</si>
  <si>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</si>
  <si>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</si>
  <si>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</si>
  <si>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</si>
  <si>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</si>
  <si>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</si>
  <si>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</si>
  <si>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</si>
  <si>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</si>
  <si>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</si>
  <si>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</si>
  <si>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</si>
  <si>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</si>
  <si>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</si>
  <si>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</si>
  <si>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</si>
  <si>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</si>
  <si>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</si>
  <si>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</si>
  <si>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</si>
  <si>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</si>
  <si>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</si>
  <si>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</si>
  <si>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</si>
  <si>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</si>
  <si>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</si>
  <si>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</si>
  <si>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</si>
  <si>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</si>
  <si>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</si>
  <si>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</si>
  <si>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</si>
  <si>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</si>
  <si>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</si>
  <si>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</si>
  <si>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</si>
  <si>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</si>
  <si>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</si>
  <si>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</si>
  <si>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</si>
  <si>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</si>
  <si>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</si>
  <si>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</si>
  <si>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</si>
  <si>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</si>
  <si>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</si>
  <si>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</si>
  <si>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</si>
  <si>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</si>
  <si>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</si>
  <si>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</si>
  <si>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</si>
  <si>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</si>
  <si>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</si>
  <si>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</si>
  <si>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</si>
  <si>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</si>
  <si>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</si>
  <si>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</si>
  <si>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</si>
  <si>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</si>
  <si>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</si>
  <si>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</si>
  <si>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</si>
  <si>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</si>
  <si>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</si>
  <si>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</si>
  <si>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</si>
  <si>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</si>
  <si>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</si>
  <si>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</si>
  <si>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</si>
  <si>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</si>
  <si>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</si>
  <si>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</si>
  <si>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</si>
  <si>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</si>
  <si>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</si>
  <si>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</si>
  <si>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</si>
  <si>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</si>
  <si>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</si>
  <si>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</si>
  <si>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</si>
  <si>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</si>
  <si>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</si>
  <si>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Summary(Furqan)</t>
  </si>
  <si>
    <t>Customer Name : Adnan Store</t>
  </si>
  <si>
    <t>Address: Shadman Makket</t>
  </si>
  <si>
    <t>Customer Name : Bilal Store</t>
  </si>
  <si>
    <t>Address: Shadman Market \</t>
  </si>
  <si>
    <t>0162016-9</t>
  </si>
  <si>
    <t>Customer Name : Shehzad Store</t>
  </si>
  <si>
    <t>Address: Shadman Market</t>
  </si>
  <si>
    <t xml:space="preserve">Address: Kachi Abadi Hatamulchan </t>
  </si>
  <si>
    <t>Customer Name : Data Sweets</t>
  </si>
  <si>
    <t>Customer Name data Store</t>
  </si>
  <si>
    <t xml:space="preserve">Address:  Kachi Abadi Hatamulchan </t>
  </si>
  <si>
    <t>Customer Name : RA GS</t>
  </si>
  <si>
    <t xml:space="preserve">Address: Gulla Butt Wali Gali </t>
  </si>
  <si>
    <t>2506547-8</t>
  </si>
  <si>
    <t>Customer Name : Kamal Store</t>
  </si>
  <si>
    <t xml:space="preserve">Address: Canal Park </t>
  </si>
  <si>
    <t>Customer Name : Umer Store</t>
  </si>
  <si>
    <t>6925517-8</t>
  </si>
  <si>
    <t>Customer Name : Ajmail Bakery</t>
  </si>
  <si>
    <t>Address: Main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</si>
</sst>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4" zoomScale="70" zoomScaleNormal="70" workbookViewId="0">
      <selection activeCell="V26" sqref="V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96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120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Adnan Store</v>
      </c>
      <c r="U14" s="164">
        <f>+'1'!P35</f>
        <v>1165.8230077049998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Bilal Store</v>
      </c>
      <c r="U15" s="164">
        <f>+'2'!P35</f>
        <v>2070.8682929280003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12</v>
      </c>
      <c r="I16" s="1">
        <f>(G16*D16)*F16+H16*F16</f>
        <v>629.54999999999995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22.03425</v>
      </c>
      <c r="L16" s="174">
        <f>+'1'!L16+'2'!L16+'4'!L16+'3'!L16+'5'!L16+'6'!L16+'7'!L16+'8'!L16+'9'!L16+'10'!L16</f>
        <v>50.363999999999997</v>
      </c>
      <c r="M16" s="106">
        <f>I16-K16-L16</f>
        <v>557.15174999999988</v>
      </c>
      <c r="N16" s="101">
        <f>+'1'!N16+'2'!N16+'4'!N16+'3'!N16+'5'!N16+'6'!N16+'7'!N16+'8'!N16+'9'!N16+'10'!N16</f>
        <v>100.28731499999998</v>
      </c>
      <c r="O16" s="101">
        <f>+'1'!O16+'2'!O16+'4'!O16+'3'!O16+'5'!O16+'6'!O16+'7'!O16+'8'!O16+'9'!O16+'10'!O16</f>
        <v>16.435976624999995</v>
      </c>
      <c r="P16" s="105">
        <f t="shared" ref="P16:P24" si="0">M16+N16+O16</f>
        <v>673.87504162499977</v>
      </c>
      <c r="Q16" s="108"/>
      <c r="T16" s="163" t="str">
        <f>+'3'!A5</f>
        <v>Customer Name : Shehzad Store</v>
      </c>
      <c r="U16" s="164">
        <f>+'3'!P35</f>
        <v>983.89593216000003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>Customer Name : Data Sweets</v>
      </c>
      <c r="U17" s="164">
        <f>+'4'!P35</f>
        <v>2794.3917649920004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data Store</v>
      </c>
      <c r="U18" s="164">
        <f>+'5'!P35</f>
        <v>964.69796275200008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30</v>
      </c>
      <c r="I19" s="1">
        <f t="shared" si="1"/>
        <v>2179.1999999999998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76.272000000000006</v>
      </c>
      <c r="L19" s="174">
        <f>+'1'!L19+'2'!L19+'4'!L19+'3'!L19+'5'!L19+'6'!L19+'7'!L19+'8'!L19+'9'!L19+'10'!L19</f>
        <v>174.33600000000001</v>
      </c>
      <c r="M19" s="118">
        <f t="shared" si="2"/>
        <v>1928.5919999999999</v>
      </c>
      <c r="N19" s="101">
        <f>+'1'!N19+'2'!N19+'4'!N19+'3'!N19+'5'!N19+'6'!N19+'7'!N19+'8'!N19+'9'!N19+'10'!N19</f>
        <v>347.14656000000002</v>
      </c>
      <c r="O19" s="101">
        <f>+'1'!O19+'2'!O19+'4'!O19+'3'!O19+'5'!O19+'6'!O19+'7'!O19+'8'!O19+'9'!O19+'10'!O19</f>
        <v>11.3786928</v>
      </c>
      <c r="P19" s="120">
        <f t="shared" si="0"/>
        <v>2287.1172527999997</v>
      </c>
      <c r="T19" s="163" t="str">
        <f>+'6'!A5</f>
        <v>Customer Name : RA GS</v>
      </c>
      <c r="U19" s="164">
        <f>+'6'!P35</f>
        <v>2293.9651137600003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25</v>
      </c>
      <c r="I20" s="1">
        <f t="shared" si="1"/>
        <v>1816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63.56</v>
      </c>
      <c r="L20" s="174">
        <f>+'1'!L20+'2'!L20+'4'!L20+'3'!L20+'5'!L20+'6'!L20+'7'!L20+'8'!L20+'9'!L20+'10'!L20</f>
        <v>145.28</v>
      </c>
      <c r="M20" s="118">
        <f t="shared" si="2"/>
        <v>1607.16</v>
      </c>
      <c r="N20" s="101">
        <f>+'1'!N20+'2'!N20+'4'!N20+'3'!N20+'5'!N20+'6'!N20+'7'!N20+'8'!N20+'9'!N20+'10'!N20</f>
        <v>289.28880000000004</v>
      </c>
      <c r="O20" s="101">
        <f>+'1'!O20+'2'!O20+'4'!O20+'3'!O20+'5'!O20+'6'!O20+'7'!O20+'8'!O20+'9'!O20+'10'!O20</f>
        <v>9.4822439999999997</v>
      </c>
      <c r="P20" s="120">
        <f t="shared" si="0"/>
        <v>1905.9310440000002</v>
      </c>
      <c r="T20" s="163" t="str">
        <f>+'7'!A5</f>
        <v>Customer Name : Kamal Store</v>
      </c>
      <c r="U20" s="164">
        <f>+'7'!P35</f>
        <v>1372.27035168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60</v>
      </c>
      <c r="I21" s="1">
        <f t="shared" si="1"/>
        <v>4358.3999999999996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152.54400000000001</v>
      </c>
      <c r="L21" s="174">
        <f>+'1'!L21+'2'!L21+'4'!L21+'3'!L21+'5'!L21+'6'!L21+'7'!L21+'8'!L21+'9'!L21+'10'!L21</f>
        <v>348.67200000000008</v>
      </c>
      <c r="M21" s="118">
        <f t="shared" si="2"/>
        <v>3857.1839999999997</v>
      </c>
      <c r="N21" s="101">
        <f>+'1'!N21+'2'!N21+'4'!N21+'3'!N21+'5'!N21+'6'!N21+'7'!N21+'8'!N21+'9'!N21+'10'!N21</f>
        <v>694.29311999999993</v>
      </c>
      <c r="O21" s="101">
        <f>+'1'!O21+'2'!O21+'4'!O21+'3'!O21+'5'!O21+'6'!O21+'7'!O21+'8'!O21+'9'!O21+'10'!O21</f>
        <v>22.757385599999999</v>
      </c>
      <c r="P21" s="120">
        <f t="shared" si="0"/>
        <v>4574.2345055999995</v>
      </c>
      <c r="T21" s="163" t="str">
        <f>+'8'!A5</f>
        <v>Customer Name : Umer Store</v>
      </c>
      <c r="U21" s="164">
        <f>+'8'!P35</f>
        <v>3049.4896703999998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142</v>
      </c>
      <c r="I22" s="1">
        <f t="shared" si="1"/>
        <v>5570.6600000000008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479.07676000000004</v>
      </c>
      <c r="L22" s="174">
        <f>+'1'!L22+'2'!L22+'4'!L22+'3'!L22+'5'!L22+'6'!L22+'7'!L22+'8'!L22+'9'!L22+'10'!L22</f>
        <v>278.53300000000007</v>
      </c>
      <c r="M22" s="118">
        <f t="shared" si="2"/>
        <v>4813.0502400000005</v>
      </c>
      <c r="N22" s="101">
        <f>+'1'!N22+'2'!N22+'4'!N22+'3'!N22+'5'!N22+'6'!N22+'7'!N22+'8'!N22+'9'!N22+'10'!N22</f>
        <v>866.3490432000001</v>
      </c>
      <c r="O22" s="101">
        <f>+'1'!O22+'2'!O22+'4'!O22+'3'!O22+'5'!O22+'6'!O22+'7'!O22+'8'!O22+'9'!O22+'10'!O22</f>
        <v>66.792935232000005</v>
      </c>
      <c r="P22" s="120">
        <f t="shared" si="0"/>
        <v>5746.1922184320001</v>
      </c>
      <c r="T22" s="163" t="str">
        <f>+'9'!A5</f>
        <v>Customer Name : Ajmail Bakery</v>
      </c>
      <c r="U22" s="164">
        <f>+'9'!P35</f>
        <v>491.94796608000001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8" t="s">
        <v>84</v>
      </c>
      <c r="B25" s="219"/>
      <c r="C25" s="220">
        <f>H25/40</f>
        <v>6.7249999999999996</v>
      </c>
      <c r="D25" s="214"/>
      <c r="E25" s="214"/>
      <c r="F25" s="214"/>
      <c r="G25" s="175">
        <f t="shared" ref="G25:M25" si="3">SUM(G16:G24)</f>
        <v>0</v>
      </c>
      <c r="H25" s="176">
        <f t="shared" si="3"/>
        <v>269</v>
      </c>
      <c r="I25" s="177">
        <f t="shared" si="3"/>
        <v>14553.810000000001</v>
      </c>
      <c r="J25" s="176">
        <f t="shared" si="3"/>
        <v>0</v>
      </c>
      <c r="K25" s="177">
        <f t="shared" si="3"/>
        <v>793.48701000000005</v>
      </c>
      <c r="L25" s="178">
        <f t="shared" si="3"/>
        <v>997.18500000000017</v>
      </c>
      <c r="M25" s="141">
        <f t="shared" si="3"/>
        <v>12763.137989999999</v>
      </c>
      <c r="N25" s="142">
        <f>SUM(N16:N24)</f>
        <v>2297.3648382000001</v>
      </c>
      <c r="O25" s="143">
        <f>SUM(O16:O24)</f>
        <v>126.847234257</v>
      </c>
      <c r="P25" s="144">
        <f>SUM(P16:P24)</f>
        <v>15187.350062456997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15187.350062457001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14553.810000000001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997.18500000000017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793.48701000000005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12763.137990000001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2297.3648382000001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15060.502828200002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376.51257070500009</v>
      </c>
    </row>
    <row r="43" spans="1:21" ht="15.75" customHeight="1" thickBot="1" x14ac:dyDescent="0.4">
      <c r="N43" s="212" t="s">
        <v>92</v>
      </c>
      <c r="O43" s="213"/>
      <c r="P43" s="160">
        <f>P41+P42</f>
        <v>15437.015398905001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26 16383:16384" ht="15" customHeight="1" x14ac:dyDescent="0.35">
      <c r="A6" s="238" t="s">
        <v>122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I16*3.5%</f>
        <v>22.03425</v>
      </c>
      <c r="L16" s="105">
        <f>I16*8%</f>
        <v>50.363999999999997</v>
      </c>
      <c r="M16" s="106">
        <f>I16-K16-L16</f>
        <v>557.15174999999988</v>
      </c>
      <c r="N16" s="106">
        <f t="shared" ref="N16:N24" si="0">(M16*$N$15)+(J16*F16)*$N$15</f>
        <v>100.28731499999998</v>
      </c>
      <c r="O16" s="107">
        <f t="shared" ref="O16:O24" si="1">(N16+M16)*$O$15</f>
        <v>16.435976624999995</v>
      </c>
      <c r="P16" s="105">
        <f t="shared" ref="P16:P24" si="2">M16+N16+O16</f>
        <v>673.87504162499977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3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6"/>
        <v>406.73664000000002</v>
      </c>
      <c r="N22" s="118">
        <f t="shared" si="0"/>
        <v>73.212595199999996</v>
      </c>
      <c r="O22" s="119">
        <f t="shared" si="1"/>
        <v>11.998730880000002</v>
      </c>
      <c r="P22" s="120">
        <f t="shared" si="2"/>
        <v>491.94796608000001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24</v>
      </c>
      <c r="I25" s="137">
        <f t="shared" si="13"/>
        <v>1100.31</v>
      </c>
      <c r="J25" s="138"/>
      <c r="K25" s="139">
        <f t="shared" si="13"/>
        <v>62.51961</v>
      </c>
      <c r="L25" s="140">
        <f t="shared" si="13"/>
        <v>73.902000000000001</v>
      </c>
      <c r="M25" s="141">
        <f t="shared" si="13"/>
        <v>963.88838999999984</v>
      </c>
      <c r="N25" s="142">
        <f>SUM(N16:N24)</f>
        <v>173.49991019999999</v>
      </c>
      <c r="O25" s="143">
        <f>SUM(O16:O24)</f>
        <v>28.434707504999999</v>
      </c>
      <c r="P25" s="144">
        <f>SUM(P16:P24)</f>
        <v>1165.8230077049998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1100.31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73.902000000000001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62.51961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963.88838999999984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173.49991019999999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1137.3883001999998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28.434707504999995</v>
      </c>
    </row>
    <row r="35" spans="2:16" ht="15.75" customHeight="1" thickBot="1" x14ac:dyDescent="0.4">
      <c r="N35" s="212" t="s">
        <v>92</v>
      </c>
      <c r="O35" s="213"/>
      <c r="P35" s="160">
        <f>P33+P34</f>
        <v>1165.8230077049998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124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125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69.429311999999996</v>
      </c>
      <c r="O19" s="119">
        <f t="shared" si="6"/>
        <v>2.2757385600000002</v>
      </c>
      <c r="P19" s="120">
        <f t="shared" si="1"/>
        <v>457.42345055999999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04">
        <f t="shared" si="3"/>
        <v>15.254400000000002</v>
      </c>
      <c r="L20" s="105">
        <f t="shared" si="4"/>
        <v>34.867200000000004</v>
      </c>
      <c r="M20" s="118">
        <f t="shared" si="5"/>
        <v>385.71840000000003</v>
      </c>
      <c r="N20" s="118">
        <f t="shared" si="0"/>
        <v>69.429311999999996</v>
      </c>
      <c r="O20" s="119">
        <f t="shared" si="6"/>
        <v>2.2757385600000002</v>
      </c>
      <c r="P20" s="120">
        <f t="shared" si="1"/>
        <v>457.42345055999999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04">
        <f t="shared" si="3"/>
        <v>30.508800000000004</v>
      </c>
      <c r="L21" s="105">
        <f t="shared" si="4"/>
        <v>69.734400000000008</v>
      </c>
      <c r="M21" s="118">
        <f t="shared" si="5"/>
        <v>771.43680000000006</v>
      </c>
      <c r="N21" s="118">
        <f t="shared" si="0"/>
        <v>138.85862399999999</v>
      </c>
      <c r="O21" s="119">
        <f t="shared" si="6"/>
        <v>4.5514771200000004</v>
      </c>
      <c r="P21" s="120">
        <f t="shared" si="1"/>
        <v>914.84690111999998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5"/>
        <v>203.36832000000001</v>
      </c>
      <c r="N22" s="118">
        <f t="shared" si="0"/>
        <v>36.606297599999998</v>
      </c>
      <c r="O22" s="119">
        <f t="shared" si="6"/>
        <v>1.1998730880000001</v>
      </c>
      <c r="P22" s="120">
        <f t="shared" si="1"/>
        <v>241.17449068800002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30</v>
      </c>
      <c r="I25" s="137">
        <f t="shared" si="9"/>
        <v>1978.7400000000002</v>
      </c>
      <c r="J25" s="138"/>
      <c r="K25" s="139">
        <f t="shared" si="9"/>
        <v>81.260280000000009</v>
      </c>
      <c r="L25" s="140">
        <f t="shared" si="9"/>
        <v>151.23780000000002</v>
      </c>
      <c r="M25" s="141">
        <f t="shared" si="9"/>
        <v>1746.2419200000002</v>
      </c>
      <c r="N25" s="142">
        <f>SUM(N16:N24)</f>
        <v>314.32354559999999</v>
      </c>
      <c r="O25" s="143">
        <f>SUM(O16:O24)</f>
        <v>10.302827328000001</v>
      </c>
      <c r="P25" s="144">
        <f>SUM(P16:P24)</f>
        <v>2070.8682929279998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1978.7400000000002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151.23780000000002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81.260280000000009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1746.2419200000002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314.32354559999999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2060.5654656000002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10.302827328000001</v>
      </c>
    </row>
    <row r="35" spans="2:16" ht="15.75" customHeight="1" thickBot="1" x14ac:dyDescent="0.4">
      <c r="N35" s="212" t="s">
        <v>92</v>
      </c>
      <c r="O35" s="213"/>
      <c r="P35" s="160">
        <f>P33+P34</f>
        <v>2070.8682929280003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04">
        <f>I22*8.6%</f>
        <v>80.97072</v>
      </c>
      <c r="L22" s="120">
        <f>I22*5%</f>
        <v>47.076000000000008</v>
      </c>
      <c r="M22" s="118">
        <f t="shared" si="5"/>
        <v>813.47328000000005</v>
      </c>
      <c r="N22" s="118">
        <f t="shared" si="0"/>
        <v>146.42519039999999</v>
      </c>
      <c r="O22" s="119">
        <f t="shared" si="6"/>
        <v>23.997461760000004</v>
      </c>
      <c r="P22" s="120">
        <f t="shared" si="1"/>
        <v>983.89593216000003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24</v>
      </c>
      <c r="I25" s="137">
        <f t="shared" si="9"/>
        <v>941.5200000000001</v>
      </c>
      <c r="J25" s="138"/>
      <c r="K25" s="139">
        <f t="shared" si="9"/>
        <v>80.97072</v>
      </c>
      <c r="L25" s="140">
        <f t="shared" si="9"/>
        <v>47.076000000000008</v>
      </c>
      <c r="M25" s="141">
        <f t="shared" si="9"/>
        <v>813.47328000000005</v>
      </c>
      <c r="N25" s="142">
        <f>SUM(N16:N24)</f>
        <v>146.42519039999999</v>
      </c>
      <c r="O25" s="143">
        <f>SUM(O16:O24)</f>
        <v>23.997461760000004</v>
      </c>
      <c r="P25" s="144">
        <f>SUM(P16:P24)</f>
        <v>983.89593216000003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941.5200000000001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47.076000000000008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80.97072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813.47328000000005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146.42519039999999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959.89847040000006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23.997461760000004</v>
      </c>
    </row>
    <row r="35" spans="2:16" ht="15.75" customHeight="1" thickBot="1" x14ac:dyDescent="0.4">
      <c r="N35" s="212" t="s">
        <v>92</v>
      </c>
      <c r="O35" s="213"/>
      <c r="P35" s="160">
        <f>P33+P34</f>
        <v>983.89593216000003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128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125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24</v>
      </c>
      <c r="I21" s="116">
        <f t="shared" si="2"/>
        <v>1743.3600000000001</v>
      </c>
      <c r="J21" s="117"/>
      <c r="K21" s="104">
        <f t="shared" si="3"/>
        <v>61.017600000000009</v>
      </c>
      <c r="L21" s="105">
        <f t="shared" si="4"/>
        <v>139.46880000000002</v>
      </c>
      <c r="M21" s="118">
        <f t="shared" si="5"/>
        <v>1542.8736000000001</v>
      </c>
      <c r="N21" s="118">
        <f t="shared" si="0"/>
        <v>277.71724799999998</v>
      </c>
      <c r="O21" s="119">
        <f t="shared" si="6"/>
        <v>9.1029542400000008</v>
      </c>
      <c r="P21" s="120">
        <f t="shared" si="1"/>
        <v>1829.69380224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04">
        <f>I22*8.6%</f>
        <v>80.97072</v>
      </c>
      <c r="L22" s="120">
        <f>I22*5%</f>
        <v>47.076000000000008</v>
      </c>
      <c r="M22" s="118">
        <f t="shared" si="5"/>
        <v>813.47328000000005</v>
      </c>
      <c r="N22" s="118">
        <f t="shared" si="0"/>
        <v>146.42519039999999</v>
      </c>
      <c r="O22" s="119">
        <f t="shared" si="6"/>
        <v>4.7994923520000006</v>
      </c>
      <c r="P22" s="120">
        <f t="shared" si="1"/>
        <v>964.69796275200008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48</v>
      </c>
      <c r="I25" s="137">
        <f t="shared" si="9"/>
        <v>2684.88</v>
      </c>
      <c r="J25" s="138"/>
      <c r="K25" s="139">
        <f t="shared" si="9"/>
        <v>141.98832000000002</v>
      </c>
      <c r="L25" s="140">
        <f t="shared" si="9"/>
        <v>186.54480000000001</v>
      </c>
      <c r="M25" s="141">
        <f t="shared" si="9"/>
        <v>2356.3468800000001</v>
      </c>
      <c r="N25" s="142">
        <f>SUM(N16:N24)</f>
        <v>424.14243839999995</v>
      </c>
      <c r="O25" s="143">
        <f>SUM(O16:O24)</f>
        <v>13.902446592</v>
      </c>
      <c r="P25" s="144">
        <f>SUM(P16:P24)</f>
        <v>2794.3917649919999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2684.88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186.54480000000001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141.98832000000002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2356.3468800000001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424.14243839999995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2780.4893184000002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13.902446592000002</v>
      </c>
    </row>
    <row r="35" spans="2:16" ht="15.75" customHeight="1" thickBot="1" x14ac:dyDescent="0.4">
      <c r="N35" s="212" t="s">
        <v>92</v>
      </c>
      <c r="O35" s="213"/>
      <c r="P35" s="160">
        <f>P33+P34</f>
        <v>2794.3917649920004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130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131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125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04">
        <f>I22*8.6%</f>
        <v>80.97072</v>
      </c>
      <c r="L22" s="120">
        <f>I22*5%</f>
        <v>47.076000000000008</v>
      </c>
      <c r="M22" s="118">
        <f t="shared" si="5"/>
        <v>813.47328000000005</v>
      </c>
      <c r="N22" s="118">
        <f t="shared" si="0"/>
        <v>146.42519039999999</v>
      </c>
      <c r="O22" s="119">
        <f t="shared" si="6"/>
        <v>4.7994923520000006</v>
      </c>
      <c r="P22" s="120">
        <f t="shared" si="1"/>
        <v>964.69796275200008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24</v>
      </c>
      <c r="I25" s="137">
        <f t="shared" si="9"/>
        <v>941.5200000000001</v>
      </c>
      <c r="J25" s="138"/>
      <c r="K25" s="139">
        <f t="shared" si="9"/>
        <v>80.97072</v>
      </c>
      <c r="L25" s="140">
        <f t="shared" si="9"/>
        <v>47.076000000000008</v>
      </c>
      <c r="M25" s="141">
        <f t="shared" si="9"/>
        <v>813.47328000000005</v>
      </c>
      <c r="N25" s="142">
        <f>SUM(N16:N24)</f>
        <v>146.42519039999999</v>
      </c>
      <c r="O25" s="143">
        <f>SUM(O16:O24)</f>
        <v>4.7994923520000006</v>
      </c>
      <c r="P25" s="144">
        <f>SUM(P16:P24)</f>
        <v>964.69796275200008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941.5200000000001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47.076000000000008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80.97072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813.47328000000005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146.42519039999999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959.89847040000006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4.7994923520000006</v>
      </c>
    </row>
    <row r="35" spans="2:16" ht="15.75" customHeight="1" thickBot="1" x14ac:dyDescent="0.4">
      <c r="N35" s="212" t="s">
        <v>92</v>
      </c>
      <c r="O35" s="213"/>
      <c r="P35" s="160">
        <f>P33+P34</f>
        <v>964.69796275200008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133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134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3</v>
      </c>
      <c r="I19" s="116">
        <f t="shared" si="2"/>
        <v>217.92000000000002</v>
      </c>
      <c r="J19" s="117"/>
      <c r="K19" s="104">
        <f t="shared" si="3"/>
        <v>7.6272000000000011</v>
      </c>
      <c r="L19" s="105">
        <f t="shared" si="4"/>
        <v>17.433600000000002</v>
      </c>
      <c r="M19" s="118">
        <f t="shared" si="5"/>
        <v>192.85920000000002</v>
      </c>
      <c r="N19" s="118">
        <f t="shared" si="0"/>
        <v>34.714655999999998</v>
      </c>
      <c r="O19" s="119">
        <f t="shared" si="6"/>
        <v>1.1378692800000001</v>
      </c>
      <c r="P19" s="120">
        <f t="shared" si="1"/>
        <v>228.71172528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3</v>
      </c>
      <c r="I20" s="116">
        <f t="shared" si="2"/>
        <v>217.92000000000002</v>
      </c>
      <c r="J20" s="117"/>
      <c r="K20" s="104">
        <f t="shared" si="3"/>
        <v>7.6272000000000011</v>
      </c>
      <c r="L20" s="105">
        <f t="shared" si="4"/>
        <v>17.433600000000002</v>
      </c>
      <c r="M20" s="118">
        <f t="shared" si="5"/>
        <v>192.85920000000002</v>
      </c>
      <c r="N20" s="118">
        <f t="shared" si="0"/>
        <v>34.714655999999998</v>
      </c>
      <c r="O20" s="119">
        <f t="shared" si="6"/>
        <v>1.1378692800000001</v>
      </c>
      <c r="P20" s="120">
        <f t="shared" si="1"/>
        <v>228.71172528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3</v>
      </c>
      <c r="I21" s="116">
        <f t="shared" si="2"/>
        <v>217.92000000000002</v>
      </c>
      <c r="J21" s="117"/>
      <c r="K21" s="104">
        <f t="shared" si="3"/>
        <v>7.6272000000000011</v>
      </c>
      <c r="L21" s="105">
        <f t="shared" si="4"/>
        <v>17.433600000000002</v>
      </c>
      <c r="M21" s="118">
        <f t="shared" si="5"/>
        <v>192.85920000000002</v>
      </c>
      <c r="N21" s="118">
        <f t="shared" si="0"/>
        <v>34.714655999999998</v>
      </c>
      <c r="O21" s="119">
        <f t="shared" si="6"/>
        <v>1.1378692800000001</v>
      </c>
      <c r="P21" s="120">
        <f t="shared" si="1"/>
        <v>228.71172528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49</v>
      </c>
      <c r="I25" s="137">
        <f t="shared" si="9"/>
        <v>2222.96</v>
      </c>
      <c r="J25" s="138"/>
      <c r="K25" s="139">
        <f t="shared" si="9"/>
        <v>157.83279999999999</v>
      </c>
      <c r="L25" s="140">
        <f t="shared" si="9"/>
        <v>130.76080000000002</v>
      </c>
      <c r="M25" s="141">
        <f t="shared" si="9"/>
        <v>1934.3664000000003</v>
      </c>
      <c r="N25" s="142">
        <f>SUM(N16:N24)</f>
        <v>348.18595200000004</v>
      </c>
      <c r="O25" s="143">
        <f>SUM(O16:O24)</f>
        <v>11.412761760000002</v>
      </c>
      <c r="P25" s="144">
        <f>SUM(P16:P24)</f>
        <v>2293.9651137600003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2222.96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130.76080000000002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157.83279999999999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1934.3664000000001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348.18595200000004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2282.5523520000002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11.41276176</v>
      </c>
    </row>
    <row r="35" spans="2:16" ht="15.75" customHeight="1" thickBot="1" x14ac:dyDescent="0.4">
      <c r="N35" s="212" t="s">
        <v>92</v>
      </c>
      <c r="O35" s="213"/>
      <c r="P35" s="160">
        <f>P33+P34</f>
        <v>2293.9651137600003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136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3540498913215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69.429311999999996</v>
      </c>
      <c r="O19" s="119">
        <f t="shared" si="6"/>
        <v>2.2757385600000002</v>
      </c>
      <c r="P19" s="120">
        <f t="shared" si="1"/>
        <v>457.42345055999999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04">
        <f t="shared" si="3"/>
        <v>15.254400000000002</v>
      </c>
      <c r="L20" s="105">
        <f t="shared" si="4"/>
        <v>34.867200000000004</v>
      </c>
      <c r="M20" s="118">
        <f t="shared" si="5"/>
        <v>385.71840000000003</v>
      </c>
      <c r="N20" s="118">
        <f t="shared" si="0"/>
        <v>69.429311999999996</v>
      </c>
      <c r="O20" s="119">
        <f t="shared" si="6"/>
        <v>2.2757385600000002</v>
      </c>
      <c r="P20" s="120">
        <f t="shared" si="1"/>
        <v>457.42345055999999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69.429311999999996</v>
      </c>
      <c r="O21" s="119">
        <f t="shared" si="6"/>
        <v>2.2757385600000002</v>
      </c>
      <c r="P21" s="120">
        <f t="shared" si="1"/>
        <v>457.42345055999999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18</v>
      </c>
      <c r="I25" s="137">
        <f t="shared" si="9"/>
        <v>1307.52</v>
      </c>
      <c r="J25" s="138"/>
      <c r="K25" s="139">
        <f t="shared" si="9"/>
        <v>45.763200000000005</v>
      </c>
      <c r="L25" s="140">
        <f t="shared" si="9"/>
        <v>104.60160000000002</v>
      </c>
      <c r="M25" s="141">
        <f t="shared" si="9"/>
        <v>1157.1552000000001</v>
      </c>
      <c r="N25" s="142">
        <f>SUM(N16:N24)</f>
        <v>208.287936</v>
      </c>
      <c r="O25" s="143">
        <f>SUM(O16:O24)</f>
        <v>6.8272156800000001</v>
      </c>
      <c r="P25" s="144">
        <f>SUM(P16:P24)</f>
        <v>1372.27035168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1307.52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104.60160000000002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45.763200000000005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1157.1551999999999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208.287936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1365.4431359999999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6.8272156799999992</v>
      </c>
    </row>
    <row r="35" spans="2:16" ht="15.75" customHeight="1" thickBot="1" x14ac:dyDescent="0.4">
      <c r="N35" s="212" t="s">
        <v>92</v>
      </c>
      <c r="O35" s="213"/>
      <c r="P35" s="160">
        <f>P33+P34</f>
        <v>1372.27035168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136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138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232.44799999999998</v>
      </c>
      <c r="M25" s="141">
        <f t="shared" si="9"/>
        <v>2571.4559999999997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2905.6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232.44799999999998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101.696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2571.4560000000001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3034.31808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12" t="s">
        <v>92</v>
      </c>
      <c r="O35" s="213"/>
      <c r="P35" s="160">
        <f>P33+P34</f>
        <v>3049.4896703999998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140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73.212595199999996</v>
      </c>
      <c r="O22" s="119">
        <f t="shared" si="6"/>
        <v>11.998730880000002</v>
      </c>
      <c r="P22" s="120">
        <f t="shared" si="1"/>
        <v>491.94796608000001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40.48536</v>
      </c>
      <c r="L25" s="140">
        <f t="shared" si="9"/>
        <v>23.538000000000004</v>
      </c>
      <c r="M25" s="141">
        <f t="shared" si="9"/>
        <v>406.73664000000002</v>
      </c>
      <c r="N25" s="142">
        <f>SUM(N16:N24)</f>
        <v>73.212595199999996</v>
      </c>
      <c r="O25" s="143">
        <f>SUM(O16:O24)</f>
        <v>11.998730880000002</v>
      </c>
      <c r="P25" s="144">
        <f>SUM(P16:P24)</f>
        <v>491.94796608000001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470.76000000000005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23.538000000000004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40.48536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406.73664000000002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73.212595199999996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479.94923520000003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11.998730880000002</v>
      </c>
    </row>
    <row r="35" spans="2:16" ht="15.75" customHeight="1" thickBot="1" x14ac:dyDescent="0.4">
      <c r="N35" s="212" t="s">
        <v>92</v>
      </c>
      <c r="O35" s="213"/>
      <c r="P35" s="160">
        <f>P33+P34</f>
        <v>491.94796608000001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2026-07-13T12:07:32Z</dcterms:modified>
</cp:coreProperties>
</file>