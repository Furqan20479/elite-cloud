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27235703-4E93-4DA4-9ED3-076D9B8785E1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0" l="1"/>
  <c r="M25" i="26"/>
  <c r="L21" i="17"/>
  <c r="K21" i="17"/>
  <c r="L21" i="19"/>
  <c r="K21" i="19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1" i="20" l="1"/>
  <c r="N21" i="20" s="1"/>
  <c r="O21" i="20" s="1"/>
  <c r="M21" i="19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18" i="15" s="1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<sst xmlns="http://schemas.openxmlformats.org/spreadsheetml/2006/main" count="1633" uniqueCount="132">
  <si>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</si>
  <si>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</si>
  <si>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</si>
  <si>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</si>
  <si>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</si>
  <si>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</si>
  <si>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</si>
  <si>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</si>
  <si>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</si>
  <si>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</si>
  <si>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</si>
  <si>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</si>
  <si>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</si>
  <si>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</si>
  <si>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</si>
  <si>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</si>
  <si>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</si>
  <si>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</si>
  <si>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</si>
  <si>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</si>
  <si>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</si>
  <si>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</si>
  <si>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</si>
  <si>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</si>
  <si>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</si>
  <si>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</si>
  <si>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</si>
  <si>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</si>
  <si>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</si>
  <si>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</si>
  <si>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</si>
  <si>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</si>
  <si>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</si>
  <si>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</si>
  <si>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</si>
  <si>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</si>
  <si>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</si>
  <si>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</si>
  <si>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</si>
  <si>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</si>
  <si>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</si>
  <si>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</si>
  <si>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</si>
  <si>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</si>
  <si>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</si>
  <si>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</si>
  <si>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</si>
  <si>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</si>
  <si>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</si>
  <si>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</si>
  <si>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</si>
  <si>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</si>
  <si>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</si>
  <si>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</si>
  <si>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</si>
  <si>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</si>
  <si>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</si>
  <si>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</si>
  <si>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</si>
  <si>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</si>
  <si>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</si>
  <si>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</si>
  <si>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</si>
  <si>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</si>
  <si>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</si>
  <si>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</si>
  <si>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</si>
  <si>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</si>
  <si>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</si>
  <si>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</si>
  <si>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</si>
  <si>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</si>
  <si>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</si>
  <si>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</si>
  <si>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</si>
  <si>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</si>
  <si>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</si>
  <si>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</si>
  <si>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</si>
  <si>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</si>
  <si>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</si>
  <si>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</si>
  <si>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</si>
  <si>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</si>
  <si>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</si>
  <si>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</si>
  <si>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</si>
  <si>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</si>
  <si>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</si>
  <si>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</si>
  <si>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</si>
  <si>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</si>
  <si>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</si>
  <si>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</si>
  <si>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</si>
  <si>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</si>
  <si>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</si>
  <si>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</si>
  <si>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</si>
  <si>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</si>
  <si>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</si>
  <si>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</si>
  <si>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</si>
  <si>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</si>
  <si>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</si>
  <si>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</si>
  <si>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</si>
  <si>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</si>
  <si>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</si>
  <si>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</si>
  <si>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</si>
  <si>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</si>
  <si>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</si>
  <si>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</si>
  <si>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</si>
  <si>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</si>
  <si>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</si>
  <si>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</si>
  <si>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</si>
  <si>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</si>
  <si>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</si>
  <si>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Summary(Salman)</t>
  </si>
  <si>
    <t>Customer Name : United Store</t>
  </si>
  <si>
    <t>Address: Askari 9</t>
  </si>
  <si>
    <t>Customer Name : Smart Pharmacy</t>
  </si>
  <si>
    <t>Customer Name : Cant Store</t>
  </si>
  <si>
    <t>Address: Pepsi Road</t>
  </si>
  <si>
    <t>Customer Name : Askari Store</t>
  </si>
  <si>
    <t xml:space="preserve">Customer Name : City Mart </t>
  </si>
  <si>
    <t xml:space="preserve">Customer Name : Best One Mart </t>
  </si>
  <si>
    <t>D161558-8</t>
  </si>
  <si>
    <t>Customer Name : Classic Super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</si>
</sst>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0" zoomScale="70" zoomScaleNormal="70" workbookViewId="0">
      <selection activeCell="S24" sqref="S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120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121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United Store</v>
      </c>
      <c r="U14" s="164">
        <f>+'1'!P35</f>
        <v>657.99674841374997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Smart Pharmacy</v>
      </c>
      <c r="U15" s="164">
        <f>+'2'!P35</f>
        <v>1524.7448352000001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41</v>
      </c>
      <c r="I16" s="1">
        <f>(G16*D16)*F16+H16*F16</f>
        <v>2150.9625000000001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75.283687499999999</v>
      </c>
      <c r="L16" s="174">
        <f>+'1'!L16+'2'!L16+'4'!L16+'3'!L16+'5'!L16+'6'!L16+'7'!L16+'8'!L16+'9'!L16+'10'!L16</f>
        <v>172.077</v>
      </c>
      <c r="M16" s="106">
        <f>I16-K16-L16</f>
        <v>1903.6018125000003</v>
      </c>
      <c r="N16" s="101">
        <f>+'1'!N16+'2'!N16+'4'!N16+'3'!N16+'5'!N16+'6'!N16+'7'!N16+'8'!N16+'9'!N16+'10'!N16</f>
        <v>342.64832624999997</v>
      </c>
      <c r="O16" s="101">
        <f>+'1'!O16+'2'!O16+'4'!O16+'3'!O16+'5'!O16+'6'!O16+'7'!O16+'8'!O16+'9'!O16+'10'!O16</f>
        <v>11.231250693749999</v>
      </c>
      <c r="P16" s="105">
        <f t="shared" ref="P16:P24" si="0">M16+N16+O16</f>
        <v>2257.4813894437502</v>
      </c>
      <c r="Q16" s="108"/>
      <c r="T16" s="163" t="str">
        <f>+'3'!A5</f>
        <v>Customer Name : Cant Store</v>
      </c>
      <c r="U16" s="164">
        <f>+'3'!P35</f>
        <v>9085.9274913600002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Askari Store</v>
      </c>
      <c r="U17" s="164">
        <f>+'4'!P35</f>
        <v>1567.6341894720003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City Mart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57</v>
      </c>
      <c r="I19" s="1">
        <f t="shared" si="1"/>
        <v>4140.4800000000005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144.91680000000002</v>
      </c>
      <c r="L19" s="174">
        <f>+'1'!L19+'2'!L19+'4'!L19+'3'!L19+'5'!L19+'6'!L19+'7'!L19+'8'!L19+'9'!L19+'10'!L19</f>
        <v>331.23840000000001</v>
      </c>
      <c r="M19" s="118">
        <f t="shared" si="2"/>
        <v>3664.3248000000003</v>
      </c>
      <c r="N19" s="101">
        <f>+'1'!N19+'2'!N19+'4'!N19+'3'!N19+'5'!N19+'6'!N19+'7'!N19+'8'!N19+'9'!N19+'10'!N19</f>
        <v>659.57846399999994</v>
      </c>
      <c r="O19" s="101">
        <f>+'1'!O19+'2'!O19+'4'!O19+'3'!O19+'5'!O19+'6'!O19+'7'!O19+'8'!O19+'9'!O19+'10'!O19</f>
        <v>21.619516319999999</v>
      </c>
      <c r="P19" s="120">
        <f t="shared" si="0"/>
        <v>4345.5227803200005</v>
      </c>
      <c r="T19" s="163" t="str">
        <f>+'6'!A5</f>
        <v xml:space="preserve">Customer Name : Best One Mart </v>
      </c>
      <c r="U19" s="164">
        <f>+'6'!P35</f>
        <v>6859.740476070001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16</v>
      </c>
      <c r="I20" s="1">
        <f t="shared" si="1"/>
        <v>1162.24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40.678400000000003</v>
      </c>
      <c r="L20" s="174">
        <f>+'1'!L20+'2'!L20+'4'!L20+'3'!L20+'5'!L20+'6'!L20+'7'!L20+'8'!L20+'9'!L20+'10'!L20</f>
        <v>92.979200000000006</v>
      </c>
      <c r="M20" s="118">
        <f t="shared" si="2"/>
        <v>1028.5824</v>
      </c>
      <c r="N20" s="101">
        <f>+'1'!N20+'2'!N20+'4'!N20+'3'!N20+'5'!N20+'6'!N20+'7'!N20+'8'!N20+'9'!N20+'10'!N20</f>
        <v>185.14483200000001</v>
      </c>
      <c r="O20" s="101">
        <f>+'1'!O20+'2'!O20+'4'!O20+'3'!O20+'5'!O20+'6'!O20+'7'!O20+'8'!O20+'9'!O20+'10'!O20</f>
        <v>6.0686361600000005</v>
      </c>
      <c r="P20" s="120">
        <f t="shared" si="0"/>
        <v>1219.7958681600001</v>
      </c>
      <c r="T20" s="163" t="str">
        <f>+'7'!A5</f>
        <v>Customer Name : Classic Super Store</v>
      </c>
      <c r="U20" s="164">
        <f>+'7'!P35</f>
        <v>3049.4896703999998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104</v>
      </c>
      <c r="I21" s="1">
        <f t="shared" si="1"/>
        <v>7554.56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264.40960000000001</v>
      </c>
      <c r="L21" s="174">
        <f>+'1'!L21+'2'!L21+'4'!L21+'3'!L21+'5'!L21+'6'!L21+'7'!L21+'8'!L21+'9'!L21+'10'!L21</f>
        <v>604.36480000000006</v>
      </c>
      <c r="M21" s="118">
        <f t="shared" si="2"/>
        <v>6685.7856000000002</v>
      </c>
      <c r="N21" s="101">
        <f>+'1'!N21+'2'!N21+'4'!N21+'3'!N21+'5'!N21+'6'!N21+'7'!N21+'8'!N21+'9'!N21+'10'!N21</f>
        <v>1203.4414079999999</v>
      </c>
      <c r="O21" s="101">
        <f>+'1'!O21+'2'!O21+'4'!O21+'3'!O21+'5'!O21+'6'!O21+'7'!O21+'8'!O21+'9'!O21+'10'!O21</f>
        <v>39.446135039999994</v>
      </c>
      <c r="P21" s="120">
        <f t="shared" si="0"/>
        <v>7928.6731430399996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174</v>
      </c>
      <c r="I22" s="1">
        <f t="shared" si="1"/>
        <v>6826.02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587.03772000000004</v>
      </c>
      <c r="L22" s="174">
        <f>+'1'!L22+'2'!L22+'4'!L22+'3'!L22+'5'!L22+'6'!L22+'7'!L22+'8'!L22+'9'!L22+'10'!L22</f>
        <v>341.3010000000001</v>
      </c>
      <c r="M22" s="118">
        <f t="shared" si="2"/>
        <v>5897.6812799999998</v>
      </c>
      <c r="N22" s="101">
        <f>+'1'!N22+'2'!N22+'4'!N22+'3'!N22+'5'!N22+'6'!N22+'7'!N22+'8'!N22+'9'!N22+'10'!N22</f>
        <v>1061.5826304000002</v>
      </c>
      <c r="O22" s="101">
        <f>+'1'!O22+'2'!O22+'4'!O22+'3'!O22+'5'!O22+'6'!O22+'7'!O22+'8'!O22+'9'!O22+'10'!O22</f>
        <v>34.796319552</v>
      </c>
      <c r="P22" s="120">
        <f t="shared" si="0"/>
        <v>6994.0602299519996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4" t="s">
        <v>84</v>
      </c>
      <c r="B25" s="235"/>
      <c r="C25" s="236">
        <f>H25/40</f>
        <v>9.8000000000000007</v>
      </c>
      <c r="D25" s="230"/>
      <c r="E25" s="230"/>
      <c r="F25" s="230"/>
      <c r="G25" s="175">
        <f t="shared" ref="G25:M25" si="3">SUM(G16:G24)</f>
        <v>0</v>
      </c>
      <c r="H25" s="176">
        <f t="shared" si="3"/>
        <v>392</v>
      </c>
      <c r="I25" s="177">
        <f t="shared" si="3"/>
        <v>21834.262500000001</v>
      </c>
      <c r="J25" s="176">
        <f t="shared" si="3"/>
        <v>0</v>
      </c>
      <c r="K25" s="177">
        <f t="shared" si="3"/>
        <v>1112.3262075</v>
      </c>
      <c r="L25" s="178">
        <f t="shared" si="3"/>
        <v>1541.9604000000002</v>
      </c>
      <c r="M25" s="141">
        <f t="shared" si="3"/>
        <v>19179.975892500002</v>
      </c>
      <c r="N25" s="142">
        <f>SUM(N16:N24)</f>
        <v>3452.3956606500001</v>
      </c>
      <c r="O25" s="143">
        <f>SUM(O16:O24)</f>
        <v>113.16185776575</v>
      </c>
      <c r="P25" s="144">
        <f>SUM(P16:P24)</f>
        <v>22745.533410915748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22745.533410915748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21834.262500000001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1541.9604000000002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1112.3262075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19179.975892500002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3452.3956606500001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22632.371553150002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565.80928882875003</v>
      </c>
    </row>
    <row r="43" spans="1:21" ht="15.75" customHeight="1" thickBot="1" x14ac:dyDescent="0.4">
      <c r="N43" s="228" t="s">
        <v>92</v>
      </c>
      <c r="O43" s="229"/>
      <c r="P43" s="160">
        <f>P41+P42</f>
        <v>23198.180841978752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1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122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26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>
        <v>1.56165156486541E+19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</v>
      </c>
      <c r="I16" s="102">
        <f>(G16*D16)*F16+H16*F16</f>
        <v>52.462499999999999</v>
      </c>
      <c r="J16" s="103"/>
      <c r="K16" s="104">
        <f>I16*3.5%</f>
        <v>1.8361875000000001</v>
      </c>
      <c r="L16" s="105">
        <f>I16*8%</f>
        <v>4.1970000000000001</v>
      </c>
      <c r="M16" s="106">
        <f>I16-K16-L16</f>
        <v>46.429312499999995</v>
      </c>
      <c r="N16" s="106">
        <f t="shared" ref="N16:N24" si="0">(M16*$N$15)+(J16*F16)*$N$15</f>
        <v>8.3572762499999982</v>
      </c>
      <c r="O16" s="107">
        <f t="shared" ref="O16:O24" si="1">(N16+M16)*$O$15</f>
        <v>0.27393294374999999</v>
      </c>
      <c r="P16" s="105">
        <f t="shared" ref="P16:P24" si="2">M16+N16+O16</f>
        <v>55.06052169374999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15</v>
      </c>
      <c r="I22" s="116">
        <f t="shared" si="3"/>
        <v>588.45000000000005</v>
      </c>
      <c r="J22" s="117"/>
      <c r="K22" s="104">
        <f>I22*8.6%</f>
        <v>50.606699999999996</v>
      </c>
      <c r="L22" s="120">
        <f>I22*5%</f>
        <v>29.422500000000003</v>
      </c>
      <c r="M22" s="118">
        <f t="shared" si="6"/>
        <v>508.42079999999999</v>
      </c>
      <c r="N22" s="118">
        <f t="shared" si="0"/>
        <v>91.515743999999998</v>
      </c>
      <c r="O22" s="119">
        <f t="shared" si="1"/>
        <v>2.99968272</v>
      </c>
      <c r="P22" s="120">
        <f t="shared" si="2"/>
        <v>602.93622672000004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16</v>
      </c>
      <c r="I25" s="137">
        <f t="shared" si="13"/>
        <v>640.91250000000002</v>
      </c>
      <c r="J25" s="138"/>
      <c r="K25" s="139">
        <f t="shared" si="13"/>
        <v>52.442887499999998</v>
      </c>
      <c r="L25" s="140">
        <f t="shared" si="13"/>
        <v>33.619500000000002</v>
      </c>
      <c r="M25" s="141">
        <f t="shared" si="13"/>
        <v>554.85011250000002</v>
      </c>
      <c r="N25" s="142">
        <f>SUM(N16:N24)</f>
        <v>99.873020249999996</v>
      </c>
      <c r="O25" s="143">
        <f>SUM(O16:O24)</f>
        <v>3.2736156637500002</v>
      </c>
      <c r="P25" s="144">
        <f>SUM(P16:P24)</f>
        <v>657.99674841375008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640.91250000000002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33.619500000000002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52.442887499999998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554.85011250000002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99.873020249999996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654.72313274999999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3.2736156637500002</v>
      </c>
    </row>
    <row r="35" spans="2:16" ht="15.75" customHeight="1" thickBot="1" x14ac:dyDescent="0.4">
      <c r="N35" s="228" t="s">
        <v>92</v>
      </c>
      <c r="O35" s="229"/>
      <c r="P35" s="160">
        <f>P33+P34</f>
        <v>657.99674841374997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4561453135215310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</v>
      </c>
      <c r="I19" s="116">
        <f t="shared" si="2"/>
        <v>290.56</v>
      </c>
      <c r="J19" s="117"/>
      <c r="K19" s="104">
        <f t="shared" si="3"/>
        <v>10.169600000000001</v>
      </c>
      <c r="L19" s="105">
        <f t="shared" si="4"/>
        <v>23.244800000000001</v>
      </c>
      <c r="M19" s="118">
        <f t="shared" si="5"/>
        <v>257.1456</v>
      </c>
      <c r="N19" s="118">
        <f t="shared" si="0"/>
        <v>46.286208000000002</v>
      </c>
      <c r="O19" s="119">
        <f t="shared" si="6"/>
        <v>1.5171590399999999</v>
      </c>
      <c r="P19" s="120">
        <f t="shared" si="1"/>
        <v>304.94896704000001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</v>
      </c>
      <c r="I20" s="116">
        <f t="shared" si="2"/>
        <v>290.56</v>
      </c>
      <c r="J20" s="117"/>
      <c r="K20" s="104">
        <f t="shared" si="3"/>
        <v>10.169600000000001</v>
      </c>
      <c r="L20" s="105">
        <f t="shared" si="4"/>
        <v>23.244800000000001</v>
      </c>
      <c r="M20" s="118">
        <f t="shared" si="5"/>
        <v>257.1456</v>
      </c>
      <c r="N20" s="118">
        <f t="shared" si="0"/>
        <v>46.286208000000002</v>
      </c>
      <c r="O20" s="119">
        <f t="shared" si="6"/>
        <v>1.5171590399999999</v>
      </c>
      <c r="P20" s="120">
        <f t="shared" si="1"/>
        <v>304.94896704000001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138.85862399999999</v>
      </c>
      <c r="O21" s="119">
        <f t="shared" si="6"/>
        <v>4.5514771200000004</v>
      </c>
      <c r="P21" s="120">
        <f t="shared" si="1"/>
        <v>914.84690111999998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20</v>
      </c>
      <c r="I25" s="137">
        <f t="shared" si="9"/>
        <v>1452.8000000000002</v>
      </c>
      <c r="J25" s="138"/>
      <c r="K25" s="139">
        <f t="shared" si="9"/>
        <v>50.848000000000006</v>
      </c>
      <c r="L25" s="140">
        <f t="shared" si="9"/>
        <v>116.22400000000002</v>
      </c>
      <c r="M25" s="141">
        <f t="shared" si="9"/>
        <v>1285.7280000000001</v>
      </c>
      <c r="N25" s="142">
        <f>SUM(N16:N24)</f>
        <v>231.43104</v>
      </c>
      <c r="O25" s="143">
        <f>SUM(O16:O24)</f>
        <v>7.5857951999999997</v>
      </c>
      <c r="P25" s="144">
        <f>SUM(P16:P24)</f>
        <v>1524.7448352000001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1452.8000000000002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116.22400000000002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50.848000000000006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1285.7280000000003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231.43104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1517.1590400000002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7.5857952000000015</v>
      </c>
    </row>
    <row r="35" spans="2:16" ht="15.75" customHeight="1" thickBot="1" x14ac:dyDescent="0.4">
      <c r="N35" s="228" t="s">
        <v>92</v>
      </c>
      <c r="O35" s="229"/>
      <c r="P35" s="160">
        <f>P33+P34</f>
        <v>1524.7448352000001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3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126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>
        <v>3520242563059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77</v>
      </c>
      <c r="I21" s="116">
        <f t="shared" si="2"/>
        <v>5593.28</v>
      </c>
      <c r="J21" s="117"/>
      <c r="K21" s="104">
        <f t="shared" si="3"/>
        <v>195.76480000000001</v>
      </c>
      <c r="L21" s="105">
        <f t="shared" si="4"/>
        <v>447.4624</v>
      </c>
      <c r="M21" s="118">
        <f t="shared" si="5"/>
        <v>4950.0527999999995</v>
      </c>
      <c r="N21" s="118">
        <f t="shared" si="0"/>
        <v>891.00950399999988</v>
      </c>
      <c r="O21" s="119">
        <f t="shared" si="6"/>
        <v>29.205311519999995</v>
      </c>
      <c r="P21" s="120">
        <f t="shared" si="1"/>
        <v>5870.2676155199988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>I22*8.6%</f>
        <v>269.9024</v>
      </c>
      <c r="L22" s="120">
        <f>I22*5%</f>
        <v>156.92000000000004</v>
      </c>
      <c r="M22" s="118">
        <f t="shared" si="5"/>
        <v>2711.5776000000005</v>
      </c>
      <c r="N22" s="118">
        <f t="shared" si="0"/>
        <v>488.08396800000008</v>
      </c>
      <c r="O22" s="119">
        <f t="shared" si="6"/>
        <v>15.998307840000002</v>
      </c>
      <c r="P22" s="120">
        <f t="shared" si="1"/>
        <v>3215.6598758400005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157</v>
      </c>
      <c r="I25" s="137">
        <f t="shared" si="9"/>
        <v>8731.68</v>
      </c>
      <c r="J25" s="138"/>
      <c r="K25" s="139">
        <f t="shared" si="9"/>
        <v>465.66719999999998</v>
      </c>
      <c r="L25" s="140">
        <f t="shared" si="9"/>
        <v>604.38240000000008</v>
      </c>
      <c r="M25" s="141">
        <f t="shared" si="9"/>
        <v>7661.6304</v>
      </c>
      <c r="N25" s="142">
        <f>SUM(N16:N24)</f>
        <v>1379.093472</v>
      </c>
      <c r="O25" s="143">
        <f>SUM(O16:O24)</f>
        <v>45.203619359999998</v>
      </c>
      <c r="P25" s="144">
        <f>SUM(P16:P24)</f>
        <v>9085.9274913599984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8731.68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604.38240000000008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465.66719999999998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7661.6304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1379.093472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9040.7238720000005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45.203619360000005</v>
      </c>
    </row>
    <row r="35" spans="2:16" ht="15.75" customHeight="1" thickBot="1" x14ac:dyDescent="0.4">
      <c r="N35" s="228" t="s">
        <v>92</v>
      </c>
      <c r="O35" s="229"/>
      <c r="P35" s="160">
        <f>P33+P34</f>
        <v>9085.9274913600002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127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126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3120238789925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39</v>
      </c>
      <c r="I22" s="116">
        <f t="shared" si="2"/>
        <v>1529.9700000000003</v>
      </c>
      <c r="J22" s="117"/>
      <c r="K22" s="104">
        <f>I22*8.6%</f>
        <v>131.57742000000002</v>
      </c>
      <c r="L22" s="120">
        <f>I22*5%</f>
        <v>76.498500000000021</v>
      </c>
      <c r="M22" s="118">
        <f t="shared" si="5"/>
        <v>1321.8940800000003</v>
      </c>
      <c r="N22" s="118">
        <f t="shared" si="0"/>
        <v>237.94093440000003</v>
      </c>
      <c r="O22" s="119">
        <f t="shared" si="6"/>
        <v>7.7991750720000015</v>
      </c>
      <c r="P22" s="120">
        <f t="shared" si="1"/>
        <v>1567.6341894720003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39</v>
      </c>
      <c r="I25" s="137">
        <f t="shared" si="9"/>
        <v>1529.9700000000003</v>
      </c>
      <c r="J25" s="138"/>
      <c r="K25" s="139">
        <f t="shared" si="9"/>
        <v>131.57742000000002</v>
      </c>
      <c r="L25" s="140">
        <f t="shared" si="9"/>
        <v>76.498500000000021</v>
      </c>
      <c r="M25" s="141">
        <f t="shared" si="9"/>
        <v>1321.8940800000003</v>
      </c>
      <c r="N25" s="142">
        <f>SUM(N16:N24)</f>
        <v>237.94093440000003</v>
      </c>
      <c r="O25" s="143">
        <f>SUM(O16:O24)</f>
        <v>7.7991750720000015</v>
      </c>
      <c r="P25" s="144">
        <f>SUM(P16:P24)</f>
        <v>1567.6341894720003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1529.9700000000003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76.498500000000021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131.57742000000002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1321.8940800000003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237.94093440000003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1559.8350144000003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7.7991750720000015</v>
      </c>
    </row>
    <row r="35" spans="2:16" ht="15.75" customHeight="1" thickBot="1" x14ac:dyDescent="0.4">
      <c r="N35" s="228" t="s">
        <v>92</v>
      </c>
      <c r="O35" s="229"/>
      <c r="P35" s="160">
        <f>P33+P34</f>
        <v>1567.6341894720003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128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126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3520220919324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129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126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310.09469999999999</v>
      </c>
      <c r="L25" s="140">
        <f t="shared" si="9"/>
        <v>478.78800000000001</v>
      </c>
      <c r="M25" s="141">
        <f t="shared" si="9"/>
        <v>5784.417300000001</v>
      </c>
      <c r="N25" s="142">
        <f>SUM(N16:N24)</f>
        <v>1041.1951139999999</v>
      </c>
      <c r="O25" s="143">
        <f>SUM(O16:O24)</f>
        <v>34.128062069999999</v>
      </c>
      <c r="P25" s="144">
        <f>SUM(P16:P24)</f>
        <v>6859.7404760699992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6573.3000000000011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478.78800000000001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310.09469999999999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5784.417300000001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1041.1951139999999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6825.6124140000011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34.128062070000006</v>
      </c>
    </row>
    <row r="35" spans="2:16" ht="15.75" customHeight="1" thickBot="1" x14ac:dyDescent="0.4">
      <c r="N35" s="228" t="s">
        <v>92</v>
      </c>
      <c r="O35" s="229"/>
      <c r="P35" s="160">
        <f>P33+P34</f>
        <v>6859.740476070001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3310544134515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150.43017599999999</v>
      </c>
      <c r="O19" s="119">
        <f t="shared" si="6"/>
        <v>4.9307668800000002</v>
      </c>
      <c r="P19" s="120">
        <f t="shared" si="1"/>
        <v>991.08414287999994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04">
        <f t="shared" si="3"/>
        <v>30.508800000000004</v>
      </c>
      <c r="L20" s="105">
        <f t="shared" si="4"/>
        <v>69.734400000000008</v>
      </c>
      <c r="M20" s="118">
        <f t="shared" si="5"/>
        <v>771.43680000000006</v>
      </c>
      <c r="N20" s="118">
        <f t="shared" si="0"/>
        <v>138.85862399999999</v>
      </c>
      <c r="O20" s="119">
        <f t="shared" si="6"/>
        <v>4.5514771200000004</v>
      </c>
      <c r="P20" s="120">
        <f t="shared" si="1"/>
        <v>914.84690111999998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232.44800000000004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15.171590400000001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232.44800000000004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2571.4560000000001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3034.31808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8" t="s">
        <v>92</v>
      </c>
      <c r="O35" s="229"/>
      <c r="P35" s="160">
        <f>P33+P34</f>
        <v>3049.4896703999998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2026-07-14T11:14:49Z</dcterms:modified>
</cp:coreProperties>
</file>