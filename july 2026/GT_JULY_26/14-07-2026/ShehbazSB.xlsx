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82EAC570-415C-4C90-9C09-9F618C054BA6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0" i="20" l="1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<sst xmlns="http://schemas.openxmlformats.org/spreadsheetml/2006/main" count="1632" uniqueCount="123">
  <si>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</si>
  <si>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</si>
  <si>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</si>
  <si>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</si>
  <si>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</si>
  <si>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</si>
  <si>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</si>
  <si>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</si>
  <si>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</si>
  <si>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</si>
  <si>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</si>
  <si>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</si>
  <si>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</si>
  <si>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</si>
  <si>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</si>
  <si>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</si>
  <si>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</si>
  <si>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</si>
  <si>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</si>
  <si>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</si>
  <si>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</si>
  <si>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</si>
  <si>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</si>
  <si>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</si>
  <si>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</si>
  <si>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</si>
  <si>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</si>
  <si>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</si>
  <si>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</si>
  <si>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</si>
  <si>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</si>
  <si>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</si>
  <si>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</si>
  <si>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</si>
  <si>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</si>
  <si>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</si>
  <si>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</si>
  <si>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</si>
  <si>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</si>
  <si>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</si>
  <si>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</si>
  <si>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</si>
  <si>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</si>
  <si>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</si>
  <si>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</si>
  <si>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</si>
  <si>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</si>
  <si>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</si>
  <si>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</si>
  <si>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</si>
  <si>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</si>
  <si>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</si>
  <si>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</si>
  <si>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</si>
  <si>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</si>
  <si>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</si>
  <si>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</si>
  <si>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</si>
  <si>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</si>
  <si>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</si>
  <si>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</si>
  <si>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</si>
  <si>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</si>
  <si>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</si>
  <si>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</si>
  <si>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</si>
  <si>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</si>
  <si>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</si>
  <si>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</si>
  <si>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</si>
  <si>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</si>
  <si>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</si>
  <si>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</si>
  <si>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</si>
  <si>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</si>
  <si>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</si>
  <si>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</si>
  <si>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</si>
  <si>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</si>
  <si>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</si>
  <si>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</si>
  <si>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</si>
  <si>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</si>
  <si>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</si>
  <si>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</si>
  <si>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</si>
  <si>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</si>
  <si>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</si>
  <si>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</si>
  <si>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</si>
  <si>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</si>
  <si>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</si>
  <si>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</si>
  <si>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</si>
  <si>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</si>
  <si>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</si>
  <si>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</si>
  <si>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</si>
  <si>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</si>
  <si>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</si>
  <si>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</si>
  <si>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</si>
  <si>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</si>
  <si>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</si>
  <si>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</si>
  <si>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</si>
  <si>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</si>
  <si>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</si>
  <si>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</si>
  <si>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</si>
  <si>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</si>
  <si>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</si>
  <si>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</si>
  <si>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</si>
  <si>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</si>
  <si>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</si>
  <si>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</si>
  <si>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</si>
  <si>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</si>
  <si>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</si>
  <si>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Summary()</t>
  </si>
  <si>
    <t>Vacant</t>
  </si>
  <si>
    <t>Customer Name : Shahbaz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</si>
</sst>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>
      <selection activeCell="S14" sqref="S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121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120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Shahbaz SB</v>
      </c>
      <c r="U14" s="164">
        <f>+'1'!P35</f>
        <v>2322.3942112499999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20</v>
      </c>
      <c r="I16" s="1">
        <f>(G16*D16)*F16+H16*F16</f>
        <v>1049.25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36.723750000000003</v>
      </c>
      <c r="L16" s="174">
        <f>+'1'!L16+'2'!L16+'4'!L16+'3'!L16+'5'!L16+'6'!L16+'7'!L16+'8'!L16+'9'!L16+'10'!L16</f>
        <v>83.94</v>
      </c>
      <c r="M16" s="106">
        <f>I16-K16-L16</f>
        <v>928.58625000000006</v>
      </c>
      <c r="N16" s="101">
        <f>+'1'!N16+'2'!N16+'4'!N16+'3'!N16+'5'!N16+'6'!N16+'7'!N16+'8'!N16+'9'!N16+'10'!N16</f>
        <v>204.28897500000002</v>
      </c>
      <c r="O16" s="101">
        <f>+'1'!O16+'2'!O16+'4'!O16+'3'!O16+'5'!O16+'6'!O16+'7'!O16+'8'!O16+'9'!O16+'10'!O16</f>
        <v>28.321880625000002</v>
      </c>
      <c r="P16" s="105">
        <f t="shared" ref="P16:P24" si="0">M16+N16+O16</f>
        <v>1161.1971056249999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20</v>
      </c>
      <c r="I17" s="1">
        <f t="shared" ref="I17:I23" si="1">(G17*D17)*F17+H17*F17</f>
        <v>1049.25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36.723750000000003</v>
      </c>
      <c r="L17" s="174">
        <f>+'1'!L17+'2'!L17+'4'!L17+'3'!L17+'5'!L17+'6'!L17+'7'!L17+'8'!L17+'9'!L17+'10'!L17</f>
        <v>83.94</v>
      </c>
      <c r="M17" s="118">
        <f t="shared" ref="M17:M23" si="2">I17-K17-L17</f>
        <v>928.58625000000006</v>
      </c>
      <c r="N17" s="101">
        <f>+'1'!N17+'2'!N17+'4'!N17+'3'!N17+'5'!N17+'6'!N17+'7'!N17+'8'!N17+'9'!N17+'10'!N17</f>
        <v>204.28897500000002</v>
      </c>
      <c r="O17" s="101">
        <f>+'1'!O17+'2'!O17+'4'!O17+'3'!O17+'5'!O17+'6'!O17+'7'!O17+'8'!O17+'9'!O17+'10'!O17</f>
        <v>28.321880625000002</v>
      </c>
      <c r="P17" s="120">
        <f t="shared" si="0"/>
        <v>1161.1971056249999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0</v>
      </c>
      <c r="I19" s="1">
        <f t="shared" si="1"/>
        <v>0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1</v>
      </c>
      <c r="D25" s="214"/>
      <c r="E25" s="214"/>
      <c r="F25" s="214"/>
      <c r="G25" s="175">
        <f t="shared" ref="G25:M25" si="3">SUM(G16:G24)</f>
        <v>0</v>
      </c>
      <c r="H25" s="176">
        <f t="shared" si="3"/>
        <v>40</v>
      </c>
      <c r="I25" s="177">
        <f t="shared" si="3"/>
        <v>2098.5</v>
      </c>
      <c r="J25" s="176">
        <f t="shared" si="3"/>
        <v>0</v>
      </c>
      <c r="K25" s="177">
        <f t="shared" si="3"/>
        <v>73.447500000000005</v>
      </c>
      <c r="L25" s="178">
        <f t="shared" si="3"/>
        <v>167.88</v>
      </c>
      <c r="M25" s="141">
        <f t="shared" si="3"/>
        <v>1857.1725000000001</v>
      </c>
      <c r="N25" s="142">
        <f>SUM(N16:N24)</f>
        <v>408.57795000000004</v>
      </c>
      <c r="O25" s="143">
        <f>SUM(O16:O24)</f>
        <v>56.643761250000004</v>
      </c>
      <c r="P25" s="144">
        <f>SUM(P16:P24)</f>
        <v>2322.3942112499999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2322.3942112499999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2098.5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167.88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73.447500000000005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1857.1724999999999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408.57795000000004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2265.75045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56.643761250000004</v>
      </c>
    </row>
    <row r="43" spans="1:21" ht="15.75" customHeight="1" thickBot="1" x14ac:dyDescent="0.4">
      <c r="N43" s="212" t="s">
        <v>92</v>
      </c>
      <c r="O43" s="213"/>
      <c r="P43" s="160">
        <f>P41+P42</f>
        <v>2322.3942112499999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26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101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 t="shared" ref="O16:O24" si="1">(N16+M16)*$O$15</f>
        <v>28.321880625000002</v>
      </c>
      <c r="P16" s="105">
        <f t="shared" ref="P16:P24" si="2">M16+N16+O16</f>
        <v>1161.1971056249999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/>
      <c r="K17" s="104">
        <f t="shared" ref="K17:K21" si="4">I17*3.5%</f>
        <v>36.723750000000003</v>
      </c>
      <c r="L17" s="105">
        <f t="shared" ref="L17:L21" si="5">I17*8%</f>
        <v>83.94</v>
      </c>
      <c r="M17" s="118">
        <f t="shared" ref="M17:M23" si="6">I17-K17-L17</f>
        <v>928.58625000000006</v>
      </c>
      <c r="N17" s="118">
        <f t="shared" si="0"/>
        <v>204.28897500000002</v>
      </c>
      <c r="O17" s="119">
        <f t="shared" si="1"/>
        <v>28.321880625000002</v>
      </c>
      <c r="P17" s="120">
        <f t="shared" si="2"/>
        <v>1161.1971056249999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40</v>
      </c>
      <c r="I25" s="137">
        <f t="shared" si="13"/>
        <v>2098.5</v>
      </c>
      <c r="J25" s="138"/>
      <c r="K25" s="139">
        <f t="shared" si="13"/>
        <v>73.447500000000005</v>
      </c>
      <c r="L25" s="140">
        <f t="shared" si="13"/>
        <v>167.88</v>
      </c>
      <c r="M25" s="141">
        <f t="shared" si="13"/>
        <v>1857.1725000000001</v>
      </c>
      <c r="N25" s="142">
        <f>SUM(N16:N24)</f>
        <v>408.57795000000004</v>
      </c>
      <c r="O25" s="143">
        <f>SUM(O16:O24)</f>
        <v>56.643761250000004</v>
      </c>
      <c r="P25" s="144">
        <f>SUM(P16:P24)</f>
        <v>2322.3942112499999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2098.5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167.88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73.447500000000005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1857.1724999999999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408.57795000000004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2265.75045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56.643761250000004</v>
      </c>
    </row>
    <row r="35" spans="2:16" ht="15.75" customHeight="1" thickBot="1" x14ac:dyDescent="0.4">
      <c r="N35" s="212" t="s">
        <v>92</v>
      </c>
      <c r="O35" s="213"/>
      <c r="P35" s="160">
        <f>P33+P34</f>
        <v>2322.3942112499999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2026-07-14T06:34:59Z</dcterms:modified>
</cp:coreProperties>
</file>