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2AEFEF1-E27D-4B13-95DF-C97173D5359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33" l="1"/>
  <c r="K17" i="33" s="1"/>
  <c r="K22" i="35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M17" i="33" s="1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M23" i="30" l="1"/>
  <c r="M24" i="29"/>
  <c r="L21" i="28"/>
  <c r="L21" i="30"/>
  <c r="M21" i="30" s="1"/>
  <c r="N21" i="30" s="1"/>
  <c r="O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M23" i="33" s="1"/>
  <c r="N23" i="33" s="1"/>
  <c r="O23" i="33" s="1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T23" i="15"/>
  <c r="T22" i="15"/>
  <c r="T21" i="15"/>
  <c r="T20" i="15"/>
  <c r="T19" i="15"/>
  <c r="T18" i="15"/>
  <c r="T15" i="15"/>
  <c r="T14" i="15"/>
  <c r="M24" i="26" l="1"/>
  <c r="L16" i="26"/>
  <c r="L25" i="33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K24" i="25"/>
  <c r="L23" i="25"/>
  <c r="K23" i="25"/>
  <c r="L23" i="23"/>
  <c r="K23" i="23"/>
  <c r="L16" i="22"/>
  <c r="L18" i="22"/>
  <c r="L20" i="22"/>
  <c r="L17" i="22"/>
  <c r="L19" i="22"/>
  <c r="L21" i="22"/>
  <c r="K24" i="19"/>
  <c r="L24" i="19"/>
  <c r="L21" i="18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4" i="18" l="1"/>
  <c r="M24" i="18" s="1"/>
  <c r="K23" i="20"/>
  <c r="L24" i="20"/>
  <c r="L18" i="25"/>
  <c r="M18" i="25" s="1"/>
  <c r="N18" i="25" s="1"/>
  <c r="O18" i="25" s="1"/>
  <c r="M25" i="26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L18" i="18"/>
  <c r="K18" i="18"/>
  <c r="M18" i="18" s="1"/>
  <c r="N18" i="18" s="1"/>
  <c r="O18" i="18" s="1"/>
  <c r="L17" i="18"/>
  <c r="K17" i="18"/>
  <c r="L17" i="25"/>
  <c r="L17" i="24"/>
  <c r="K17" i="24"/>
  <c r="L16" i="20"/>
  <c r="K16" i="20"/>
  <c r="L16" i="25"/>
  <c r="L16" i="18"/>
  <c r="K16" i="18"/>
  <c r="L16" i="24"/>
  <c r="K16" i="24"/>
  <c r="M16" i="24" s="1"/>
  <c r="N16" i="24" s="1"/>
  <c r="L20" i="25"/>
  <c r="L21" i="25"/>
  <c r="M21" i="25" s="1"/>
  <c r="N21" i="25" s="1"/>
  <c r="O21" i="25" s="1"/>
  <c r="P21" i="25" s="1"/>
  <c r="K21" i="25"/>
  <c r="L21" i="24"/>
  <c r="K21" i="24"/>
  <c r="L19" i="24"/>
  <c r="M19" i="24" s="1"/>
  <c r="N19" i="24" s="1"/>
  <c r="O19" i="24" s="1"/>
  <c r="P19" i="24" s="1"/>
  <c r="K19" i="24"/>
  <c r="L17" i="23"/>
  <c r="K17" i="23"/>
  <c r="M17" i="23" s="1"/>
  <c r="N17" i="23" s="1"/>
  <c r="O17" i="23" s="1"/>
  <c r="L16" i="23"/>
  <c r="K16" i="23"/>
  <c r="L17" i="21"/>
  <c r="K17" i="21"/>
  <c r="L16" i="21"/>
  <c r="K16" i="21"/>
  <c r="L20" i="20"/>
  <c r="K20" i="20"/>
  <c r="L21" i="20"/>
  <c r="K21" i="20"/>
  <c r="L17" i="19"/>
  <c r="K17" i="19"/>
  <c r="L16" i="19"/>
  <c r="K16" i="19"/>
  <c r="K22" i="23"/>
  <c r="L22" i="23"/>
  <c r="K22" i="17"/>
  <c r="L22" i="17"/>
  <c r="K22" i="21"/>
  <c r="L22" i="21"/>
  <c r="K22" i="19"/>
  <c r="L22" i="19"/>
  <c r="L22" i="20"/>
  <c r="K22" i="20"/>
  <c r="L22" i="24"/>
  <c r="K22" i="24"/>
  <c r="K22" i="18"/>
  <c r="L22" i="18"/>
  <c r="K22" i="25"/>
  <c r="L22" i="25"/>
  <c r="L24" i="17"/>
  <c r="K23" i="24"/>
  <c r="M23" i="24" s="1"/>
  <c r="N23" i="24" s="1"/>
  <c r="O23" i="24" s="1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20" i="25"/>
  <c r="N20" i="25" s="1"/>
  <c r="O20" i="25" s="1"/>
  <c r="M24" i="24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2" i="18" l="1"/>
  <c r="N22" i="18" s="1"/>
  <c r="O22" i="18" s="1"/>
  <c r="M22" i="25"/>
  <c r="N22" i="25" s="1"/>
  <c r="O22" i="25" s="1"/>
  <c r="M22" i="24"/>
  <c r="N22" i="24" s="1"/>
  <c r="O22" i="24" s="1"/>
  <c r="M22" i="17"/>
  <c r="N22" i="17" s="1"/>
  <c r="O22" i="17" s="1"/>
  <c r="M21" i="20"/>
  <c r="N21" i="20" s="1"/>
  <c r="O21" i="20" s="1"/>
  <c r="M16" i="21"/>
  <c r="N16" i="21" s="1"/>
  <c r="K25" i="22"/>
  <c r="P30" i="22" s="1"/>
  <c r="M18" i="19"/>
  <c r="N18" i="19" s="1"/>
  <c r="O18" i="19" s="1"/>
  <c r="M19" i="19"/>
  <c r="N19" i="19" s="1"/>
  <c r="O19" i="19" s="1"/>
  <c r="M21" i="19"/>
  <c r="M21" i="24"/>
  <c r="N21" i="24" s="1"/>
  <c r="O21" i="24" s="1"/>
  <c r="M17" i="24"/>
  <c r="N17" i="24" s="1"/>
  <c r="O17" i="24" s="1"/>
  <c r="M17" i="21"/>
  <c r="N17" i="21" s="1"/>
  <c r="O17" i="21" s="1"/>
  <c r="P17" i="21" s="1"/>
  <c r="M17" i="19"/>
  <c r="N17" i="19" s="1"/>
  <c r="O17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4" i="16" l="1"/>
  <c r="N24" i="16" s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<sst xmlns="http://schemas.openxmlformats.org/spreadsheetml/2006/main" count="1637" uniqueCount="147">
  <si>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</si>
  <si>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</si>
  <si>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</si>
  <si>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</si>
  <si>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</si>
  <si>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</si>
  <si>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</si>
  <si>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</si>
  <si>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</si>
  <si>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</si>
  <si>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</si>
  <si>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</si>
  <si>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</si>
  <si>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</si>
  <si>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</si>
  <si>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</si>
  <si>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</si>
  <si>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</si>
  <si>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</si>
  <si>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</si>
  <si>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</si>
  <si>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</si>
  <si>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</si>
  <si>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</si>
  <si>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</si>
  <si>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</si>
  <si>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</si>
  <si>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</si>
  <si>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</si>
  <si>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</si>
  <si>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</si>
  <si>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</si>
  <si>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</si>
  <si>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</si>
  <si>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</si>
  <si>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</si>
  <si>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</si>
  <si>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</si>
  <si>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</si>
  <si>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</si>
  <si>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</si>
  <si>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</si>
  <si>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</si>
  <si>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</si>
  <si>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</si>
  <si>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</si>
  <si>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</si>
  <si>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</si>
  <si>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</si>
  <si>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</si>
  <si>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</si>
  <si>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</si>
  <si>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</si>
  <si>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</si>
  <si>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</si>
  <si>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</si>
  <si>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</si>
  <si>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</si>
  <si>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</si>
  <si>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</si>
  <si>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</si>
  <si>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</si>
  <si>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</si>
  <si>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</si>
  <si>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</si>
  <si>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</si>
  <si>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</si>
  <si>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</si>
  <si>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</si>
  <si>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</si>
  <si>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</si>
  <si>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</si>
  <si>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</si>
  <si>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</si>
  <si>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</si>
  <si>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</si>
  <si>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</si>
  <si>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</si>
  <si>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</si>
  <si>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</si>
  <si>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</si>
  <si>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</si>
  <si>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</si>
  <si>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</si>
  <si>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</si>
  <si>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</si>
  <si>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</si>
  <si>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</si>
  <si>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</si>
  <si>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</si>
  <si>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</si>
  <si>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</si>
  <si>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</si>
  <si>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</si>
  <si>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</si>
  <si>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</si>
  <si>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</si>
  <si>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</si>
  <si>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</si>
  <si>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</si>
  <si>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</si>
  <si>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</si>
  <si>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</si>
  <si>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</si>
  <si>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</si>
  <si>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</si>
  <si>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</si>
  <si>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</si>
  <si>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</si>
  <si>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</si>
  <si>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</si>
  <si>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</si>
  <si>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</si>
  <si>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</si>
  <si>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</si>
  <si>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</si>
  <si>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</si>
  <si>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</si>
  <si>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</si>
  <si>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</si>
  <si>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</si>
  <si>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</si>
  <si>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Euro Store</t>
  </si>
  <si>
    <t>Address: Bedian Road</t>
  </si>
  <si>
    <t>6616156-4</t>
  </si>
  <si>
    <t>Customer Name : Farhan Store</t>
  </si>
  <si>
    <t>Customer Name : Bilal Store</t>
  </si>
  <si>
    <t xml:space="preserve">Address: Bedian </t>
  </si>
  <si>
    <t>Customer Name : Khan Store</t>
  </si>
  <si>
    <t>Address: Bedian</t>
  </si>
  <si>
    <t>Customer Name : Moon Store</t>
  </si>
  <si>
    <t>Customer Name : Rehman Store</t>
  </si>
  <si>
    <t>8754378-4</t>
  </si>
  <si>
    <t xml:space="preserve">Customer Name : Sherry Mart </t>
  </si>
  <si>
    <t xml:space="preserve">Address: Ali Park </t>
  </si>
  <si>
    <t xml:space="preserve">Customer Name : Raza Mart </t>
  </si>
  <si>
    <t>Customer Name : Rise Store</t>
  </si>
  <si>
    <t>8051595-7</t>
  </si>
  <si>
    <t xml:space="preserve">Customer Name : HR Mart </t>
  </si>
  <si>
    <t>Customer Name : Jameel Store</t>
  </si>
  <si>
    <t xml:space="preserve">Customer Name : Mian Bakers </t>
  </si>
  <si>
    <t>Address: Badian Road</t>
  </si>
  <si>
    <t>Customer Name : Saad Store</t>
  </si>
  <si>
    <t xml:space="preserve">Customer Name : Bin Hadi </t>
  </si>
  <si>
    <t>Address: KB Colony</t>
  </si>
  <si>
    <t>543120-2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</si>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</sst>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  <font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20" fillId="0" borderId="0" xfId="0" applyFont="1"/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1" sqref="H2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1" sqref="H21"/>
      <selection pane="topRight" activeCell="H21" sqref="H21"/>
      <selection pane="bottomLeft" activeCell="H21" sqref="H21"/>
      <selection pane="bottomRight" activeCell="H21" sqref="H2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7" zoomScale="70" zoomScaleNormal="70" workbookViewId="0">
      <selection activeCell="S24" sqref="S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Euro Store</v>
      </c>
      <c r="U14" s="164">
        <f>+'1'!P35</f>
        <v>6098.9793407999996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Farhan Store</v>
      </c>
      <c r="U15" s="164">
        <f>+'2'!P35</f>
        <v>550.60521693750002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120</v>
      </c>
      <c r="I16" s="1">
        <f>(G16*D16)*F16+H16*F16</f>
        <v>6295.5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165.25687500000001</v>
      </c>
      <c r="L16" s="174">
        <f>+'1'!L16+'2'!L16+'4'!L16+'3'!L16+'5'!L16+'6'!L16+'7'!L16+'8'!L16+'9'!L16+'10'!L16</f>
        <v>377.73</v>
      </c>
      <c r="M16" s="106">
        <f>I16-K16-L16</f>
        <v>5752.5131249999995</v>
      </c>
      <c r="N16" s="101">
        <f>+'1'!N16+'2'!N16+'4'!N16+'3'!N16+'5'!N16+'6'!N16+'7'!N16+'8'!N16+'9'!N16+'10'!N16</f>
        <v>752.15486249999992</v>
      </c>
      <c r="O16" s="101">
        <f>+'1'!O16+'2'!O16+'4'!O16+'3'!O16+'5'!O16+'6'!O16+'7'!O16+'8'!O16+'9'!O16+'10'!O16</f>
        <v>24.6539649375</v>
      </c>
      <c r="P16" s="105">
        <f t="shared" ref="P16:P24" si="0">M16+N16+O16</f>
        <v>6529.321952437499</v>
      </c>
      <c r="Q16" s="108"/>
      <c r="T16" s="163" t="str">
        <f>+'3'!A5</f>
        <v>Customer Name : Bilal Store</v>
      </c>
      <c r="U16" s="164">
        <f>+'3'!P35</f>
        <v>561.56253468750003</v>
      </c>
      <c r="XFD16" t="s">
        <v>82</v>
      </c>
    </row>
    <row r="17" spans="1:22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146.89500000000001</v>
      </c>
      <c r="L17" s="174">
        <f>+'1'!L17+'2'!L17+'4'!L17+'3'!L17+'5'!L17+'6'!L17+'7'!L17+'8'!L17+'9'!L17+'10'!L17</f>
        <v>335.76</v>
      </c>
      <c r="M17" s="118">
        <f t="shared" ref="M17:M23" si="2">I17-K17-L17</f>
        <v>3714.3450000000003</v>
      </c>
      <c r="N17" s="101">
        <f>+'1'!N17+'2'!N17+'4'!N17+'3'!N17+'5'!N17+'6'!N17+'7'!N17+'8'!N17+'9'!N17+'10'!N17</f>
        <v>668.58209999999997</v>
      </c>
      <c r="O17" s="101">
        <f>+'1'!O17+'2'!O17+'4'!O17+'3'!O17+'5'!O17+'6'!O17+'7'!O17+'8'!O17+'9'!O17+'10'!O17</f>
        <v>32.871953249999997</v>
      </c>
      <c r="P17" s="120">
        <f t="shared" si="0"/>
        <v>4415.7990532499998</v>
      </c>
      <c r="S17" s="64"/>
      <c r="T17" s="163" t="str">
        <f>+'4'!A5</f>
        <v>Customer Name : Khan Store</v>
      </c>
      <c r="U17" s="164">
        <f>+'4'!P35</f>
        <v>0</v>
      </c>
      <c r="XFD17" t="s">
        <v>83</v>
      </c>
    </row>
    <row r="18" spans="1:22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Moon Store</v>
      </c>
      <c r="U18" s="164">
        <f>+'5'!P35</f>
        <v>550.60521693750002</v>
      </c>
    </row>
    <row r="19" spans="1:22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70</v>
      </c>
      <c r="I19" s="1">
        <f t="shared" si="1"/>
        <v>5084.8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177.96800000000002</v>
      </c>
      <c r="L19" s="174">
        <f>+'1'!L19+'2'!L19+'4'!L19+'3'!L19+'5'!L19+'6'!L19+'7'!L19+'8'!L19+'9'!L19+'10'!L19</f>
        <v>406.78399999999999</v>
      </c>
      <c r="M19" s="118">
        <f t="shared" si="2"/>
        <v>4500.0480000000007</v>
      </c>
      <c r="N19" s="101">
        <f>+'1'!N19+'2'!N19+'4'!N19+'3'!N19+'5'!N19+'6'!N19+'7'!N19+'8'!N19+'9'!N19+'10'!N19</f>
        <v>810.00864000000001</v>
      </c>
      <c r="O19" s="101">
        <f>+'1'!O19+'2'!O19+'4'!O19+'3'!O19+'5'!O19+'6'!O19+'7'!O19+'8'!O19+'9'!O19+'10'!O19</f>
        <v>26.550283199999999</v>
      </c>
      <c r="P19" s="120">
        <f t="shared" si="0"/>
        <v>5336.6069232000009</v>
      </c>
      <c r="T19" s="163" t="str">
        <f>+'6'!A5</f>
        <v>Customer Name : Rehman Store</v>
      </c>
      <c r="U19" s="164">
        <f>+'6'!P35</f>
        <v>550.60521693750002</v>
      </c>
    </row>
    <row r="20" spans="1:22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152.54400000000001</v>
      </c>
      <c r="L20" s="174">
        <f>+'1'!L20+'2'!L20+'4'!L20+'3'!L20+'5'!L20+'6'!L20+'7'!L20+'8'!L20+'9'!L20+'10'!L20</f>
        <v>348.67200000000003</v>
      </c>
      <c r="M20" s="118">
        <f t="shared" si="2"/>
        <v>3857.1839999999997</v>
      </c>
      <c r="N20" s="101">
        <f>+'1'!N20+'2'!N20+'4'!N20+'3'!N20+'5'!N20+'6'!N20+'7'!N20+'8'!N20+'9'!N20+'10'!N20</f>
        <v>694.29312000000004</v>
      </c>
      <c r="O20" s="101">
        <f>+'1'!O20+'2'!O20+'4'!O20+'3'!O20+'5'!O20+'6'!O20+'7'!O20+'8'!O20+'9'!O20+'10'!O20</f>
        <v>22.757385599999999</v>
      </c>
      <c r="P20" s="120">
        <f t="shared" si="0"/>
        <v>4574.2345055999995</v>
      </c>
      <c r="T20" s="163" t="str">
        <f>+'7'!A5</f>
        <v xml:space="preserve">Customer Name : Sherry Mart </v>
      </c>
      <c r="U20" s="164">
        <f>+'7'!P35</f>
        <v>3049.4896703999998</v>
      </c>
    </row>
    <row r="21" spans="1:22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170</v>
      </c>
      <c r="I21" s="1">
        <f t="shared" si="1"/>
        <v>12348.8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381.36000000000007</v>
      </c>
      <c r="L21" s="174">
        <f>+'1'!L21+'2'!L21+'4'!L21+'3'!L21+'5'!L21+'6'!L21+'7'!L21+'8'!L21+'9'!L21+'10'!L21</f>
        <v>871.68</v>
      </c>
      <c r="M21" s="118">
        <f t="shared" si="2"/>
        <v>11095.759999999998</v>
      </c>
      <c r="N21" s="101">
        <f>+'1'!N21+'2'!N21+'4'!N21+'3'!N21+'5'!N21+'6'!N21+'7'!N21+'8'!N21+'9'!N21+'10'!N21</f>
        <v>1735.7328000000002</v>
      </c>
      <c r="O21" s="101">
        <f>+'1'!O21+'2'!O21+'4'!O21+'3'!O21+'5'!O21+'6'!O21+'7'!O21+'8'!O21+'9'!O21+'10'!O21</f>
        <v>56.893463999999994</v>
      </c>
      <c r="P21" s="120">
        <f t="shared" si="0"/>
        <v>12888.386263999999</v>
      </c>
      <c r="T21" s="163" t="str">
        <f>+'8'!A5</f>
        <v xml:space="preserve">Customer Name : Raza Mart </v>
      </c>
      <c r="U21" s="164">
        <f>+'8'!P35</f>
        <v>5251.9105381499994</v>
      </c>
    </row>
    <row r="22" spans="1:22 16384:16384" ht="29.25" customHeight="1" x14ac:dyDescent="0.7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80</v>
      </c>
      <c r="I22" s="1">
        <f t="shared" si="1"/>
        <v>3138.4000000000005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269.9024</v>
      </c>
      <c r="L22" s="174">
        <f>+'1'!L22+'2'!L22+'4'!L22+'3'!L22+'5'!L22+'6'!L22+'7'!L22+'8'!L22+'9'!L22+'10'!L22</f>
        <v>156.92000000000004</v>
      </c>
      <c r="M22" s="118">
        <f t="shared" si="2"/>
        <v>2711.5776000000005</v>
      </c>
      <c r="N22" s="101">
        <f>+'1'!N22+'2'!N22+'4'!N22+'3'!N22+'5'!N22+'6'!N22+'7'!N22+'8'!N22+'9'!N22+'10'!N22</f>
        <v>488.08396800000008</v>
      </c>
      <c r="O22" s="101">
        <f>+'1'!O22+'2'!O22+'4'!O22+'3'!O22+'5'!O22+'6'!O22+'7'!O22+'8'!O22+'9'!O22+'10'!O22</f>
        <v>15.998307840000002</v>
      </c>
      <c r="P22" s="120">
        <f t="shared" si="0"/>
        <v>3215.6598758400005</v>
      </c>
      <c r="T22" s="163" t="str">
        <f>+'9'!A5</f>
        <v>Customer Name : Rise Store</v>
      </c>
      <c r="U22" s="164">
        <f>+'9'!P35</f>
        <v>16768.97062254</v>
      </c>
      <c r="V22" s="266" t="s">
        <v>146</v>
      </c>
    </row>
    <row r="23" spans="1:22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HR Mart </v>
      </c>
      <c r="U23" s="164">
        <f>+'10'!P35</f>
        <v>550.60521693750002</v>
      </c>
    </row>
    <row r="24" spans="1:22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Jameel Store</v>
      </c>
      <c r="U24" s="164">
        <f>+'11'!P35</f>
        <v>550.60521693750002</v>
      </c>
    </row>
    <row r="25" spans="1:22 16384:16384" ht="26.5" thickBot="1" x14ac:dyDescent="0.65">
      <c r="A25" s="218" t="s">
        <v>84</v>
      </c>
      <c r="B25" s="219"/>
      <c r="C25" s="220">
        <f>H25/40</f>
        <v>14.5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580</v>
      </c>
      <c r="I25" s="177">
        <f t="shared" si="3"/>
        <v>35422.899999999994</v>
      </c>
      <c r="J25" s="176">
        <f t="shared" si="3"/>
        <v>0</v>
      </c>
      <c r="K25" s="177">
        <f t="shared" si="3"/>
        <v>1293.926275</v>
      </c>
      <c r="L25" s="178">
        <f t="shared" si="3"/>
        <v>2497.5459999999998</v>
      </c>
      <c r="M25" s="141">
        <f t="shared" si="3"/>
        <v>31631.427724999998</v>
      </c>
      <c r="N25" s="142">
        <f>SUM(N16:N24)</f>
        <v>5148.855490500001</v>
      </c>
      <c r="O25" s="143">
        <f>SUM(O16:O24)</f>
        <v>179.72535882749997</v>
      </c>
      <c r="P25" s="144">
        <f>SUM(P16:P24)</f>
        <v>36960.008574327498</v>
      </c>
      <c r="T25" s="163" t="str">
        <f>+'12'!A5</f>
        <v xml:space="preserve">Customer Name : Mian Bakers </v>
      </c>
      <c r="U25" s="164">
        <f>+'12'!P35</f>
        <v>550.60521693750002</v>
      </c>
    </row>
    <row r="26" spans="1:22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Saad Store</v>
      </c>
      <c r="U26" s="164">
        <f>+'13'!P35</f>
        <v>550.60521693750002</v>
      </c>
    </row>
    <row r="27" spans="1:22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Bin Hadi </v>
      </c>
      <c r="U27" s="164">
        <f>+'14'!P35</f>
        <v>1524.7448351999999</v>
      </c>
    </row>
    <row r="28" spans="1:22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Khan Store</v>
      </c>
      <c r="U28" s="180">
        <f>+'15'!P35</f>
        <v>0</v>
      </c>
    </row>
    <row r="29" spans="1:22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2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2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2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37109.894060340011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35422.899999999994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2497.5459999999998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1293.926275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31631.42772499999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5148.855490500001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36780.283215499992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919.50708038749985</v>
      </c>
    </row>
    <row r="43" spans="1:21" ht="15.75" customHeight="1" thickBot="1" x14ac:dyDescent="0.4">
      <c r="N43" s="212" t="s">
        <v>92</v>
      </c>
      <c r="O43" s="213"/>
      <c r="P43" s="160">
        <f>P41+P42</f>
        <v>37699.790295887491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/>
      <c r="K21" s="104">
        <f t="shared" si="4"/>
        <v>203.39200000000002</v>
      </c>
      <c r="L21" s="105">
        <f t="shared" si="5"/>
        <v>464.89600000000002</v>
      </c>
      <c r="M21" s="118">
        <f t="shared" si="6"/>
        <v>5142.9120000000003</v>
      </c>
      <c r="N21" s="118">
        <f t="shared" si="0"/>
        <v>925.72415999999998</v>
      </c>
      <c r="O21" s="119">
        <f t="shared" si="1"/>
        <v>30.343180799999999</v>
      </c>
      <c r="P21" s="120">
        <f t="shared" si="2"/>
        <v>6098.9793407999996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5811.2</v>
      </c>
      <c r="J25" s="138"/>
      <c r="K25" s="139">
        <f t="shared" si="13"/>
        <v>203.39200000000002</v>
      </c>
      <c r="L25" s="140">
        <f t="shared" si="13"/>
        <v>464.89600000000002</v>
      </c>
      <c r="M25" s="141">
        <f t="shared" si="13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464.89600000000002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2865468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13.6966471875</v>
      </c>
      <c r="P17" s="120">
        <f t="shared" si="1"/>
        <v>561.56253468750003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13.6966471875</v>
      </c>
      <c r="P25" s="144">
        <f>SUM(P16:P24)</f>
        <v>561.56253468750003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13.6966471875</v>
      </c>
    </row>
    <row r="35" spans="2:16" ht="15.75" customHeight="1" thickBot="1" x14ac:dyDescent="0.4">
      <c r="N35" s="212" t="s">
        <v>92</v>
      </c>
      <c r="O35" s="213"/>
      <c r="P35" s="160">
        <f>P33+P34</f>
        <v>561.56253468750003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I22" sqref="I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9876558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987768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132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7654678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755579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175.14350000000002</v>
      </c>
      <c r="L25" s="140">
        <f t="shared" si="9"/>
        <v>400.32800000000003</v>
      </c>
      <c r="M25" s="141">
        <f t="shared" si="9"/>
        <v>4428.6284999999998</v>
      </c>
      <c r="N25" s="142">
        <f>SUM(N16:N24)</f>
        <v>797.15312999999992</v>
      </c>
      <c r="O25" s="143">
        <f>SUM(O16:O24)</f>
        <v>26.128908150000001</v>
      </c>
      <c r="P25" s="144">
        <f>SUM(P16:P24)</f>
        <v>5251.9105381499994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5004.1000000000004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400.32800000000003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175.14350000000002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4428.6284999999998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797.15312999999992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5225.7816299999995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26.128908149999997</v>
      </c>
    </row>
    <row r="35" spans="2:16" ht="15.75" customHeight="1" thickBot="1" x14ac:dyDescent="0.4">
      <c r="N35" s="212" t="s">
        <v>92</v>
      </c>
      <c r="O35" s="213"/>
      <c r="P35" s="160">
        <f>P33+P34</f>
        <v>5251.9105381499994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280</v>
      </c>
      <c r="I25" s="137">
        <f t="shared" si="9"/>
        <v>16052.2</v>
      </c>
      <c r="J25" s="138"/>
      <c r="K25" s="139">
        <f t="shared" si="9"/>
        <v>721.88540000000012</v>
      </c>
      <c r="L25" s="140">
        <f t="shared" si="9"/>
        <v>1190.0240000000001</v>
      </c>
      <c r="M25" s="141">
        <f t="shared" si="9"/>
        <v>14140.290600000002</v>
      </c>
      <c r="N25" s="142">
        <f>SUM(N16:N24)</f>
        <v>2545.2523079999996</v>
      </c>
      <c r="O25" s="143">
        <f>SUM(O16:O24)</f>
        <v>83.427714540000011</v>
      </c>
      <c r="P25" s="144">
        <f>SUM(P16:P24)</f>
        <v>16768.97062254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16052.2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1190.0240000000001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721.88540000000012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14140.2906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2545.2523079999996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16685.542907999999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83.427714539999997</v>
      </c>
    </row>
    <row r="35" spans="2:16" ht="15.75" customHeight="1" thickBot="1" x14ac:dyDescent="0.4">
      <c r="N35" s="212" t="s">
        <v>92</v>
      </c>
      <c r="O35" s="213"/>
      <c r="P35" s="160">
        <f>P33+P34</f>
        <v>16768.97062254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4788765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976658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141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6533678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986656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8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7533788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231.43104</v>
      </c>
      <c r="O25" s="143">
        <f>SUM(O16:O24)</f>
        <v>7.5857951999999997</v>
      </c>
      <c r="P25" s="144">
        <f>SUM(P16:P24)</f>
        <v>1524.7448351999999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1452.8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116.224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50.848000000000006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1285.7280000000001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1517.15904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7.5857951999999997</v>
      </c>
    </row>
    <row r="35" spans="2:16" ht="15.75" customHeight="1" thickBot="1" x14ac:dyDescent="0.4">
      <c r="N35" s="212" t="s">
        <v>92</v>
      </c>
      <c r="O35" s="213"/>
      <c r="P35" s="160">
        <f>P33+P34</f>
        <v>1524.7448351999999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144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145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2026-07-14T11:11:43Z</dcterms:modified>
</cp:coreProperties>
</file>