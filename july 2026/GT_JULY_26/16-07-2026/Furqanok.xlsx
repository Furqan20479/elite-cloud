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16DDE64-46F1-48A7-B2D4-DF2370252887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0" l="1"/>
  <c r="M25" i="26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1" i="20" l="1"/>
  <c r="N21" i="20" s="1"/>
  <c r="O21" i="20" s="1"/>
  <c r="M19" i="19"/>
  <c r="N19" i="19" s="1"/>
  <c r="O19" i="19" s="1"/>
  <c r="M21" i="19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<sst xmlns="http://schemas.openxmlformats.org/spreadsheetml/2006/main" count="1638" uniqueCount="135">
  <si>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</si>
  <si>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</si>
  <si>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</si>
  <si>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</si>
  <si>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</si>
  <si>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</si>
  <si>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</si>
  <si>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</si>
  <si>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</si>
  <si>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</si>
  <si>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</si>
  <si>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</si>
  <si>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</si>
  <si>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</si>
  <si>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</si>
  <si>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</si>
  <si>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</si>
  <si>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</si>
  <si>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</si>
  <si>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</si>
  <si>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</si>
  <si>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</si>
  <si>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</si>
  <si>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</si>
  <si>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</si>
  <si>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</si>
  <si>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</si>
  <si>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</si>
  <si>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</si>
  <si>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</si>
  <si>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</si>
  <si>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</si>
  <si>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</si>
  <si>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</si>
  <si>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</si>
  <si>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</si>
  <si>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</si>
  <si>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</si>
  <si>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</si>
  <si>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</si>
  <si>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</si>
  <si>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</si>
  <si>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</si>
  <si>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</si>
  <si>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</si>
  <si>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</si>
  <si>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</si>
  <si>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</si>
  <si>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</si>
  <si>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</si>
  <si>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</si>
  <si>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</si>
  <si>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</si>
  <si>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</si>
  <si>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</si>
  <si>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</si>
  <si>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</si>
  <si>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</si>
  <si>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</si>
  <si>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</si>
  <si>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</si>
  <si>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</si>
  <si>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</si>
  <si>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</si>
  <si>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</si>
  <si>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</si>
  <si>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</si>
  <si>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</si>
  <si>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</si>
  <si>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</si>
  <si>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</si>
  <si>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</si>
  <si>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</si>
  <si>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</si>
  <si>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</si>
  <si>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</si>
  <si>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</si>
  <si>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</si>
  <si>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</si>
  <si>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</si>
  <si>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</si>
  <si>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</si>
  <si>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</si>
  <si>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</si>
  <si>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</si>
  <si>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</si>
  <si>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</si>
  <si>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</si>
  <si>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</si>
  <si>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</si>
  <si>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</si>
  <si>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</si>
  <si>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</si>
  <si>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</si>
  <si>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</si>
  <si>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</si>
  <si>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</si>
  <si>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</si>
  <si>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</si>
  <si>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</si>
  <si>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</si>
  <si>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</si>
  <si>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</si>
  <si>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</si>
  <si>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</si>
  <si>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</si>
  <si>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</si>
  <si>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</si>
  <si>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</si>
  <si>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</si>
  <si>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</si>
  <si>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</si>
  <si>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</si>
  <si>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</si>
  <si>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</si>
  <si>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</si>
  <si>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</si>
  <si>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</si>
  <si>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</si>
  <si>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</si>
  <si>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</si>
  <si>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 xml:space="preserve">Customer Name : Shell Petro Mart </t>
  </si>
  <si>
    <t>Address: Ferozpur road LOS</t>
  </si>
  <si>
    <t>336018-4</t>
  </si>
  <si>
    <t>Customer Name : Abdullah Store</t>
  </si>
  <si>
    <t xml:space="preserve">Address: Kank Mandi </t>
  </si>
  <si>
    <t>6925517-8</t>
  </si>
  <si>
    <t xml:space="preserve">Customer Name : Saeed Bakery </t>
  </si>
  <si>
    <t xml:space="preserve">Address: Kanak Mandi </t>
  </si>
  <si>
    <t xml:space="preserve">Customer Name : Hafiz Store </t>
  </si>
  <si>
    <t>250547-8</t>
  </si>
  <si>
    <t>Customer Name : Mahboob Store</t>
  </si>
  <si>
    <t xml:space="preserve">Address: Gwal Mandi </t>
  </si>
  <si>
    <t>5215632-6</t>
  </si>
  <si>
    <t xml:space="preserve">Fotgi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</si>
</sst>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2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96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120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Shell Petro Mart </v>
      </c>
      <c r="U14" s="164">
        <f>+'1'!P35</f>
        <v>6776.6553733500004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Abdullah Store</v>
      </c>
      <c r="U15" s="164">
        <f>+'2'!P35</f>
        <v>1607.8299379200002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 xml:space="preserve">Customer Name : Saeed Bakery </v>
      </c>
      <c r="U16" s="164">
        <f>+'3'!P35</f>
        <v>2287.1172527999997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Hafiz Store </v>
      </c>
      <c r="U17" s="164">
        <f>+'4'!P35</f>
        <v>3049.4896703999998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Mahboob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95</v>
      </c>
      <c r="I19" s="1">
        <f t="shared" si="1"/>
        <v>6900.8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241.52800000000002</v>
      </c>
      <c r="L19" s="174">
        <f>+'1'!L19+'2'!L19+'4'!L19+'3'!L19+'5'!L19+'6'!L19+'7'!L19+'8'!L19+'9'!L19+'10'!L19</f>
        <v>552.06399999999996</v>
      </c>
      <c r="M19" s="118">
        <f t="shared" si="2"/>
        <v>6107.2079999999996</v>
      </c>
      <c r="N19" s="101">
        <f>+'1'!N19+'2'!N19+'4'!N19+'3'!N19+'5'!N19+'6'!N19+'7'!N19+'8'!N19+'9'!N19+'10'!N19</f>
        <v>1099.2974400000001</v>
      </c>
      <c r="O19" s="101">
        <f>+'1'!O19+'2'!O19+'4'!O19+'3'!O19+'5'!O19+'6'!O19+'7'!O19+'8'!O19+'9'!O19+'10'!O19</f>
        <v>36.032527199999997</v>
      </c>
      <c r="P19" s="120">
        <f t="shared" si="0"/>
        <v>7242.5379671999999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35</v>
      </c>
      <c r="I21" s="1">
        <f t="shared" si="1"/>
        <v>2542.4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88.984000000000009</v>
      </c>
      <c r="L21" s="174">
        <f>+'1'!L21+'2'!L21+'4'!L21+'3'!L21+'5'!L21+'6'!L21+'7'!L21+'8'!L21+'9'!L21+'10'!L21</f>
        <v>203.392</v>
      </c>
      <c r="M21" s="118">
        <f t="shared" si="2"/>
        <v>2250.0240000000003</v>
      </c>
      <c r="N21" s="101">
        <f>+'1'!N21+'2'!N21+'4'!N21+'3'!N21+'5'!N21+'6'!N21+'7'!N21+'8'!N21+'9'!N21+'10'!N21</f>
        <v>405.00432000000001</v>
      </c>
      <c r="O21" s="101">
        <f>+'1'!O21+'2'!O21+'4'!O21+'3'!O21+'5'!O21+'6'!O21+'7'!O21+'8'!O21+'9'!O21+'10'!O21</f>
        <v>13.2751416</v>
      </c>
      <c r="P21" s="120">
        <f t="shared" si="0"/>
        <v>2668.3034616000004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1355.7888000000003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1607.8299379200002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5.25</v>
      </c>
      <c r="D25" s="230"/>
      <c r="E25" s="230"/>
      <c r="F25" s="230"/>
      <c r="G25" s="175">
        <f t="shared" ref="G25:M25" si="3">SUM(G16:G24)</f>
        <v>0</v>
      </c>
      <c r="H25" s="176">
        <f t="shared" si="3"/>
        <v>210</v>
      </c>
      <c r="I25" s="177">
        <f t="shared" si="3"/>
        <v>13110.9</v>
      </c>
      <c r="J25" s="176">
        <f t="shared" si="3"/>
        <v>0</v>
      </c>
      <c r="K25" s="177">
        <f t="shared" si="3"/>
        <v>538.91070000000002</v>
      </c>
      <c r="L25" s="178">
        <f t="shared" si="3"/>
        <v>1001.796</v>
      </c>
      <c r="M25" s="141">
        <f t="shared" si="3"/>
        <v>11570.193300000001</v>
      </c>
      <c r="N25" s="142">
        <f>SUM(N16:N24)</f>
        <v>2082.6347940000001</v>
      </c>
      <c r="O25" s="143">
        <f>SUM(O16:O24)</f>
        <v>68.264140470000001</v>
      </c>
      <c r="P25" s="144">
        <f>SUM(P16:P24)</f>
        <v>13721.092234470001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13721.092234469999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13110.9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1001.796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538.91070000000002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11570.193299999999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2082.6347940000001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13652.828093999999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341.32070234999998</v>
      </c>
    </row>
    <row r="43" spans="1:21" ht="15.75" customHeight="1" thickBot="1" x14ac:dyDescent="0.4">
      <c r="N43" s="228" t="s">
        <v>92</v>
      </c>
      <c r="O43" s="229"/>
      <c r="P43" s="160">
        <f>P41+P42</f>
        <v>13994.148796349999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26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123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231.43104</v>
      </c>
      <c r="O21" s="119">
        <f t="shared" si="1"/>
        <v>7.5857951999999997</v>
      </c>
      <c r="P21" s="120">
        <f t="shared" si="2"/>
        <v>1524.7448351999999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100</v>
      </c>
      <c r="I25" s="137">
        <f t="shared" si="13"/>
        <v>6456.9000000000005</v>
      </c>
      <c r="J25" s="138"/>
      <c r="K25" s="139">
        <f t="shared" si="13"/>
        <v>225.99150000000003</v>
      </c>
      <c r="L25" s="140">
        <f t="shared" si="13"/>
        <v>516.55200000000002</v>
      </c>
      <c r="M25" s="141">
        <f t="shared" si="13"/>
        <v>5714.3565000000008</v>
      </c>
      <c r="N25" s="142">
        <f>SUM(N16:N24)</f>
        <v>1028.5841699999999</v>
      </c>
      <c r="O25" s="143">
        <f>SUM(O16:O24)</f>
        <v>33.714703350000001</v>
      </c>
      <c r="P25" s="144">
        <f>SUM(P16:P24)</f>
        <v>6776.6553733499995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6456.9000000000005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516.55200000000002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225.99150000000003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5714.3565000000008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1028.5841699999999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6742.9406700000009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33.714703350000008</v>
      </c>
    </row>
    <row r="35" spans="2:16" ht="15.75" customHeight="1" thickBot="1" x14ac:dyDescent="0.4">
      <c r="N35" s="228" t="s">
        <v>92</v>
      </c>
      <c r="O35" s="229"/>
      <c r="P35" s="160">
        <f>P33+P34</f>
        <v>6776.6553733500004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126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1599.8307840000002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28" t="s">
        <v>92</v>
      </c>
      <c r="O35" s="229"/>
      <c r="P35" s="160">
        <f>P33+P34</f>
        <v>1607.8299379200002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128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 t="s">
        <v>126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30</v>
      </c>
      <c r="I25" s="137">
        <f t="shared" si="9"/>
        <v>2179.1999999999998</v>
      </c>
      <c r="J25" s="138"/>
      <c r="K25" s="139">
        <f t="shared" si="9"/>
        <v>76.272000000000006</v>
      </c>
      <c r="L25" s="140">
        <f t="shared" si="9"/>
        <v>174.33599999999998</v>
      </c>
      <c r="M25" s="141">
        <f t="shared" si="9"/>
        <v>1928.5919999999999</v>
      </c>
      <c r="N25" s="142">
        <f>SUM(N16:N24)</f>
        <v>347.14655999999997</v>
      </c>
      <c r="O25" s="143">
        <f>SUM(O16:O24)</f>
        <v>11.3786928</v>
      </c>
      <c r="P25" s="144">
        <f>SUM(P16:P24)</f>
        <v>2287.1172527999997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2179.1999999999998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174.33599999999998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76.272000000000006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1928.5919999999999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347.14655999999997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2275.7385599999998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11.3786928</v>
      </c>
    </row>
    <row r="35" spans="2:16" ht="15.75" customHeight="1" thickBot="1" x14ac:dyDescent="0.4">
      <c r="N35" s="228" t="s">
        <v>92</v>
      </c>
      <c r="O35" s="229"/>
      <c r="P35" s="160">
        <f>P33+P34</f>
        <v>2287.1172527999997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128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" workbookViewId="0">
      <selection activeCell="K4" sqref="K4:M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  <c r="K2" t="s">
        <v>134</v>
      </c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132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133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2026-07-16T08:12:09Z</dcterms:modified>
</cp:coreProperties>
</file>