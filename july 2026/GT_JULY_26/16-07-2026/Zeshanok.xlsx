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12AD2AE8-5C10-4EB6-8D5E-8AA18AB397A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33" l="1"/>
  <c r="K17" i="33" s="1"/>
  <c r="K22" i="35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M17" i="33" s="1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K24" i="32"/>
  <c r="L24" i="32"/>
  <c r="L17" i="32"/>
  <c r="L21" i="32"/>
  <c r="K23" i="32"/>
  <c r="L23" i="32"/>
  <c r="K24" i="31"/>
  <c r="L24" i="31"/>
  <c r="L16" i="31"/>
  <c r="L23" i="31"/>
  <c r="L23" i="30"/>
  <c r="L16" i="30"/>
  <c r="K24" i="30"/>
  <c r="L24" i="30"/>
  <c r="L16" i="29"/>
  <c r="K24" i="29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2" l="1"/>
  <c r="M23" i="30"/>
  <c r="M24" i="29"/>
  <c r="L21" i="28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M24" i="26" l="1"/>
  <c r="L25" i="33"/>
  <c r="P29" i="33" s="1"/>
  <c r="I25" i="27"/>
  <c r="P28" i="27" s="1"/>
  <c r="L21" i="27"/>
  <c r="M21" i="27" s="1"/>
  <c r="N21" i="27" s="1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18" i="26"/>
  <c r="N18" i="26" s="1"/>
  <c r="O18" i="26" s="1"/>
  <c r="M19" i="26"/>
  <c r="N19" i="26" s="1"/>
  <c r="O19" i="26" s="1"/>
  <c r="N24" i="27"/>
  <c r="O24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0" i="26" l="1"/>
  <c r="N20" i="26" s="1"/>
  <c r="O20" i="26" s="1"/>
  <c r="L25" i="27"/>
  <c r="P29" i="27" s="1"/>
  <c r="P31" i="27" s="1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20" i="26" l="1"/>
  <c r="L21" i="18"/>
  <c r="M25" i="26"/>
  <c r="L21" i="17"/>
  <c r="K21" i="17"/>
  <c r="L21" i="19"/>
  <c r="K21" i="19"/>
  <c r="L20" i="23"/>
  <c r="K20" i="23"/>
  <c r="L20" i="19"/>
  <c r="M20" i="19" s="1"/>
  <c r="N20" i="19" s="1"/>
  <c r="O20" i="19" s="1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M16" i="24" s="1"/>
  <c r="N16" i="24" s="1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M17" i="23" s="1"/>
  <c r="N17" i="23" s="1"/>
  <c r="O17" i="23" s="1"/>
  <c r="K17" i="23"/>
  <c r="L16" i="23"/>
  <c r="K16" i="23"/>
  <c r="L17" i="21"/>
  <c r="M17" i="21" s="1"/>
  <c r="N17" i="21" s="1"/>
  <c r="O17" i="21" s="1"/>
  <c r="P17" i="21" s="1"/>
  <c r="K17" i="21"/>
  <c r="L16" i="21"/>
  <c r="K16" i="21"/>
  <c r="L20" i="20"/>
  <c r="K20" i="20"/>
  <c r="L21" i="20"/>
  <c r="K21" i="20"/>
  <c r="L17" i="19"/>
  <c r="M17" i="19" s="1"/>
  <c r="N17" i="19" s="1"/>
  <c r="O17" i="19" s="1"/>
  <c r="K17" i="19"/>
  <c r="L16" i="19"/>
  <c r="K16" i="19"/>
  <c r="K22" i="23"/>
  <c r="L22" i="23"/>
  <c r="K22" i="17"/>
  <c r="L22" i="17"/>
  <c r="K22" i="21"/>
  <c r="L22" i="21"/>
  <c r="K22" i="19"/>
  <c r="L22" i="19"/>
  <c r="L22" i="20"/>
  <c r="K22" i="20"/>
  <c r="L22" i="24"/>
  <c r="K22" i="24"/>
  <c r="K22" i="18"/>
  <c r="L22" i="18"/>
  <c r="K22" i="25"/>
  <c r="L22" i="25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3" l="1"/>
  <c r="N20" i="23" s="1"/>
  <c r="O20" i="23" s="1"/>
  <c r="M22" i="25"/>
  <c r="N22" i="25" s="1"/>
  <c r="O22" i="25" s="1"/>
  <c r="M22" i="24"/>
  <c r="N22" i="24" s="1"/>
  <c r="O22" i="24" s="1"/>
  <c r="M22" i="17"/>
  <c r="N22" i="17" s="1"/>
  <c r="O22" i="17" s="1"/>
  <c r="M21" i="20"/>
  <c r="N21" i="20" s="1"/>
  <c r="O21" i="20" s="1"/>
  <c r="M16" i="21"/>
  <c r="N16" i="21" s="1"/>
  <c r="M18" i="19"/>
  <c r="N18" i="19" s="1"/>
  <c r="O18" i="19" s="1"/>
  <c r="M21" i="19"/>
  <c r="M22" i="18"/>
  <c r="N22" i="18" s="1"/>
  <c r="O22" i="18" s="1"/>
  <c r="M19" i="19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P31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K23" i="16"/>
  <c r="K19" i="15"/>
  <c r="O21" i="21"/>
  <c r="P21" i="21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3" l="1"/>
  <c r="M24" i="16"/>
  <c r="N24" i="16" s="1"/>
  <c r="P20" i="20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<sst xmlns="http://schemas.openxmlformats.org/spreadsheetml/2006/main" count="1637" uniqueCount="140">
  <si>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</si>
  <si>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</si>
  <si>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</si>
  <si>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</si>
  <si>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</si>
  <si>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</si>
  <si>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</si>
  <si>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</si>
  <si>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</si>
  <si>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</si>
  <si>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</si>
  <si>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</si>
  <si>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</si>
  <si>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</si>
  <si>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</si>
  <si>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</si>
  <si>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</si>
  <si>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</si>
  <si>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</si>
  <si>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</si>
  <si>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</si>
  <si>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</si>
  <si>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</si>
  <si>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</si>
  <si>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</si>
  <si>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</si>
  <si>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</si>
  <si>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</si>
  <si>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</si>
  <si>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</si>
  <si>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</si>
  <si>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</si>
  <si>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</si>
  <si>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</si>
  <si>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</si>
  <si>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</si>
  <si>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</si>
  <si>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</si>
  <si>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</si>
  <si>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</si>
  <si>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</si>
  <si>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</si>
  <si>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</si>
  <si>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</si>
  <si>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</si>
  <si>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</si>
  <si>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</si>
  <si>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</si>
  <si>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</si>
  <si>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</si>
  <si>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</si>
  <si>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</si>
  <si>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</si>
  <si>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</si>
  <si>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</si>
  <si>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</si>
  <si>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</si>
  <si>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</si>
  <si>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</si>
  <si>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</si>
  <si>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</si>
  <si>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</si>
  <si>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</si>
  <si>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</si>
  <si>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</si>
  <si>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</si>
  <si>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</si>
  <si>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</si>
  <si>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</si>
  <si>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</si>
  <si>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</si>
  <si>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</si>
  <si>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</si>
  <si>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</si>
  <si>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</si>
  <si>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</si>
  <si>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</si>
  <si>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</si>
  <si>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</si>
  <si>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</si>
  <si>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</si>
  <si>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</si>
  <si>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</si>
  <si>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</si>
  <si>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</si>
  <si>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</si>
  <si>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</si>
  <si>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</si>
  <si>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</si>
  <si>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</si>
  <si>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</si>
  <si>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</si>
  <si>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</si>
  <si>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</si>
  <si>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</si>
  <si>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</si>
  <si>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</si>
  <si>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</si>
  <si>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</si>
  <si>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</si>
  <si>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</si>
  <si>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</si>
  <si>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</si>
  <si>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</si>
  <si>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</si>
  <si>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</si>
  <si>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</si>
  <si>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</si>
  <si>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</si>
  <si>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</si>
  <si>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</si>
  <si>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</si>
  <si>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</si>
  <si>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</si>
  <si>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</si>
  <si>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</si>
  <si>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</si>
  <si>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</si>
  <si>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</si>
  <si>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</si>
  <si>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</si>
  <si>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</si>
  <si>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Allys Store</t>
  </si>
  <si>
    <t>Address: DHA</t>
  </si>
  <si>
    <t>0207759-7</t>
  </si>
  <si>
    <t>Customer Name : Trust Store</t>
  </si>
  <si>
    <t>0159686-1</t>
  </si>
  <si>
    <t xml:space="preserve">Customer Name : Bravo Mart </t>
  </si>
  <si>
    <t>276821-8</t>
  </si>
  <si>
    <t xml:space="preserve">Customer Name : Pakistan Mart </t>
  </si>
  <si>
    <t xml:space="preserve">Customer Name : Maharaja </t>
  </si>
  <si>
    <t>Customer Name : Adnan Store</t>
  </si>
  <si>
    <t>Customer Name : Abdullah Store</t>
  </si>
  <si>
    <t>Customer Name : 786 Store</t>
  </si>
  <si>
    <t>0846372-7</t>
  </si>
  <si>
    <t>Customer Name : Hafiz Store</t>
  </si>
  <si>
    <t xml:space="preserve">Customer Name : K Smart </t>
  </si>
  <si>
    <t>Customer Name : MS Store</t>
  </si>
  <si>
    <t xml:space="preserve">Customer Name : MHT Mart </t>
  </si>
  <si>
    <t xml:space="preserve">no cash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</si>
</sst>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3" zoomScale="70" zoomScaleNormal="70" workbookViewId="0">
      <selection activeCell="W22" sqref="W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120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121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Allys Store</v>
      </c>
      <c r="U14" s="164">
        <f>+'1'!P35</f>
        <v>803.91496896000012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Trust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Bravo Mart </v>
      </c>
      <c r="U16" s="164">
        <f>+'3'!P35</f>
        <v>2287.1172527999997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334.29104999999998</v>
      </c>
      <c r="O17" s="101">
        <f>+'1'!O17+'2'!O17+'4'!O17+'3'!O17+'5'!O17+'6'!O17+'7'!O17+'8'!O17+'9'!O17+'10'!O17</f>
        <v>10.95731775</v>
      </c>
      <c r="P17" s="120">
        <f t="shared" si="0"/>
        <v>2202.4208677500001</v>
      </c>
      <c r="S17" s="64"/>
      <c r="T17" s="163" t="str">
        <f>+'4'!A5</f>
        <v xml:space="preserve">Customer Name : Pakistan Mart </v>
      </c>
      <c r="U17" s="164">
        <f>+'4'!P35</f>
        <v>457.42345055999999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Maharaja </v>
      </c>
      <c r="U18" s="164">
        <f>+'5'!P35</f>
        <v>457.42345055999999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76</v>
      </c>
      <c r="I19" s="1">
        <f t="shared" si="1"/>
        <v>5520.64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180.51040000000003</v>
      </c>
      <c r="L19" s="174">
        <f>+'1'!L19+'2'!L19+'4'!L19+'3'!L19+'5'!L19+'6'!L19+'7'!L19+'8'!L19+'9'!L19+'10'!L19</f>
        <v>412.59520000000003</v>
      </c>
      <c r="M19" s="118">
        <f t="shared" si="2"/>
        <v>4927.5344000000005</v>
      </c>
      <c r="N19" s="101">
        <f>+'1'!N19+'2'!N19+'4'!N19+'3'!N19+'5'!N19+'6'!N19+'7'!N19+'8'!N19+'9'!N19+'10'!N19</f>
        <v>821.5801919999999</v>
      </c>
      <c r="O19" s="101">
        <f>+'1'!O19+'2'!O19+'4'!O19+'3'!O19+'5'!O19+'6'!O19+'7'!O19+'8'!O19+'9'!O19+'10'!O19</f>
        <v>26.929572959999998</v>
      </c>
      <c r="P19" s="120">
        <f t="shared" si="0"/>
        <v>5776.0441649599998</v>
      </c>
      <c r="T19" s="163" t="str">
        <f>+'6'!A5</f>
        <v>Customer Name : Adnan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Abdullah Store</v>
      </c>
      <c r="U20" s="164">
        <f>+'7'!P35</f>
        <v>3811.8620880000003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86</v>
      </c>
      <c r="I21" s="1">
        <f t="shared" si="1"/>
        <v>6247.04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205.93440000000004</v>
      </c>
      <c r="L21" s="174">
        <f>+'1'!L21+'2'!L21+'4'!L21+'3'!L21+'5'!L21+'6'!L21+'7'!L21+'8'!L21+'9'!L21+'10'!L21</f>
        <v>470.7072</v>
      </c>
      <c r="M21" s="118">
        <f t="shared" si="2"/>
        <v>5570.3984</v>
      </c>
      <c r="N21" s="101">
        <f>+'1'!N21+'2'!N21+'4'!N21+'3'!N21+'5'!N21+'6'!N21+'7'!N21+'8'!N21+'9'!N21+'10'!N21</f>
        <v>937.29571199999987</v>
      </c>
      <c r="O21" s="101">
        <f>+'1'!O21+'2'!O21+'4'!O21+'3'!O21+'5'!O21+'6'!O21+'7'!O21+'8'!O21+'9'!O21+'10'!O21</f>
        <v>30.722470560000001</v>
      </c>
      <c r="P21" s="120">
        <f t="shared" si="0"/>
        <v>6538.4165825600003</v>
      </c>
      <c r="T21" s="163" t="str">
        <f>+'8'!A5</f>
        <v>Customer Name : 786 Store</v>
      </c>
      <c r="U21" s="164">
        <f>+'8'!P35</f>
        <v>5251.9105381500003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20</v>
      </c>
      <c r="I22" s="1">
        <f t="shared" si="1"/>
        <v>784.60000000000014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67.4756</v>
      </c>
      <c r="L22" s="174">
        <f>+'1'!L22+'2'!L22+'4'!L22+'3'!L22+'5'!L22+'6'!L22+'7'!L22+'8'!L22+'9'!L22+'10'!L22</f>
        <v>39.230000000000011</v>
      </c>
      <c r="M22" s="118">
        <f t="shared" si="2"/>
        <v>677.89440000000013</v>
      </c>
      <c r="N22" s="101">
        <f>+'1'!N22+'2'!N22+'4'!N22+'3'!N22+'5'!N22+'6'!N22+'7'!N22+'8'!N22+'9'!N22+'10'!N22</f>
        <v>122.02099200000002</v>
      </c>
      <c r="O22" s="101">
        <f>+'1'!O22+'2'!O22+'4'!O22+'3'!O22+'5'!O22+'6'!O22+'7'!O22+'8'!O22+'9'!O22+'10'!O22</f>
        <v>3.9995769600000006</v>
      </c>
      <c r="P22" s="120">
        <f t="shared" si="0"/>
        <v>803.91496896000012</v>
      </c>
      <c r="T22" s="163" t="str">
        <f>+'9'!A5</f>
        <v>Customer Name : Hafiz Store</v>
      </c>
      <c r="U22" s="164">
        <f>+'9'!P35</f>
        <v>762.37241759999995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K Smart </v>
      </c>
      <c r="U23" s="164">
        <f>+'10'!P35</f>
        <v>762.37241759999995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MS Store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5.55</v>
      </c>
      <c r="D25" s="230"/>
      <c r="E25" s="230"/>
      <c r="F25" s="230"/>
      <c r="G25" s="175">
        <f t="shared" ref="G25:M25" si="3">SUM(G16:G24)</f>
        <v>0</v>
      </c>
      <c r="H25" s="176">
        <f t="shared" si="3"/>
        <v>222</v>
      </c>
      <c r="I25" s="177">
        <f t="shared" si="3"/>
        <v>14650.78</v>
      </c>
      <c r="J25" s="176">
        <f t="shared" si="3"/>
        <v>0</v>
      </c>
      <c r="K25" s="177">
        <f t="shared" si="3"/>
        <v>527.36790000000008</v>
      </c>
      <c r="L25" s="178">
        <f t="shared" si="3"/>
        <v>1090.4124000000002</v>
      </c>
      <c r="M25" s="141">
        <f t="shared" si="3"/>
        <v>13032.9997</v>
      </c>
      <c r="N25" s="142">
        <f>SUM(N16:N24)</f>
        <v>2215.187946</v>
      </c>
      <c r="O25" s="143">
        <f>SUM(O16:O24)</f>
        <v>72.608938229999993</v>
      </c>
      <c r="P25" s="144">
        <f>SUM(P16:P24)</f>
        <v>15320.79658423</v>
      </c>
      <c r="T25" s="163" t="str">
        <f>+'12'!A5</f>
        <v xml:space="preserve">Customer Name : MHT Mart </v>
      </c>
      <c r="U25" s="164">
        <f>+'12'!P35</f>
        <v>762.37241759999995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15356.769001829998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14650.78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1090.4124000000002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527.36790000000008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13032.999700000002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2215.187946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15248.187646000002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381.20469115000009</v>
      </c>
    </row>
    <row r="43" spans="1:21" ht="15.75" customHeight="1" thickBot="1" x14ac:dyDescent="0.4">
      <c r="N43" s="228" t="s">
        <v>92</v>
      </c>
      <c r="O43" s="229"/>
      <c r="P43" s="160">
        <f>P41+P42</f>
        <v>15629.392337150002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26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 t="s">
        <v>124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3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6"/>
        <v>677.89440000000013</v>
      </c>
      <c r="N22" s="118">
        <f t="shared" si="0"/>
        <v>122.02099200000002</v>
      </c>
      <c r="O22" s="119">
        <f t="shared" si="1"/>
        <v>3.9995769600000006</v>
      </c>
      <c r="P22" s="120">
        <f t="shared" si="2"/>
        <v>803.91496896000012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20</v>
      </c>
      <c r="I25" s="137">
        <f t="shared" si="13"/>
        <v>784.60000000000014</v>
      </c>
      <c r="J25" s="138"/>
      <c r="K25" s="139">
        <f t="shared" si="13"/>
        <v>67.4756</v>
      </c>
      <c r="L25" s="140">
        <f t="shared" si="13"/>
        <v>39.230000000000011</v>
      </c>
      <c r="M25" s="141">
        <f t="shared" si="13"/>
        <v>677.89440000000013</v>
      </c>
      <c r="N25" s="142">
        <f>SUM(N16:N24)</f>
        <v>122.02099200000002</v>
      </c>
      <c r="O25" s="143">
        <f>SUM(O16:O24)</f>
        <v>3.9995769600000006</v>
      </c>
      <c r="P25" s="144">
        <f>SUM(P16:P24)</f>
        <v>803.91496896000012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784.60000000000014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39.230000000000011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67.4756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677.89440000000013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799.91539200000011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3.9995769600000006</v>
      </c>
    </row>
    <row r="35" spans="2:16" ht="15.75" customHeight="1" thickBot="1" x14ac:dyDescent="0.4">
      <c r="N35" s="228" t="s">
        <v>92</v>
      </c>
      <c r="O35" s="229"/>
      <c r="P35" s="160">
        <f>P33+P34</f>
        <v>803.91496896000012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D37"/>
  <sheetViews>
    <sheetView topLeftCell="A13" workbookViewId="0">
      <selection activeCell="L2" sqref="L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L1" t="s">
        <v>139</v>
      </c>
    </row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126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6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 t="s">
        <v>128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30</v>
      </c>
      <c r="I25" s="137">
        <f t="shared" si="9"/>
        <v>2179.1999999999998</v>
      </c>
      <c r="J25" s="138"/>
      <c r="K25" s="139">
        <f t="shared" si="9"/>
        <v>76.272000000000006</v>
      </c>
      <c r="L25" s="140">
        <f t="shared" si="9"/>
        <v>174.33599999999998</v>
      </c>
      <c r="M25" s="141">
        <f t="shared" si="9"/>
        <v>1928.5919999999999</v>
      </c>
      <c r="N25" s="142">
        <f>SUM(N16:N24)</f>
        <v>347.14655999999997</v>
      </c>
      <c r="O25" s="143">
        <f>SUM(O16:O24)</f>
        <v>11.3786928</v>
      </c>
      <c r="P25" s="144">
        <f>SUM(P16:P24)</f>
        <v>2287.1172527999997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2179.1999999999998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174.33599999999998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76.272000000000006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1928.5919999999999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347.14655999999997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2275.7385599999998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11.3786928</v>
      </c>
    </row>
    <row r="35" spans="2:16" ht="15.75" customHeight="1" thickBot="1" x14ac:dyDescent="0.4">
      <c r="N35" s="228" t="s">
        <v>92</v>
      </c>
      <c r="O35" s="229"/>
      <c r="P35" s="160">
        <f>P33+P34</f>
        <v>2287.1172527999997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0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7643368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435.84000000000003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34.867200000000004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15.254400000000002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385.71840000000003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455.14771200000001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28" t="s">
        <v>92</v>
      </c>
      <c r="O35" s="229"/>
      <c r="P35" s="160">
        <f>P33+P34</f>
        <v>457.42345055999999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1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865444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435.84000000000003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34.867200000000004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15.254400000000002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385.71840000000003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455.14771200000001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28" t="s">
        <v>92</v>
      </c>
      <c r="O35" s="229"/>
      <c r="P35" s="160">
        <f>P33+P34</f>
        <v>457.42345055999999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356789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3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8765548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50</v>
      </c>
      <c r="I21" s="116">
        <f t="shared" si="2"/>
        <v>3632</v>
      </c>
      <c r="J21" s="117"/>
      <c r="K21" s="104">
        <f t="shared" si="3"/>
        <v>127.12000000000002</v>
      </c>
      <c r="L21" s="105">
        <f t="shared" si="4"/>
        <v>290.56</v>
      </c>
      <c r="M21" s="118">
        <f t="shared" si="5"/>
        <v>3214.32</v>
      </c>
      <c r="N21" s="118">
        <f t="shared" si="0"/>
        <v>578.57759999999996</v>
      </c>
      <c r="O21" s="119">
        <f t="shared" si="6"/>
        <v>18.964488000000003</v>
      </c>
      <c r="P21" s="120">
        <f t="shared" si="1"/>
        <v>3811.8620880000003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50</v>
      </c>
      <c r="I25" s="137">
        <f t="shared" si="9"/>
        <v>3632</v>
      </c>
      <c r="J25" s="138"/>
      <c r="K25" s="139">
        <f t="shared" si="9"/>
        <v>127.12000000000002</v>
      </c>
      <c r="L25" s="140">
        <f t="shared" si="9"/>
        <v>290.56</v>
      </c>
      <c r="M25" s="141">
        <f t="shared" si="9"/>
        <v>3214.32</v>
      </c>
      <c r="N25" s="142">
        <f>SUM(N16:N24)</f>
        <v>578.57759999999996</v>
      </c>
      <c r="O25" s="143">
        <f>SUM(O16:O24)</f>
        <v>18.964488000000003</v>
      </c>
      <c r="P25" s="144">
        <f>SUM(P16:P24)</f>
        <v>3811.8620880000003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3632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290.56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127.12000000000002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3214.32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578.57759999999996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3792.8976000000002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18.964488000000003</v>
      </c>
    </row>
    <row r="35" spans="2:16" ht="15.75" customHeight="1" thickBot="1" x14ac:dyDescent="0.4">
      <c r="N35" s="228" t="s">
        <v>92</v>
      </c>
      <c r="O35" s="229"/>
      <c r="P35" s="160">
        <f>P33+P34</f>
        <v>3811.8620880000003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7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134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175.14350000000002</v>
      </c>
      <c r="L25" s="140">
        <f t="shared" si="9"/>
        <v>400.32799999999997</v>
      </c>
      <c r="M25" s="141">
        <f t="shared" si="9"/>
        <v>4428.6285000000007</v>
      </c>
      <c r="N25" s="142">
        <f>SUM(N16:N24)</f>
        <v>797.15312999999992</v>
      </c>
      <c r="O25" s="143">
        <f>SUM(O16:O24)</f>
        <v>26.128908150000001</v>
      </c>
      <c r="P25" s="144">
        <f>SUM(P16:P24)</f>
        <v>5251.9105381499994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5004.1000000000004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400.32799999999997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175.14350000000002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4428.6285000000007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797.15312999999992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5225.7816300000004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26.128908150000001</v>
      </c>
    </row>
    <row r="35" spans="2:16" ht="15.75" customHeight="1" thickBot="1" x14ac:dyDescent="0.4">
      <c r="N35" s="228" t="s">
        <v>92</v>
      </c>
      <c r="O35" s="229"/>
      <c r="P35" s="160">
        <f>P33+P34</f>
        <v>5251.9105381500003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4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6554576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4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5487653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1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987655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6" workbookViewId="0">
      <selection activeCell="E35" sqref="E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5566532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04">
        <f t="shared" si="3"/>
        <v>12.712000000000002</v>
      </c>
      <c r="L19" s="105">
        <f t="shared" si="4"/>
        <v>29.056000000000001</v>
      </c>
      <c r="M19" s="118">
        <f t="shared" si="5"/>
        <v>321.43200000000002</v>
      </c>
      <c r="N19" s="118">
        <f t="shared" si="0"/>
        <v>57.857759999999999</v>
      </c>
      <c r="O19" s="119">
        <f t="shared" si="6"/>
        <v>1.8964487999999999</v>
      </c>
      <c r="P19" s="120">
        <f t="shared" si="1"/>
        <v>381.18620879999997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04">
        <f t="shared" si="3"/>
        <v>12.712000000000002</v>
      </c>
      <c r="L21" s="105">
        <f t="shared" si="4"/>
        <v>29.056000000000001</v>
      </c>
      <c r="M21" s="118">
        <f t="shared" si="5"/>
        <v>321.43200000000002</v>
      </c>
      <c r="N21" s="118">
        <f t="shared" si="0"/>
        <v>57.857759999999999</v>
      </c>
      <c r="O21" s="119">
        <f t="shared" si="6"/>
        <v>1.8964487999999999</v>
      </c>
      <c r="P21" s="120">
        <f t="shared" si="1"/>
        <v>381.18620879999997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46219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46218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2026-07-16T10:09:34Z</dcterms:modified>
</cp:coreProperties>
</file>