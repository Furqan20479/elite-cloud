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39EBD78-49CF-40B6-8724-47C1498ACBA9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5" i="26"/>
  <c r="L21" i="17"/>
  <c r="K21" i="17"/>
  <c r="L21" i="19"/>
  <c r="K21" i="19"/>
  <c r="M21" i="19" s="1"/>
  <c r="L20" i="23"/>
  <c r="K20" i="23"/>
  <c r="L20" i="19"/>
  <c r="M20" i="19" s="1"/>
  <c r="N20" i="19" s="1"/>
  <c r="O20" i="19" s="1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M17" i="23" s="1"/>
  <c r="N17" i="23" s="1"/>
  <c r="O17" i="23" s="1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21" l="1"/>
  <c r="P34" i="21" s="1"/>
  <c r="P35" i="21" s="1"/>
  <c r="U19" i="15" s="1"/>
  <c r="P33" i="18"/>
  <c r="P34" i="18" s="1"/>
  <c r="P35" i="18" s="1"/>
  <c r="U17" i="15" s="1"/>
  <c r="P33" i="20"/>
  <c r="P34" i="20" s="1"/>
  <c r="P35" i="20" s="1"/>
  <c r="U18" i="15" s="1"/>
  <c r="N16" i="15"/>
  <c r="N18" i="15"/>
  <c r="P18" i="15" s="1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<sst xmlns="http://schemas.openxmlformats.org/spreadsheetml/2006/main" count="1632" uniqueCount="132">
  <si>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</si>
  <si>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</si>
  <si>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</si>
  <si>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</si>
  <si>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</si>
  <si>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</si>
  <si>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</si>
  <si>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</si>
  <si>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</si>
  <si>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</si>
  <si>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</si>
  <si>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</si>
  <si>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</si>
  <si>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</si>
  <si>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</si>
  <si>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</si>
  <si>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</si>
  <si>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</si>
  <si>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</si>
  <si>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</si>
  <si>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</si>
  <si>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</si>
  <si>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</si>
  <si>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</si>
  <si>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</si>
  <si>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</si>
  <si>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</si>
  <si>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</si>
  <si>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</si>
  <si>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</si>
  <si>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</si>
  <si>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</si>
  <si>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</si>
  <si>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</si>
  <si>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</si>
  <si>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</si>
  <si>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</si>
  <si>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</si>
  <si>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</si>
  <si>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</si>
  <si>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</si>
  <si>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</si>
  <si>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</si>
  <si>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</si>
  <si>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</si>
  <si>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</si>
  <si>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</si>
  <si>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</si>
  <si>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</si>
  <si>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</si>
  <si>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</si>
  <si>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</si>
  <si>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</si>
  <si>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</si>
  <si>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</si>
  <si>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</si>
  <si>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</si>
  <si>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</si>
  <si>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</si>
  <si>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</si>
  <si>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</si>
  <si>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</si>
  <si>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</si>
  <si>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</si>
  <si>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</si>
  <si>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</si>
  <si>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</si>
  <si>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</si>
  <si>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</si>
  <si>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</si>
  <si>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</si>
  <si>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</si>
  <si>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</si>
  <si>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</si>
  <si>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</si>
  <si>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</si>
  <si>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</si>
  <si>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</si>
  <si>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</si>
  <si>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</si>
  <si>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</si>
  <si>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</si>
  <si>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</si>
  <si>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</si>
  <si>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</si>
  <si>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</si>
  <si>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</si>
  <si>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</si>
  <si>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</si>
  <si>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</si>
  <si>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</si>
  <si>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</si>
  <si>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</si>
  <si>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</si>
  <si>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</si>
  <si>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</si>
  <si>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</si>
  <si>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</si>
  <si>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</si>
  <si>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</si>
  <si>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</si>
  <si>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</si>
  <si>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</si>
  <si>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</si>
  <si>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</si>
  <si>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</si>
  <si>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</si>
  <si>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</si>
  <si>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</si>
  <si>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</si>
  <si>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</si>
  <si>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</si>
  <si>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</si>
  <si>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</si>
  <si>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</si>
  <si>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</si>
  <si>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</si>
  <si>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</si>
  <si>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</si>
  <si>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</si>
  <si>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</si>
  <si>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Summary(Salman)</t>
  </si>
  <si>
    <t>Customer Name : Makkah Store</t>
  </si>
  <si>
    <t xml:space="preserve">Address: Tajpura </t>
  </si>
  <si>
    <t>Customer Name : Kashif Super Store</t>
  </si>
  <si>
    <t>Address: Tajpura</t>
  </si>
  <si>
    <t xml:space="preserve">Customer Name : Ah Mart </t>
  </si>
  <si>
    <t>Customer Name : Umer Store</t>
  </si>
  <si>
    <t>Customer Name : Faisal Store</t>
  </si>
  <si>
    <t>Customer Name : Gulam Rasool  store 2</t>
  </si>
  <si>
    <t xml:space="preserve">Customer Name : Al Falah Bakers </t>
  </si>
  <si>
    <t xml:space="preserve">Customer Name : Shera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</si>
</sst>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5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1"/>
      <c r="B3" s="191"/>
      <c r="C3" s="191"/>
      <c r="D3" s="191"/>
      <c r="E3" s="191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</row>
    <row r="4" spans="1:29" x14ac:dyDescent="0.35">
      <c r="A4" s="193" t="s">
        <v>6</v>
      </c>
      <c r="B4" s="5" t="s">
        <v>7</v>
      </c>
      <c r="C4" s="5"/>
      <c r="D4" s="195" t="s">
        <v>8</v>
      </c>
      <c r="E4" s="197" t="s">
        <v>9</v>
      </c>
      <c r="F4" s="199" t="s">
        <v>3</v>
      </c>
      <c r="G4" s="199"/>
      <c r="H4" s="200" t="s">
        <v>10</v>
      </c>
      <c r="I4" s="200"/>
      <c r="J4" s="201" t="s">
        <v>11</v>
      </c>
      <c r="K4" s="202"/>
      <c r="L4" s="201" t="s">
        <v>12</v>
      </c>
      <c r="M4" s="202"/>
      <c r="N4" s="203" t="s">
        <v>13</v>
      </c>
      <c r="O4" s="203"/>
      <c r="P4" s="201" t="s">
        <v>4</v>
      </c>
      <c r="Q4" s="202"/>
      <c r="R4" s="201" t="s">
        <v>14</v>
      </c>
      <c r="S4" s="202"/>
      <c r="T4" s="204" t="s">
        <v>15</v>
      </c>
      <c r="U4" s="204"/>
      <c r="V4" s="205" t="s">
        <v>16</v>
      </c>
      <c r="W4" s="206"/>
      <c r="X4" s="205" t="s">
        <v>17</v>
      </c>
      <c r="Y4" s="206"/>
    </row>
    <row r="5" spans="1:29" ht="26.25" customHeight="1" thickBot="1" x14ac:dyDescent="0.4">
      <c r="A5" s="194"/>
      <c r="B5" s="7" t="s">
        <v>18</v>
      </c>
      <c r="C5" s="7" t="s">
        <v>8</v>
      </c>
      <c r="D5" s="196"/>
      <c r="E5" s="198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S30" sqref="S3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7" t="s">
        <v>45</v>
      </c>
      <c r="B2" s="207"/>
      <c r="C2" s="207"/>
    </row>
    <row r="3" spans="1:21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2" t="s">
        <v>120</v>
      </c>
      <c r="B5" s="212"/>
      <c r="C5" s="212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21 16383:16384" ht="15" customHeight="1" x14ac:dyDescent="0.35">
      <c r="A6" s="212"/>
      <c r="B6" s="212"/>
      <c r="C6" s="212"/>
      <c r="F6" s="70"/>
      <c r="G6" s="74"/>
      <c r="K6" s="209" t="s">
        <v>52</v>
      </c>
      <c r="L6" s="209"/>
      <c r="M6" s="209"/>
      <c r="N6" s="211" t="s">
        <v>42</v>
      </c>
      <c r="O6" s="211"/>
      <c r="P6" s="21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1 16383:16384" hidden="1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1 16383:16384" x14ac:dyDescent="0.35">
      <c r="A10" s="214"/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1 16383:16384" ht="15" thickBot="1" x14ac:dyDescent="0.4">
      <c r="A11" s="214"/>
      <c r="B11" s="76"/>
      <c r="C11" s="77"/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1 16383:16384" ht="14.65" customHeight="1" x14ac:dyDescent="0.35">
      <c r="A12" s="214"/>
      <c r="B12" s="76"/>
      <c r="C12" s="77"/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T12" s="223" t="s">
        <v>121</v>
      </c>
      <c r="U12" s="224"/>
      <c r="XFD12" t="s">
        <v>62</v>
      </c>
    </row>
    <row r="13" spans="1:21 16383:16384" ht="15" thickBot="1" x14ac:dyDescent="0.4">
      <c r="A13" s="251"/>
      <c r="J13" s="78"/>
      <c r="K13" s="78"/>
      <c r="L13" s="79">
        <v>0.05</v>
      </c>
      <c r="T13" s="225"/>
      <c r="U13" s="226"/>
      <c r="XFD13" t="s">
        <v>63</v>
      </c>
    </row>
    <row r="14" spans="1:21 16383:16384" ht="29.25" customHeight="1" x14ac:dyDescent="0.6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17" t="s">
        <v>68</v>
      </c>
      <c r="H14" s="218"/>
      <c r="I14" s="218" t="s">
        <v>69</v>
      </c>
      <c r="J14" s="218" t="s">
        <v>70</v>
      </c>
      <c r="K14" s="218"/>
      <c r="L14" s="220"/>
      <c r="M14" s="22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Makkah Store</v>
      </c>
      <c r="U14" s="164">
        <f>+'1'!P35</f>
        <v>3049.4896704000003</v>
      </c>
      <c r="XFD14" t="s">
        <v>75</v>
      </c>
    </row>
    <row r="15" spans="1:21 16383:16384" ht="29.25" customHeight="1" thickBot="1" x14ac:dyDescent="0.65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9"/>
      <c r="J15" s="169" t="s">
        <v>78</v>
      </c>
      <c r="K15" s="169" t="s">
        <v>79</v>
      </c>
      <c r="L15" s="172" t="s">
        <v>80</v>
      </c>
      <c r="M15" s="222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Kashif Super Store</v>
      </c>
      <c r="U15" s="164">
        <f>+'2'!P35</f>
        <v>3049.4896703999998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60</v>
      </c>
      <c r="I16" s="1">
        <f>(G16*D16)*F16+H16*F16</f>
        <v>3147.75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110.17125000000001</v>
      </c>
      <c r="L16" s="173">
        <f>+'1'!L16+'2'!L16+'4'!L16+'3'!L16+'5'!L16+'6'!L16+'7'!L16+'8'!L16+'9'!L16+'10'!L16</f>
        <v>251.82</v>
      </c>
      <c r="M16" s="106">
        <f>I16-K16-L16</f>
        <v>2785.75875</v>
      </c>
      <c r="N16" s="101">
        <f>+'1'!N16+'2'!N16+'4'!N16+'3'!N16+'5'!N16+'6'!N16+'7'!N16+'8'!N16+'9'!N16+'10'!N16</f>
        <v>501.43657499999995</v>
      </c>
      <c r="O16" s="101">
        <f>+'1'!O16+'2'!O16+'4'!O16+'3'!O16+'5'!O16+'6'!O16+'7'!O16+'8'!O16+'9'!O16+'10'!O16</f>
        <v>16.435976624999999</v>
      </c>
      <c r="P16" s="105">
        <f t="shared" ref="P16:P24" si="0">M16+N16+O16</f>
        <v>3303.6313016249997</v>
      </c>
      <c r="Q16" s="108"/>
      <c r="T16" s="163" t="str">
        <f>+'3'!A5</f>
        <v xml:space="preserve">Customer Name : Ah Mart </v>
      </c>
      <c r="U16" s="164">
        <f>+'3'!P35</f>
        <v>8301.4002085499997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36.723750000000003</v>
      </c>
      <c r="L17" s="173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>Customer Name : Umer Store</v>
      </c>
      <c r="U17" s="164">
        <f>+'4'!P35</f>
        <v>3049.4896704000003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Faisal Store</v>
      </c>
      <c r="U18" s="164">
        <f>+'5'!P35</f>
        <v>3049.4896704000003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122</v>
      </c>
      <c r="I19" s="1">
        <f t="shared" si="1"/>
        <v>8862.08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310.1728</v>
      </c>
      <c r="L19" s="173">
        <f>+'1'!L19+'2'!L19+'4'!L19+'3'!L19+'5'!L19+'6'!L19+'7'!L19+'8'!L19+'9'!L19+'10'!L19</f>
        <v>708.96640000000002</v>
      </c>
      <c r="M19" s="118">
        <f t="shared" si="2"/>
        <v>7842.9407999999994</v>
      </c>
      <c r="N19" s="101">
        <f>+'1'!N19+'2'!N19+'4'!N19+'3'!N19+'5'!N19+'6'!N19+'7'!N19+'8'!N19+'9'!N19+'10'!N19</f>
        <v>1411.7293439999999</v>
      </c>
      <c r="O19" s="101">
        <f>+'1'!O19+'2'!O19+'4'!O19+'3'!O19+'5'!O19+'6'!O19+'7'!O19+'8'!O19+'9'!O19+'10'!O19</f>
        <v>46.273350719999996</v>
      </c>
      <c r="P19" s="120">
        <f t="shared" si="0"/>
        <v>9300.9434947199989</v>
      </c>
      <c r="T19" s="163" t="str">
        <f>+'6'!A5</f>
        <v>Customer Name : Gulam Rasool  store 2</v>
      </c>
      <c r="U19" s="164">
        <f>+'6'!P35</f>
        <v>3049.4896703999998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101</v>
      </c>
      <c r="I20" s="1">
        <f t="shared" si="1"/>
        <v>7336.64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256.7824</v>
      </c>
      <c r="L20" s="173">
        <f>+'1'!L20+'2'!L20+'4'!L20+'3'!L20+'5'!L20+'6'!L20+'7'!L20+'8'!L20+'9'!L20+'10'!L20</f>
        <v>586.93119999999999</v>
      </c>
      <c r="M20" s="118">
        <f t="shared" si="2"/>
        <v>6492.9264000000003</v>
      </c>
      <c r="N20" s="101">
        <f>+'1'!N20+'2'!N20+'4'!N20+'3'!N20+'5'!N20+'6'!N20+'7'!N20+'8'!N20+'9'!N20+'10'!N20</f>
        <v>1168.726752</v>
      </c>
      <c r="O20" s="101">
        <f>+'1'!O20+'2'!O20+'4'!O20+'3'!O20+'5'!O20+'6'!O20+'7'!O20+'8'!O20+'9'!O20+'10'!O20</f>
        <v>38.308265759999998</v>
      </c>
      <c r="P20" s="120">
        <f t="shared" si="0"/>
        <v>7699.9614177600006</v>
      </c>
      <c r="T20" s="163" t="str">
        <f>+'7'!A5</f>
        <v xml:space="preserve">Customer Name : Al Falah Bakers </v>
      </c>
      <c r="U20" s="164">
        <f>+'7'!P35</f>
        <v>3049.4896703999998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97</v>
      </c>
      <c r="I21" s="1">
        <f t="shared" si="1"/>
        <v>7046.08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246.61280000000005</v>
      </c>
      <c r="L21" s="173">
        <f>+'1'!L21+'2'!L21+'4'!L21+'3'!L21+'5'!L21+'6'!L21+'7'!L21+'8'!L21+'9'!L21+'10'!L21</f>
        <v>563.68640000000005</v>
      </c>
      <c r="M21" s="118">
        <f t="shared" si="2"/>
        <v>6235.7808000000005</v>
      </c>
      <c r="N21" s="101">
        <f>+'1'!N21+'2'!N21+'4'!N21+'3'!N21+'5'!N21+'6'!N21+'7'!N21+'8'!N21+'9'!N21+'10'!N21</f>
        <v>1122.4405439999998</v>
      </c>
      <c r="O21" s="101">
        <f>+'1'!O21+'2'!O21+'4'!O21+'3'!O21+'5'!O21+'6'!O21+'7'!O21+'8'!O21+'9'!O21+'10'!O21</f>
        <v>36.791106720000002</v>
      </c>
      <c r="P21" s="120">
        <f t="shared" si="0"/>
        <v>7395.0124507200007</v>
      </c>
      <c r="T21" s="163" t="str">
        <f>+'8'!A5</f>
        <v xml:space="preserve">Customer Name : Shera Mart </v>
      </c>
      <c r="U21" s="164">
        <f>+'8'!P35</f>
        <v>2202.4208677500001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3" t="s">
        <v>84</v>
      </c>
      <c r="B25" s="234"/>
      <c r="C25" s="235">
        <f>H25/40</f>
        <v>10</v>
      </c>
      <c r="D25" s="229"/>
      <c r="E25" s="229"/>
      <c r="F25" s="229"/>
      <c r="G25" s="174">
        <f t="shared" ref="G25:M25" si="3">SUM(G16:G24)</f>
        <v>0</v>
      </c>
      <c r="H25" s="175">
        <f t="shared" si="3"/>
        <v>400</v>
      </c>
      <c r="I25" s="176">
        <f t="shared" si="3"/>
        <v>27441.800000000003</v>
      </c>
      <c r="J25" s="175">
        <f t="shared" si="3"/>
        <v>0</v>
      </c>
      <c r="K25" s="176">
        <f t="shared" si="3"/>
        <v>960.46300000000019</v>
      </c>
      <c r="L25" s="177">
        <f t="shared" si="3"/>
        <v>2195.3440000000001</v>
      </c>
      <c r="M25" s="141">
        <f t="shared" si="3"/>
        <v>24285.993000000002</v>
      </c>
      <c r="N25" s="142">
        <f>SUM(N16:N24)</f>
        <v>4371.4787399999996</v>
      </c>
      <c r="O25" s="143">
        <f>SUM(O16:O24)</f>
        <v>143.2873587</v>
      </c>
      <c r="P25" s="144">
        <f>SUM(P16:P24)</f>
        <v>28800.7590987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79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8" t="str">
        <f>+'16'!A5</f>
        <v xml:space="preserve">Customer Name : </v>
      </c>
      <c r="U29" s="179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8" t="str">
        <f>+'17'!A5</f>
        <v xml:space="preserve">Customer Name : </v>
      </c>
      <c r="U30" s="179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8" t="str">
        <f>+'18'!A5</f>
        <v xml:space="preserve">Customer Name : </v>
      </c>
      <c r="U31" s="179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8" t="str">
        <f>+'19'!A5</f>
        <v xml:space="preserve">Customer Name : </v>
      </c>
      <c r="U32" s="179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8" t="str">
        <f>+'20'!A5</f>
        <v xml:space="preserve">Customer Name : </v>
      </c>
      <c r="U33" s="179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28800.759098699993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6" t="s">
        <v>85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  <c r="N36" s="245" t="s">
        <v>86</v>
      </c>
      <c r="O36" s="246"/>
      <c r="P36" s="152">
        <f>I25</f>
        <v>27441.800000000003</v>
      </c>
    </row>
    <row r="37" spans="1:21" ht="15" customHeight="1" x14ac:dyDescent="0.35">
      <c r="B37" s="239"/>
      <c r="C37" s="240"/>
      <c r="D37" s="240"/>
      <c r="E37" s="240"/>
      <c r="F37" s="240"/>
      <c r="G37" s="240"/>
      <c r="H37" s="240"/>
      <c r="I37" s="240"/>
      <c r="J37" s="240"/>
      <c r="K37" s="240"/>
      <c r="L37" s="241"/>
      <c r="N37" s="247" t="s">
        <v>87</v>
      </c>
      <c r="O37" s="248"/>
      <c r="P37" s="153">
        <f>L25</f>
        <v>2195.3440000000001</v>
      </c>
    </row>
    <row r="38" spans="1:21" ht="15" customHeight="1" x14ac:dyDescent="0.35">
      <c r="B38" s="239"/>
      <c r="C38" s="240"/>
      <c r="D38" s="240"/>
      <c r="E38" s="240"/>
      <c r="F38" s="240"/>
      <c r="G38" s="240"/>
      <c r="H38" s="240"/>
      <c r="I38" s="240"/>
      <c r="J38" s="240"/>
      <c r="K38" s="240"/>
      <c r="L38" s="241"/>
      <c r="N38" s="247" t="s">
        <v>4</v>
      </c>
      <c r="O38" s="248"/>
      <c r="P38" s="154">
        <f>K25</f>
        <v>960.46300000000019</v>
      </c>
    </row>
    <row r="39" spans="1:21" ht="15" customHeight="1" x14ac:dyDescent="0.35">
      <c r="B39" s="239"/>
      <c r="C39" s="240"/>
      <c r="D39" s="240"/>
      <c r="E39" s="240"/>
      <c r="F39" s="240"/>
      <c r="G39" s="240"/>
      <c r="H39" s="240"/>
      <c r="I39" s="240"/>
      <c r="J39" s="240"/>
      <c r="K39" s="240"/>
      <c r="L39" s="241"/>
      <c r="M39" s="2"/>
      <c r="N39" s="247" t="s">
        <v>88</v>
      </c>
      <c r="O39" s="248"/>
      <c r="P39" s="153">
        <f>P36-P37-P38</f>
        <v>24285.993000000002</v>
      </c>
    </row>
    <row r="40" spans="1:21" ht="15" customHeight="1" x14ac:dyDescent="0.35">
      <c r="B40" s="239"/>
      <c r="C40" s="240"/>
      <c r="D40" s="240"/>
      <c r="E40" s="240"/>
      <c r="F40" s="240"/>
      <c r="G40" s="240"/>
      <c r="H40" s="240"/>
      <c r="I40" s="240"/>
      <c r="J40" s="240"/>
      <c r="K40" s="240"/>
      <c r="L40" s="241"/>
      <c r="M40" s="2"/>
      <c r="N40" s="155" t="s">
        <v>89</v>
      </c>
      <c r="O40" s="156">
        <f>IF(B12="Registered",18%,22%)</f>
        <v>0.22</v>
      </c>
      <c r="P40" s="153">
        <f>N25</f>
        <v>4371.4787399999996</v>
      </c>
    </row>
    <row r="41" spans="1:21" ht="15" customHeight="1" x14ac:dyDescent="0.35">
      <c r="B41" s="239"/>
      <c r="C41" s="240"/>
      <c r="D41" s="240"/>
      <c r="E41" s="240"/>
      <c r="F41" s="240"/>
      <c r="G41" s="240"/>
      <c r="H41" s="240"/>
      <c r="I41" s="240"/>
      <c r="J41" s="240"/>
      <c r="K41" s="240"/>
      <c r="L41" s="241"/>
      <c r="M41" s="2"/>
      <c r="N41" s="249" t="s">
        <v>90</v>
      </c>
      <c r="O41" s="250"/>
      <c r="P41" s="153">
        <f>P39+P40</f>
        <v>28657.471740000001</v>
      </c>
    </row>
    <row r="42" spans="1:21" ht="15" customHeight="1" thickBot="1" x14ac:dyDescent="0.4">
      <c r="B42" s="242"/>
      <c r="C42" s="243"/>
      <c r="D42" s="243"/>
      <c r="E42" s="243"/>
      <c r="F42" s="243"/>
      <c r="G42" s="243"/>
      <c r="H42" s="243"/>
      <c r="I42" s="243"/>
      <c r="J42" s="243"/>
      <c r="K42" s="243"/>
      <c r="L42" s="244"/>
      <c r="M42" s="157"/>
      <c r="N42" s="158" t="s">
        <v>91</v>
      </c>
      <c r="O42" s="159">
        <f>IF(B11="Filer",0.5%,2.5%)</f>
        <v>2.5000000000000001E-2</v>
      </c>
      <c r="P42" s="153">
        <f>O42*P41</f>
        <v>716.43679350000002</v>
      </c>
    </row>
    <row r="43" spans="1:21" ht="15.75" customHeight="1" thickBot="1" x14ac:dyDescent="0.4">
      <c r="N43" s="227" t="s">
        <v>92</v>
      </c>
      <c r="O43" s="228"/>
      <c r="P43" s="160">
        <f>P41+P42</f>
        <v>29373.908533500002</v>
      </c>
    </row>
    <row r="44" spans="1:21" ht="15" thickBot="1" x14ac:dyDescent="0.4">
      <c r="B44" s="161" t="s">
        <v>93</v>
      </c>
      <c r="C44" s="229"/>
      <c r="D44" s="229"/>
      <c r="E44" s="229"/>
      <c r="F44" s="229"/>
      <c r="G44" s="229"/>
      <c r="H44" s="229"/>
      <c r="I44" s="230"/>
      <c r="J44" s="231"/>
      <c r="K44" s="232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7" t="s">
        <v>45</v>
      </c>
      <c r="B2" s="207"/>
      <c r="C2" s="207"/>
    </row>
    <row r="3" spans="1:26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4" t="s">
        <v>122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26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26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26 16383:16384" x14ac:dyDescent="0.35">
      <c r="A10" s="214" t="s">
        <v>95</v>
      </c>
      <c r="B10" s="75">
        <v>34603831129533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26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26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26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S14" s="261" t="s">
        <v>117</v>
      </c>
      <c r="T14" s="261"/>
      <c r="U14" s="261"/>
      <c r="V14" s="261"/>
      <c r="W14" s="262" t="s">
        <v>119</v>
      </c>
      <c r="X14" s="262"/>
      <c r="Y14" s="262"/>
      <c r="Z14" s="262"/>
      <c r="XFD14" t="s">
        <v>75</v>
      </c>
    </row>
    <row r="15" spans="1:26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2" t="s">
        <v>109</v>
      </c>
      <c r="T15" s="182" t="s">
        <v>110</v>
      </c>
      <c r="U15" s="182" t="s">
        <v>114</v>
      </c>
      <c r="V15" s="182" t="s">
        <v>115</v>
      </c>
      <c r="W15" s="183" t="s">
        <v>109</v>
      </c>
      <c r="X15" s="183" t="s">
        <v>110</v>
      </c>
      <c r="Y15" s="183" t="s">
        <v>114</v>
      </c>
      <c r="Z15" s="183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0" t="s">
        <v>106</v>
      </c>
      <c r="T16" s="180">
        <v>1697</v>
      </c>
      <c r="U16" s="180" t="s">
        <v>111</v>
      </c>
      <c r="V16" s="180">
        <f>T16/40</f>
        <v>42.424999999999997</v>
      </c>
      <c r="W16" s="184" t="s">
        <v>106</v>
      </c>
      <c r="X16" s="184">
        <v>1664</v>
      </c>
      <c r="Y16" s="184" t="s">
        <v>111</v>
      </c>
      <c r="Z16" s="184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1" t="s">
        <v>108</v>
      </c>
      <c r="T17" s="180">
        <v>2322</v>
      </c>
      <c r="U17" s="180" t="s">
        <v>112</v>
      </c>
      <c r="V17" s="180">
        <f t="shared" ref="V17:V18" si="7">T17/40</f>
        <v>58.05</v>
      </c>
      <c r="W17" s="185" t="s">
        <v>108</v>
      </c>
      <c r="X17" s="184">
        <v>2277</v>
      </c>
      <c r="Y17" s="184" t="s">
        <v>112</v>
      </c>
      <c r="Z17" s="184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0" t="s">
        <v>107</v>
      </c>
      <c r="T18" s="180">
        <v>3216</v>
      </c>
      <c r="U18" s="180" t="s">
        <v>113</v>
      </c>
      <c r="V18" s="180">
        <f t="shared" si="7"/>
        <v>80.400000000000006</v>
      </c>
      <c r="W18" s="184" t="s">
        <v>107</v>
      </c>
      <c r="X18" s="184">
        <v>3153</v>
      </c>
      <c r="Y18" s="184" t="s">
        <v>113</v>
      </c>
      <c r="Z18" s="184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3"/>
        <v>944.32</v>
      </c>
      <c r="J19" s="117"/>
      <c r="K19" s="104">
        <f t="shared" si="4"/>
        <v>33.051200000000001</v>
      </c>
      <c r="L19" s="105">
        <f t="shared" si="5"/>
        <v>75.545600000000007</v>
      </c>
      <c r="M19" s="118">
        <f t="shared" si="6"/>
        <v>835.72320000000002</v>
      </c>
      <c r="N19" s="118">
        <f t="shared" si="0"/>
        <v>150.43017599999999</v>
      </c>
      <c r="O19" s="119">
        <f t="shared" si="1"/>
        <v>4.9307668800000002</v>
      </c>
      <c r="P19" s="120">
        <f t="shared" si="2"/>
        <v>991.08414287999994</v>
      </c>
      <c r="S19" s="263" t="s">
        <v>118</v>
      </c>
      <c r="T19" s="263"/>
      <c r="U19" s="263"/>
      <c r="V19" s="263"/>
      <c r="W19" s="264" t="s">
        <v>116</v>
      </c>
      <c r="X19" s="264"/>
      <c r="Y19" s="264"/>
      <c r="Z19" s="264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3"/>
        <v>944.32</v>
      </c>
      <c r="J20" s="117"/>
      <c r="K20" s="104">
        <f t="shared" si="4"/>
        <v>33.051200000000001</v>
      </c>
      <c r="L20" s="105">
        <f t="shared" si="5"/>
        <v>75.545600000000007</v>
      </c>
      <c r="M20" s="118">
        <f t="shared" si="6"/>
        <v>835.72320000000002</v>
      </c>
      <c r="N20" s="118">
        <f t="shared" si="0"/>
        <v>150.43017599999999</v>
      </c>
      <c r="O20" s="119">
        <f t="shared" si="1"/>
        <v>4.9307668800000002</v>
      </c>
      <c r="P20" s="120">
        <f t="shared" si="2"/>
        <v>991.08414287999994</v>
      </c>
      <c r="S20" s="182" t="s">
        <v>109</v>
      </c>
      <c r="T20" s="182" t="s">
        <v>110</v>
      </c>
      <c r="U20" s="182" t="s">
        <v>114</v>
      </c>
      <c r="V20" s="182" t="s">
        <v>115</v>
      </c>
      <c r="W20" s="182" t="s">
        <v>109</v>
      </c>
      <c r="X20" s="182" t="s">
        <v>110</v>
      </c>
      <c r="Y20" s="182" t="s">
        <v>114</v>
      </c>
      <c r="Z20" s="182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3"/>
        <v>1016.96</v>
      </c>
      <c r="J21" s="117"/>
      <c r="K21" s="104">
        <f t="shared" si="4"/>
        <v>35.593600000000002</v>
      </c>
      <c r="L21" s="105">
        <f t="shared" si="5"/>
        <v>81.356800000000007</v>
      </c>
      <c r="M21" s="118">
        <f t="shared" si="6"/>
        <v>900.00959999999998</v>
      </c>
      <c r="N21" s="118">
        <f t="shared" si="0"/>
        <v>162.00172799999999</v>
      </c>
      <c r="O21" s="119">
        <f t="shared" si="1"/>
        <v>5.31005664</v>
      </c>
      <c r="P21" s="120">
        <f t="shared" si="2"/>
        <v>1067.3213846400001</v>
      </c>
      <c r="S21" s="186" t="s">
        <v>106</v>
      </c>
      <c r="T21" s="186">
        <v>1610</v>
      </c>
      <c r="U21" s="186" t="s">
        <v>111</v>
      </c>
      <c r="V21" s="186">
        <f>T21/40</f>
        <v>40.25</v>
      </c>
      <c r="W21" s="188" t="s">
        <v>106</v>
      </c>
      <c r="X21" s="188">
        <v>1642</v>
      </c>
      <c r="Y21" s="188" t="s">
        <v>111</v>
      </c>
      <c r="Z21" s="188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7" t="s">
        <v>108</v>
      </c>
      <c r="T22" s="186">
        <v>2202</v>
      </c>
      <c r="U22" s="186" t="s">
        <v>112</v>
      </c>
      <c r="V22" s="186">
        <f t="shared" ref="V22:V25" si="9">T22/40</f>
        <v>55.05</v>
      </c>
      <c r="W22" s="189" t="s">
        <v>108</v>
      </c>
      <c r="X22" s="188">
        <v>2246</v>
      </c>
      <c r="Y22" s="188" t="s">
        <v>112</v>
      </c>
      <c r="Z22" s="188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6" t="s">
        <v>107</v>
      </c>
      <c r="T23" s="186">
        <v>3216</v>
      </c>
      <c r="U23" s="186" t="s">
        <v>113</v>
      </c>
      <c r="V23" s="186">
        <f t="shared" si="9"/>
        <v>80.400000000000006</v>
      </c>
      <c r="W23" s="188" t="s">
        <v>107</v>
      </c>
      <c r="X23" s="188">
        <v>3216</v>
      </c>
      <c r="Y23" s="188" t="s">
        <v>112</v>
      </c>
      <c r="Z23" s="188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6" t="s">
        <v>107</v>
      </c>
      <c r="T24" s="186">
        <v>3216</v>
      </c>
      <c r="U24" s="186" t="s">
        <v>113</v>
      </c>
      <c r="V24" s="186">
        <f t="shared" si="9"/>
        <v>80.400000000000006</v>
      </c>
      <c r="W24" s="188"/>
      <c r="X24" s="188"/>
      <c r="Y24" s="188" t="s">
        <v>112</v>
      </c>
      <c r="Z24" s="188">
        <f t="shared" si="10"/>
        <v>0</v>
      </c>
    </row>
    <row r="25" spans="1:26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2905.6000000000004</v>
      </c>
      <c r="J25" s="138"/>
      <c r="K25" s="139">
        <f t="shared" si="13"/>
        <v>101.696</v>
      </c>
      <c r="L25" s="140">
        <f t="shared" si="13"/>
        <v>232.44800000000004</v>
      </c>
      <c r="M25" s="141">
        <f t="shared" si="13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3049.4896704000003</v>
      </c>
      <c r="S25" s="186" t="s">
        <v>107</v>
      </c>
      <c r="T25" s="186">
        <v>3216</v>
      </c>
      <c r="U25" s="186" t="s">
        <v>113</v>
      </c>
      <c r="V25" s="186">
        <f t="shared" si="9"/>
        <v>80.400000000000006</v>
      </c>
      <c r="W25" s="188" t="s">
        <v>107</v>
      </c>
      <c r="X25" s="188">
        <v>3110</v>
      </c>
      <c r="Y25" s="188" t="s">
        <v>113</v>
      </c>
      <c r="Z25" s="188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2905.6000000000004</v>
      </c>
    </row>
    <row r="29" spans="1:26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232.44800000000004</v>
      </c>
    </row>
    <row r="30" spans="1:26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</v>
      </c>
    </row>
    <row r="31" spans="1:26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2571.4560000000006</v>
      </c>
    </row>
    <row r="32" spans="1:26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3034.3180800000005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27" t="s">
        <v>92</v>
      </c>
      <c r="O35" s="228"/>
      <c r="P35" s="160">
        <f>P33+P34</f>
        <v>3049.4896704000003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2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124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5.4615615615615601E+18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/>
      <c r="K20" s="104">
        <f t="shared" si="3"/>
        <v>30.508800000000004</v>
      </c>
      <c r="L20" s="105">
        <f t="shared" si="4"/>
        <v>69.734400000000008</v>
      </c>
      <c r="M20" s="118">
        <f t="shared" si="5"/>
        <v>771.43680000000006</v>
      </c>
      <c r="N20" s="118">
        <f t="shared" si="0"/>
        <v>138.85862399999999</v>
      </c>
      <c r="O20" s="119">
        <f t="shared" si="6"/>
        <v>4.5514771200000004</v>
      </c>
      <c r="P20" s="120">
        <f t="shared" si="1"/>
        <v>914.84690111999998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173.57327999999998</v>
      </c>
      <c r="O21" s="119">
        <f t="shared" si="6"/>
        <v>5.6893463999999998</v>
      </c>
      <c r="P21" s="120">
        <f t="shared" si="1"/>
        <v>1143.5586263999999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15.171590400000001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232.44800000000004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7" t="s">
        <v>92</v>
      </c>
      <c r="O35" s="228"/>
      <c r="P35" s="160">
        <f>P33+P34</f>
        <v>3049.4896703999998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3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4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126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7">
        <v>5.6415641561561596E+19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7909.7000000000007</v>
      </c>
      <c r="J25" s="138"/>
      <c r="K25" s="139">
        <f t="shared" si="9"/>
        <v>276.83950000000004</v>
      </c>
      <c r="L25" s="140">
        <f t="shared" si="9"/>
        <v>632.77599999999995</v>
      </c>
      <c r="M25" s="141">
        <f t="shared" si="9"/>
        <v>7000.0845000000008</v>
      </c>
      <c r="N25" s="142">
        <f>SUM(N16:N24)</f>
        <v>1260.01521</v>
      </c>
      <c r="O25" s="143">
        <f>SUM(O16:O24)</f>
        <v>41.30049855</v>
      </c>
      <c r="P25" s="144">
        <f>SUM(P16:P24)</f>
        <v>8301.4002085499997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7909.7000000000007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632.77599999999995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276.83950000000004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7000.0845000000008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1260.01521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8260.0997100000004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41.30049855</v>
      </c>
    </row>
    <row r="35" spans="2:16" ht="15.75" customHeight="1" thickBot="1" x14ac:dyDescent="0.4">
      <c r="N35" s="227" t="s">
        <v>92</v>
      </c>
      <c r="O35" s="228"/>
      <c r="P35" s="160">
        <f>P33+P34</f>
        <v>8301.4002085499997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3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127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35201799922061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150.43017599999999</v>
      </c>
      <c r="O20" s="119">
        <f t="shared" si="6"/>
        <v>4.9307668800000002</v>
      </c>
      <c r="P20" s="120">
        <f t="shared" si="1"/>
        <v>991.08414287999994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162.00172799999999</v>
      </c>
      <c r="O21" s="119">
        <f t="shared" si="6"/>
        <v>5.31005664</v>
      </c>
      <c r="P21" s="120">
        <f t="shared" si="1"/>
        <v>1067.3213846400001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2905.6000000000004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232.44800000000004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2571.4560000000006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3034.3180800000005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27" t="s">
        <v>92</v>
      </c>
      <c r="O35" s="228"/>
      <c r="P35" s="160">
        <f>P33+P34</f>
        <v>3049.4896704000003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5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128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651561651651651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150.43017599999999</v>
      </c>
      <c r="O20" s="119">
        <f t="shared" si="6"/>
        <v>4.9307668800000002</v>
      </c>
      <c r="P20" s="120">
        <f t="shared" si="1"/>
        <v>991.08414287999994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162.00172799999999</v>
      </c>
      <c r="O21" s="119">
        <f t="shared" si="6"/>
        <v>5.31005664</v>
      </c>
      <c r="P21" s="120">
        <f t="shared" si="1"/>
        <v>1067.3213846400001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2905.6000000000004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232.44800000000004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2571.4560000000006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3034.3180800000005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27" t="s">
        <v>92</v>
      </c>
      <c r="O35" s="228"/>
      <c r="P35" s="160">
        <f>P33+P34</f>
        <v>3049.4896704000003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3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6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129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1.3213213213213199E+18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101.69600000000001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7" t="s">
        <v>92</v>
      </c>
      <c r="O35" s="228"/>
      <c r="P35" s="160">
        <f>P33+P34</f>
        <v>3049.4896703999998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7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130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>
        <v>3520114769301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101.69600000000001</v>
      </c>
      <c r="L25" s="140">
        <f t="shared" si="9"/>
        <v>232.44800000000001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2905.6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232.44800000000001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101.69600000000001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2571.4560000000001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3034.31808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27" t="s">
        <v>92</v>
      </c>
      <c r="O35" s="228"/>
      <c r="P35" s="160">
        <f>P33+P34</f>
        <v>3049.4896703999998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E26" sqref="E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8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131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125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>
        <v>6.5151561561561503E+22</v>
      </c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2098.5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167.88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73.447500000000005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1857.1724999999999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2191.4635499999999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7" t="s">
        <v>92</v>
      </c>
      <c r="O35" s="228"/>
      <c r="P35" s="160">
        <f>P33+P34</f>
        <v>2202.4208677500001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9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8" thickBot="1" x14ac:dyDescent="0.4">
      <c r="A13" s="251"/>
      <c r="B13" s="190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ht="17.5" x14ac:dyDescent="0.35">
      <c r="A10" s="214" t="s">
        <v>95</v>
      </c>
      <c r="B10" s="190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48</v>
      </c>
      <c r="C11" s="77" t="str">
        <f>IF($O34&gt;2.49%,"No","Yes")</f>
        <v>Yes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98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7" t="s">
        <v>45</v>
      </c>
      <c r="B2" s="207"/>
      <c r="C2" s="207"/>
    </row>
    <row r="3" spans="1:19 16383:16384" ht="15" customHeight="1" x14ac:dyDescent="0.35">
      <c r="A3" s="208" t="s">
        <v>46</v>
      </c>
      <c r="B3" s="208"/>
      <c r="C3" s="208"/>
      <c r="F3" s="70"/>
      <c r="G3" s="71"/>
      <c r="K3" s="209" t="s">
        <v>47</v>
      </c>
      <c r="L3" s="209"/>
      <c r="M3" s="209"/>
      <c r="N3" s="208">
        <v>10</v>
      </c>
      <c r="O3" s="208"/>
      <c r="P3" s="208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8" t="s">
        <v>94</v>
      </c>
      <c r="B4" s="208"/>
      <c r="C4" s="208"/>
      <c r="F4" s="70"/>
      <c r="G4" s="71"/>
      <c r="K4" s="209" t="s">
        <v>49</v>
      </c>
      <c r="L4" s="209"/>
      <c r="M4" s="209"/>
      <c r="N4" s="210">
        <f ca="1">TODAY()</f>
        <v>46219</v>
      </c>
      <c r="O4" s="210"/>
      <c r="P4" s="21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4" t="s">
        <v>102</v>
      </c>
      <c r="B5" s="254"/>
      <c r="C5" s="254"/>
      <c r="F5" s="70"/>
      <c r="G5" s="71"/>
      <c r="K5" s="209" t="s">
        <v>51</v>
      </c>
      <c r="L5" s="209"/>
      <c r="M5" s="209"/>
      <c r="N5" s="210">
        <f ca="1">N4-1</f>
        <v>46218</v>
      </c>
      <c r="O5" s="208"/>
      <c r="P5" s="208"/>
      <c r="R5" s="70"/>
      <c r="S5" s="71"/>
    </row>
    <row r="6" spans="1:19 16383:16384" ht="15" customHeight="1" x14ac:dyDescent="0.35">
      <c r="A6" s="209" t="s">
        <v>103</v>
      </c>
      <c r="B6" s="209"/>
      <c r="C6" s="209"/>
      <c r="F6" s="70"/>
      <c r="G6" s="74"/>
      <c r="K6" s="209" t="s">
        <v>52</v>
      </c>
      <c r="L6" s="209"/>
      <c r="M6" s="209"/>
      <c r="N6" s="211" t="s">
        <v>97</v>
      </c>
      <c r="O6" s="211"/>
      <c r="P6" s="21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9"/>
      <c r="B7" s="209"/>
      <c r="C7" s="209"/>
      <c r="F7" s="70"/>
      <c r="G7" s="74"/>
      <c r="K7" s="209"/>
      <c r="L7" s="209"/>
      <c r="M7" s="209"/>
      <c r="N7" s="211"/>
      <c r="O7" s="211"/>
      <c r="P7" s="21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3"/>
      <c r="B8" s="213"/>
      <c r="C8" s="213"/>
      <c r="F8" s="70"/>
      <c r="G8" s="74"/>
      <c r="K8" s="209"/>
      <c r="L8" s="209"/>
      <c r="M8" s="209"/>
      <c r="N8" s="211"/>
      <c r="O8" s="211"/>
      <c r="P8" s="211"/>
      <c r="R8" s="70"/>
      <c r="S8" s="74"/>
    </row>
    <row r="9" spans="1:19 16383:16384" x14ac:dyDescent="0.35">
      <c r="A9" s="213"/>
      <c r="B9" s="213"/>
      <c r="C9" s="213"/>
      <c r="F9" s="70"/>
      <c r="G9" s="74"/>
      <c r="K9" s="209"/>
      <c r="L9" s="209"/>
      <c r="M9" s="209"/>
      <c r="N9" s="211"/>
      <c r="O9" s="211"/>
      <c r="P9" s="211"/>
      <c r="R9" s="70"/>
      <c r="S9" s="74"/>
      <c r="XFD9" t="s">
        <v>55</v>
      </c>
    </row>
    <row r="10" spans="1:19 16383:16384" x14ac:dyDescent="0.35">
      <c r="A10" s="214" t="s">
        <v>95</v>
      </c>
      <c r="B10" s="75"/>
      <c r="C10" s="75"/>
      <c r="F10" s="70"/>
      <c r="G10" s="71"/>
      <c r="K10" s="209" t="s">
        <v>56</v>
      </c>
      <c r="L10" s="209"/>
      <c r="M10" s="209"/>
      <c r="N10" s="208" t="s">
        <v>57</v>
      </c>
      <c r="O10" s="208"/>
      <c r="P10" s="208"/>
      <c r="R10" s="70"/>
      <c r="S10" s="71"/>
      <c r="XFD10" t="s">
        <v>58</v>
      </c>
    </row>
    <row r="11" spans="1:19 16383:16384" x14ac:dyDescent="0.35">
      <c r="A11" s="214"/>
      <c r="B11" s="76" t="s">
        <v>50</v>
      </c>
      <c r="C11" s="77" t="str">
        <f>IF($O34&gt;2.49%,"No","Yes")</f>
        <v>No</v>
      </c>
      <c r="F11" s="70"/>
      <c r="G11" s="71"/>
      <c r="K11" s="209" t="s">
        <v>59</v>
      </c>
      <c r="L11" s="209"/>
      <c r="M11" s="209"/>
      <c r="N11" s="208" t="s">
        <v>55</v>
      </c>
      <c r="O11" s="208"/>
      <c r="P11" s="208"/>
      <c r="R11" s="70"/>
      <c r="S11" s="71"/>
    </row>
    <row r="12" spans="1:19 16383:16384" ht="14.65" customHeight="1" x14ac:dyDescent="0.35">
      <c r="A12" s="214" t="s">
        <v>60</v>
      </c>
      <c r="B12" s="76" t="s">
        <v>54</v>
      </c>
      <c r="C12" s="77" t="str">
        <f>IF($O32&gt;21.99%,"No","Yes")</f>
        <v>No</v>
      </c>
      <c r="F12" s="70"/>
      <c r="G12" s="71"/>
      <c r="K12" s="209" t="s">
        <v>61</v>
      </c>
      <c r="L12" s="209"/>
      <c r="M12" s="209"/>
      <c r="N12" s="208"/>
      <c r="O12" s="208"/>
      <c r="P12" s="208"/>
      <c r="R12" s="70"/>
      <c r="S12" s="71"/>
      <c r="XFD12" t="s">
        <v>62</v>
      </c>
    </row>
    <row r="13" spans="1:19 16383:16384" ht="15" thickBot="1" x14ac:dyDescent="0.4">
      <c r="A13" s="251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2" t="s">
        <v>64</v>
      </c>
      <c r="B14" s="221"/>
      <c r="C14" s="215" t="s">
        <v>65</v>
      </c>
      <c r="D14" s="80" t="s">
        <v>2</v>
      </c>
      <c r="E14" s="81" t="s">
        <v>66</v>
      </c>
      <c r="F14" s="82" t="s">
        <v>67</v>
      </c>
      <c r="G14" s="255" t="s">
        <v>68</v>
      </c>
      <c r="H14" s="256"/>
      <c r="I14" s="257" t="s">
        <v>69</v>
      </c>
      <c r="J14" s="255" t="s">
        <v>70</v>
      </c>
      <c r="K14" s="259"/>
      <c r="L14" s="256"/>
      <c r="M14" s="257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3"/>
      <c r="B15" s="222"/>
      <c r="C15" s="21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8"/>
      <c r="J15" s="88" t="s">
        <v>78</v>
      </c>
      <c r="K15" s="90" t="s">
        <v>79</v>
      </c>
      <c r="L15" s="91" t="s">
        <v>80</v>
      </c>
      <c r="M15" s="25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3" t="s">
        <v>84</v>
      </c>
      <c r="B25" s="234"/>
      <c r="C25" s="235"/>
      <c r="D25" s="229"/>
      <c r="E25" s="229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6" t="s">
        <v>85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8"/>
      <c r="N28" s="245" t="s">
        <v>86</v>
      </c>
      <c r="O28" s="246"/>
      <c r="P28" s="152">
        <f>I25</f>
        <v>0</v>
      </c>
    </row>
    <row r="29" spans="1:19 16384:16384" ht="15" customHeight="1" x14ac:dyDescent="0.35">
      <c r="B29" s="239"/>
      <c r="C29" s="240"/>
      <c r="D29" s="240"/>
      <c r="E29" s="240"/>
      <c r="F29" s="240"/>
      <c r="G29" s="240"/>
      <c r="H29" s="240"/>
      <c r="I29" s="240"/>
      <c r="J29" s="240"/>
      <c r="K29" s="240"/>
      <c r="L29" s="241"/>
      <c r="N29" s="247" t="s">
        <v>87</v>
      </c>
      <c r="O29" s="248"/>
      <c r="P29" s="153">
        <f>L25</f>
        <v>0</v>
      </c>
    </row>
    <row r="30" spans="1:19 16384:16384" ht="15" customHeight="1" x14ac:dyDescent="0.35">
      <c r="B30" s="239"/>
      <c r="C30" s="240"/>
      <c r="D30" s="240"/>
      <c r="E30" s="240"/>
      <c r="F30" s="240"/>
      <c r="G30" s="240"/>
      <c r="H30" s="240"/>
      <c r="I30" s="240"/>
      <c r="J30" s="240"/>
      <c r="K30" s="240"/>
      <c r="L30" s="241"/>
      <c r="N30" s="247" t="s">
        <v>4</v>
      </c>
      <c r="O30" s="248"/>
      <c r="P30" s="154">
        <f>K25</f>
        <v>0</v>
      </c>
    </row>
    <row r="31" spans="1:19 16384:16384" ht="15" customHeight="1" x14ac:dyDescent="0.35">
      <c r="B31" s="239"/>
      <c r="C31" s="240"/>
      <c r="D31" s="240"/>
      <c r="E31" s="240"/>
      <c r="F31" s="240"/>
      <c r="G31" s="240"/>
      <c r="H31" s="240"/>
      <c r="I31" s="240"/>
      <c r="J31" s="240"/>
      <c r="K31" s="240"/>
      <c r="L31" s="241"/>
      <c r="M31" s="2"/>
      <c r="N31" s="247" t="s">
        <v>88</v>
      </c>
      <c r="O31" s="248"/>
      <c r="P31" s="153">
        <f>P28-P29-P30</f>
        <v>0</v>
      </c>
    </row>
    <row r="32" spans="1:19 16384:16384" ht="15" customHeight="1" x14ac:dyDescent="0.35">
      <c r="B32" s="239"/>
      <c r="C32" s="240"/>
      <c r="D32" s="240"/>
      <c r="E32" s="240"/>
      <c r="F32" s="240"/>
      <c r="G32" s="240"/>
      <c r="H32" s="240"/>
      <c r="I32" s="240"/>
      <c r="J32" s="240"/>
      <c r="K32" s="240"/>
      <c r="L32" s="241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9"/>
      <c r="C33" s="240"/>
      <c r="D33" s="240"/>
      <c r="E33" s="240"/>
      <c r="F33" s="240"/>
      <c r="G33" s="240"/>
      <c r="H33" s="240"/>
      <c r="I33" s="240"/>
      <c r="J33" s="240"/>
      <c r="K33" s="240"/>
      <c r="L33" s="241"/>
      <c r="M33" s="2"/>
      <c r="N33" s="249" t="s">
        <v>90</v>
      </c>
      <c r="O33" s="250"/>
      <c r="P33" s="153">
        <f>P31+P32</f>
        <v>0</v>
      </c>
    </row>
    <row r="34" spans="2:16" ht="15" customHeight="1" thickBot="1" x14ac:dyDescent="0.4">
      <c r="B34" s="242"/>
      <c r="C34" s="243"/>
      <c r="D34" s="243"/>
      <c r="E34" s="243"/>
      <c r="F34" s="243"/>
      <c r="G34" s="243"/>
      <c r="H34" s="243"/>
      <c r="I34" s="243"/>
      <c r="J34" s="243"/>
      <c r="K34" s="243"/>
      <c r="L34" s="244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7" t="s">
        <v>92</v>
      </c>
      <c r="O35" s="228"/>
      <c r="P35" s="160">
        <f>P33+P34</f>
        <v>0</v>
      </c>
    </row>
    <row r="36" spans="2:16" ht="15" thickBot="1" x14ac:dyDescent="0.4">
      <c r="B36" s="161" t="s">
        <v>93</v>
      </c>
      <c r="C36" s="229"/>
      <c r="D36" s="229"/>
      <c r="E36" s="229"/>
      <c r="F36" s="229"/>
      <c r="G36" s="229"/>
      <c r="H36" s="229"/>
      <c r="I36" s="230"/>
      <c r="J36" s="231"/>
      <c r="K36" s="232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2026-07-16T04:03:34Z</dcterms:modified>
</cp:coreProperties>
</file>