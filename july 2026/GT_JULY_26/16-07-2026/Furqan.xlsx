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BAB7CB70-AA1C-49C8-BFD8-BB03D3E18E57}" xr6:coauthVersionLast="47" xr6:coauthVersionMax="47" xr10:uidLastSave="{00000000-0000-0000-0000-000000000000}"/>
  <bookViews>
    <workbookView xWindow="-110" yWindow="-110" windowWidth="19420" windowHeight="10420" tabRatio="949" activeTab="7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M25" i="26" l="1"/>
  <c r="L21" i="17"/>
  <c r="K21" i="17"/>
  <c r="L21" i="19"/>
  <c r="K21" i="19"/>
  <c r="L20" i="23"/>
  <c r="K20" i="23"/>
  <c r="L20" i="19"/>
  <c r="L20" i="18"/>
  <c r="K20" i="18"/>
  <c r="P33" i="34"/>
  <c r="P34" i="34" s="1"/>
  <c r="P35" i="34" s="1"/>
  <c r="U32" i="15" s="1"/>
  <c r="L19" i="19"/>
  <c r="K19" i="19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19" i="19" l="1"/>
  <c r="N19" i="19" s="1"/>
  <c r="O19" i="19" s="1"/>
  <c r="M21" i="19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0" i="20" l="1"/>
  <c r="P22" i="2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7"/>
  <c r="O25" i="17" s="1"/>
  <c r="N25" i="17"/>
  <c r="P32" i="17" s="1"/>
  <c r="P33" i="20" l="1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<sst xmlns="http://schemas.openxmlformats.org/spreadsheetml/2006/main" count="1637" uniqueCount="134">
  <si>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</si>
  <si>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</si>
  <si>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</si>
  <si>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</si>
  <si>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</si>
  <si>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</si>
  <si>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</si>
  <si>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</si>
  <si>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</si>
  <si>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</si>
  <si>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</si>
  <si>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</si>
  <si>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</si>
  <si>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</si>
  <si>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</si>
  <si>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</si>
  <si>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</si>
  <si>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</si>
  <si>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</si>
  <si>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</si>
  <si>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</si>
  <si>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</si>
  <si>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</si>
  <si>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</si>
  <si>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</si>
  <si>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</si>
  <si>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</si>
  <si>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</si>
  <si>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</si>
  <si>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</si>
  <si>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</si>
  <si>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</si>
  <si>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</si>
  <si>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</si>
  <si>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</si>
  <si>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</si>
  <si>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</si>
  <si>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</si>
  <si>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</si>
  <si>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</si>
  <si>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</si>
  <si>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</si>
  <si>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</si>
  <si>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</si>
  <si>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</si>
  <si>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</si>
  <si>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</si>
  <si>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</si>
  <si>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</si>
  <si>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</si>
  <si>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</si>
  <si>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</si>
  <si>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</si>
  <si>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</si>
  <si>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</si>
  <si>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</si>
  <si>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</si>
  <si>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</si>
  <si>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</si>
  <si>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</si>
  <si>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</si>
  <si>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</si>
  <si>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</si>
  <si>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</si>
  <si>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</si>
  <si>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</si>
  <si>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</si>
  <si>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</si>
  <si>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</si>
  <si>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</si>
  <si>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</si>
  <si>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</si>
  <si>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</si>
  <si>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</si>
  <si>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</si>
  <si>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</si>
  <si>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</si>
  <si>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</si>
  <si>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</si>
  <si>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</si>
  <si>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</si>
  <si>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</si>
  <si>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</si>
  <si>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</si>
  <si>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</si>
  <si>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</si>
  <si>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</si>
  <si>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</si>
  <si>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</si>
  <si>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</si>
  <si>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</si>
  <si>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</si>
  <si>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</si>
  <si>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</si>
  <si>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</si>
  <si>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</si>
  <si>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</si>
  <si>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</si>
  <si>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</si>
  <si>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</si>
  <si>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</si>
  <si>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</si>
  <si>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</si>
  <si>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</si>
  <si>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</si>
  <si>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</si>
  <si>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</si>
  <si>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</si>
  <si>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</si>
  <si>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</si>
  <si>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</si>
  <si>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</si>
  <si>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</si>
  <si>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</si>
  <si>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</si>
  <si>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</si>
  <si>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</si>
  <si>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</si>
  <si>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</si>
  <si>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</si>
  <si>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Shop Bill Summary(Furqan)</t>
  </si>
  <si>
    <t xml:space="preserve">Customer Name : Shell Petro Mart </t>
  </si>
  <si>
    <t>Address: Ferozpur road LOS</t>
  </si>
  <si>
    <t>336018-4</t>
  </si>
  <si>
    <t>Customer Name : Abdullah Store</t>
  </si>
  <si>
    <t xml:space="preserve">Address: Kank Mandi </t>
  </si>
  <si>
    <t>6925517-8</t>
  </si>
  <si>
    <t xml:space="preserve">Customer Name : Saeed Bakery </t>
  </si>
  <si>
    <t xml:space="preserve">Address: Kanak Mandi </t>
  </si>
  <si>
    <t xml:space="preserve">Customer Name : Hafiz Store </t>
  </si>
  <si>
    <t>250547-8</t>
  </si>
  <si>
    <t>Customer Name : Mahboob Store</t>
  </si>
  <si>
    <t xml:space="preserve">Address: Gwal Mandi </t>
  </si>
  <si>
    <t>5215632-6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</si>
</sst>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zoomScale="70" zoomScaleNormal="70" workbookViewId="0">
      <selection activeCell="U14" sqref="U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46218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96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46217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120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Shell Petro Mart </v>
      </c>
      <c r="U14" s="164">
        <f>+'1'!P35</f>
        <v>8301.4002085499997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Abdullah Store</v>
      </c>
      <c r="U15" s="164">
        <f>+'2'!P35</f>
        <v>1607.8299379200002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40</v>
      </c>
      <c r="I16" s="1">
        <f>(G16*D16)*F16+H16*F16</f>
        <v>2098.5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73.447500000000005</v>
      </c>
      <c r="L16" s="174">
        <f>+'1'!L16+'2'!L16+'4'!L16+'3'!L16+'5'!L16+'6'!L16+'7'!L16+'8'!L16+'9'!L16+'10'!L16</f>
        <v>167.88</v>
      </c>
      <c r="M16" s="106">
        <f>I16-K16-L16</f>
        <v>1857.1725000000001</v>
      </c>
      <c r="N16" s="101">
        <f>+'1'!N16+'2'!N16+'4'!N16+'3'!N16+'5'!N16+'6'!N16+'7'!N16+'8'!N16+'9'!N16+'10'!N16</f>
        <v>334.29104999999998</v>
      </c>
      <c r="O16" s="101">
        <f>+'1'!O16+'2'!O16+'4'!O16+'3'!O16+'5'!O16+'6'!O16+'7'!O16+'8'!O16+'9'!O16+'10'!O16</f>
        <v>10.95731775</v>
      </c>
      <c r="P16" s="105">
        <f t="shared" ref="P16:P24" si="0">M16+N16+O16</f>
        <v>2202.4208677500001</v>
      </c>
      <c r="Q16" s="108"/>
      <c r="T16" s="163" t="str">
        <f>+'3'!A5</f>
        <v xml:space="preserve">Customer Name : Saeed Bakery </v>
      </c>
      <c r="U16" s="164">
        <f>+'3'!P35</f>
        <v>3049.4896703999998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 xml:space="preserve">Customer Name : Hafiz Store </v>
      </c>
      <c r="U17" s="164">
        <f>+'4'!P35</f>
        <v>3049.4896703999998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Mahboob Store</v>
      </c>
      <c r="U18" s="164">
        <f>+'5'!P35</f>
        <v>9148.4690111999989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135</v>
      </c>
      <c r="I19" s="1">
        <f t="shared" si="1"/>
        <v>9806.4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343.22400000000005</v>
      </c>
      <c r="L19" s="174">
        <f>+'1'!L19+'2'!L19+'4'!L19+'3'!L19+'5'!L19+'6'!L19+'7'!L19+'8'!L19+'9'!L19+'10'!L19</f>
        <v>784.51199999999994</v>
      </c>
      <c r="M19" s="118">
        <f t="shared" si="2"/>
        <v>8678.6639999999989</v>
      </c>
      <c r="N19" s="101">
        <f>+'1'!N19+'2'!N19+'4'!N19+'3'!N19+'5'!N19+'6'!N19+'7'!N19+'8'!N19+'9'!N19+'10'!N19</f>
        <v>1562.1595200000002</v>
      </c>
      <c r="O19" s="101">
        <f>+'1'!O19+'2'!O19+'4'!O19+'3'!O19+'5'!O19+'6'!O19+'7'!O19+'8'!O19+'9'!O19+'10'!O19</f>
        <v>51.204117599999996</v>
      </c>
      <c r="P19" s="120">
        <f t="shared" si="0"/>
        <v>10292.027637599998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70</v>
      </c>
      <c r="I20" s="1">
        <f t="shared" si="1"/>
        <v>5084.8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177.96800000000002</v>
      </c>
      <c r="L20" s="174">
        <f>+'1'!L20+'2'!L20+'4'!L20+'3'!L20+'5'!L20+'6'!L20+'7'!L20+'8'!L20+'9'!L20+'10'!L20</f>
        <v>406.78399999999999</v>
      </c>
      <c r="M20" s="118">
        <f t="shared" si="2"/>
        <v>4500.0480000000007</v>
      </c>
      <c r="N20" s="101">
        <f>+'1'!N20+'2'!N20+'4'!N20+'3'!N20+'5'!N20+'6'!N20+'7'!N20+'8'!N20+'9'!N20+'10'!N20</f>
        <v>810.00864000000001</v>
      </c>
      <c r="O20" s="101">
        <f>+'1'!O20+'2'!O20+'4'!O20+'3'!O20+'5'!O20+'6'!O20+'7'!O20+'8'!O20+'9'!O20+'10'!O20</f>
        <v>26.550283199999999</v>
      </c>
      <c r="P20" s="120">
        <f t="shared" si="0"/>
        <v>5336.6069232000009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75</v>
      </c>
      <c r="I21" s="1">
        <f t="shared" si="1"/>
        <v>5448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190.68</v>
      </c>
      <c r="L21" s="174">
        <f>+'1'!L21+'2'!L21+'4'!L21+'3'!L21+'5'!L21+'6'!L21+'7'!L21+'8'!L21+'9'!L21+'10'!L21</f>
        <v>435.84000000000003</v>
      </c>
      <c r="M21" s="118">
        <f t="shared" si="2"/>
        <v>4821.4799999999996</v>
      </c>
      <c r="N21" s="101">
        <f>+'1'!N21+'2'!N21+'4'!N21+'3'!N21+'5'!N21+'6'!N21+'7'!N21+'8'!N21+'9'!N21+'10'!N21</f>
        <v>867.8664</v>
      </c>
      <c r="O21" s="101">
        <f>+'1'!O21+'2'!O21+'4'!O21+'3'!O21+'5'!O21+'6'!O21+'7'!O21+'8'!O21+'9'!O21+'10'!O21</f>
        <v>28.446731999999997</v>
      </c>
      <c r="P21" s="120">
        <f t="shared" si="0"/>
        <v>5717.7931319999998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40</v>
      </c>
      <c r="I22" s="1">
        <f t="shared" si="1"/>
        <v>1569.2000000000003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134.9512</v>
      </c>
      <c r="L22" s="174">
        <f>+'1'!L22+'2'!L22+'4'!L22+'3'!L22+'5'!L22+'6'!L22+'7'!L22+'8'!L22+'9'!L22+'10'!L22</f>
        <v>78.460000000000022</v>
      </c>
      <c r="M22" s="118">
        <f t="shared" si="2"/>
        <v>1355.7888000000003</v>
      </c>
      <c r="N22" s="101">
        <f>+'1'!N22+'2'!N22+'4'!N22+'3'!N22+'5'!N22+'6'!N22+'7'!N22+'8'!N22+'9'!N22+'10'!N22</f>
        <v>244.04198400000004</v>
      </c>
      <c r="O22" s="101">
        <f>+'1'!O22+'2'!O22+'4'!O22+'3'!O22+'5'!O22+'6'!O22+'7'!O22+'8'!O22+'9'!O22+'10'!O22</f>
        <v>7.9991539200000012</v>
      </c>
      <c r="P22" s="120">
        <f t="shared" si="0"/>
        <v>1607.8299379200002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8" t="s">
        <v>84</v>
      </c>
      <c r="B25" s="219"/>
      <c r="C25" s="220">
        <f>H25/40</f>
        <v>9</v>
      </c>
      <c r="D25" s="214"/>
      <c r="E25" s="214"/>
      <c r="F25" s="214"/>
      <c r="G25" s="175">
        <f t="shared" ref="G25:M25" si="3">SUM(G16:G24)</f>
        <v>0</v>
      </c>
      <c r="H25" s="176">
        <f t="shared" si="3"/>
        <v>360</v>
      </c>
      <c r="I25" s="177">
        <f t="shared" si="3"/>
        <v>24006.9</v>
      </c>
      <c r="J25" s="176">
        <f t="shared" si="3"/>
        <v>0</v>
      </c>
      <c r="K25" s="177">
        <f t="shared" si="3"/>
        <v>920.27070000000003</v>
      </c>
      <c r="L25" s="178">
        <f t="shared" si="3"/>
        <v>1873.4760000000001</v>
      </c>
      <c r="M25" s="141">
        <f t="shared" si="3"/>
        <v>21213.153299999998</v>
      </c>
      <c r="N25" s="142">
        <f>SUM(N16:N24)</f>
        <v>3818.3675939999998</v>
      </c>
      <c r="O25" s="143">
        <f>SUM(O16:O24)</f>
        <v>125.15760447</v>
      </c>
      <c r="P25" s="144">
        <f>SUM(P16:P24)</f>
        <v>25156.678498469999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25156.678498469999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24006.9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1873.4760000000001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920.27070000000003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21213.153300000002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3818.3675939999998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25031.520894000001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625.78802235000012</v>
      </c>
    </row>
    <row r="43" spans="1:21" ht="15.75" customHeight="1" thickBot="1" x14ac:dyDescent="0.4">
      <c r="N43" s="212" t="s">
        <v>92</v>
      </c>
      <c r="O43" s="213"/>
      <c r="P43" s="160">
        <f>P41+P42</f>
        <v>25657.308916350001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3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46218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46217</v>
      </c>
      <c r="O5" s="239"/>
      <c r="P5" s="239"/>
      <c r="R5" s="70"/>
      <c r="S5" s="71"/>
    </row>
    <row r="6" spans="1:26 16383:16384" ht="15" customHeight="1" x14ac:dyDescent="0.35">
      <c r="A6" s="238" t="s">
        <v>122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 t="s">
        <v>123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 t="shared" ref="O16:O24" si="1">(N16+M16)*$O$15</f>
        <v>10.95731775</v>
      </c>
      <c r="P16" s="105">
        <f t="shared" ref="P16:P24" si="2">M16+N16+O16</f>
        <v>2202.4208677500001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/>
      <c r="K19" s="104">
        <f t="shared" si="4"/>
        <v>101.69600000000001</v>
      </c>
      <c r="L19" s="105">
        <f t="shared" si="5"/>
        <v>232.44800000000001</v>
      </c>
      <c r="M19" s="118">
        <f t="shared" si="6"/>
        <v>2571.4560000000001</v>
      </c>
      <c r="N19" s="118">
        <f t="shared" si="0"/>
        <v>462.86207999999999</v>
      </c>
      <c r="O19" s="119">
        <f t="shared" si="1"/>
        <v>15.171590399999999</v>
      </c>
      <c r="P19" s="120">
        <f t="shared" si="2"/>
        <v>3049.4896703999998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3"/>
        <v>1452.8</v>
      </c>
      <c r="J20" s="117"/>
      <c r="K20" s="104">
        <f t="shared" si="4"/>
        <v>50.848000000000006</v>
      </c>
      <c r="L20" s="105">
        <f t="shared" si="5"/>
        <v>116.224</v>
      </c>
      <c r="M20" s="118">
        <f t="shared" si="6"/>
        <v>1285.7280000000001</v>
      </c>
      <c r="N20" s="118">
        <f t="shared" si="0"/>
        <v>231.43104</v>
      </c>
      <c r="O20" s="119">
        <f t="shared" si="1"/>
        <v>7.5857951999999997</v>
      </c>
      <c r="P20" s="120">
        <f t="shared" si="2"/>
        <v>1524.7448351999999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3"/>
        <v>1452.8</v>
      </c>
      <c r="J21" s="117"/>
      <c r="K21" s="104">
        <f t="shared" si="4"/>
        <v>50.848000000000006</v>
      </c>
      <c r="L21" s="105">
        <f t="shared" si="5"/>
        <v>116.224</v>
      </c>
      <c r="M21" s="118">
        <f t="shared" si="6"/>
        <v>1285.7280000000001</v>
      </c>
      <c r="N21" s="118">
        <f t="shared" si="0"/>
        <v>231.43104</v>
      </c>
      <c r="O21" s="119">
        <f t="shared" si="1"/>
        <v>7.5857951999999997</v>
      </c>
      <c r="P21" s="120">
        <f t="shared" si="2"/>
        <v>1524.7448351999999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120</v>
      </c>
      <c r="I25" s="137">
        <f t="shared" si="13"/>
        <v>7909.7000000000007</v>
      </c>
      <c r="J25" s="138"/>
      <c r="K25" s="139">
        <f t="shared" si="13"/>
        <v>276.83950000000004</v>
      </c>
      <c r="L25" s="140">
        <f t="shared" si="13"/>
        <v>632.77600000000007</v>
      </c>
      <c r="M25" s="141">
        <f t="shared" si="13"/>
        <v>7000.0845000000008</v>
      </c>
      <c r="N25" s="142">
        <f>SUM(N16:N24)</f>
        <v>1260.0152099999998</v>
      </c>
      <c r="O25" s="143">
        <f>SUM(O16:O24)</f>
        <v>41.30049855</v>
      </c>
      <c r="P25" s="144">
        <f>SUM(P16:P24)</f>
        <v>8301.4002085499997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7909.7000000000007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632.77600000000007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276.83950000000004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7000.0845000000008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1260.0152099999998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8260.0997100000004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41.30049855</v>
      </c>
    </row>
    <row r="35" spans="2:16" ht="15.75" customHeight="1" thickBot="1" x14ac:dyDescent="0.4">
      <c r="N35" s="212" t="s">
        <v>92</v>
      </c>
      <c r="O35" s="213"/>
      <c r="P35" s="160">
        <f>P33+P34</f>
        <v>8301.4002085499997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46218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124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46217</v>
      </c>
      <c r="O5" s="239"/>
      <c r="P5" s="239"/>
      <c r="R5" s="70"/>
      <c r="S5" s="71"/>
    </row>
    <row r="6" spans="1:19 16383:16384" ht="15" customHeight="1" x14ac:dyDescent="0.35">
      <c r="A6" s="238" t="s">
        <v>125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126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7.9991539200000012</v>
      </c>
      <c r="P25" s="144">
        <f>SUM(P16:P24)</f>
        <v>1607.8299379200002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1569.2000000000003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78.460000000000022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134.9512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1355.7888000000003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1599.8307840000002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7.9991539200000012</v>
      </c>
    </row>
    <row r="35" spans="2:16" ht="15.75" customHeight="1" thickBot="1" x14ac:dyDescent="0.4">
      <c r="N35" s="212" t="s">
        <v>92</v>
      </c>
      <c r="O35" s="213"/>
      <c r="P35" s="160">
        <f>P33+P34</f>
        <v>1607.8299379200002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46218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127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46217</v>
      </c>
      <c r="O5" s="239"/>
      <c r="P5" s="239"/>
      <c r="R5" s="70"/>
      <c r="S5" s="71"/>
    </row>
    <row r="6" spans="1:19 16383:16384" ht="15" customHeight="1" x14ac:dyDescent="0.35">
      <c r="A6" s="238" t="s">
        <v>128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 t="s">
        <v>126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173.57327999999998</v>
      </c>
      <c r="O19" s="119">
        <f t="shared" si="6"/>
        <v>5.6893463999999998</v>
      </c>
      <c r="P19" s="120">
        <f t="shared" si="1"/>
        <v>1143.5586263999999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3.7928975999999999</v>
      </c>
      <c r="P20" s="120">
        <f t="shared" si="1"/>
        <v>762.37241759999995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173.57327999999998</v>
      </c>
      <c r="O21" s="119">
        <f t="shared" si="6"/>
        <v>5.6893463999999998</v>
      </c>
      <c r="P21" s="120">
        <f t="shared" si="1"/>
        <v>1143.5586263999999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</v>
      </c>
      <c r="L25" s="140">
        <f t="shared" si="9"/>
        <v>232.44799999999998</v>
      </c>
      <c r="M25" s="141">
        <f t="shared" si="9"/>
        <v>2571.4559999999997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2905.6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232.44799999999998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101.696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2571.4560000000001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3034.31808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12" t="s">
        <v>92</v>
      </c>
      <c r="O35" s="213"/>
      <c r="P35" s="160">
        <f>P33+P34</f>
        <v>3049.4896703999998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5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46218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46217</v>
      </c>
      <c r="O5" s="239"/>
      <c r="P5" s="239"/>
      <c r="R5" s="70"/>
      <c r="S5" s="71"/>
    </row>
    <row r="6" spans="1:19 16383:16384" ht="15" customHeight="1" x14ac:dyDescent="0.35">
      <c r="A6" s="238" t="s">
        <v>128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232.44800000000001</v>
      </c>
      <c r="M25" s="141">
        <f t="shared" si="9"/>
        <v>2571.4560000000001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2905.6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232.44800000000001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101.69600000000001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2571.4560000000001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3034.31808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12" t="s">
        <v>92</v>
      </c>
      <c r="O35" s="213"/>
      <c r="P35" s="160">
        <f>P33+P34</f>
        <v>3049.4896703999998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abSelected="1" topLeftCell="A5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46218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46217</v>
      </c>
      <c r="O5" s="239"/>
      <c r="P5" s="239"/>
      <c r="R5" s="70"/>
      <c r="S5" s="71"/>
    </row>
    <row r="6" spans="1:19 16383:16384" ht="15" customHeight="1" x14ac:dyDescent="0.35">
      <c r="A6" s="238" t="s">
        <v>132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133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305.08800000000002</v>
      </c>
      <c r="L25" s="140">
        <f t="shared" si="9"/>
        <v>697.34400000000005</v>
      </c>
      <c r="M25" s="141">
        <f t="shared" si="9"/>
        <v>7714.3680000000004</v>
      </c>
      <c r="N25" s="142">
        <f>SUM(N16:N24)</f>
        <v>1388.5862400000001</v>
      </c>
      <c r="O25" s="143">
        <f>SUM(O16:O24)</f>
        <v>45.514771199999998</v>
      </c>
      <c r="P25" s="144">
        <f>SUM(P16:P24)</f>
        <v>9148.4690111999989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8716.7999999999993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697.34400000000005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305.08800000000002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7714.3679999999995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1388.5862400000001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9102.9542399999991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45.514771199999998</v>
      </c>
    </row>
    <row r="35" spans="2:16" ht="15.75" customHeight="1" thickBot="1" x14ac:dyDescent="0.4">
      <c r="N35" s="212" t="s">
        <v>92</v>
      </c>
      <c r="O35" s="213"/>
      <c r="P35" s="160">
        <f>P33+P34</f>
        <v>9148.4690111999989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46218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46217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46218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46217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46218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46217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46218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46217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46218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46217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46218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46217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46218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46217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46218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46217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46218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46217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46218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46217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46218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46217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46218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46217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46218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46217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46218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46217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46218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46217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2026-07-15T11:48:12Z</dcterms:modified>
</cp:coreProperties>
</file>