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67EE8C68-6C5C-4FBE-A7A2-723F07DDEA5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33" l="1"/>
  <c r="K17" i="33" s="1"/>
  <c r="K22" i="35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M17" i="33" s="1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K24" i="32"/>
  <c r="L24" i="32"/>
  <c r="L17" i="32"/>
  <c r="L21" i="32"/>
  <c r="K23" i="32"/>
  <c r="L23" i="32"/>
  <c r="K24" i="31"/>
  <c r="L24" i="31"/>
  <c r="L16" i="31"/>
  <c r="L23" i="31"/>
  <c r="L23" i="30"/>
  <c r="L16" i="30"/>
  <c r="K24" i="30"/>
  <c r="L24" i="30"/>
  <c r="L16" i="29"/>
  <c r="K24" i="29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2" l="1"/>
  <c r="M23" i="30"/>
  <c r="M24" i="29"/>
  <c r="L21" i="28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M24" i="26" l="1"/>
  <c r="L25" i="33"/>
  <c r="P29" i="33" s="1"/>
  <c r="I25" i="27"/>
  <c r="P28" i="27" s="1"/>
  <c r="L21" i="27"/>
  <c r="M21" i="27" s="1"/>
  <c r="N21" i="27" s="1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18" i="26"/>
  <c r="N18" i="26" s="1"/>
  <c r="O18" i="26" s="1"/>
  <c r="M19" i="26"/>
  <c r="N19" i="26" s="1"/>
  <c r="O19" i="26" s="1"/>
  <c r="N24" i="27"/>
  <c r="O24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7" l="1"/>
  <c r="P29" i="27" s="1"/>
  <c r="P31" i="27" s="1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5" i="26"/>
  <c r="L21" i="17"/>
  <c r="K21" i="17"/>
  <c r="L21" i="19"/>
  <c r="K21" i="19"/>
  <c r="L20" i="23"/>
  <c r="K20" i="23"/>
  <c r="M20" i="23" s="1"/>
  <c r="N20" i="23" s="1"/>
  <c r="O20" i="23" s="1"/>
  <c r="L20" i="19"/>
  <c r="M20" i="19" s="1"/>
  <c r="N20" i="19" s="1"/>
  <c r="O20" i="19" s="1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M16" i="24" s="1"/>
  <c r="N16" i="24" s="1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M17" i="23" s="1"/>
  <c r="N17" i="23" s="1"/>
  <c r="O17" i="23" s="1"/>
  <c r="K17" i="23"/>
  <c r="L16" i="23"/>
  <c r="K16" i="23"/>
  <c r="L17" i="21"/>
  <c r="M17" i="21" s="1"/>
  <c r="N17" i="21" s="1"/>
  <c r="O17" i="21" s="1"/>
  <c r="P17" i="21" s="1"/>
  <c r="K17" i="21"/>
  <c r="L16" i="21"/>
  <c r="K16" i="21"/>
  <c r="L20" i="20"/>
  <c r="K20" i="20"/>
  <c r="L21" i="20"/>
  <c r="K21" i="20"/>
  <c r="L17" i="19"/>
  <c r="M17" i="19" s="1"/>
  <c r="N17" i="19" s="1"/>
  <c r="O17" i="19" s="1"/>
  <c r="K17" i="19"/>
  <c r="L16" i="19"/>
  <c r="K16" i="19"/>
  <c r="K22" i="23"/>
  <c r="L22" i="23"/>
  <c r="K22" i="17"/>
  <c r="L22" i="17"/>
  <c r="K22" i="21"/>
  <c r="L22" i="21"/>
  <c r="K22" i="19"/>
  <c r="L22" i="19"/>
  <c r="L22" i="20"/>
  <c r="K22" i="20"/>
  <c r="L22" i="24"/>
  <c r="K22" i="24"/>
  <c r="K22" i="18"/>
  <c r="L22" i="18"/>
  <c r="K22" i="25"/>
  <c r="L22" i="25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2" i="25" l="1"/>
  <c r="N22" i="25" s="1"/>
  <c r="O22" i="25" s="1"/>
  <c r="M22" i="24"/>
  <c r="N22" i="24" s="1"/>
  <c r="O22" i="24" s="1"/>
  <c r="M22" i="17"/>
  <c r="N22" i="17" s="1"/>
  <c r="O22" i="17" s="1"/>
  <c r="M21" i="20"/>
  <c r="N21" i="20" s="1"/>
  <c r="O21" i="20" s="1"/>
  <c r="M16" i="21"/>
  <c r="N16" i="21" s="1"/>
  <c r="M18" i="19"/>
  <c r="N18" i="19" s="1"/>
  <c r="O18" i="19" s="1"/>
  <c r="M21" i="19"/>
  <c r="M22" i="18"/>
  <c r="N22" i="18" s="1"/>
  <c r="O22" i="18" s="1"/>
  <c r="M19" i="19"/>
  <c r="N19" i="19" s="1"/>
  <c r="O19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P31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K23" i="16"/>
  <c r="K19" i="15"/>
  <c r="O21" i="21"/>
  <c r="P21" i="21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4" i="16" l="1"/>
  <c r="N24" i="16" s="1"/>
  <c r="P20" i="20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<sst xmlns="http://schemas.openxmlformats.org/spreadsheetml/2006/main" count="1636" uniqueCount="139">
  <si>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</si>
  <si>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</si>
  <si>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</si>
  <si>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</si>
  <si>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</si>
  <si>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</si>
  <si>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</si>
  <si>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</si>
  <si>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</si>
  <si>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</si>
  <si>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</si>
  <si>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</si>
  <si>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</si>
  <si>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</si>
  <si>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</si>
  <si>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</si>
  <si>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</si>
  <si>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</si>
  <si>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</si>
  <si>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</si>
  <si>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</si>
  <si>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</si>
  <si>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</si>
  <si>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</si>
  <si>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</si>
  <si>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</si>
  <si>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</si>
  <si>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</si>
  <si>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</si>
  <si>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</si>
  <si>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</si>
  <si>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</si>
  <si>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</si>
  <si>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</si>
  <si>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</si>
  <si>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</si>
  <si>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</si>
  <si>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</si>
  <si>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</si>
  <si>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</si>
  <si>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</si>
  <si>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</si>
  <si>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</si>
  <si>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</si>
  <si>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</si>
  <si>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</si>
  <si>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</si>
  <si>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</si>
  <si>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</si>
  <si>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</si>
  <si>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</si>
  <si>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</si>
  <si>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</si>
  <si>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</si>
  <si>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</si>
  <si>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</si>
  <si>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</si>
  <si>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</si>
  <si>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</si>
  <si>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</si>
  <si>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</si>
  <si>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</si>
  <si>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</si>
  <si>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</si>
  <si>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</si>
  <si>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</si>
  <si>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</si>
  <si>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</si>
  <si>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</si>
  <si>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</si>
  <si>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</si>
  <si>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</si>
  <si>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</si>
  <si>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</si>
  <si>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</si>
  <si>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</si>
  <si>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</si>
  <si>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</si>
  <si>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</si>
  <si>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</si>
  <si>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</si>
  <si>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</si>
  <si>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</si>
  <si>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</si>
  <si>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</si>
  <si>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</si>
  <si>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</si>
  <si>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</si>
  <si>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</si>
  <si>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</si>
  <si>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</si>
  <si>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</si>
  <si>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</si>
  <si>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</si>
  <si>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</si>
  <si>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</si>
  <si>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</si>
  <si>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</si>
  <si>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</si>
  <si>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</si>
  <si>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</si>
  <si>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</si>
  <si>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</si>
  <si>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</si>
  <si>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</si>
  <si>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</si>
  <si>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</si>
  <si>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</si>
  <si>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</si>
  <si>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</si>
  <si>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</si>
  <si>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</si>
  <si>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</si>
  <si>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</si>
  <si>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</si>
  <si>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</si>
  <si>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</si>
  <si>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</si>
  <si>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</si>
  <si>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</si>
  <si>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</si>
  <si>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</si>
  <si>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>Customer Name : Allys Store</t>
  </si>
  <si>
    <t>Address: DHA</t>
  </si>
  <si>
    <t>0207759-7</t>
  </si>
  <si>
    <t>Customer Name : Trust Store</t>
  </si>
  <si>
    <t>0159686-1</t>
  </si>
  <si>
    <t xml:space="preserve">Customer Name : Bravo Mart </t>
  </si>
  <si>
    <t>276821-8</t>
  </si>
  <si>
    <t xml:space="preserve">Customer Name : Pakistan Mart </t>
  </si>
  <si>
    <t xml:space="preserve">Customer Name : Maharaja </t>
  </si>
  <si>
    <t>Customer Name : Adnan Store</t>
  </si>
  <si>
    <t>Customer Name : Abdullah Store</t>
  </si>
  <si>
    <t>Customer Name : 786 Store</t>
  </si>
  <si>
    <t>0846372-7</t>
  </si>
  <si>
    <t>Customer Name : Hafiz Store</t>
  </si>
  <si>
    <t xml:space="preserve">Customer Name : K Smart </t>
  </si>
  <si>
    <t>Customer Name : MS Store</t>
  </si>
  <si>
    <t xml:space="preserve">Customer Name : MHT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</si>
</sst>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zoomScale="70" zoomScaleNormal="70" workbookViewId="0">
      <selection activeCell="U5" sqref="U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Allys Store</v>
      </c>
      <c r="U14" s="164">
        <f>+'1'!P35</f>
        <v>803.91496896000012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Trust Store</v>
      </c>
      <c r="U15" s="164">
        <f>+'2'!P35</f>
        <v>1164.32990208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Bravo Mart </v>
      </c>
      <c r="U16" s="164">
        <f>+'3'!P35</f>
        <v>4657.31960832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167.88</v>
      </c>
      <c r="M17" s="118">
        <f t="shared" ref="M17:M23" si="2">I17-K17-L17</f>
        <v>1857.1725000000001</v>
      </c>
      <c r="N17" s="101">
        <f>+'1'!N17+'2'!N17+'4'!N17+'3'!N17+'5'!N17+'6'!N17+'7'!N17+'8'!N17+'9'!N17+'10'!N17</f>
        <v>334.29104999999998</v>
      </c>
      <c r="O17" s="101">
        <f>+'1'!O17+'2'!O17+'4'!O17+'3'!O17+'5'!O17+'6'!O17+'7'!O17+'8'!O17+'9'!O17+'10'!O17</f>
        <v>10.95731775</v>
      </c>
      <c r="P17" s="120">
        <f t="shared" si="0"/>
        <v>2202.4208677500001</v>
      </c>
      <c r="S17" s="64"/>
      <c r="T17" s="163" t="str">
        <f>+'4'!A5</f>
        <v xml:space="preserve">Customer Name : Pakistan Mart </v>
      </c>
      <c r="U17" s="164">
        <f>+'4'!P35</f>
        <v>457.42345055999999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Maharaja </v>
      </c>
      <c r="U18" s="164">
        <f>+'5'!P35</f>
        <v>457.42345055999999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76</v>
      </c>
      <c r="I19" s="1">
        <f t="shared" si="1"/>
        <v>5520.64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180.51040000000003</v>
      </c>
      <c r="L19" s="174">
        <f>+'1'!L19+'2'!L19+'4'!L19+'3'!L19+'5'!L19+'6'!L19+'7'!L19+'8'!L19+'9'!L19+'10'!L19</f>
        <v>412.59520000000003</v>
      </c>
      <c r="M19" s="118">
        <f t="shared" si="2"/>
        <v>4927.5344000000005</v>
      </c>
      <c r="N19" s="101">
        <f>+'1'!N19+'2'!N19+'4'!N19+'3'!N19+'5'!N19+'6'!N19+'7'!N19+'8'!N19+'9'!N19+'10'!N19</f>
        <v>821.5801919999999</v>
      </c>
      <c r="O19" s="101">
        <f>+'1'!O19+'2'!O19+'4'!O19+'3'!O19+'5'!O19+'6'!O19+'7'!O19+'8'!O19+'9'!O19+'10'!O19</f>
        <v>26.929572959999998</v>
      </c>
      <c r="P19" s="120">
        <f t="shared" si="0"/>
        <v>5776.0441649599998</v>
      </c>
      <c r="T19" s="163" t="str">
        <f>+'6'!A5</f>
        <v>Customer Name : Adnan Store</v>
      </c>
      <c r="U19" s="164">
        <f>+'6'!P35</f>
        <v>457.42345055999999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86</v>
      </c>
      <c r="I20" s="1">
        <f t="shared" si="1"/>
        <v>6247.04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193.22240000000002</v>
      </c>
      <c r="L20" s="174">
        <f>+'1'!L20+'2'!L20+'4'!L20+'3'!L20+'5'!L20+'6'!L20+'7'!L20+'8'!L20+'9'!L20+'10'!L20</f>
        <v>441.65120000000002</v>
      </c>
      <c r="M20" s="118">
        <f t="shared" si="2"/>
        <v>5612.1664000000001</v>
      </c>
      <c r="N20" s="101">
        <f>+'1'!N20+'2'!N20+'4'!N20+'3'!N20+'5'!N20+'6'!N20+'7'!N20+'8'!N20+'9'!N20+'10'!N20</f>
        <v>879.437952</v>
      </c>
      <c r="O20" s="101">
        <f>+'1'!O20+'2'!O20+'4'!O20+'3'!O20+'5'!O20+'6'!O20+'7'!O20+'8'!O20+'9'!O20+'10'!O20</f>
        <v>28.82602176</v>
      </c>
      <c r="P20" s="120">
        <f t="shared" si="0"/>
        <v>6520.4303737600003</v>
      </c>
      <c r="T20" s="163" t="str">
        <f>+'7'!A5</f>
        <v>Customer Name : Abdullah Store</v>
      </c>
      <c r="U20" s="164">
        <f>+'7'!P35</f>
        <v>5336.6069232000009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96</v>
      </c>
      <c r="I21" s="1">
        <f t="shared" si="1"/>
        <v>6973.4400000000005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231.35840000000005</v>
      </c>
      <c r="L21" s="174">
        <f>+'1'!L21+'2'!L21+'4'!L21+'3'!L21+'5'!L21+'6'!L21+'7'!L21+'8'!L21+'9'!L21+'10'!L21</f>
        <v>528.81920000000002</v>
      </c>
      <c r="M21" s="118">
        <f t="shared" si="2"/>
        <v>6213.2624000000005</v>
      </c>
      <c r="N21" s="101">
        <f>+'1'!N21+'2'!N21+'4'!N21+'3'!N21+'5'!N21+'6'!N21+'7'!N21+'8'!N21+'9'!N21+'10'!N21</f>
        <v>1053.0112320000001</v>
      </c>
      <c r="O21" s="101">
        <f>+'1'!O21+'2'!O21+'4'!O21+'3'!O21+'5'!O21+'6'!O21+'7'!O21+'8'!O21+'9'!O21+'10'!O21</f>
        <v>34.515368160000008</v>
      </c>
      <c r="P21" s="120">
        <f t="shared" si="0"/>
        <v>7300.7890001600008</v>
      </c>
      <c r="T21" s="163" t="str">
        <f>+'8'!A5</f>
        <v>Customer Name : 786 Store</v>
      </c>
      <c r="U21" s="164">
        <f>+'8'!P35</f>
        <v>11517.060084390001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150</v>
      </c>
      <c r="I22" s="1">
        <f t="shared" si="1"/>
        <v>5884.5000000000009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506.06700000000001</v>
      </c>
      <c r="L22" s="174">
        <f>+'1'!L22+'2'!L22+'4'!L22+'3'!L22+'5'!L22+'6'!L22+'7'!L22+'8'!L22+'9'!L22+'10'!L22</f>
        <v>294.22500000000008</v>
      </c>
      <c r="M22" s="118">
        <f t="shared" si="2"/>
        <v>5084.2080000000005</v>
      </c>
      <c r="N22" s="101">
        <f>+'1'!N22+'2'!N22+'4'!N22+'3'!N22+'5'!N22+'6'!N22+'7'!N22+'8'!N22+'9'!N22+'10'!N22</f>
        <v>915.15744000000018</v>
      </c>
      <c r="O22" s="101">
        <f>+'1'!O22+'2'!O22+'4'!O22+'3'!O22+'5'!O22+'6'!O22+'7'!O22+'8'!O22+'9'!O22+'10'!O22</f>
        <v>29.996827200000006</v>
      </c>
      <c r="P22" s="120">
        <f t="shared" si="0"/>
        <v>6029.3622672000001</v>
      </c>
      <c r="T22" s="163" t="str">
        <f>+'9'!A5</f>
        <v>Customer Name : Hafiz Store</v>
      </c>
      <c r="U22" s="164">
        <f>+'9'!P35</f>
        <v>762.37241759999995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K Smart </v>
      </c>
      <c r="U23" s="164">
        <f>+'10'!P35</f>
        <v>762.37241759999995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MS Store</v>
      </c>
      <c r="U24" s="164">
        <f>+'11'!P35</f>
        <v>762.37241759999995</v>
      </c>
    </row>
    <row r="25" spans="1:21 16384:16384" ht="26.5" thickBot="1" x14ac:dyDescent="0.65">
      <c r="A25" s="218" t="s">
        <v>84</v>
      </c>
      <c r="B25" s="219"/>
      <c r="C25" s="220">
        <f>H25/40</f>
        <v>11.2</v>
      </c>
      <c r="D25" s="214"/>
      <c r="E25" s="214"/>
      <c r="F25" s="214"/>
      <c r="G25" s="175">
        <f t="shared" ref="G25:M25" si="3">SUM(G16:G24)</f>
        <v>0</v>
      </c>
      <c r="H25" s="176">
        <f t="shared" si="3"/>
        <v>448</v>
      </c>
      <c r="I25" s="177">
        <f t="shared" si="3"/>
        <v>26724.120000000003</v>
      </c>
      <c r="J25" s="176">
        <f t="shared" si="3"/>
        <v>0</v>
      </c>
      <c r="K25" s="177">
        <f t="shared" si="3"/>
        <v>1184.6057000000001</v>
      </c>
      <c r="L25" s="178">
        <f t="shared" si="3"/>
        <v>1845.1706000000001</v>
      </c>
      <c r="M25" s="141">
        <f t="shared" si="3"/>
        <v>23694.343700000005</v>
      </c>
      <c r="N25" s="142">
        <f>SUM(N16:N24)</f>
        <v>4003.4778660000002</v>
      </c>
      <c r="O25" s="143">
        <f>SUM(O16:O24)</f>
        <v>131.22510783000001</v>
      </c>
      <c r="P25" s="144">
        <f>SUM(P16:P24)</f>
        <v>27829.046673830002</v>
      </c>
      <c r="T25" s="163" t="str">
        <f>+'12'!A5</f>
        <v xml:space="preserve">Customer Name : MHT Mart </v>
      </c>
      <c r="U25" s="164">
        <f>+'12'!P35</f>
        <v>762.37241759999995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27900.991509029998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26724.120000000003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1845.1706000000001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1184.6057000000001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23694.343700000001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4003.4778660000002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27697.821566000002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692.44553915000006</v>
      </c>
    </row>
    <row r="43" spans="1:21" ht="15.75" customHeight="1" thickBot="1" x14ac:dyDescent="0.4">
      <c r="N43" s="212" t="s">
        <v>92</v>
      </c>
      <c r="O43" s="213"/>
      <c r="P43" s="160">
        <f>P41+P42</f>
        <v>28390.267105150004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8"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3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6"/>
        <v>677.89440000000013</v>
      </c>
      <c r="N22" s="118">
        <f t="shared" si="0"/>
        <v>122.02099200000002</v>
      </c>
      <c r="O22" s="119">
        <f t="shared" si="1"/>
        <v>3.9995769600000006</v>
      </c>
      <c r="P22" s="120">
        <f t="shared" si="2"/>
        <v>803.91496896000012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20</v>
      </c>
      <c r="I25" s="137">
        <f t="shared" si="13"/>
        <v>784.60000000000014</v>
      </c>
      <c r="J25" s="138"/>
      <c r="K25" s="139">
        <f t="shared" si="13"/>
        <v>67.4756</v>
      </c>
      <c r="L25" s="140">
        <f t="shared" si="13"/>
        <v>39.230000000000011</v>
      </c>
      <c r="M25" s="141">
        <f t="shared" si="13"/>
        <v>677.89440000000013</v>
      </c>
      <c r="N25" s="142">
        <f>SUM(N16:N24)</f>
        <v>122.02099200000002</v>
      </c>
      <c r="O25" s="143">
        <f>SUM(O16:O24)</f>
        <v>3.9995769600000006</v>
      </c>
      <c r="P25" s="144">
        <f>SUM(P16:P24)</f>
        <v>803.91496896000012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784.60000000000014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39.230000000000011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67.4756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677.89440000000013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799.91539200000011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3.9995769600000006</v>
      </c>
    </row>
    <row r="35" spans="2:16" ht="15.75" customHeight="1" thickBot="1" x14ac:dyDescent="0.4">
      <c r="N35" s="212" t="s">
        <v>92</v>
      </c>
      <c r="O35" s="213"/>
      <c r="P35" s="160">
        <f>P33+P34</f>
        <v>803.91496896000012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126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1118.7</v>
      </c>
      <c r="J25" s="138"/>
      <c r="K25" s="139">
        <f t="shared" si="9"/>
        <v>59.161799999999999</v>
      </c>
      <c r="L25" s="140">
        <f t="shared" si="9"/>
        <v>77.727000000000004</v>
      </c>
      <c r="M25" s="141">
        <f t="shared" si="9"/>
        <v>981.8112000000001</v>
      </c>
      <c r="N25" s="142">
        <f>SUM(N16:N24)</f>
        <v>176.72601600000002</v>
      </c>
      <c r="O25" s="143">
        <f>SUM(O16:O24)</f>
        <v>5.7926860800000002</v>
      </c>
      <c r="P25" s="144">
        <f>SUM(P16:P24)</f>
        <v>1164.32990208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1118.7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77.727000000000004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59.161799999999999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981.81119999999999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176.72601600000002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1158.5372159999999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5.7926860800000002</v>
      </c>
    </row>
    <row r="35" spans="2:16" ht="15.75" customHeight="1" thickBot="1" x14ac:dyDescent="0.4">
      <c r="N35" s="212" t="s">
        <v>92</v>
      </c>
      <c r="O35" s="213"/>
      <c r="P35" s="160">
        <f>P33+P34</f>
        <v>1164.32990208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236.6472</v>
      </c>
      <c r="L25" s="140">
        <f t="shared" si="9"/>
        <v>310.90800000000002</v>
      </c>
      <c r="M25" s="141">
        <f t="shared" si="9"/>
        <v>3927.2447999999999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4474.8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310.90800000000002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236.6472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3927.2447999999999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4634.1488639999998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12" t="s">
        <v>92</v>
      </c>
      <c r="O35" s="213"/>
      <c r="P35" s="160">
        <f>P33+P34</f>
        <v>4657.31960832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7643368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12" t="s">
        <v>92</v>
      </c>
      <c r="O35" s="213"/>
      <c r="P35" s="160">
        <f>P33+P34</f>
        <v>457.42345055999999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865444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12" t="s">
        <v>92</v>
      </c>
      <c r="O35" s="213"/>
      <c r="P35" s="160">
        <f>P33+P34</f>
        <v>457.42345055999999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356789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69.429311999999996</v>
      </c>
      <c r="O20" s="119">
        <f t="shared" si="6"/>
        <v>2.2757385600000002</v>
      </c>
      <c r="P20" s="120">
        <f t="shared" si="1"/>
        <v>457.42345055999999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12" t="s">
        <v>92</v>
      </c>
      <c r="O35" s="213"/>
      <c r="P35" s="160">
        <f>P33+P34</f>
        <v>457.42345055999999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8765548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231.43104</v>
      </c>
      <c r="O20" s="119">
        <f t="shared" si="6"/>
        <v>7.5857951999999997</v>
      </c>
      <c r="P20" s="120">
        <f t="shared" si="1"/>
        <v>1524.7448351999999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50</v>
      </c>
      <c r="I21" s="116">
        <f t="shared" si="2"/>
        <v>3632</v>
      </c>
      <c r="J21" s="117"/>
      <c r="K21" s="104">
        <f t="shared" si="3"/>
        <v>127.12000000000002</v>
      </c>
      <c r="L21" s="105">
        <f t="shared" si="4"/>
        <v>290.56</v>
      </c>
      <c r="M21" s="118">
        <f t="shared" si="5"/>
        <v>3214.32</v>
      </c>
      <c r="N21" s="118">
        <f t="shared" si="0"/>
        <v>578.57759999999996</v>
      </c>
      <c r="O21" s="119">
        <f t="shared" si="6"/>
        <v>18.964488000000003</v>
      </c>
      <c r="P21" s="120">
        <f t="shared" si="1"/>
        <v>3811.8620880000003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70</v>
      </c>
      <c r="I25" s="137">
        <f t="shared" si="9"/>
        <v>5084.8</v>
      </c>
      <c r="J25" s="138"/>
      <c r="K25" s="139">
        <f t="shared" si="9"/>
        <v>177.96800000000002</v>
      </c>
      <c r="L25" s="140">
        <f t="shared" si="9"/>
        <v>406.78399999999999</v>
      </c>
      <c r="M25" s="141">
        <f t="shared" si="9"/>
        <v>4500.0480000000007</v>
      </c>
      <c r="N25" s="142">
        <f>SUM(N16:N24)</f>
        <v>810.00864000000001</v>
      </c>
      <c r="O25" s="143">
        <f>SUM(O16:O24)</f>
        <v>26.550283200000003</v>
      </c>
      <c r="P25" s="144">
        <f>SUM(P16:P24)</f>
        <v>5336.6069232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5084.8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406.78399999999999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177.96800000000002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4500.0480000000007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810.00864000000001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5310.0566400000007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26.550283200000003</v>
      </c>
    </row>
    <row r="35" spans="2:16" ht="15.75" customHeight="1" thickBot="1" x14ac:dyDescent="0.4">
      <c r="N35" s="212" t="s">
        <v>92</v>
      </c>
      <c r="O35" s="213"/>
      <c r="P35" s="160">
        <f>P33+P34</f>
        <v>5336.6069232000009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134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15.998307840000002</v>
      </c>
      <c r="P22" s="120">
        <f t="shared" si="1"/>
        <v>3215.6598758400005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200</v>
      </c>
      <c r="I25" s="137">
        <f t="shared" si="9"/>
        <v>11048.100000000002</v>
      </c>
      <c r="J25" s="138"/>
      <c r="K25" s="139">
        <f t="shared" si="9"/>
        <v>546.74189999999999</v>
      </c>
      <c r="L25" s="140">
        <f t="shared" si="9"/>
        <v>789.69600000000003</v>
      </c>
      <c r="M25" s="141">
        <f t="shared" si="9"/>
        <v>9711.6621000000014</v>
      </c>
      <c r="N25" s="142">
        <f>SUM(N16:N24)</f>
        <v>1748.0991780000002</v>
      </c>
      <c r="O25" s="143">
        <f>SUM(O16:O24)</f>
        <v>57.298806390000003</v>
      </c>
      <c r="P25" s="144">
        <f>SUM(P16:P24)</f>
        <v>11517.060084389999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11048.100000000002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789.69600000000003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546.74189999999999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9711.6621000000014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1748.0991780000002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11459.761278000002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57.29880639000001</v>
      </c>
    </row>
    <row r="35" spans="2:16" ht="15.75" customHeight="1" thickBot="1" x14ac:dyDescent="0.4">
      <c r="N35" s="212" t="s">
        <v>92</v>
      </c>
      <c r="O35" s="213"/>
      <c r="P35" s="160">
        <f>P33+P34</f>
        <v>11517.060084390001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5"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6554576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726.4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58.112000000000002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25.424000000000003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642.86400000000003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758.57952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12" t="s">
        <v>92</v>
      </c>
      <c r="O35" s="213"/>
      <c r="P35" s="160">
        <f>P33+P34</f>
        <v>762.37241759999995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5487653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726.4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58.112000000000002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25.424000000000003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642.86400000000003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758.57952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12" t="s">
        <v>92</v>
      </c>
      <c r="O35" s="213"/>
      <c r="P35" s="160">
        <f>P33+P34</f>
        <v>762.37241759999995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5"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987655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726.4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58.112000000000002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25.424000000000003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642.86400000000003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758.57952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12" t="s">
        <v>92</v>
      </c>
      <c r="O35" s="213"/>
      <c r="P35" s="160">
        <f>P33+P34</f>
        <v>762.37241759999995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5566532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2"/>
        <v>363.2</v>
      </c>
      <c r="J19" s="117"/>
      <c r="K19" s="104">
        <f t="shared" si="3"/>
        <v>12.712000000000002</v>
      </c>
      <c r="L19" s="105">
        <f t="shared" si="4"/>
        <v>29.056000000000001</v>
      </c>
      <c r="M19" s="118">
        <f t="shared" si="5"/>
        <v>321.43200000000002</v>
      </c>
      <c r="N19" s="118">
        <f t="shared" si="0"/>
        <v>57.857759999999999</v>
      </c>
      <c r="O19" s="119">
        <f t="shared" si="6"/>
        <v>1.8964487999999999</v>
      </c>
      <c r="P19" s="120">
        <f t="shared" si="1"/>
        <v>381.18620879999997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</v>
      </c>
      <c r="I21" s="116">
        <f t="shared" si="2"/>
        <v>363.2</v>
      </c>
      <c r="J21" s="117"/>
      <c r="K21" s="104">
        <f t="shared" si="3"/>
        <v>12.712000000000002</v>
      </c>
      <c r="L21" s="105">
        <f t="shared" si="4"/>
        <v>29.056000000000001</v>
      </c>
      <c r="M21" s="118">
        <f t="shared" si="5"/>
        <v>321.43200000000002</v>
      </c>
      <c r="N21" s="118">
        <f t="shared" si="0"/>
        <v>57.857759999999999</v>
      </c>
      <c r="O21" s="119">
        <f t="shared" si="6"/>
        <v>1.8964487999999999</v>
      </c>
      <c r="P21" s="120">
        <f t="shared" si="1"/>
        <v>381.18620879999997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726.4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58.112000000000002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25.424000000000003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642.86400000000003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758.57952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12" t="s">
        <v>92</v>
      </c>
      <c r="O35" s="213"/>
      <c r="P35" s="160">
        <f>P33+P34</f>
        <v>762.37241759999995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2026-07-16T04:04:35Z</dcterms:modified>
</cp:coreProperties>
</file>