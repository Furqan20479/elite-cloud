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DDAE94-AA5C-4693-AEA1-6953E4E5800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<sst xmlns="http://schemas.openxmlformats.org/spreadsheetml/2006/main" count="3913" uniqueCount="515">
  <si>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</si>
  <si>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</si>
  <si>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</si>
  <si>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</si>
  <si>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</si>
  <si>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</si>
  <si>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</si>
  <si>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</si>
  <si>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</si>
  <si>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</si>
  <si>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</si>
  <si>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</si>
  <si>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</si>
  <si>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</si>
  <si>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</si>
  <si>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</si>
  <si>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</si>
  <si>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</si>
  <si>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</si>
  <si>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</si>
  <si>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</si>
  <si>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</si>
  <si>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</si>
  <si>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</si>
  <si>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</si>
  <si>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</si>
  <si>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</si>
  <si>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</si>
  <si>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</si>
  <si>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</si>
  <si>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</si>
  <si>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</si>
  <si>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</si>
  <si>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</si>
  <si>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</si>
  <si>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</si>
  <si>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</si>
  <si>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</si>
  <si>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</si>
  <si>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</si>
  <si>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</si>
  <si>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</si>
  <si>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</si>
  <si>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</si>
  <si>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</si>
  <si>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</si>
  <si>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</si>
  <si>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</si>
  <si>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</si>
  <si>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</si>
  <si>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</si>
  <si>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</si>
  <si>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</si>
  <si>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</si>
  <si>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</si>
  <si>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</si>
  <si>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</si>
  <si>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</si>
  <si>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</si>
  <si>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</si>
  <si>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</si>
  <si>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</si>
  <si>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</si>
  <si>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</si>
  <si>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</si>
  <si>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</si>
  <si>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</si>
  <si>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</si>
  <si>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</si>
  <si>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</si>
  <si>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</si>
  <si>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</si>
  <si>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</si>
  <si>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</si>
  <si>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</si>
  <si>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</si>
  <si>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</si>
  <si>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</si>
  <si>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</si>
  <si>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</si>
  <si>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</si>
  <si>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</si>
  <si>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</si>
  <si>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</si>
  <si>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</si>
  <si>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</si>
  <si>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</si>
  <si>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</si>
  <si>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</si>
  <si>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</si>
  <si>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</si>
  <si>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</si>
  <si>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</si>
  <si>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</si>
  <si>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</si>
  <si>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</si>
  <si>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</si>
  <si>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</si>
  <si>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</si>
  <si>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</si>
  <si>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</si>
  <si>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</si>
  <si>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</si>
  <si>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</si>
  <si>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</si>
  <si>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</si>
  <si>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</si>
  <si>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</si>
  <si>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</si>
  <si>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</si>
  <si>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</si>
  <si>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</si>
  <si>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</si>
  <si>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</si>
  <si>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</si>
  <si>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</si>
  <si>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</si>
  <si>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</si>
  <si>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</si>
  <si>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</si>
  <si>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</si>
  <si>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</si>
  <si>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</si>
  <si>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</si>
  <si>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</si>
  <si>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</si>
  <si>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</si>
  <si>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</si>
  <si>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</si>
  <si>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</si>
  <si>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</si>
  <si>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</si>
  <si>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</si>
  <si>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</si>
  <si>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</si>
  <si>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</si>
  <si>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</si>
  <si>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</si>
  <si>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</si>
  <si>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</si>
  <si>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</si>
  <si>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</si>
  <si>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</si>
  <si>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</si>
  <si>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</si>
  <si>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</si>
  <si>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</si>
  <si>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</si>
  <si>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</si>
  <si>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</si>
  <si>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</si>
  <si>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</si>
  <si>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</si>
  <si>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</si>
  <si>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</si>
  <si>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</si>
  <si>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</si>
  <si>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</si>
  <si>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</si>
  <si>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</si>
  <si>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</si>
  <si>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</si>
  <si>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</si>
  <si>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</si>
  <si>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</si>
  <si>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</si>
  <si>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</si>
  <si>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</si>
  <si>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</si>
  <si>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</si>
  <si>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</si>
  <si>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</si>
  <si>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</si>
  <si>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</si>
  <si>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</si>
  <si>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</si>
  <si>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</si>
  <si>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</si>
  <si>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</si>
  <si>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</si>
  <si>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</si>
  <si>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</si>
  <si>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</si>
  <si>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</si>
  <si>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</si>
  <si>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</si>
  <si>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</si>
  <si>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</si>
  <si>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</si>
  <si>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</si>
  <si>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</si>
  <si>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</si>
  <si>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</si>
  <si>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</si>
  <si>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</si>
  <si>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</si>
  <si>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</si>
  <si>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</si>
  <si>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</si>
  <si>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</si>
  <si>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</si>
  <si>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</si>
  <si>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</si>
  <si>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</si>
  <si>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</si>
  <si>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</si>
  <si>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</si>
  <si>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</si>
  <si>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</si>
  <si>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</si>
  <si>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</si>
  <si>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</si>
  <si>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</si>
  <si>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</si>
  <si>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</si>
  <si>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</si>
  <si>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</si>
  <si>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</si>
  <si>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</si>
  <si>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</si>
  <si>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</si>
  <si>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</si>
  <si>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</si>
  <si>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</si>
  <si>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</si>
  <si>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</si>
  <si>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</si>
  <si>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</si>
  <si>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</si>
  <si>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</si>
  <si>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</si>
  <si>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</si>
  <si>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</si>
  <si>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</si>
  <si>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</si>
  <si>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</si>
  <si>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</si>
  <si>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</si>
  <si>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</si>
  <si>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</si>
  <si>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</si>
  <si>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</si>
  <si>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</si>
  <si>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</si>
  <si>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</si>
  <si>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</si>
  <si>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</si>
  <si>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</si>
  <si>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</si>
  <si>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</si>
  <si>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</si>
  <si>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</si>
  <si>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</si>
  <si>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</si>
  <si>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</si>
  <si>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</si>
  <si>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</si>
  <si>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</si>
  <si>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</si>
  <si>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</si>
  <si>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</si>
  <si>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</si>
  <si>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</si>
  <si>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</si>
  <si>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</si>
  <si>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</si>
  <si>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</si>
  <si>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</si>
  <si>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</si>
  <si>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</si>
  <si>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</si>
  <si>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</si>
  <si>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</si>
  <si>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</si>
  <si>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</si>
  <si>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</si>
  <si>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</si>
  <si>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</si>
  <si>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</si>
  <si>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</si>
  <si>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</si>
  <si>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</si>
  <si>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</si>
  <si>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</si>
  <si>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</si>
  <si>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</si>
  <si>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</si>
  <si>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</si>
  <si>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</si>
  <si>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</si>
  <si>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</si>
  <si>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</si>
  <si>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</si>
  <si>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</si>
  <si>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</si>
  <si>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</si>
  <si>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</si>
  <si>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</si>
  <si>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</si>
  <si>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</si>
  <si>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</si>
  <si>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</si>
  <si>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</si>
  <si>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</si>
  <si>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</si>
  <si>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</si>
  <si>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</si>
  <si>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</si>
  <si>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</si>
  <si>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</si>
  <si>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</si>
  <si>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</si>
  <si>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</si>
  <si>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</si>
  <si>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</si>
  <si>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</si>
  <si>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</si>
  <si>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</si>
  <si>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</si>
  <si>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</si>
  <si>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</si>
  <si>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</si>
  <si>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</si>
  <si>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</si>
  <si>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</si>
  <si>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</si>
  <si>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</si>
  <si>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</si>
  <si>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</si>
  <si>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</si>
  <si>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</si>
  <si>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</si>
  <si>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</si>
  <si>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</si>
  <si>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</si>
  <si>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</si>
  <si>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</si>
  <si>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</si>
  <si>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</si>
  <si>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</si>
  <si>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</si>
  <si>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</si>
  <si>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</si>
  <si>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</si>
  <si>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</si>
  <si>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</si>
  <si>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</si>
  <si>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</si>
  <si>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</si>
  <si>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</si>
  <si>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</si>
  <si>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</si>
  <si>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</si>
  <si>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</si>
  <si>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</si>
  <si>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</si>
  <si>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</si>
  <si>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</si>
  <si>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</si>
  <si>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</si>
  <si>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</si>
  <si>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</si>
  <si>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</si>
  <si>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</si>
  <si>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</si>
  <si>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</si>
  <si>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</si>
  <si>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</si>
  <si>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</si>
  <si>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</si>
  <si>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</si>
  <si>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</si>
  <si>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</si>
  <si>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</si>
  <si>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</si>
  <si>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</si>
  <si>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</si>
  <si>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</si>
  <si>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</si>
  <si>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</si>
  <si>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</si>
  <si>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</si>
  <si>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</si>
  <si>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</si>
  <si>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</si>
  <si>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</si>
  <si>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</si>
  <si>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</si>
  <si>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</si>
  <si>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</si>
  <si>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</si>
  <si>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</si>
  <si>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</si>
  <si>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</si>
  <si>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</si>
  <si>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</si>
  <si>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</si>
  <si>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</si>
  <si>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</si>
  <si>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</si>
  <si>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</si>
  <si>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</si>
  <si>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</si>
  <si>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</si>
  <si>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</si>
  <si>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</si>
  <si>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</si>
  <si>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</si>
  <si>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</si>
  <si>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</si>
  <si>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</si>
  <si>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</si>
  <si>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</si>
  <si>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</si>
  <si>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</si>
  <si>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</si>
  <si>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</si>
  <si>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</si>
  <si>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</si>
  <si>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</si>
  <si>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</si>
  <si>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</si>
  <si>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</si>
  <si>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</si>
  <si>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</si>
  <si>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</si>
  <si>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</si>
  <si>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</si>
  <si>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</si>
  <si>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</si>
  <si>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</si>
  <si>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</si>
  <si>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</si>
  <si>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</si>
  <si>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</si>
  <si>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</si>
  <si>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</si>
  <si>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</si>
  <si>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</si>
  <si>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</si>
  <si>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</si>
  <si>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</si>
  <si>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</si>
  <si>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</si>
  <si>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</si>
  <si>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</si>
  <si>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</si>
  <si>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</si>
  <si>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</si>
  <si>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</si>
  <si>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</si>
  <si>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</si>
  <si>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</si>
  <si>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</si>
  <si>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</si>
  <si>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</si>
  <si>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</si>
  <si>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</si>
  <si>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</si>
  <si>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</si>
  <si>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</si>
  <si>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</si>
  <si>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</si>
  <si>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</si>
  <si>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</si>
  <si>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</si>
  <si>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</si>
  <si>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</si>
  <si>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</si>
  <si>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</si>
  <si>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</si>
  <si>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</si>
  <si>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</si>
  <si>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</si>
  <si>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</si>
  <si>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</si>
  <si>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</si>
  <si>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</si>
  <si>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</si>
  <si>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</si>
  <si>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</si>
  <si>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</si>
  <si>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</si>
  <si>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</si>
  <si>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</si>
  <si>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</si>
  <si>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</si>
  <si>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</si>
  <si>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</si>
  <si>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</si>
  <si>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</si>
  <si>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</si>
  <si>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</si>
  <si>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</si>
  <si>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</si>
  <si>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</si>
  <si>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</si>
  <si>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</si>
  <si>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</si>
  <si>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</si>
  <si>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</si>
  <si>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</si>
  <si>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</si>
  <si>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</si>
  <si>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</si>
  <si>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</si>
  <si>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</si>
  <si>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</si>
  <si>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</si>
  <si>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</si>
  <si>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</si>
  <si>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</si>
  <si>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</si>
  <si>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</si>
  <si>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Shehbaz Sahib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</si>
</sst>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46232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Shehbaz Sahib</v>
      </c>
      <c r="T3" s="301">
        <f>+'1'!P35</f>
        <v>2056.4957985673727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118">
        <f>M7+N7+O7</f>
        <v>736.14176442266944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119">
        <f t="shared" ref="P8:P15" si="2">M8+N8+O8</f>
        <v>736.14176442266944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</v>
      </c>
      <c r="I13" s="236">
        <f t="shared" si="0"/>
        <v>549.22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27.461000000000002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19.222700000000003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28.01022</v>
      </c>
      <c r="M13" s="230">
        <f t="shared" si="1"/>
        <v>474.52608000000004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106.77966101694909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2.9065287050847455</v>
      </c>
      <c r="P13" s="119">
        <f t="shared" si="2"/>
        <v>584.21226972203385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</v>
      </c>
      <c r="H16" s="113">
        <f t="shared" ref="H16:M16" si="3">SUM(H7:H15)</f>
        <v>40</v>
      </c>
      <c r="I16" s="114">
        <f t="shared" si="3"/>
        <v>1913.2449999999999</v>
      </c>
      <c r="J16" s="274">
        <f>SUM(J7:J15)</f>
        <v>136.583</v>
      </c>
      <c r="K16" s="275">
        <f t="shared" si="3"/>
        <v>66.963575000000006</v>
      </c>
      <c r="L16" s="276">
        <f t="shared" si="3"/>
        <v>28.01022</v>
      </c>
      <c r="M16" s="232">
        <f t="shared" si="3"/>
        <v>1681.6882049999999</v>
      </c>
      <c r="N16" s="233">
        <f>SUM(N7:N15)</f>
        <v>364.57627118644052</v>
      </c>
      <c r="O16" s="101">
        <f>SUM(O7:O15)</f>
        <v>10.231322380932202</v>
      </c>
      <c r="P16" s="234">
        <f>SUM(P7:P15)</f>
        <v>2056.4957985673727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1913.2449999999999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136.583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94.97379500000001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1681.6882049999997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364.57627118644052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2046.2644761864403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10.231322380932202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2056.4957985673727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2056.4957985673727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E27" sqref="E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14</v>
      </c>
      <c r="I22" s="236">
        <f t="shared" si="0"/>
        <v>549.22</v>
      </c>
      <c r="J22" s="272">
        <f t="shared" si="1"/>
        <v>27.461000000000002</v>
      </c>
      <c r="K22" s="128">
        <f t="shared" si="1"/>
        <v>19.222700000000003</v>
      </c>
      <c r="L22" s="119">
        <f t="shared" si="1"/>
        <v>28.01022</v>
      </c>
      <c r="M22" s="230">
        <f t="shared" si="2"/>
        <v>474.52608000000004</v>
      </c>
      <c r="N22" s="277">
        <f t="shared" si="3"/>
        <v>106.77966101694909</v>
      </c>
      <c r="O22" s="239">
        <f t="shared" si="4"/>
        <v>2.9065287050847455</v>
      </c>
      <c r="P22" s="119">
        <f t="shared" si="5"/>
        <v>584.21226972203385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1913.2449999999999</v>
      </c>
      <c r="J25" s="274">
        <f>SUM(J16:J24)</f>
        <v>136.583</v>
      </c>
      <c r="K25" s="275">
        <f t="shared" si="10"/>
        <v>66.963575000000006</v>
      </c>
      <c r="L25" s="276">
        <f t="shared" si="10"/>
        <v>28.01022</v>
      </c>
      <c r="M25" s="232">
        <f t="shared" si="10"/>
        <v>1681.6882049999999</v>
      </c>
      <c r="N25" s="233">
        <f>SUM(N16:N24)</f>
        <v>364.57627118644052</v>
      </c>
      <c r="O25" s="101">
        <f>SUM(O16:O24)</f>
        <v>10.231322380932202</v>
      </c>
      <c r="P25" s="234">
        <f>SUM(P16:P24)</f>
        <v>2056.4957985673727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1913.2449999999999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136.583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94.97379500000001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1681.6882049999997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364.57627118644052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2046.2644761864403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10.231322380932202</v>
      </c>
    </row>
    <row r="35" spans="2:16" ht="15.75" customHeight="1" thickBot="1" x14ac:dyDescent="0.4">
      <c r="N35" s="334" t="s">
        <v>88</v>
      </c>
      <c r="O35" s="335"/>
      <c r="P35" s="297">
        <f>+P33+P34</f>
        <v>2056.4957985673727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510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46232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46231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2026-07-28T07:44:57Z</dcterms:modified>
</cp:coreProperties>
</file>