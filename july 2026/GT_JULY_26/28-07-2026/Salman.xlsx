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9770983-993B-45B1-AC29-A00C3A7A364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<sst xmlns="http://schemas.openxmlformats.org/spreadsheetml/2006/main" count="3913" uniqueCount="518">
  <si>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</si>
  <si>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</si>
  <si>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</si>
  <si>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</si>
  <si>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</si>
  <si>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</si>
  <si>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</si>
  <si>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</si>
  <si>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</si>
  <si>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</si>
  <si>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</si>
  <si>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</si>
  <si>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</si>
  <si>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</si>
  <si>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</si>
  <si>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</si>
  <si>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</si>
  <si>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</si>
  <si>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</si>
  <si>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</si>
  <si>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</si>
  <si>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</si>
  <si>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</si>
  <si>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</si>
  <si>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</si>
  <si>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</si>
  <si>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</si>
  <si>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</si>
  <si>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</si>
  <si>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</si>
  <si>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</si>
  <si>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</si>
  <si>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</si>
  <si>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</si>
  <si>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</si>
  <si>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</si>
  <si>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</si>
  <si>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</si>
  <si>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</si>
  <si>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</si>
  <si>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</si>
  <si>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</si>
  <si>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</si>
  <si>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</si>
  <si>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</si>
  <si>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</si>
  <si>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</si>
  <si>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</si>
  <si>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</si>
  <si>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</si>
  <si>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</si>
  <si>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</si>
  <si>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</si>
  <si>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</si>
  <si>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</si>
  <si>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</si>
  <si>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</si>
  <si>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</si>
  <si>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</si>
  <si>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</si>
  <si>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</si>
  <si>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</si>
  <si>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</si>
  <si>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</si>
  <si>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</si>
  <si>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</si>
  <si>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</si>
  <si>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</si>
  <si>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</si>
  <si>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</si>
  <si>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</si>
  <si>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</si>
  <si>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</si>
  <si>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</si>
  <si>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</si>
  <si>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</si>
  <si>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</si>
  <si>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</si>
  <si>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</si>
  <si>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</si>
  <si>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</si>
  <si>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</si>
  <si>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</si>
  <si>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</si>
  <si>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</si>
  <si>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</si>
  <si>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</si>
  <si>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</si>
  <si>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</si>
  <si>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</si>
  <si>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</si>
  <si>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</si>
  <si>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</si>
  <si>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</si>
  <si>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</si>
  <si>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</si>
  <si>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</si>
  <si>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</si>
  <si>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</si>
  <si>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</si>
  <si>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</si>
  <si>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</si>
  <si>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</si>
  <si>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</si>
  <si>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</si>
  <si>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</si>
  <si>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</si>
  <si>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</si>
  <si>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</si>
  <si>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</si>
  <si>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</si>
  <si>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</si>
  <si>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</si>
  <si>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</si>
  <si>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</si>
  <si>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</si>
  <si>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</si>
  <si>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</si>
  <si>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</si>
  <si>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</si>
  <si>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</si>
  <si>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</si>
  <si>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</si>
  <si>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</si>
  <si>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</si>
  <si>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</si>
  <si>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</si>
  <si>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</si>
  <si>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</si>
  <si>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</si>
  <si>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</si>
  <si>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</si>
  <si>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</si>
  <si>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</si>
  <si>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</si>
  <si>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</si>
  <si>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</si>
  <si>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</si>
  <si>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</si>
  <si>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</si>
  <si>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</si>
  <si>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</si>
  <si>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</si>
  <si>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</si>
  <si>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</si>
  <si>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</si>
  <si>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</si>
  <si>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</si>
  <si>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</si>
  <si>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</si>
  <si>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</si>
  <si>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</si>
  <si>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</si>
  <si>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</si>
  <si>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</si>
  <si>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</si>
  <si>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</si>
  <si>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</si>
  <si>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</si>
  <si>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</si>
  <si>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</si>
  <si>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</si>
  <si>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</si>
  <si>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</si>
  <si>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</si>
  <si>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</si>
  <si>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</si>
  <si>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</si>
  <si>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</si>
  <si>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</si>
  <si>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</si>
  <si>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</si>
  <si>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</si>
  <si>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</si>
  <si>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</si>
  <si>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</si>
  <si>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</si>
  <si>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</si>
  <si>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</si>
  <si>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</si>
  <si>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</si>
  <si>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</si>
  <si>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</si>
  <si>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</si>
  <si>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</si>
  <si>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</si>
  <si>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</si>
  <si>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</si>
  <si>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</si>
  <si>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</si>
  <si>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</si>
  <si>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</si>
  <si>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</si>
  <si>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</si>
  <si>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</si>
  <si>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</si>
  <si>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</si>
  <si>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</si>
  <si>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</si>
  <si>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</si>
  <si>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</si>
  <si>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</si>
  <si>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</si>
  <si>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</si>
  <si>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</si>
  <si>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</si>
  <si>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</si>
  <si>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</si>
  <si>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</si>
  <si>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</si>
  <si>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</si>
  <si>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</si>
  <si>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</si>
  <si>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</si>
  <si>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</si>
  <si>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</si>
  <si>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</si>
  <si>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</si>
  <si>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</si>
  <si>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</si>
  <si>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</si>
  <si>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</si>
  <si>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</si>
  <si>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</si>
  <si>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</si>
  <si>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</si>
  <si>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</si>
  <si>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</si>
  <si>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</si>
  <si>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</si>
  <si>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</si>
  <si>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</si>
  <si>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</si>
  <si>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</si>
  <si>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</si>
  <si>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</si>
  <si>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</si>
  <si>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</si>
  <si>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</si>
  <si>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</si>
  <si>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</si>
  <si>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</si>
  <si>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</si>
  <si>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</si>
  <si>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</si>
  <si>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</si>
  <si>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</si>
  <si>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</si>
  <si>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</si>
  <si>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</si>
  <si>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</si>
  <si>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</si>
  <si>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</si>
  <si>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</si>
  <si>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</si>
  <si>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</si>
  <si>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</si>
  <si>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</si>
  <si>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</si>
  <si>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</si>
  <si>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</si>
  <si>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</si>
  <si>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</si>
  <si>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</si>
  <si>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</si>
  <si>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</si>
  <si>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</si>
  <si>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</si>
  <si>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</si>
  <si>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</si>
  <si>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</si>
  <si>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</si>
  <si>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</si>
  <si>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</si>
  <si>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</si>
  <si>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</si>
  <si>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</si>
  <si>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</si>
  <si>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</si>
  <si>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</si>
  <si>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</si>
  <si>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</si>
  <si>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</si>
  <si>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</si>
  <si>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</si>
  <si>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</si>
  <si>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</si>
  <si>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</si>
  <si>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</si>
  <si>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</si>
  <si>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</si>
  <si>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</si>
  <si>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</si>
  <si>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</si>
  <si>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</si>
  <si>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</si>
  <si>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</si>
  <si>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</si>
  <si>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</si>
  <si>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</si>
  <si>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</si>
  <si>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</si>
  <si>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</si>
  <si>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</si>
  <si>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</si>
  <si>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</si>
  <si>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</si>
  <si>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</si>
  <si>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</si>
  <si>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</si>
  <si>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</si>
  <si>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</si>
  <si>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</si>
  <si>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</si>
  <si>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</si>
  <si>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</si>
  <si>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</si>
  <si>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</si>
  <si>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</si>
  <si>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</si>
  <si>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</si>
  <si>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</si>
  <si>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</si>
  <si>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</si>
  <si>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</si>
  <si>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</si>
  <si>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</si>
  <si>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</si>
  <si>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</si>
  <si>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</si>
  <si>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</si>
  <si>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</si>
  <si>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</si>
  <si>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</si>
  <si>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</si>
  <si>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</si>
  <si>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</si>
  <si>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</si>
  <si>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</si>
  <si>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</si>
  <si>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</si>
  <si>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</si>
  <si>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</si>
  <si>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</si>
  <si>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</si>
  <si>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</si>
  <si>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</si>
  <si>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</si>
  <si>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</si>
  <si>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</si>
  <si>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</si>
  <si>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</si>
  <si>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</si>
  <si>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</si>
  <si>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</si>
  <si>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</si>
  <si>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</si>
  <si>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</si>
  <si>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</si>
  <si>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</si>
  <si>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</si>
  <si>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</si>
  <si>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</si>
  <si>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</si>
  <si>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</si>
  <si>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</si>
  <si>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</si>
  <si>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</si>
  <si>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</si>
  <si>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</si>
  <si>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</si>
  <si>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</si>
  <si>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</si>
  <si>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</si>
  <si>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</si>
  <si>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</si>
  <si>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</si>
  <si>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</si>
  <si>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</si>
  <si>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</si>
  <si>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</si>
  <si>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</si>
  <si>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</si>
  <si>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</si>
  <si>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</si>
  <si>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</si>
  <si>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</si>
  <si>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</si>
  <si>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</si>
  <si>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</si>
  <si>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</si>
  <si>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</si>
  <si>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</si>
  <si>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</si>
  <si>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</si>
  <si>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</si>
  <si>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</si>
  <si>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</si>
  <si>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</si>
  <si>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</si>
  <si>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</si>
  <si>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</si>
  <si>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</si>
  <si>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</si>
  <si>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</si>
  <si>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</si>
  <si>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</si>
  <si>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</si>
  <si>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</si>
  <si>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</si>
  <si>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</si>
  <si>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</si>
  <si>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</si>
  <si>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</si>
  <si>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</si>
  <si>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</si>
  <si>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</si>
  <si>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</si>
  <si>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</si>
  <si>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</si>
  <si>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</si>
  <si>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</si>
  <si>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</si>
  <si>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</si>
  <si>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</si>
  <si>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</si>
  <si>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</si>
  <si>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</si>
  <si>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</si>
  <si>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</si>
  <si>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</si>
  <si>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</si>
  <si>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</si>
  <si>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</si>
  <si>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</si>
  <si>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</si>
  <si>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</si>
  <si>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</si>
  <si>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</si>
  <si>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</si>
  <si>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</si>
  <si>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</si>
  <si>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</si>
  <si>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</si>
  <si>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</si>
  <si>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</si>
  <si>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</si>
  <si>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</si>
  <si>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</si>
  <si>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</si>
  <si>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</si>
  <si>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</si>
  <si>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</si>
  <si>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</si>
  <si>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</si>
  <si>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</si>
  <si>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</si>
  <si>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</si>
  <si>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</si>
  <si>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</si>
  <si>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</si>
  <si>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</si>
  <si>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</si>
  <si>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</si>
  <si>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</si>
  <si>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</si>
  <si>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</si>
  <si>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</si>
  <si>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</si>
  <si>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</si>
  <si>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</si>
  <si>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</si>
  <si>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</si>
  <si>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</si>
  <si>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</si>
  <si>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</si>
  <si>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</si>
  <si>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</si>
  <si>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</si>
  <si>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</si>
  <si>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</si>
  <si>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</si>
  <si>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</si>
  <si>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</si>
  <si>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</si>
  <si>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</si>
  <si>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</si>
  <si>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</si>
  <si>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</si>
  <si>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</si>
  <si>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</si>
  <si>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</si>
  <si>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</si>
  <si>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</si>
  <si>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</si>
  <si>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</si>
  <si>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</si>
  <si>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</si>
  <si>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</si>
  <si>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</si>
  <si>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</si>
  <si>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</si>
  <si>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</si>
  <si>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</si>
  <si>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</si>
  <si>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</si>
  <si>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</si>
  <si>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</si>
  <si>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</si>
  <si>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</si>
  <si>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</si>
  <si>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</si>
  <si>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Salman </t>
  </si>
  <si>
    <t>Hikma Store 1</t>
  </si>
  <si>
    <t>Umaima Super Store</t>
  </si>
  <si>
    <t xml:space="preserve">Address:Paragon City </t>
  </si>
  <si>
    <t xml:space="preserve">Pick &amp; Pack </t>
  </si>
  <si>
    <t xml:space="preserve">Address:Paragon 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</si>
</sst>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3" workbookViewId="0">
      <selection activeCell="U8" sqref="U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512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46231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Hikma Store 1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Umaima Super Store</v>
      </c>
      <c r="T4" s="301">
        <f>+'2'!P35</f>
        <v>10206.652666500002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Pick &amp; Pack </v>
      </c>
      <c r="T5" s="301">
        <f>+'3'!P35</f>
        <v>3271.0795370389828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52</v>
      </c>
      <c r="I7" s="235">
        <f>(G7*D7)*F7+H7*F7</f>
        <v>2728.0499999999997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218.244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95.481750000000005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2414.3242499999997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515.59322033898286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14.649587351694915</v>
      </c>
      <c r="P7" s="118">
        <f>M7+N7+O7</f>
        <v>2944.5670576906778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119">
        <f t="shared" ref="P8:P15" si="2">M8+N8+O8</f>
        <v>679.51547485169488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62</v>
      </c>
      <c r="I10" s="236">
        <f t="shared" si="0"/>
        <v>4503.68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360.2944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157.62880000000001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3985.7568000000001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851.18644067796617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24.184716203389833</v>
      </c>
      <c r="P10" s="119">
        <f t="shared" si="2"/>
        <v>4861.1279568813561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</v>
      </c>
      <c r="I11" s="236">
        <f t="shared" si="0"/>
        <v>1162.24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92.979200000000006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40.678400000000003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1028.5824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219.66101694915255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6.2412170847457631</v>
      </c>
      <c r="P11" s="119">
        <f t="shared" si="2"/>
        <v>1254.4846340338984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119">
        <f t="shared" si="2"/>
        <v>4704.3173776271187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92</v>
      </c>
      <c r="I13" s="236">
        <f t="shared" si="0"/>
        <v>3609.1600000000003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180.45800000000006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126.32060000000003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184.06716</v>
      </c>
      <c r="M13" s="230">
        <f t="shared" si="1"/>
        <v>3118.3142400000002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701.69491525423689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19.100045776271187</v>
      </c>
      <c r="P13" s="119">
        <f t="shared" si="2"/>
        <v>3839.1092010305083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7.35</v>
      </c>
      <c r="H16" s="113">
        <f t="shared" ref="H16:M16" si="3">SUM(H7:H15)</f>
        <v>294</v>
      </c>
      <c r="I16" s="114">
        <f t="shared" si="3"/>
        <v>16991.080000000002</v>
      </c>
      <c r="J16" s="274">
        <f>SUM(J7:J15)</f>
        <v>1251.0116</v>
      </c>
      <c r="K16" s="275">
        <f t="shared" si="3"/>
        <v>594.68780000000004</v>
      </c>
      <c r="L16" s="276">
        <f t="shared" si="3"/>
        <v>184.06716</v>
      </c>
      <c r="M16" s="232">
        <f t="shared" si="3"/>
        <v>14961.31344</v>
      </c>
      <c r="N16" s="233">
        <f>SUM(N7:N15)</f>
        <v>3230.8474576271183</v>
      </c>
      <c r="O16" s="101">
        <f>SUM(O7:O15)</f>
        <v>90.960804488135594</v>
      </c>
      <c r="P16" s="234">
        <f>SUM(P7:P15)</f>
        <v>18283.121702115255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16991.080000000002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1251.0116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778.75495999999998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14961.313440000002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3230.8474576271183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18192.16089762712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90.960804488135594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18283.121702115255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18283.121702115255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7.25" customHeight="1" x14ac:dyDescent="0.4">
      <c r="A6" s="388" t="s">
        <v>513</v>
      </c>
      <c r="B6" s="388"/>
      <c r="C6" s="388"/>
      <c r="F6" s="85"/>
      <c r="G6" s="86"/>
      <c r="K6" s="360" t="s">
        <v>69</v>
      </c>
      <c r="L6" s="360"/>
      <c r="M6" s="360"/>
      <c r="N6" s="389" t="s">
        <v>509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517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156.61800000000002</v>
      </c>
      <c r="L25" s="276">
        <f t="shared" si="10"/>
        <v>80.029200000000003</v>
      </c>
      <c r="M25" s="232">
        <f t="shared" si="10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4474.8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310.90800000000002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236.64720000000003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3927.2447999999999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4781.4820881355927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34" t="s">
        <v>88</v>
      </c>
      <c r="O35" s="335"/>
      <c r="P35" s="297">
        <f>+P33+P34</f>
        <v>4805.3894985762709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509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160</v>
      </c>
      <c r="I25" s="114">
        <f t="shared" si="7"/>
        <v>9478.9000000000015</v>
      </c>
      <c r="J25" s="274">
        <f>SUM(J16:J24)</f>
        <v>711.23599999999999</v>
      </c>
      <c r="K25" s="275">
        <f t="shared" si="7"/>
        <v>331.76150000000007</v>
      </c>
      <c r="L25" s="276">
        <f t="shared" si="7"/>
        <v>80.029200000000003</v>
      </c>
      <c r="M25" s="232">
        <f t="shared" si="7"/>
        <v>8355.8733000000011</v>
      </c>
      <c r="N25" s="233">
        <f>SUM(N16:N24)</f>
        <v>1799.9999999999998</v>
      </c>
      <c r="O25" s="101">
        <f>SUM(O16:O24)</f>
        <v>50.779366500000002</v>
      </c>
      <c r="P25" s="234">
        <f>SUM(P16:P24)</f>
        <v>10206.6526665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9478.9000000000015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711.23599999999999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411.79070000000007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8355.8733000000011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10155.873300000001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34" t="s">
        <v>88</v>
      </c>
      <c r="O35" s="335"/>
      <c r="P35" s="297">
        <f>+P33+P34</f>
        <v>10206.652666500002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509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54</v>
      </c>
      <c r="I25" s="114">
        <f t="shared" si="7"/>
        <v>3037.38</v>
      </c>
      <c r="J25" s="274">
        <f>SUM(J16:J24)</f>
        <v>228.86760000000001</v>
      </c>
      <c r="K25" s="275">
        <f t="shared" si="7"/>
        <v>106.30830000000002</v>
      </c>
      <c r="L25" s="276">
        <f t="shared" si="7"/>
        <v>24.008760000000002</v>
      </c>
      <c r="M25" s="232">
        <f t="shared" si="7"/>
        <v>2678.1953400000002</v>
      </c>
      <c r="N25" s="233">
        <f>SUM(N16:N24)</f>
        <v>576.61016949152531</v>
      </c>
      <c r="O25" s="101">
        <f>SUM(O16:O24)</f>
        <v>16.274027547457628</v>
      </c>
      <c r="P25" s="234">
        <f>SUM(P16:P24)</f>
        <v>3271.0795370389828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3037.38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228.86760000000001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130.31706000000003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2678.1953400000002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576.61016949152531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3254.8055094915253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16.274027547457628</v>
      </c>
    </row>
    <row r="35" spans="2:16" ht="15.75" customHeight="1" thickBot="1" x14ac:dyDescent="0.4">
      <c r="N35" s="334" t="s">
        <v>88</v>
      </c>
      <c r="O35" s="335"/>
      <c r="P35" s="297">
        <f>+P33+P34</f>
        <v>3271.0795370389828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46231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46230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2026-07-27T12:06:03Z</dcterms:modified>
</cp:coreProperties>
</file>