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EDB8DAB-A7F3-42BF-9135-0AD54DF0339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1" i="51"/>
  <c r="M20" i="46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<sst xmlns="http://schemas.openxmlformats.org/spreadsheetml/2006/main" count="3912" uniqueCount="533">
  <si>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</si>
  <si>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</si>
  <si>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</si>
  <si>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</si>
  <si>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</si>
  <si>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</si>
  <si>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</si>
  <si>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</si>
  <si>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</si>
  <si>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</si>
  <si>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</si>
  <si>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</si>
  <si>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</si>
  <si>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</si>
  <si>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</si>
  <si>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</si>
  <si>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</si>
  <si>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</si>
  <si>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</si>
  <si>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</si>
  <si>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</si>
  <si>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</si>
  <si>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</si>
  <si>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</si>
  <si>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</si>
  <si>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</si>
  <si>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</si>
  <si>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</si>
  <si>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</si>
  <si>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</si>
  <si>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</si>
  <si>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</si>
  <si>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</si>
  <si>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</si>
  <si>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</si>
  <si>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</si>
  <si>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</si>
  <si>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</si>
  <si>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</si>
  <si>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</si>
  <si>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</si>
  <si>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</si>
  <si>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</si>
  <si>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</si>
  <si>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</si>
  <si>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</si>
  <si>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</si>
  <si>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</si>
  <si>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</si>
  <si>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</si>
  <si>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</si>
  <si>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</si>
  <si>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</si>
  <si>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</si>
  <si>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</si>
  <si>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</si>
  <si>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</si>
  <si>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</si>
  <si>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</si>
  <si>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</si>
  <si>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</si>
  <si>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</si>
  <si>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</si>
  <si>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</si>
  <si>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</si>
  <si>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</si>
  <si>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</si>
  <si>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</si>
  <si>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</si>
  <si>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</si>
  <si>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</si>
  <si>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</si>
  <si>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</si>
  <si>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</si>
  <si>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</si>
  <si>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</si>
  <si>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</si>
  <si>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</si>
  <si>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</si>
  <si>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</si>
  <si>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</si>
  <si>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</si>
  <si>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</si>
  <si>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</si>
  <si>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</si>
  <si>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</si>
  <si>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</si>
  <si>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</si>
  <si>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</si>
  <si>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</si>
  <si>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</si>
  <si>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</si>
  <si>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</si>
  <si>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</si>
  <si>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</si>
  <si>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</si>
  <si>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</si>
  <si>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</si>
  <si>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</si>
  <si>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</si>
  <si>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</si>
  <si>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</si>
  <si>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</si>
  <si>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</si>
  <si>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</si>
  <si>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</si>
  <si>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</si>
  <si>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</si>
  <si>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</si>
  <si>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</si>
  <si>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</si>
  <si>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</si>
  <si>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</si>
  <si>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</si>
  <si>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</si>
  <si>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</si>
  <si>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</si>
  <si>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</si>
  <si>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</si>
  <si>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</si>
  <si>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</si>
  <si>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</si>
  <si>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</si>
  <si>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</si>
  <si>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</si>
  <si>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</si>
  <si>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</si>
  <si>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</si>
  <si>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</si>
  <si>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</si>
  <si>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</si>
  <si>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</si>
  <si>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</si>
  <si>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</si>
  <si>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</si>
  <si>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</si>
  <si>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</si>
  <si>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</si>
  <si>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</si>
  <si>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</si>
  <si>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</si>
  <si>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</si>
  <si>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</si>
  <si>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</si>
  <si>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</si>
  <si>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</si>
  <si>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</si>
  <si>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</si>
  <si>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</si>
  <si>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</si>
  <si>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</si>
  <si>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</si>
  <si>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</si>
  <si>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</si>
  <si>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</si>
  <si>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</si>
  <si>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</si>
  <si>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</si>
  <si>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</si>
  <si>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</si>
  <si>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</si>
  <si>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</si>
  <si>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</si>
  <si>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</si>
  <si>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</si>
  <si>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</si>
  <si>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</si>
  <si>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</si>
  <si>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</si>
  <si>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</si>
  <si>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</si>
  <si>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</si>
  <si>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</si>
  <si>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</si>
  <si>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</si>
  <si>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</si>
  <si>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</si>
  <si>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</si>
  <si>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</si>
  <si>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</si>
  <si>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</si>
  <si>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</si>
  <si>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</si>
  <si>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</si>
  <si>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</si>
  <si>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</si>
  <si>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</si>
  <si>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</si>
  <si>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</si>
  <si>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</si>
  <si>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</si>
  <si>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</si>
  <si>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</si>
  <si>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</si>
  <si>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</si>
  <si>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</si>
  <si>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</si>
  <si>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</si>
  <si>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</si>
  <si>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</si>
  <si>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</si>
  <si>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</si>
  <si>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</si>
  <si>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</si>
  <si>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</si>
  <si>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</si>
  <si>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</si>
  <si>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</si>
  <si>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</si>
  <si>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</si>
  <si>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</si>
  <si>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</si>
  <si>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</si>
  <si>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</si>
  <si>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</si>
  <si>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</si>
  <si>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</si>
  <si>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</si>
  <si>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</si>
  <si>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</si>
  <si>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</si>
  <si>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</si>
  <si>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</si>
  <si>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</si>
  <si>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</si>
  <si>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</si>
  <si>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</si>
  <si>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</si>
  <si>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</si>
  <si>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</si>
  <si>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</si>
  <si>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</si>
  <si>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</si>
  <si>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</si>
  <si>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</si>
  <si>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</si>
  <si>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</si>
  <si>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</si>
  <si>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</si>
  <si>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</si>
  <si>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</si>
  <si>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</si>
  <si>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</si>
  <si>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</si>
  <si>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</si>
  <si>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</si>
  <si>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</si>
  <si>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</si>
  <si>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</si>
  <si>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</si>
  <si>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</si>
  <si>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</si>
  <si>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</si>
  <si>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</si>
  <si>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</si>
  <si>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</si>
  <si>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</si>
  <si>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</si>
  <si>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</si>
  <si>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</si>
  <si>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</si>
  <si>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</si>
  <si>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</si>
  <si>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</si>
  <si>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</si>
  <si>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</si>
  <si>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</si>
  <si>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</si>
  <si>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</si>
  <si>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</si>
  <si>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</si>
  <si>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</si>
  <si>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</si>
  <si>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</si>
  <si>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</si>
  <si>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</si>
  <si>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</si>
  <si>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</si>
  <si>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</si>
  <si>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</si>
  <si>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</si>
  <si>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</si>
  <si>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</si>
  <si>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</si>
  <si>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</si>
  <si>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</si>
  <si>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</si>
  <si>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</si>
  <si>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</si>
  <si>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</si>
  <si>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</si>
  <si>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</si>
  <si>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</si>
  <si>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</si>
  <si>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</si>
  <si>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</si>
  <si>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</si>
  <si>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</si>
  <si>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</si>
  <si>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</si>
  <si>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</si>
  <si>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</si>
  <si>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</si>
  <si>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</si>
  <si>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</si>
  <si>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</si>
  <si>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</si>
  <si>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</si>
  <si>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</si>
  <si>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</si>
  <si>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</si>
  <si>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</si>
  <si>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</si>
  <si>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</si>
  <si>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</si>
  <si>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</si>
  <si>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</si>
  <si>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</si>
  <si>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</si>
  <si>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</si>
  <si>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</si>
  <si>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</si>
  <si>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</si>
  <si>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</si>
  <si>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</si>
  <si>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</si>
  <si>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</si>
  <si>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</si>
  <si>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</si>
  <si>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</si>
  <si>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</si>
  <si>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</si>
  <si>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</si>
  <si>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</si>
  <si>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</si>
  <si>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</si>
  <si>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</si>
  <si>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</si>
  <si>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</si>
  <si>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</si>
  <si>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</si>
  <si>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</si>
  <si>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</si>
  <si>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</si>
  <si>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</si>
  <si>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</si>
  <si>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</si>
  <si>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</si>
  <si>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</si>
  <si>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</si>
  <si>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</si>
  <si>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</si>
  <si>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</si>
  <si>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</si>
  <si>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</si>
  <si>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</si>
  <si>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</si>
  <si>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</si>
  <si>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</si>
  <si>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</si>
  <si>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</si>
  <si>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</si>
  <si>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</si>
  <si>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</si>
  <si>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</si>
  <si>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</si>
  <si>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</si>
  <si>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</si>
  <si>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</si>
  <si>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</si>
  <si>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</si>
  <si>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</si>
  <si>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</si>
  <si>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</si>
  <si>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</si>
  <si>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</si>
  <si>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</si>
  <si>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</si>
  <si>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</si>
  <si>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</si>
  <si>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</si>
  <si>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</si>
  <si>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</si>
  <si>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</si>
  <si>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</si>
  <si>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</si>
  <si>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</si>
  <si>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</si>
  <si>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</si>
  <si>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</si>
  <si>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</si>
  <si>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</si>
  <si>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</si>
  <si>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</si>
  <si>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</si>
  <si>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</si>
  <si>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</si>
  <si>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</si>
  <si>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</si>
  <si>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</si>
  <si>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</si>
  <si>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</si>
  <si>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</si>
  <si>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</si>
  <si>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</si>
  <si>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</si>
  <si>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</si>
  <si>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</si>
  <si>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</si>
  <si>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</si>
  <si>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</si>
  <si>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</si>
  <si>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</si>
  <si>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</si>
  <si>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</si>
  <si>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</si>
  <si>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</si>
  <si>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</si>
  <si>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</si>
  <si>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</si>
  <si>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</si>
  <si>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</si>
  <si>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</si>
  <si>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</si>
  <si>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</si>
  <si>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</si>
  <si>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</si>
  <si>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</si>
  <si>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</si>
  <si>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</si>
  <si>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</si>
  <si>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</si>
  <si>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</si>
  <si>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</si>
  <si>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</si>
  <si>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</si>
  <si>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</si>
  <si>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</si>
  <si>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</si>
  <si>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</si>
  <si>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</si>
  <si>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</si>
  <si>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</si>
  <si>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</si>
  <si>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</si>
  <si>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</si>
  <si>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</si>
  <si>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</si>
  <si>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</si>
  <si>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</si>
  <si>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</si>
  <si>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</si>
  <si>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</si>
  <si>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</si>
  <si>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</si>
  <si>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</si>
  <si>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</si>
  <si>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</si>
  <si>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</si>
  <si>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</si>
  <si>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</si>
  <si>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</si>
  <si>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</si>
  <si>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</si>
  <si>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</si>
  <si>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</si>
  <si>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</si>
  <si>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</si>
  <si>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</si>
  <si>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</si>
  <si>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</si>
  <si>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</si>
  <si>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</si>
  <si>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</si>
  <si>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</si>
  <si>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</si>
  <si>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</si>
  <si>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</si>
  <si>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</si>
  <si>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</si>
  <si>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</si>
  <si>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</si>
  <si>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</si>
  <si>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</si>
  <si>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</si>
  <si>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</si>
  <si>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</si>
  <si>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</si>
  <si>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</si>
  <si>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</si>
  <si>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</si>
  <si>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</si>
  <si>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</si>
  <si>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</si>
  <si>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</si>
  <si>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</si>
  <si>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</si>
  <si>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</si>
  <si>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</si>
  <si>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</si>
  <si>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</si>
  <si>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</si>
  <si>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</si>
  <si>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</si>
  <si>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</si>
  <si>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</si>
  <si>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</si>
  <si>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</si>
  <si>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</si>
  <si>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</si>
  <si>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</si>
  <si>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Salman </t>
  </si>
  <si>
    <t>Shere Rubani Store</t>
  </si>
  <si>
    <t xml:space="preserve">Address:Calavery Ground </t>
  </si>
  <si>
    <t xml:space="preserve">Bakhtawar Sweet </t>
  </si>
  <si>
    <t>Address:Makkah Colony</t>
  </si>
  <si>
    <t>Aashiyana Store</t>
  </si>
  <si>
    <t>Address:Street 7</t>
  </si>
  <si>
    <t>Umer Khan Zaya Store</t>
  </si>
  <si>
    <t>Address:7 up Road</t>
  </si>
  <si>
    <t xml:space="preserve">Chaudry Frozen </t>
  </si>
  <si>
    <t xml:space="preserve">Address:Shadman </t>
  </si>
  <si>
    <t>Madina Bekers</t>
  </si>
  <si>
    <t xml:space="preserve">Address:Dharampura Choek </t>
  </si>
  <si>
    <t>Bhai Bhai Medical Store</t>
  </si>
  <si>
    <t>Address:Dhrampura Road</t>
  </si>
  <si>
    <t>Tanveer Store</t>
  </si>
  <si>
    <t>Address:Dharampura</t>
  </si>
  <si>
    <t>Toqeer Store</t>
  </si>
  <si>
    <t xml:space="preserve">Address:Basti Saden Shah </t>
  </si>
  <si>
    <t>Food Rite</t>
  </si>
  <si>
    <t>Address:Dhrampura</t>
  </si>
  <si>
    <t>Sohail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</si>
</sst>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511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46231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Shere Rubani Store</v>
      </c>
      <c r="T3" s="301">
        <f>+'1'!P35</f>
        <v>3970.8005418305079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Bakhtawar Sweet </v>
      </c>
      <c r="T4" s="301">
        <f>+'2'!P35</f>
        <v>2549.3981164474576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Aashiyana Store</v>
      </c>
      <c r="T5" s="301">
        <f>+'3'!P35</f>
        <v>3134.4833819745759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Umer Khan Zaya Store</v>
      </c>
      <c r="T6" s="301">
        <f>+'4'!P35</f>
        <v>8537.4747530084751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64</v>
      </c>
      <c r="I7" s="235">
        <f>(G7*D7)*F7+H7*F7</f>
        <v>3357.6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268.608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117.51600000000001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2971.4759999999997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634.57627118644041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18.030261355932204</v>
      </c>
      <c r="P7" s="118">
        <f>M7+N7+O7</f>
        <v>3624.0825325423721</v>
      </c>
      <c r="Q7" s="142"/>
      <c r="R7" s="299">
        <v>5</v>
      </c>
      <c r="S7" s="300" t="str">
        <f>+'5'!A6:A6</f>
        <v xml:space="preserve">Chaudry Frozen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119">
        <f t="shared" ref="P8:P15" si="2">M8+N8+O8</f>
        <v>1359.0309497033898</v>
      </c>
      <c r="R8" s="299">
        <v>6</v>
      </c>
      <c r="S8" s="300" t="str">
        <f>+'6'!A6:A6</f>
        <v>Madina Bekers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Bhai Bhai Medical Store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82</v>
      </c>
      <c r="I10" s="236">
        <f t="shared" si="0"/>
        <v>5956.4800000000005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476.51840000000004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208.4768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5271.4848000000002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1125.7627118644068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31.986237559322035</v>
      </c>
      <c r="P10" s="119">
        <f t="shared" si="2"/>
        <v>6429.233749423729</v>
      </c>
      <c r="R10" s="299">
        <v>8</v>
      </c>
      <c r="S10" s="300" t="str">
        <f>+'8'!A6:A6</f>
        <v>Tanveer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</v>
      </c>
      <c r="I11" s="236">
        <f t="shared" si="0"/>
        <v>5230.08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418.40640000000002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183.05280000000002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4628.6207999999997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988.47457627118649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28.085476881355934</v>
      </c>
      <c r="P11" s="119">
        <f t="shared" si="2"/>
        <v>5645.1808531525421</v>
      </c>
      <c r="R11" s="299">
        <v>9</v>
      </c>
      <c r="S11" s="300" t="str">
        <f>+'9'!A6:A6</f>
        <v>Toqeer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42</v>
      </c>
      <c r="I12" s="236">
        <f t="shared" si="0"/>
        <v>3050.88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244.07040000000001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106.7808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2700.0288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576.61016949152554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16.383194847457627</v>
      </c>
      <c r="P12" s="119">
        <f t="shared" si="2"/>
        <v>3293.0221643389832</v>
      </c>
      <c r="R12" s="299">
        <v>10</v>
      </c>
      <c r="S12" s="300" t="str">
        <f>+'10'!A6:A6</f>
        <v>Food Rite</v>
      </c>
      <c r="T12" s="301">
        <f>+'10'!P35</f>
        <v>5162.9137001847448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124</v>
      </c>
      <c r="I13" s="236">
        <f t="shared" si="0"/>
        <v>4864.5200000000004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243.22600000000006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170.25820000000007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248.09052000000003</v>
      </c>
      <c r="M13" s="230">
        <f t="shared" si="1"/>
        <v>4202.9452799999999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945.76271186440624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25.743539959322035</v>
      </c>
      <c r="P13" s="119">
        <f t="shared" si="2"/>
        <v>5174.4515318237281</v>
      </c>
      <c r="R13" s="299">
        <v>11</v>
      </c>
      <c r="S13" s="300" t="str">
        <f>+'11'!A6:A6</f>
        <v>Sohail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408</v>
      </c>
      <c r="I16" s="114">
        <f t="shared" si="3"/>
        <v>23718.66</v>
      </c>
      <c r="J16" s="274">
        <f>SUM(J7:J15)</f>
        <v>1751.5572000000002</v>
      </c>
      <c r="K16" s="275">
        <f t="shared" si="3"/>
        <v>830.15310000000011</v>
      </c>
      <c r="L16" s="276">
        <f t="shared" si="3"/>
        <v>248.09052000000003</v>
      </c>
      <c r="M16" s="232">
        <f t="shared" si="3"/>
        <v>20888.859179999999</v>
      </c>
      <c r="N16" s="233">
        <f>SUM(N7:N15)</f>
        <v>4509.1525423728808</v>
      </c>
      <c r="O16" s="101">
        <f>SUM(O7:O15)</f>
        <v>126.99005861186441</v>
      </c>
      <c r="P16" s="234">
        <f>SUM(P7:P15)</f>
        <v>25525.001780984745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23718.66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1751.5572000000002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1078.2436200000002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20888.859179999999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4509.1525423728808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25398.011722372881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126.99005861186441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25525.001780984745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25525.001780984745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3690.2</v>
      </c>
      <c r="J25" s="274">
        <f>SUM(J16:J24)</f>
        <v>271.678</v>
      </c>
      <c r="K25" s="275">
        <f t="shared" si="10"/>
        <v>129.15700000000001</v>
      </c>
      <c r="L25" s="276">
        <f t="shared" si="10"/>
        <v>40.014600000000002</v>
      </c>
      <c r="M25" s="232">
        <f t="shared" si="10"/>
        <v>3249.3503999999998</v>
      </c>
      <c r="N25" s="233">
        <f>SUM(N16:N24)</f>
        <v>701.69491525423723</v>
      </c>
      <c r="O25" s="101">
        <f>SUM(O16:O24)</f>
        <v>19.755226576271188</v>
      </c>
      <c r="P25" s="234">
        <f>SUM(P16:P24)</f>
        <v>3970.8005418305083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3690.2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271.678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169.17160000000001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3249.3503999999998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3951.0453152542368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34" t="s">
        <v>88</v>
      </c>
      <c r="O35" s="335"/>
      <c r="P35" s="297">
        <f>+P33+P34</f>
        <v>3970.8005418305079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119">
        <f t="shared" si="5"/>
        <v>667.67116539661015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2371.04</v>
      </c>
      <c r="J25" s="274">
        <f>SUM(J16:J24)</f>
        <v>170.85280000000003</v>
      </c>
      <c r="K25" s="275">
        <f t="shared" si="7"/>
        <v>82.986400000000017</v>
      </c>
      <c r="L25" s="276">
        <f t="shared" si="7"/>
        <v>32.011679999999998</v>
      </c>
      <c r="M25" s="232">
        <f t="shared" si="7"/>
        <v>2085.18912</v>
      </c>
      <c r="N25" s="233">
        <f>SUM(N16:N24)</f>
        <v>451.52542372881351</v>
      </c>
      <c r="O25" s="101">
        <f>SUM(O16:O24)</f>
        <v>12.683572718644069</v>
      </c>
      <c r="P25" s="234">
        <f>SUM(P16:P24)</f>
        <v>2549.3981164474576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2371.04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170.85280000000003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114.99808000000002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2085.18912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451.52542372881351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2536.7145437288136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12.683572718644069</v>
      </c>
    </row>
    <row r="35" spans="2:16" ht="15.75" customHeight="1" thickBot="1" x14ac:dyDescent="0.4">
      <c r="N35" s="334" t="s">
        <v>88</v>
      </c>
      <c r="O35" s="335"/>
      <c r="P35" s="297">
        <f>+P33+P34</f>
        <v>2549.3981164474576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517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56</v>
      </c>
      <c r="I25" s="114">
        <f t="shared" si="7"/>
        <v>2915.38</v>
      </c>
      <c r="J25" s="274">
        <f>SUM(J16:J24)</f>
        <v>209.69240000000002</v>
      </c>
      <c r="K25" s="275">
        <f t="shared" si="7"/>
        <v>102.03830000000002</v>
      </c>
      <c r="L25" s="276">
        <f t="shared" si="7"/>
        <v>40.014600000000002</v>
      </c>
      <c r="M25" s="232">
        <f t="shared" si="7"/>
        <v>2563.6347000000001</v>
      </c>
      <c r="N25" s="233">
        <f>SUM(N16:N24)</f>
        <v>555.25423728813541</v>
      </c>
      <c r="O25" s="101">
        <f>SUM(O16:O24)</f>
        <v>15.594444686440678</v>
      </c>
      <c r="P25" s="234">
        <f>SUM(P16:P24)</f>
        <v>3134.4833819745763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2915.38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209.69240000000002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142.05290000000002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2563.6347000000001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555.25423728813541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3118.8889372881354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15.594444686440678</v>
      </c>
    </row>
    <row r="35" spans="2:16" ht="15.75" customHeight="1" thickBot="1" x14ac:dyDescent="0.4">
      <c r="N35" s="334" t="s">
        <v>88</v>
      </c>
      <c r="O35" s="335"/>
      <c r="P35" s="297">
        <f>+P33+P34</f>
        <v>3134.4833819745759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7909.7000000000007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632.77599999999995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276.83950000000004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7000.0845000000008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8494.9997542372894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34" t="s">
        <v>88</v>
      </c>
      <c r="O35" s="335"/>
      <c r="P35" s="297">
        <f>+P33+P34</f>
        <v>8537.4747530084751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520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521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/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1569.2000000000003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78.460000000000022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134.95120000000003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1355.7888000000003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1660.873545762712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470.76000000000005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23.538000000000004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40.485360000000007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406.73664000000002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498.26206372881353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34" t="s">
        <v>88</v>
      </c>
      <c r="O35" s="335"/>
      <c r="P35" s="297">
        <f>+P33+P34</f>
        <v>500.75337404745761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526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527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528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530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531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119">
        <f t="shared" si="5"/>
        <v>667.67116539661015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4792.38</v>
      </c>
      <c r="J25" s="274">
        <f>SUM(J16:J24)</f>
        <v>364.56</v>
      </c>
      <c r="K25" s="275">
        <f t="shared" si="7"/>
        <v>167.73330000000001</v>
      </c>
      <c r="L25" s="276">
        <f t="shared" si="7"/>
        <v>32.011679999999998</v>
      </c>
      <c r="M25" s="232">
        <f t="shared" si="7"/>
        <v>4228.0750200000002</v>
      </c>
      <c r="N25" s="233">
        <f>SUM(N16:N24)</f>
        <v>909.15254237288127</v>
      </c>
      <c r="O25" s="101">
        <f>SUM(O16:O24)</f>
        <v>25.686137811864405</v>
      </c>
      <c r="P25" s="234">
        <f>SUM(P16:P24)</f>
        <v>5162.9137001847457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4792.38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364.56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199.74498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4228.0750199999993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909.15254237288127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5137.2275623728801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25.686137811864402</v>
      </c>
    </row>
    <row r="35" spans="2:16" ht="15.75" customHeight="1" thickBot="1" x14ac:dyDescent="0.4">
      <c r="N35" s="334" t="s">
        <v>88</v>
      </c>
      <c r="O35" s="335"/>
      <c r="P35" s="297">
        <f>+P33+P34</f>
        <v>5162.9137001847448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0" workbookViewId="0">
      <selection activeCell="H18" sqref="H18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532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531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46231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46230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2026-07-27T11:47:27Z</dcterms:modified>
</cp:coreProperties>
</file>