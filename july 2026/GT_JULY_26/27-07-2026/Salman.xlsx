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78FEDAB-2B54-4788-A43F-BAD938873BC8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M20" i="46"/>
  <c r="O20" i="46" s="1"/>
  <c r="P20" i="46" s="1"/>
  <c r="R20" i="46" s="1"/>
  <c r="M16" i="44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<sst xmlns="http://schemas.openxmlformats.org/spreadsheetml/2006/main" count="3912" uniqueCount="533">
  <si>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</si>
  <si>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</si>
  <si>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</si>
  <si>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</si>
  <si>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</si>
  <si>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</si>
  <si>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</si>
  <si>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</si>
  <si>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</si>
  <si>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</si>
  <si>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</si>
  <si>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</si>
  <si>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</si>
  <si>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</si>
  <si>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</si>
  <si>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</si>
  <si>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</si>
  <si>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</si>
  <si>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</si>
  <si>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</si>
  <si>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</si>
  <si>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</si>
  <si>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</si>
  <si>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</si>
  <si>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</si>
  <si>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</si>
  <si>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</si>
  <si>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</si>
  <si>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</si>
  <si>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</si>
  <si>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</si>
  <si>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</si>
  <si>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</si>
  <si>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</si>
  <si>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</si>
  <si>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</si>
  <si>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</si>
  <si>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</si>
  <si>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</si>
  <si>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</si>
  <si>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</si>
  <si>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</si>
  <si>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</si>
  <si>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</si>
  <si>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</si>
  <si>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</si>
  <si>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</si>
  <si>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</si>
  <si>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</si>
  <si>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</si>
  <si>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</si>
  <si>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</si>
  <si>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</si>
  <si>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</si>
  <si>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</si>
  <si>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</si>
  <si>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</si>
  <si>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</si>
  <si>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</si>
  <si>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</si>
  <si>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</si>
  <si>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</si>
  <si>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</si>
  <si>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</si>
  <si>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</si>
  <si>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</si>
  <si>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</si>
  <si>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</si>
  <si>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</si>
  <si>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</si>
  <si>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</si>
  <si>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</si>
  <si>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</si>
  <si>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</si>
  <si>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</si>
  <si>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</si>
  <si>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</si>
  <si>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</si>
  <si>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</si>
  <si>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</si>
  <si>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</si>
  <si>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</si>
  <si>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</si>
  <si>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</si>
  <si>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</si>
  <si>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</si>
  <si>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</si>
  <si>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</si>
  <si>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</si>
  <si>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</si>
  <si>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</si>
  <si>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</si>
  <si>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</si>
  <si>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</si>
  <si>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</si>
  <si>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</si>
  <si>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</si>
  <si>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</si>
  <si>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</si>
  <si>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</si>
  <si>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</si>
  <si>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</si>
  <si>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</si>
  <si>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</si>
  <si>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</si>
  <si>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</si>
  <si>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</si>
  <si>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</si>
  <si>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</si>
  <si>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</si>
  <si>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</si>
  <si>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</si>
  <si>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</si>
  <si>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</si>
  <si>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</si>
  <si>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</si>
  <si>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</si>
  <si>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</si>
  <si>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</si>
  <si>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</si>
  <si>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</si>
  <si>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</si>
  <si>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</si>
  <si>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</si>
  <si>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</si>
  <si>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</si>
  <si>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</si>
  <si>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</si>
  <si>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</si>
  <si>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</si>
  <si>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</si>
  <si>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</si>
  <si>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</si>
  <si>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</si>
  <si>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</si>
  <si>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</si>
  <si>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</si>
  <si>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</si>
  <si>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</si>
  <si>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</si>
  <si>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</si>
  <si>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</si>
  <si>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</si>
  <si>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</si>
  <si>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</si>
  <si>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</si>
  <si>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</si>
  <si>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</si>
  <si>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</si>
  <si>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</si>
  <si>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</si>
  <si>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</si>
  <si>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</si>
  <si>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</si>
  <si>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</si>
  <si>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</si>
  <si>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</si>
  <si>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</si>
  <si>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</si>
  <si>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</si>
  <si>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</si>
  <si>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</si>
  <si>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</si>
  <si>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</si>
  <si>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</si>
  <si>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</si>
  <si>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</si>
  <si>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</si>
  <si>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</si>
  <si>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</si>
  <si>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</si>
  <si>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</si>
  <si>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</si>
  <si>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</si>
  <si>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</si>
  <si>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</si>
  <si>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</si>
  <si>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</si>
  <si>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</si>
  <si>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</si>
  <si>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</si>
  <si>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</si>
  <si>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</si>
  <si>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</si>
  <si>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</si>
  <si>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</si>
  <si>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</si>
  <si>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</si>
  <si>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</si>
  <si>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</si>
  <si>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</si>
  <si>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</si>
  <si>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</si>
  <si>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</si>
  <si>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</si>
  <si>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</si>
  <si>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</si>
  <si>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</si>
  <si>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</si>
  <si>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</si>
  <si>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</si>
  <si>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</si>
  <si>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</si>
  <si>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</si>
  <si>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</si>
  <si>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</si>
  <si>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</si>
  <si>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</si>
  <si>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</si>
  <si>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</si>
  <si>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</si>
  <si>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</si>
  <si>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</si>
  <si>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</si>
  <si>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</si>
  <si>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</si>
  <si>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</si>
  <si>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</si>
  <si>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</si>
  <si>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</si>
  <si>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</si>
  <si>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</si>
  <si>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</si>
  <si>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</si>
  <si>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</si>
  <si>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</si>
  <si>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</si>
  <si>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</si>
  <si>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</si>
  <si>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</si>
  <si>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</si>
  <si>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</si>
  <si>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</si>
  <si>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</si>
  <si>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</si>
  <si>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</si>
  <si>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</si>
  <si>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</si>
  <si>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</si>
  <si>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</si>
  <si>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</si>
  <si>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</si>
  <si>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</si>
  <si>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</si>
  <si>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</si>
  <si>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</si>
  <si>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</si>
  <si>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</si>
  <si>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</si>
  <si>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</si>
  <si>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</si>
  <si>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</si>
  <si>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</si>
  <si>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</si>
  <si>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</si>
  <si>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</si>
  <si>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</si>
  <si>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</si>
  <si>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</si>
  <si>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</si>
  <si>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</si>
  <si>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</si>
  <si>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</si>
  <si>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</si>
  <si>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</si>
  <si>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</si>
  <si>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</si>
  <si>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</si>
  <si>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</si>
  <si>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</si>
  <si>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</si>
  <si>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</si>
  <si>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</si>
  <si>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</si>
  <si>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</si>
  <si>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</si>
  <si>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</si>
  <si>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</si>
  <si>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</si>
  <si>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</si>
  <si>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</si>
  <si>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</si>
  <si>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</si>
  <si>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</si>
  <si>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</si>
  <si>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</si>
  <si>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</si>
  <si>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</si>
  <si>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</si>
  <si>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</si>
  <si>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</si>
  <si>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</si>
  <si>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</si>
  <si>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</si>
  <si>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</si>
  <si>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</si>
  <si>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</si>
  <si>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</si>
  <si>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</si>
  <si>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</si>
  <si>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</si>
  <si>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</si>
  <si>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</si>
  <si>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</si>
  <si>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</si>
  <si>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</si>
  <si>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</si>
  <si>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</si>
  <si>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</si>
  <si>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</si>
  <si>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</si>
  <si>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</si>
  <si>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</si>
  <si>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</si>
  <si>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</si>
  <si>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</si>
  <si>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</si>
  <si>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</si>
  <si>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</si>
  <si>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</si>
  <si>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</si>
  <si>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</si>
  <si>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</si>
  <si>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</si>
  <si>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</si>
  <si>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</si>
  <si>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</si>
  <si>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</si>
  <si>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</si>
  <si>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</si>
  <si>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</si>
  <si>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</si>
  <si>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</si>
  <si>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</si>
  <si>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</si>
  <si>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</si>
  <si>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</si>
  <si>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</si>
  <si>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</si>
  <si>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</si>
  <si>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</si>
  <si>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</si>
  <si>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</si>
  <si>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</si>
  <si>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</si>
  <si>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</si>
  <si>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</si>
  <si>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</si>
  <si>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</si>
  <si>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</si>
  <si>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</si>
  <si>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</si>
  <si>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</si>
  <si>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</si>
  <si>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</si>
  <si>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</si>
  <si>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</si>
  <si>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</si>
  <si>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</si>
  <si>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</si>
  <si>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</si>
  <si>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</si>
  <si>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</si>
  <si>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</si>
  <si>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</si>
  <si>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</si>
  <si>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</si>
  <si>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</si>
  <si>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</si>
  <si>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</si>
  <si>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</si>
  <si>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</si>
  <si>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</si>
  <si>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</si>
  <si>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</si>
  <si>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</si>
  <si>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</si>
  <si>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</si>
  <si>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</si>
  <si>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</si>
  <si>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</si>
  <si>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</si>
  <si>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</si>
  <si>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</si>
  <si>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</si>
  <si>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</si>
  <si>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</si>
  <si>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</si>
  <si>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</si>
  <si>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</si>
  <si>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</si>
  <si>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</si>
  <si>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</si>
  <si>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</si>
  <si>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</si>
  <si>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</si>
  <si>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</si>
  <si>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</si>
  <si>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</si>
  <si>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</si>
  <si>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</si>
  <si>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</si>
  <si>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</si>
  <si>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</si>
  <si>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</si>
  <si>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</si>
  <si>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</si>
  <si>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</si>
  <si>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</si>
  <si>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</si>
  <si>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</si>
  <si>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</si>
  <si>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</si>
  <si>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</si>
  <si>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</si>
  <si>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</si>
  <si>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</si>
  <si>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</si>
  <si>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</si>
  <si>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</si>
  <si>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</si>
  <si>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</si>
  <si>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</si>
  <si>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</si>
  <si>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</si>
  <si>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</si>
  <si>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</si>
  <si>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</si>
  <si>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</si>
  <si>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</si>
  <si>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</si>
  <si>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</si>
  <si>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</si>
  <si>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</si>
  <si>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</si>
  <si>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</si>
  <si>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</si>
  <si>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</si>
  <si>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</si>
  <si>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</si>
  <si>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</si>
  <si>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</si>
  <si>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</si>
  <si>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</si>
  <si>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</si>
  <si>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</si>
  <si>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</si>
  <si>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</si>
  <si>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</si>
  <si>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</si>
  <si>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</si>
  <si>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</si>
  <si>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</si>
  <si>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</si>
  <si>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</si>
  <si>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</si>
  <si>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</si>
  <si>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</si>
  <si>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</si>
  <si>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</si>
  <si>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</si>
  <si>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</si>
  <si>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</si>
  <si>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</si>
  <si>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</si>
  <si>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</si>
  <si>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</si>
  <si>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</si>
  <si>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</si>
  <si>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</si>
  <si>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</si>
  <si>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</si>
  <si>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</si>
  <si>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</si>
  <si>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</si>
  <si>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</si>
  <si>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</si>
  <si>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</si>
  <si>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</si>
  <si>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</si>
  <si>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</si>
  <si>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</si>
  <si>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</si>
  <si>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</si>
  <si>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</si>
  <si>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</si>
  <si>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</si>
  <si>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</si>
  <si>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</si>
  <si>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</si>
  <si>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</si>
  <si>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</si>
  <si>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</si>
  <si>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</si>
  <si>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</si>
  <si>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</si>
  <si>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</si>
  <si>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</si>
  <si>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</si>
  <si>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</si>
  <si>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</si>
  <si>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</si>
  <si>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</si>
  <si>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</si>
  <si>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</si>
  <si>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</si>
  <si>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</si>
  <si>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</si>
  <si>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</si>
  <si>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</si>
  <si>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</si>
  <si>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Salman </t>
  </si>
  <si>
    <t>Shere Rubani Store</t>
  </si>
  <si>
    <t xml:space="preserve">Address:Calavery Ground </t>
  </si>
  <si>
    <t xml:space="preserve">Bakhtawar Sweet </t>
  </si>
  <si>
    <t>Address:Makkah Colony</t>
  </si>
  <si>
    <t>Aashiyana Store</t>
  </si>
  <si>
    <t>Address:Street 7</t>
  </si>
  <si>
    <t>Umer Khan Zaya Store</t>
  </si>
  <si>
    <t>Address:7 up Road</t>
  </si>
  <si>
    <t xml:space="preserve">Chaudry Frozen </t>
  </si>
  <si>
    <t xml:space="preserve">Address:Shadman </t>
  </si>
  <si>
    <t>Madina Bekers</t>
  </si>
  <si>
    <t xml:space="preserve">Address:Dharampura Choek </t>
  </si>
  <si>
    <t>Bhai Bhai Medical Store</t>
  </si>
  <si>
    <t>Address:Dhrampura Road</t>
  </si>
  <si>
    <t>Tanveer Store</t>
  </si>
  <si>
    <t>Address:Dharampura</t>
  </si>
  <si>
    <t>Toqeer Store</t>
  </si>
  <si>
    <t xml:space="preserve">Address:Basti Saden Shah </t>
  </si>
  <si>
    <t>Food Rite</t>
  </si>
  <si>
    <t>Address:Dhrampura</t>
  </si>
  <si>
    <t>Sohail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</si>
</sst>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topLeftCell="C1" workbookViewId="0">
      <selection activeCell="V5" sqref="V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511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 ca="1">+'1'!N4:N4</f>
        <v>46231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Shere Rubani Store</v>
      </c>
      <c r="T3" s="301">
        <f>+'1'!P35</f>
        <v>3970.8005418305079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Bakhtawar Sweet </v>
      </c>
      <c r="T4" s="301">
        <f>+'2'!P35</f>
        <v>2549.3981164474576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Aashiyana Store</v>
      </c>
      <c r="T5" s="301">
        <f>+'3'!P35</f>
        <v>5016.2103330254249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Umer Khan Zaya Store</v>
      </c>
      <c r="T6" s="301">
        <f>+'4'!P35</f>
        <v>8537.4747530084751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64</v>
      </c>
      <c r="I7" s="235">
        <f>(G7*D7)*F7+H7*F7</f>
        <v>3357.6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268.608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117.51600000000001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2971.4759999999997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634.57627118644041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18.030261355932204</v>
      </c>
      <c r="P7" s="118">
        <f>M7+N7+O7</f>
        <v>3624.0825325423721</v>
      </c>
      <c r="Q7" s="142"/>
      <c r="R7" s="299">
        <v>5</v>
      </c>
      <c r="S7" s="300" t="str">
        <f>+'5'!A6:A6</f>
        <v xml:space="preserve">Chaudry Frozen </v>
      </c>
      <c r="T7" s="301">
        <f>+'5'!P35</f>
        <v>3970.8005418305079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24</v>
      </c>
      <c r="I8" s="236">
        <f t="shared" ref="I8:I14" si="0">(G8*D8)*F8+H8*F8</f>
        <v>1259.0999999999999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100.72799999999999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44.0685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1114.3035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237.96610169491515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6.7613480084745756</v>
      </c>
      <c r="P8" s="119">
        <f t="shared" ref="P8:P15" si="2">M8+N8+O8</f>
        <v>1359.0309497033898</v>
      </c>
      <c r="R8" s="299">
        <v>6</v>
      </c>
      <c r="S8" s="300" t="str">
        <f>+'6'!A6:A6</f>
        <v>Madina Bekers</v>
      </c>
      <c r="T8" s="301">
        <f>+'6'!P35</f>
        <v>1669.1779134915255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Bhai Bhai Medical Store</v>
      </c>
      <c r="T9" s="301">
        <f>+'7'!P35</f>
        <v>500.75337404745761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154</v>
      </c>
      <c r="I10" s="236">
        <f t="shared" si="0"/>
        <v>11186.56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894.9248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391.52960000000002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9900.105599999999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2114.2372881355932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60.071714440677972</v>
      </c>
      <c r="P10" s="119">
        <f t="shared" si="2"/>
        <v>12074.414602576269</v>
      </c>
      <c r="R10" s="299">
        <v>8</v>
      </c>
      <c r="S10" s="300" t="str">
        <f>+'8'!A6:A6</f>
        <v>Tanveer Store</v>
      </c>
      <c r="T10" s="301">
        <f>+'8'!P35</f>
        <v>2883.2336991457628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104</v>
      </c>
      <c r="I11" s="236">
        <f t="shared" si="0"/>
        <v>7554.56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604.36480000000006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264.40960000000001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6685.7856000000002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1427.7966101694919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40.567911050847471</v>
      </c>
      <c r="P11" s="119">
        <f t="shared" si="2"/>
        <v>8154.1501212203393</v>
      </c>
      <c r="R11" s="299">
        <v>9</v>
      </c>
      <c r="S11" s="300" t="str">
        <f>+'9'!A6:A6</f>
        <v>Toqeer Store</v>
      </c>
      <c r="T11" s="301">
        <f>+'9'!P35</f>
        <v>3136.2115850847458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106</v>
      </c>
      <c r="I12" s="236">
        <f t="shared" si="0"/>
        <v>7699.84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615.98719999999992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269.49440000000004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6814.3584000000001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1455.2542372881358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41.348063186440676</v>
      </c>
      <c r="P12" s="119">
        <f t="shared" si="2"/>
        <v>8310.9607004745758</v>
      </c>
      <c r="R12" s="299">
        <v>10</v>
      </c>
      <c r="S12" s="300" t="str">
        <f>+'10'!A6:A6</f>
        <v>Food Rite</v>
      </c>
      <c r="T12" s="301">
        <f>+'10'!P35</f>
        <v>5162.9137001847448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208</v>
      </c>
      <c r="I13" s="236">
        <f t="shared" si="0"/>
        <v>8159.8400000000011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407.99200000000013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285.59440000000012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416.15183999999999</v>
      </c>
      <c r="M13" s="230">
        <f t="shared" si="1"/>
        <v>7050.1017600000014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1586.4406779661008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43.182712189830511</v>
      </c>
      <c r="P13" s="119">
        <f t="shared" si="2"/>
        <v>8679.7251501559331</v>
      </c>
      <c r="R13" s="299">
        <v>11</v>
      </c>
      <c r="S13" s="300" t="str">
        <f>+'11'!A6:A6</f>
        <v>Sohail Store</v>
      </c>
      <c r="T13" s="301">
        <f>+'11'!P35</f>
        <v>4805.3894985762709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 t="shared" ref="G16:M16" si="3">SUM(G7:G15)</f>
        <v>0</v>
      </c>
      <c r="H16" s="113">
        <f t="shared" si="3"/>
        <v>660</v>
      </c>
      <c r="I16" s="114">
        <f t="shared" si="3"/>
        <v>39217.5</v>
      </c>
      <c r="J16" s="274">
        <f>SUM(J7:J15)</f>
        <v>2892.6048000000001</v>
      </c>
      <c r="K16" s="275">
        <f t="shared" si="3"/>
        <v>1372.6125000000002</v>
      </c>
      <c r="L16" s="276">
        <f t="shared" si="3"/>
        <v>416.15183999999999</v>
      </c>
      <c r="M16" s="232">
        <f t="shared" si="3"/>
        <v>34536.130860000005</v>
      </c>
      <c r="N16" s="233">
        <f>SUM(N7:N15)</f>
        <v>7456.2711864406774</v>
      </c>
      <c r="O16" s="101">
        <f>SUM(O7:O15)</f>
        <v>209.9620102322034</v>
      </c>
      <c r="P16" s="234">
        <f>SUM(P7:P15)</f>
        <v>42202.364056672886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39217.5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2892.6048000000001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1788.7643400000002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34536.130859999997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7456.2711864406774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41992.402046440679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209.9620102322034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42202.364056672879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42202.364056672886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7.25" customHeight="1" x14ac:dyDescent="0.4">
      <c r="A6" s="389" t="s">
        <v>512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60</v>
      </c>
      <c r="I25" s="114">
        <f t="shared" ref="I25:M25" si="10">SUM(I16:I24)</f>
        <v>3690.2</v>
      </c>
      <c r="J25" s="274">
        <f>SUM(J16:J24)</f>
        <v>271.678</v>
      </c>
      <c r="K25" s="275">
        <f t="shared" si="10"/>
        <v>129.15700000000001</v>
      </c>
      <c r="L25" s="276">
        <f t="shared" si="10"/>
        <v>40.014600000000002</v>
      </c>
      <c r="M25" s="232">
        <f t="shared" si="10"/>
        <v>3249.3503999999998</v>
      </c>
      <c r="N25" s="233">
        <f>SUM(N16:N24)</f>
        <v>701.69491525423723</v>
      </c>
      <c r="O25" s="101">
        <f>SUM(O16:O24)</f>
        <v>19.755226576271188</v>
      </c>
      <c r="P25" s="234">
        <f>SUM(P16:P24)</f>
        <v>3970.8005418305083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3690.2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271.678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169.17160000000001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3249.3503999999998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701.69491525423723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3951.0453152542368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19.755226576271184</v>
      </c>
    </row>
    <row r="35" spans="2:16" ht="15.75" customHeight="1" thickBot="1" x14ac:dyDescent="0.4">
      <c r="N35" s="363" t="s">
        <v>88</v>
      </c>
      <c r="O35" s="364"/>
      <c r="P35" s="297">
        <f>+P33+P34</f>
        <v>3970.8005418305079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16</v>
      </c>
      <c r="I22" s="236">
        <f t="shared" si="0"/>
        <v>627.68000000000006</v>
      </c>
      <c r="J22" s="272">
        <f t="shared" si="1"/>
        <v>31.384000000000004</v>
      </c>
      <c r="K22" s="128">
        <f t="shared" si="1"/>
        <v>21.968800000000005</v>
      </c>
      <c r="L22" s="119">
        <f t="shared" si="1"/>
        <v>32.011679999999998</v>
      </c>
      <c r="M22" s="230">
        <f t="shared" si="2"/>
        <v>542.31552000000011</v>
      </c>
      <c r="N22" s="277">
        <f t="shared" si="3"/>
        <v>122.03389830508468</v>
      </c>
      <c r="O22" s="239">
        <f t="shared" si="4"/>
        <v>3.3217470915254239</v>
      </c>
      <c r="P22" s="119">
        <f t="shared" si="5"/>
        <v>667.67116539661015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40</v>
      </c>
      <c r="I25" s="114">
        <f t="shared" si="7"/>
        <v>2371.04</v>
      </c>
      <c r="J25" s="274">
        <f>SUM(J16:J24)</f>
        <v>170.85280000000003</v>
      </c>
      <c r="K25" s="275">
        <f t="shared" si="7"/>
        <v>82.986400000000017</v>
      </c>
      <c r="L25" s="276">
        <f t="shared" si="7"/>
        <v>32.011679999999998</v>
      </c>
      <c r="M25" s="232">
        <f t="shared" si="7"/>
        <v>2085.18912</v>
      </c>
      <c r="N25" s="233">
        <f>SUM(N16:N24)</f>
        <v>451.52542372881351</v>
      </c>
      <c r="O25" s="101">
        <f>SUM(O16:O24)</f>
        <v>12.683572718644069</v>
      </c>
      <c r="P25" s="234">
        <f>SUM(P16:P24)</f>
        <v>2549.3981164474576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2371.04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170.85280000000003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114.99808000000002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2085.18912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451.52542372881351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2536.7145437288136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12.683572718644069</v>
      </c>
    </row>
    <row r="35" spans="2:16" ht="15.75" customHeight="1" thickBot="1" x14ac:dyDescent="0.4">
      <c r="N35" s="363" t="s">
        <v>88</v>
      </c>
      <c r="O35" s="364"/>
      <c r="P35" s="297">
        <f>+P33+P34</f>
        <v>2549.3981164474576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8.75" customHeight="1" x14ac:dyDescent="0.4">
      <c r="A6" s="389" t="s">
        <v>516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517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80</v>
      </c>
      <c r="I25" s="114">
        <f t="shared" si="7"/>
        <v>4658.7400000000007</v>
      </c>
      <c r="J25" s="274">
        <f>SUM(J16:J24)</f>
        <v>349.16120000000001</v>
      </c>
      <c r="K25" s="275">
        <f t="shared" si="7"/>
        <v>163.05590000000004</v>
      </c>
      <c r="L25" s="276">
        <f t="shared" si="7"/>
        <v>40.014600000000002</v>
      </c>
      <c r="M25" s="232">
        <f t="shared" si="7"/>
        <v>4106.5082999999995</v>
      </c>
      <c r="N25" s="233">
        <f>SUM(N16:N24)</f>
        <v>884.74576271186436</v>
      </c>
      <c r="O25" s="101">
        <f>SUM(O16:O24)</f>
        <v>24.956270313559322</v>
      </c>
      <c r="P25" s="234">
        <f>SUM(P16:P24)</f>
        <v>5016.2103330254231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4658.7400000000007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349.16120000000001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203.07050000000004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4106.5083000000013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884.74576271186436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4991.254062711866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24.95627031355933</v>
      </c>
    </row>
    <row r="35" spans="2:16" ht="15.75" customHeight="1" thickBot="1" x14ac:dyDescent="0.4">
      <c r="N35" s="363" t="s">
        <v>88</v>
      </c>
      <c r="O35" s="364"/>
      <c r="P35" s="297">
        <f>+P33+P34</f>
        <v>5016.2103330254249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518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519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632.77599999999995</v>
      </c>
      <c r="K25" s="275">
        <f t="shared" si="7"/>
        <v>276.83950000000004</v>
      </c>
      <c r="L25" s="276">
        <f t="shared" si="7"/>
        <v>0</v>
      </c>
      <c r="M25" s="232">
        <f t="shared" si="7"/>
        <v>7000.0845000000008</v>
      </c>
      <c r="N25" s="233">
        <f>SUM(N16:N24)</f>
        <v>1494.9152542372881</v>
      </c>
      <c r="O25" s="101">
        <f>SUM(O16:O24)</f>
        <v>42.474998771186442</v>
      </c>
      <c r="P25" s="234">
        <f>SUM(P16:P24)</f>
        <v>8537.4747530084751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7909.7000000000007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632.77599999999995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276.83950000000004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7000.0845000000008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8494.9997542372894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42.474998771186449</v>
      </c>
    </row>
    <row r="35" spans="2:16" ht="15.75" customHeight="1" thickBot="1" x14ac:dyDescent="0.4">
      <c r="N35" s="363" t="s">
        <v>88</v>
      </c>
      <c r="O35" s="364"/>
      <c r="P35" s="297">
        <f>+P33+P34</f>
        <v>8537.4747530084751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520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521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/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60</v>
      </c>
      <c r="I25" s="114">
        <f t="shared" si="7"/>
        <v>3690.2</v>
      </c>
      <c r="J25" s="274">
        <f>SUM(J16:J24)</f>
        <v>271.678</v>
      </c>
      <c r="K25" s="275">
        <f t="shared" si="7"/>
        <v>129.15700000000001</v>
      </c>
      <c r="L25" s="276">
        <f t="shared" si="7"/>
        <v>40.014600000000002</v>
      </c>
      <c r="M25" s="232">
        <f t="shared" si="7"/>
        <v>3249.3504000000003</v>
      </c>
      <c r="N25" s="233">
        <f>SUM(N16:N24)</f>
        <v>701.69491525423723</v>
      </c>
      <c r="O25" s="101">
        <f>SUM(O16:O24)</f>
        <v>19.755226576271188</v>
      </c>
      <c r="P25" s="234">
        <f>SUM(P16:P24)</f>
        <v>3970.8005418305083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3690.2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271.678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169.17160000000001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3249.3503999999998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701.69491525423723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3951.0453152542368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19.755226576271184</v>
      </c>
    </row>
    <row r="35" spans="2:16" ht="15.75" customHeight="1" thickBot="1" x14ac:dyDescent="0.4">
      <c r="N35" s="363" t="s">
        <v>88</v>
      </c>
      <c r="O35" s="364"/>
      <c r="P35" s="297">
        <f>+P33+P34</f>
        <v>3970.8005418305079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522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523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1569.2000000000003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78.460000000000022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134.95120000000003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1355.7888000000003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1660.873545762712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63" t="s">
        <v>88</v>
      </c>
      <c r="O35" s="364"/>
      <c r="P35" s="297">
        <f>+P33+P34</f>
        <v>1669.1779134915255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524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525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470.76000000000005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23.538000000000004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40.485360000000007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406.73664000000002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498.26206372881353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63" t="s">
        <v>88</v>
      </c>
      <c r="O35" s="364"/>
      <c r="P35" s="297">
        <f>+P33+P34</f>
        <v>500.75337404745761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526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527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119">
        <f t="shared" si="5"/>
        <v>1001.5067480949152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48</v>
      </c>
      <c r="I25" s="114">
        <f t="shared" si="7"/>
        <v>2684.88</v>
      </c>
      <c r="J25" s="274">
        <f>SUM(J16:J24)</f>
        <v>186.54480000000001</v>
      </c>
      <c r="K25" s="275">
        <f t="shared" si="7"/>
        <v>93.970800000000025</v>
      </c>
      <c r="L25" s="276">
        <f t="shared" si="7"/>
        <v>48.017520000000005</v>
      </c>
      <c r="M25" s="232">
        <f t="shared" si="7"/>
        <v>2356.3468800000001</v>
      </c>
      <c r="N25" s="233">
        <f>SUM(N16:N24)</f>
        <v>512.54237288135585</v>
      </c>
      <c r="O25" s="101">
        <f>SUM(O16:O24)</f>
        <v>14.344446264406781</v>
      </c>
      <c r="P25" s="234">
        <f>SUM(P16:P24)</f>
        <v>2883.2336991457628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2684.88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186.54480000000001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141.98832000000004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2356.3468800000001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512.54237288135585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2868.8892528813558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14.344446264406779</v>
      </c>
    </row>
    <row r="35" spans="2:16" ht="15.75" customHeight="1" thickBot="1" x14ac:dyDescent="0.4">
      <c r="N35" s="363" t="s">
        <v>88</v>
      </c>
      <c r="O35" s="364"/>
      <c r="P35" s="297">
        <f>+P33+P34</f>
        <v>2883.2336991457628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528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529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2905.6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232.44800000000001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101.69600000000001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2571.4560000000001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3120.6085423728814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63" t="s">
        <v>88</v>
      </c>
      <c r="O35" s="364"/>
      <c r="P35" s="297">
        <f>+P33+P34</f>
        <v>3136.2115850847458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530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531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16</v>
      </c>
      <c r="I22" s="236">
        <f t="shared" si="0"/>
        <v>627.68000000000006</v>
      </c>
      <c r="J22" s="272">
        <f t="shared" si="1"/>
        <v>31.384000000000004</v>
      </c>
      <c r="K22" s="128">
        <f t="shared" si="1"/>
        <v>21.968800000000005</v>
      </c>
      <c r="L22" s="119">
        <f t="shared" si="1"/>
        <v>32.011679999999998</v>
      </c>
      <c r="M22" s="230">
        <f t="shared" si="2"/>
        <v>542.31552000000011</v>
      </c>
      <c r="N22" s="277">
        <f t="shared" si="3"/>
        <v>122.03389830508468</v>
      </c>
      <c r="O22" s="239">
        <f t="shared" si="4"/>
        <v>3.3217470915254239</v>
      </c>
      <c r="P22" s="119">
        <f t="shared" si="5"/>
        <v>667.67116539661015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80</v>
      </c>
      <c r="I25" s="114">
        <f t="shared" si="7"/>
        <v>4792.38</v>
      </c>
      <c r="J25" s="274">
        <f>SUM(J16:J24)</f>
        <v>364.56</v>
      </c>
      <c r="K25" s="275">
        <f t="shared" si="7"/>
        <v>167.73330000000001</v>
      </c>
      <c r="L25" s="276">
        <f t="shared" si="7"/>
        <v>32.011679999999998</v>
      </c>
      <c r="M25" s="232">
        <f t="shared" si="7"/>
        <v>4228.0750200000002</v>
      </c>
      <c r="N25" s="233">
        <f>SUM(N16:N24)</f>
        <v>909.15254237288127</v>
      </c>
      <c r="O25" s="101">
        <f>SUM(O16:O24)</f>
        <v>25.686137811864405</v>
      </c>
      <c r="P25" s="234">
        <f>SUM(P16:P24)</f>
        <v>5162.9137001847457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4792.38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364.56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199.74498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4228.0750199999993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909.15254237288127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5137.2275623728801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25.686137811864402</v>
      </c>
    </row>
    <row r="35" spans="2:16" ht="15.75" customHeight="1" thickBot="1" x14ac:dyDescent="0.4">
      <c r="N35" s="363" t="s">
        <v>88</v>
      </c>
      <c r="O35" s="364"/>
      <c r="P35" s="297">
        <f>+P33+P34</f>
        <v>5162.9137001847448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532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531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30</v>
      </c>
      <c r="I19" s="236">
        <f t="shared" si="0"/>
        <v>2179.1999999999998</v>
      </c>
      <c r="J19" s="272">
        <f t="shared" si="1"/>
        <v>174.33599999999998</v>
      </c>
      <c r="K19" s="128">
        <f t="shared" si="1"/>
        <v>76.272000000000006</v>
      </c>
      <c r="L19" s="119">
        <f t="shared" si="1"/>
        <v>0</v>
      </c>
      <c r="M19" s="230">
        <f t="shared" si="2"/>
        <v>1928.5919999999999</v>
      </c>
      <c r="N19" s="277">
        <f t="shared" si="3"/>
        <v>411.86440677966107</v>
      </c>
      <c r="O19" s="239">
        <f t="shared" si="4"/>
        <v>11.702282033898305</v>
      </c>
      <c r="P19" s="119">
        <f t="shared" si="5"/>
        <v>2352.1586888135594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234">
        <f>SUM(P16:P24)</f>
        <v>4805.3894985762709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4474.8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310.90800000000002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236.64720000000003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3927.2447999999999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4781.4820881355927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63" t="s">
        <v>88</v>
      </c>
      <c r="O35" s="364"/>
      <c r="P35" s="297">
        <f>+P33+P34</f>
        <v>4805.3894985762709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8.7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46231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46230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2026-07-27T04:58:12Z</dcterms:modified>
</cp:coreProperties>
</file>