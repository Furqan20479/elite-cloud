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EC9F360-2C8C-44B7-95F9-13D868429724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6" i="44"/>
  <c r="M22" i="43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<sst xmlns="http://schemas.openxmlformats.org/spreadsheetml/2006/main" count="3913" uniqueCount="524">
  <si>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</si>
  <si>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</si>
  <si>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</si>
  <si>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</si>
  <si>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</si>
  <si>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</si>
  <si>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</si>
  <si>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</si>
  <si>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</si>
  <si>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</si>
  <si>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</si>
  <si>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</si>
  <si>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</si>
  <si>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</si>
  <si>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</si>
  <si>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</si>
  <si>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</si>
  <si>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</si>
  <si>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</si>
  <si>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</si>
  <si>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</si>
  <si>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</si>
  <si>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</si>
  <si>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</si>
  <si>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</si>
  <si>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</si>
  <si>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</si>
  <si>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</si>
  <si>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</si>
  <si>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</si>
  <si>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</si>
  <si>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</si>
  <si>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</si>
  <si>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</si>
  <si>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</si>
  <si>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</si>
  <si>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</si>
  <si>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</si>
  <si>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</si>
  <si>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</si>
  <si>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</si>
  <si>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</si>
  <si>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</si>
  <si>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</si>
  <si>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</si>
  <si>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</si>
  <si>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</si>
  <si>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</si>
  <si>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</si>
  <si>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</si>
  <si>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</si>
  <si>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</si>
  <si>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</si>
  <si>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</si>
  <si>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</si>
  <si>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</si>
  <si>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</si>
  <si>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</si>
  <si>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</si>
  <si>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</si>
  <si>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</si>
  <si>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</si>
  <si>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</si>
  <si>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</si>
  <si>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</si>
  <si>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</si>
  <si>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</si>
  <si>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</si>
  <si>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</si>
  <si>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</si>
  <si>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</si>
  <si>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</si>
  <si>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</si>
  <si>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</si>
  <si>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</si>
  <si>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</si>
  <si>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</si>
  <si>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</si>
  <si>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</si>
  <si>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</si>
  <si>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</si>
  <si>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</si>
  <si>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</si>
  <si>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</si>
  <si>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</si>
  <si>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</si>
  <si>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</si>
  <si>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</si>
  <si>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</si>
  <si>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</si>
  <si>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</si>
  <si>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</si>
  <si>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</si>
  <si>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</si>
  <si>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</si>
  <si>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</si>
  <si>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</si>
  <si>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</si>
  <si>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</si>
  <si>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</si>
  <si>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</si>
  <si>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</si>
  <si>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</si>
  <si>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</si>
  <si>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</si>
  <si>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</si>
  <si>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</si>
  <si>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</si>
  <si>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</si>
  <si>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</si>
  <si>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</si>
  <si>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</si>
  <si>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</si>
  <si>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</si>
  <si>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</si>
  <si>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</si>
  <si>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</si>
  <si>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</si>
  <si>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</si>
  <si>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</si>
  <si>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</si>
  <si>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</si>
  <si>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</si>
  <si>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</si>
  <si>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</si>
  <si>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</si>
  <si>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</si>
  <si>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</si>
  <si>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</si>
  <si>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</si>
  <si>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</si>
  <si>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</si>
  <si>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</si>
  <si>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</si>
  <si>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</si>
  <si>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</si>
  <si>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</si>
  <si>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</si>
  <si>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</si>
  <si>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</si>
  <si>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</si>
  <si>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</si>
  <si>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</si>
  <si>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</si>
  <si>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</si>
  <si>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</si>
  <si>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</si>
  <si>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</si>
  <si>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</si>
  <si>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</si>
  <si>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</si>
  <si>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</si>
  <si>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</si>
  <si>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</si>
  <si>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</si>
  <si>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</si>
  <si>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</si>
  <si>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</si>
  <si>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</si>
  <si>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</si>
  <si>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</si>
  <si>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</si>
  <si>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</si>
  <si>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</si>
  <si>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</si>
  <si>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</si>
  <si>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</si>
  <si>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</si>
  <si>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</si>
  <si>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</si>
  <si>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</si>
  <si>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</si>
  <si>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</si>
  <si>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</si>
  <si>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</si>
  <si>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</si>
  <si>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</si>
  <si>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</si>
  <si>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</si>
  <si>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</si>
  <si>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</si>
  <si>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</si>
  <si>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</si>
  <si>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</si>
  <si>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</si>
  <si>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</si>
  <si>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</si>
  <si>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</si>
  <si>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</si>
  <si>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</si>
  <si>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</si>
  <si>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</si>
  <si>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</si>
  <si>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</si>
  <si>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</si>
  <si>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</si>
  <si>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</si>
  <si>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</si>
  <si>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</si>
  <si>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</si>
  <si>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</si>
  <si>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</si>
  <si>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</si>
  <si>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</si>
  <si>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</si>
  <si>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</si>
  <si>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</si>
  <si>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</si>
  <si>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</si>
  <si>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</si>
  <si>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</si>
  <si>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</si>
  <si>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</si>
  <si>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</si>
  <si>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</si>
  <si>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</si>
  <si>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</si>
  <si>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</si>
  <si>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</si>
  <si>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</si>
  <si>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</si>
  <si>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</si>
  <si>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</si>
  <si>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</si>
  <si>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</si>
  <si>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</si>
  <si>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</si>
  <si>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</si>
  <si>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</si>
  <si>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</si>
  <si>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</si>
  <si>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</si>
  <si>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</si>
  <si>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</si>
  <si>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</si>
  <si>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</si>
  <si>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</si>
  <si>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</si>
  <si>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</si>
  <si>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</si>
  <si>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</si>
  <si>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</si>
  <si>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</si>
  <si>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</si>
  <si>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</si>
  <si>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</si>
  <si>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</si>
  <si>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</si>
  <si>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</si>
  <si>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</si>
  <si>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</si>
  <si>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</si>
  <si>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</si>
  <si>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</si>
  <si>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</si>
  <si>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</si>
  <si>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</si>
  <si>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</si>
  <si>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</si>
  <si>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</si>
  <si>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</si>
  <si>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</si>
  <si>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</si>
  <si>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</si>
  <si>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</si>
  <si>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</si>
  <si>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</si>
  <si>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</si>
  <si>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</si>
  <si>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</si>
  <si>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</si>
  <si>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</si>
  <si>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</si>
  <si>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</si>
  <si>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</si>
  <si>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</si>
  <si>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</si>
  <si>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</si>
  <si>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</si>
  <si>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</si>
  <si>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</si>
  <si>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</si>
  <si>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</si>
  <si>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</si>
  <si>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</si>
  <si>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</si>
  <si>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</si>
  <si>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</si>
  <si>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</si>
  <si>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</si>
  <si>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</si>
  <si>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</si>
  <si>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</si>
  <si>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</si>
  <si>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</si>
  <si>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</si>
  <si>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</si>
  <si>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</si>
  <si>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</si>
  <si>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</si>
  <si>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</si>
  <si>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</si>
  <si>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</si>
  <si>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</si>
  <si>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</si>
  <si>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</si>
  <si>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</si>
  <si>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</si>
  <si>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</si>
  <si>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</si>
  <si>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</si>
  <si>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</si>
  <si>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</si>
  <si>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</si>
  <si>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</si>
  <si>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</si>
  <si>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</si>
  <si>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</si>
  <si>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</si>
  <si>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</si>
  <si>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</si>
  <si>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</si>
  <si>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</si>
  <si>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</si>
  <si>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</si>
  <si>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</si>
  <si>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</si>
  <si>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</si>
  <si>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</si>
  <si>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</si>
  <si>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</si>
  <si>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</si>
  <si>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</si>
  <si>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</si>
  <si>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</si>
  <si>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</si>
  <si>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</si>
  <si>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</si>
  <si>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</si>
  <si>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</si>
  <si>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</si>
  <si>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</si>
  <si>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</si>
  <si>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</si>
  <si>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</si>
  <si>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</si>
  <si>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</si>
  <si>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</si>
  <si>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</si>
  <si>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</si>
  <si>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</si>
  <si>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</si>
  <si>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</si>
  <si>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</si>
  <si>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</si>
  <si>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</si>
  <si>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</si>
  <si>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</si>
  <si>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</si>
  <si>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</si>
  <si>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</si>
  <si>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</si>
  <si>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</si>
  <si>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</si>
  <si>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</si>
  <si>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</si>
  <si>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</si>
  <si>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</si>
  <si>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</si>
  <si>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</si>
  <si>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</si>
  <si>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</si>
  <si>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</si>
  <si>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</si>
  <si>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</si>
  <si>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</si>
  <si>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</si>
  <si>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</si>
  <si>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</si>
  <si>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</si>
  <si>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</si>
  <si>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</si>
  <si>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</si>
  <si>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</si>
  <si>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</si>
  <si>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</si>
  <si>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</si>
  <si>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</si>
  <si>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</si>
  <si>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</si>
  <si>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</si>
  <si>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</si>
  <si>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</si>
  <si>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</si>
  <si>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</si>
  <si>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</si>
  <si>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</si>
  <si>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</si>
  <si>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</si>
  <si>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</si>
  <si>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</si>
  <si>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</si>
  <si>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</si>
  <si>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</si>
  <si>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</si>
  <si>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</si>
  <si>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</si>
  <si>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</si>
  <si>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</si>
  <si>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</si>
  <si>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</si>
  <si>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</si>
  <si>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</si>
  <si>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</si>
  <si>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</si>
  <si>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</si>
  <si>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</si>
  <si>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</si>
  <si>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</si>
  <si>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</si>
  <si>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</si>
  <si>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</si>
  <si>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</si>
  <si>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</si>
  <si>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</si>
  <si>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</si>
  <si>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</si>
  <si>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</si>
  <si>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</si>
  <si>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</si>
  <si>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</si>
  <si>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</si>
  <si>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</si>
  <si>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</si>
  <si>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</si>
  <si>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</si>
  <si>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</si>
  <si>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</si>
  <si>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</si>
  <si>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</si>
  <si>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</si>
  <si>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</si>
  <si>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</si>
  <si>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</si>
  <si>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</si>
  <si>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</si>
  <si>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</si>
  <si>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</si>
  <si>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</si>
  <si>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</si>
  <si>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</si>
  <si>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</si>
  <si>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</si>
  <si>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</si>
  <si>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</si>
  <si>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</si>
  <si>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</si>
  <si>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</si>
  <si>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</si>
  <si>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</si>
  <si>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</si>
  <si>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</si>
  <si>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</si>
  <si>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</si>
  <si>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</si>
  <si>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</si>
  <si>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</si>
  <si>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</si>
  <si>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</si>
  <si>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</si>
  <si>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</si>
  <si>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</si>
  <si>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</si>
  <si>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</si>
  <si>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</si>
  <si>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</si>
  <si>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</si>
  <si>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</si>
  <si>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</si>
  <si>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</si>
  <si>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</si>
  <si>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</si>
  <si>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</si>
  <si>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</si>
  <si>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</si>
  <si>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</si>
  <si>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</si>
  <si>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</si>
  <si>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</si>
  <si>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</si>
  <si>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</si>
  <si>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</si>
  <si>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</si>
  <si>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</si>
  <si>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</si>
  <si>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</si>
  <si>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</si>
  <si>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</si>
  <si>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</si>
  <si>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</si>
  <si>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</si>
  <si>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</si>
  <si>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</si>
  <si>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</si>
  <si>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</si>
  <si>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</si>
  <si>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</si>
  <si>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</si>
  <si>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</si>
  <si>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</si>
  <si>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</si>
  <si>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Zeshan</t>
  </si>
  <si>
    <t>Fakhar Store</t>
  </si>
  <si>
    <t>Address:Bedian Road</t>
  </si>
  <si>
    <t>Mian Store</t>
  </si>
  <si>
    <t>Address:Bedian Store</t>
  </si>
  <si>
    <t>Rehman Store</t>
  </si>
  <si>
    <t>MM Store</t>
  </si>
  <si>
    <t>Hikma Store</t>
  </si>
  <si>
    <t xml:space="preserve">Address:Bedian </t>
  </si>
  <si>
    <t>Malik Store</t>
  </si>
  <si>
    <t>Yaseen Store</t>
  </si>
  <si>
    <t>Hafiz Store</t>
  </si>
  <si>
    <t xml:space="preserve">Irfan Bakers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</si>
</sst>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Q5" sqref="Q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511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 ca="1">+'1'!N4:N4</f>
        <v>46231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Fakhar Store</v>
      </c>
      <c r="T3" s="301">
        <f>+'1'!P35</f>
        <v>417.29447837288137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Mian Store</v>
      </c>
      <c r="T4" s="301">
        <f>+'2'!P35</f>
        <v>417.29447837288137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Rehman Store</v>
      </c>
      <c r="T5" s="301">
        <f>+'3'!P35</f>
        <v>7070.4410814152552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MM Store</v>
      </c>
      <c r="T6" s="301">
        <f>+'4'!P35</f>
        <v>7070.4410814152552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</v>
      </c>
      <c r="I7" s="235">
        <f>(G7*D7)*F7+H7*F7</f>
        <v>3147.75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251.82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110.17125000000001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2785.75875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594.91525423728785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16.90337002118644</v>
      </c>
      <c r="P7" s="118">
        <f>M7+N7+O7</f>
        <v>3397.5773742584738</v>
      </c>
      <c r="Q7" s="142"/>
      <c r="R7" s="299">
        <v>5</v>
      </c>
      <c r="S7" s="300" t="str">
        <f>+'5'!A6:A6</f>
        <v>Hikma Store</v>
      </c>
      <c r="T7" s="301">
        <f>+'5'!P35</f>
        <v>11875.830579991527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</v>
      </c>
      <c r="I8" s="236">
        <f t="shared" ref="I8:I14" si="0">(G8*D8)*F8+H8*F8</f>
        <v>3147.75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251.82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110.17125000000001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2785.75875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594.91525423728785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16.90337002118644</v>
      </c>
      <c r="P8" s="119">
        <f t="shared" ref="P8:P15" si="2">M8+N8+O8</f>
        <v>3397.5773742584738</v>
      </c>
      <c r="R8" s="299">
        <v>6</v>
      </c>
      <c r="S8" s="300" t="str">
        <f>+'6'!A6:A6</f>
        <v>Malik Store</v>
      </c>
      <c r="T8" s="301">
        <f>+'6'!P35</f>
        <v>417.29447837288137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Yaseen Store</v>
      </c>
      <c r="T9" s="301">
        <f>+'7'!P35</f>
        <v>417.29447837288137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119">
        <f t="shared" si="2"/>
        <v>3920.2644813559323</v>
      </c>
      <c r="R10" s="299">
        <v>8</v>
      </c>
      <c r="S10" s="300" t="str">
        <f>+'8'!A6:A6</f>
        <v>Hafiz Store</v>
      </c>
      <c r="T10" s="301">
        <f>+'8'!P35</f>
        <v>3136.2115850847458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119">
        <f t="shared" si="2"/>
        <v>4704.3173776271187</v>
      </c>
      <c r="R11" s="299">
        <v>9</v>
      </c>
      <c r="S11" s="300" t="str">
        <f>+'9'!A6:A6</f>
        <v xml:space="preserve">Irfan Bakers </v>
      </c>
      <c r="T11" s="301">
        <f>+'9'!P35</f>
        <v>1669.1779134915255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90</v>
      </c>
      <c r="I12" s="236">
        <f t="shared" si="0"/>
        <v>6537.6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523.00800000000004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228.816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5785.7759999999998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1235.593220338983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35.106846101694913</v>
      </c>
      <c r="P12" s="119">
        <f t="shared" si="2"/>
        <v>7056.4760664406776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240</v>
      </c>
      <c r="I13" s="236">
        <f t="shared" si="0"/>
        <v>9415.2000000000007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470.7600000000001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329.53200000000004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480.17519999999996</v>
      </c>
      <c r="M13" s="230">
        <f t="shared" si="1"/>
        <v>8134.7328000000007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1830.5084745762699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49.826206372881359</v>
      </c>
      <c r="P13" s="119">
        <f t="shared" si="2"/>
        <v>10015.067480949152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560</v>
      </c>
      <c r="I16" s="114">
        <f t="shared" si="3"/>
        <v>30238.7</v>
      </c>
      <c r="J16" s="274">
        <f>SUM(J7:J15)</f>
        <v>2136.6400000000003</v>
      </c>
      <c r="K16" s="275">
        <f t="shared" si="3"/>
        <v>1058.3545000000001</v>
      </c>
      <c r="L16" s="276">
        <f t="shared" si="3"/>
        <v>480.17519999999996</v>
      </c>
      <c r="M16" s="232">
        <f t="shared" si="3"/>
        <v>26563.530300000002</v>
      </c>
      <c r="N16" s="233">
        <f>SUM(N7:N15)</f>
        <v>5766.1016949152527</v>
      </c>
      <c r="O16" s="101">
        <f>SUM(O7:O15)</f>
        <v>161.64815997457629</v>
      </c>
      <c r="P16" s="234">
        <f>SUM(P7:P15)</f>
        <v>32491.280154889828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30238.7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2136.6400000000003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1538.5297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26563.530300000002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5766.1016949152527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32329.631994915253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161.64815997457629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32491.280154889828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32491.280154889835</v>
      </c>
    </row>
    <row r="44" spans="2:20" x14ac:dyDescent="0.35">
      <c r="B44" t="s">
        <v>505</v>
      </c>
    </row>
    <row r="45" spans="2:20" x14ac:dyDescent="0.35">
      <c r="B45" t="s">
        <v>506</v>
      </c>
    </row>
    <row r="46" spans="2:20" x14ac:dyDescent="0.35">
      <c r="B46" t="s">
        <v>507</v>
      </c>
    </row>
    <row r="47" spans="2:20" x14ac:dyDescent="0.35">
      <c r="B47" t="s">
        <v>508</v>
      </c>
    </row>
    <row r="48" spans="2:20" x14ac:dyDescent="0.35">
      <c r="B48" t="s">
        <v>509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7.25" customHeight="1" x14ac:dyDescent="0.4">
      <c r="A6" s="389" t="s">
        <v>512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10</v>
      </c>
      <c r="I25" s="114">
        <f t="shared" ref="I25:M25" si="10">SUM(I16:I24)</f>
        <v>392.30000000000007</v>
      </c>
      <c r="J25" s="274">
        <f>SUM(J16:J24)</f>
        <v>19.615000000000006</v>
      </c>
      <c r="K25" s="275">
        <f t="shared" si="10"/>
        <v>13.730500000000003</v>
      </c>
      <c r="L25" s="276">
        <f t="shared" si="10"/>
        <v>20.007300000000001</v>
      </c>
      <c r="M25" s="232">
        <f t="shared" si="10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516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478.78800000000001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6573.3000000000011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478.78800000000001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310.09470000000005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5784.417300000001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7035.2647576271193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63" t="s">
        <v>88</v>
      </c>
      <c r="O35" s="364"/>
      <c r="P35" s="297">
        <f>+P33+P34</f>
        <v>7070.4410814152552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517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120</v>
      </c>
      <c r="I25" s="114">
        <f t="shared" si="7"/>
        <v>6573.3000000000011</v>
      </c>
      <c r="J25" s="274">
        <f>SUM(J16:J24)</f>
        <v>478.78800000000007</v>
      </c>
      <c r="K25" s="275">
        <f t="shared" si="7"/>
        <v>230.06550000000004</v>
      </c>
      <c r="L25" s="276">
        <f t="shared" si="7"/>
        <v>80.029200000000003</v>
      </c>
      <c r="M25" s="232">
        <f t="shared" si="7"/>
        <v>5784.4173000000001</v>
      </c>
      <c r="N25" s="233">
        <f>SUM(N16:N24)</f>
        <v>1250.8474576271183</v>
      </c>
      <c r="O25" s="101">
        <f>SUM(O16:O24)</f>
        <v>35.176323788135591</v>
      </c>
      <c r="P25" s="234">
        <f>SUM(P16:P24)</f>
        <v>7070.4410814152543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6573.3000000000011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478.78800000000007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310.09470000000005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5784.417300000001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1250.8474576271183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7035.2647576271193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35.176323788135598</v>
      </c>
    </row>
    <row r="35" spans="2:16" ht="15.75" customHeight="1" thickBot="1" x14ac:dyDescent="0.4">
      <c r="N35" s="363" t="s">
        <v>88</v>
      </c>
      <c r="O35" s="364"/>
      <c r="P35" s="297">
        <f>+P33+P34</f>
        <v>7070.4410814152552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518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200</v>
      </c>
      <c r="I25" s="114">
        <f t="shared" si="7"/>
        <v>11048.100000000002</v>
      </c>
      <c r="J25" s="274">
        <f>SUM(J16:J24)</f>
        <v>789.69600000000003</v>
      </c>
      <c r="K25" s="275">
        <f t="shared" si="7"/>
        <v>386.68350000000009</v>
      </c>
      <c r="L25" s="276">
        <f t="shared" si="7"/>
        <v>160.05840000000001</v>
      </c>
      <c r="M25" s="232">
        <f t="shared" si="7"/>
        <v>9711.6621000000014</v>
      </c>
      <c r="N25" s="233">
        <f>SUM(N16:N24)</f>
        <v>2105.0847457627115</v>
      </c>
      <c r="O25" s="101">
        <f>SUM(O16:O24)</f>
        <v>59.083734228813555</v>
      </c>
      <c r="P25" s="234">
        <f>SUM(P16:P24)</f>
        <v>11875.830579991525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11048.100000000002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789.69600000000003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546.7419000000001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9711.6621000000014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2105.0847457627115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11816.746845762713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59.083734228813569</v>
      </c>
    </row>
    <row r="35" spans="2:16" ht="15.75" customHeight="1" thickBot="1" x14ac:dyDescent="0.4">
      <c r="N35" s="363" t="s">
        <v>88</v>
      </c>
      <c r="O35" s="364"/>
      <c r="P35" s="297">
        <f>+P33+P34</f>
        <v>11875.830579991527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520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521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513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10</v>
      </c>
      <c r="I22" s="236">
        <f t="shared" si="0"/>
        <v>392.30000000000007</v>
      </c>
      <c r="J22" s="272">
        <f t="shared" si="1"/>
        <v>19.615000000000006</v>
      </c>
      <c r="K22" s="128">
        <f t="shared" si="1"/>
        <v>13.730500000000003</v>
      </c>
      <c r="L22" s="119">
        <f t="shared" si="1"/>
        <v>20.007300000000001</v>
      </c>
      <c r="M22" s="230">
        <f t="shared" si="2"/>
        <v>338.94720000000007</v>
      </c>
      <c r="N22" s="277">
        <f t="shared" si="3"/>
        <v>76.271186440677923</v>
      </c>
      <c r="O22" s="239">
        <f t="shared" si="4"/>
        <v>2.0760919322033899</v>
      </c>
      <c r="P22" s="119">
        <f t="shared" si="5"/>
        <v>417.29447837288137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10</v>
      </c>
      <c r="I25" s="114">
        <f t="shared" si="7"/>
        <v>392.30000000000007</v>
      </c>
      <c r="J25" s="274">
        <f>SUM(J16:J24)</f>
        <v>19.615000000000006</v>
      </c>
      <c r="K25" s="275">
        <f t="shared" si="7"/>
        <v>13.730500000000003</v>
      </c>
      <c r="L25" s="276">
        <f t="shared" si="7"/>
        <v>20.007300000000001</v>
      </c>
      <c r="M25" s="232">
        <f t="shared" si="7"/>
        <v>338.94720000000007</v>
      </c>
      <c r="N25" s="233">
        <f>SUM(N16:N24)</f>
        <v>76.271186440677923</v>
      </c>
      <c r="O25" s="101">
        <f>SUM(O16:O24)</f>
        <v>2.0760919322033899</v>
      </c>
      <c r="P25" s="234">
        <f>SUM(P16:P24)</f>
        <v>417.29447837288137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392.30000000000007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19.615000000000006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33.737800000000007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338.94720000000007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76.271186440677923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415.21838644067799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2.0760919322033899</v>
      </c>
    </row>
    <row r="35" spans="2:16" ht="15.75" customHeight="1" thickBot="1" x14ac:dyDescent="0.4">
      <c r="N35" s="363" t="s">
        <v>88</v>
      </c>
      <c r="O35" s="364"/>
      <c r="P35" s="297">
        <f>+P33+P34</f>
        <v>417.29447837288137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522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232.44799999999998</v>
      </c>
      <c r="K25" s="275">
        <f t="shared" si="7"/>
        <v>101.696</v>
      </c>
      <c r="L25" s="276">
        <f t="shared" si="7"/>
        <v>0</v>
      </c>
      <c r="M25" s="232">
        <f t="shared" si="7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2905.6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232.44799999999998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101.696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2571.4560000000001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3120.6085423728814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63" t="s">
        <v>88</v>
      </c>
      <c r="O35" s="364"/>
      <c r="P35" s="297">
        <f>+P33+P34</f>
        <v>3136.2115850847458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523</v>
      </c>
      <c r="B6" s="389"/>
      <c r="C6" s="389"/>
      <c r="F6" s="85"/>
      <c r="G6" s="86"/>
      <c r="K6" s="384" t="s">
        <v>69</v>
      </c>
      <c r="L6" s="384"/>
      <c r="M6" s="384"/>
      <c r="N6" s="386" t="s">
        <v>506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519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119">
        <f t="shared" si="5"/>
        <v>1669.1779134915255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234">
        <f>SUM(P16:P24)</f>
        <v>1669.1779134915255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1569.2000000000003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78.460000000000022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134.95120000000003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1355.7888000000003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1660.873545762712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63" t="s">
        <v>88</v>
      </c>
      <c r="O35" s="364"/>
      <c r="P35" s="297">
        <f>+P33+P34</f>
        <v>1669.1779134915255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8.7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504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46231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46230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73</v>
      </c>
      <c r="B7" s="384"/>
      <c r="C7" s="384"/>
      <c r="F7" s="85"/>
      <c r="G7" s="86"/>
      <c r="K7" s="384" t="s">
        <v>66</v>
      </c>
      <c r="L7" s="384"/>
      <c r="M7" s="384"/>
      <c r="N7" s="386" t="s">
        <v>510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510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46231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46230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2026-07-27T04:47:13Z</dcterms:modified>
</cp:coreProperties>
</file>