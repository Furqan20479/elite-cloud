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96B5B29-2D46-4985-BE72-8BD71A12366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R20" i="46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<sst xmlns="http://schemas.openxmlformats.org/spreadsheetml/2006/main" count="3913" uniqueCount="523">
  <si>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</si>
  <si>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</si>
  <si>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</si>
  <si>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</si>
  <si>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</si>
  <si>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</si>
  <si>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</si>
  <si>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</si>
  <si>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</si>
  <si>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</si>
  <si>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</si>
  <si>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</si>
  <si>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</si>
  <si>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</si>
  <si>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</si>
  <si>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</si>
  <si>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</si>
  <si>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</si>
  <si>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</si>
  <si>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</si>
  <si>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</si>
  <si>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</si>
  <si>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</si>
  <si>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</si>
  <si>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</si>
  <si>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</si>
  <si>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</si>
  <si>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</si>
  <si>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</si>
  <si>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</si>
  <si>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</si>
  <si>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</si>
  <si>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</si>
  <si>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</si>
  <si>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</si>
  <si>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</si>
  <si>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</si>
  <si>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</si>
  <si>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</si>
  <si>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</si>
  <si>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</si>
  <si>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</si>
  <si>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</si>
  <si>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</si>
  <si>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</si>
  <si>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</si>
  <si>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</si>
  <si>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</si>
  <si>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</si>
  <si>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</si>
  <si>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</si>
  <si>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</si>
  <si>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</si>
  <si>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</si>
  <si>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</si>
  <si>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</si>
  <si>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</si>
  <si>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</si>
  <si>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</si>
  <si>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</si>
  <si>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</si>
  <si>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</si>
  <si>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</si>
  <si>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</si>
  <si>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</si>
  <si>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</si>
  <si>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</si>
  <si>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</si>
  <si>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</si>
  <si>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</si>
  <si>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</si>
  <si>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</si>
  <si>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</si>
  <si>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</si>
  <si>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</si>
  <si>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</si>
  <si>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</si>
  <si>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</si>
  <si>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</si>
  <si>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</si>
  <si>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</si>
  <si>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</si>
  <si>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</si>
  <si>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</si>
  <si>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</si>
  <si>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</si>
  <si>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</si>
  <si>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</si>
  <si>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</si>
  <si>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</si>
  <si>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</si>
  <si>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</si>
  <si>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</si>
  <si>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</si>
  <si>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</si>
  <si>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</si>
  <si>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</si>
  <si>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</si>
  <si>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</si>
  <si>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</si>
  <si>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</si>
  <si>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</si>
  <si>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</si>
  <si>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</si>
  <si>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</si>
  <si>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</si>
  <si>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</si>
  <si>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</si>
  <si>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</si>
  <si>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</si>
  <si>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</si>
  <si>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</si>
  <si>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</si>
  <si>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</si>
  <si>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</si>
  <si>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</si>
  <si>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</si>
  <si>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</si>
  <si>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</si>
  <si>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</si>
  <si>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</si>
  <si>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</si>
  <si>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</si>
  <si>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</si>
  <si>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</si>
  <si>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</si>
  <si>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</si>
  <si>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</si>
  <si>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</si>
  <si>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</si>
  <si>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</si>
  <si>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</si>
  <si>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</si>
  <si>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</si>
  <si>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</si>
  <si>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</si>
  <si>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</si>
  <si>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</si>
  <si>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</si>
  <si>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</si>
  <si>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</si>
  <si>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</si>
  <si>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</si>
  <si>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</si>
  <si>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</si>
  <si>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</si>
  <si>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</si>
  <si>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</si>
  <si>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</si>
  <si>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</si>
  <si>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</si>
  <si>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</si>
  <si>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</si>
  <si>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</si>
  <si>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</si>
  <si>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</si>
  <si>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</si>
  <si>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</si>
  <si>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</si>
  <si>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</si>
  <si>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</si>
  <si>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</si>
  <si>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</si>
  <si>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</si>
  <si>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</si>
  <si>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</si>
  <si>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</si>
  <si>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</si>
  <si>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</si>
  <si>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</si>
  <si>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</si>
  <si>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</si>
  <si>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</si>
  <si>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</si>
  <si>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</si>
  <si>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</si>
  <si>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</si>
  <si>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</si>
  <si>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</si>
  <si>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</si>
  <si>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</si>
  <si>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</si>
  <si>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</si>
  <si>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</si>
  <si>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</si>
  <si>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</si>
  <si>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</si>
  <si>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</si>
  <si>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</si>
  <si>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</si>
  <si>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</si>
  <si>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</si>
  <si>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</si>
  <si>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</si>
  <si>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</si>
  <si>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</si>
  <si>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</si>
  <si>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</si>
  <si>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</si>
  <si>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</si>
  <si>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</si>
  <si>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</si>
  <si>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</si>
  <si>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</si>
  <si>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</si>
  <si>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</si>
  <si>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</si>
  <si>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</si>
  <si>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</si>
  <si>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</si>
  <si>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</si>
  <si>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</si>
  <si>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</si>
  <si>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</si>
  <si>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</si>
  <si>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</si>
  <si>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</si>
  <si>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</si>
  <si>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</si>
  <si>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</si>
  <si>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</si>
  <si>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</si>
  <si>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</si>
  <si>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</si>
  <si>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</si>
  <si>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</si>
  <si>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</si>
  <si>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</si>
  <si>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</si>
  <si>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</si>
  <si>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</si>
  <si>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</si>
  <si>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</si>
  <si>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</si>
  <si>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</si>
  <si>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</si>
  <si>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</si>
  <si>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</si>
  <si>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</si>
  <si>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</si>
  <si>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</si>
  <si>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</si>
  <si>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</si>
  <si>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</si>
  <si>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</si>
  <si>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</si>
  <si>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</si>
  <si>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</si>
  <si>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</si>
  <si>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</si>
  <si>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</si>
  <si>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</si>
  <si>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</si>
  <si>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</si>
  <si>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</si>
  <si>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</si>
  <si>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</si>
  <si>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</si>
  <si>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</si>
  <si>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</si>
  <si>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</si>
  <si>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</si>
  <si>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</si>
  <si>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</si>
  <si>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</si>
  <si>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</si>
  <si>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</si>
  <si>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</si>
  <si>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</si>
  <si>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</si>
  <si>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</si>
  <si>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</si>
  <si>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</si>
  <si>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</si>
  <si>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</si>
  <si>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</si>
  <si>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</si>
  <si>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</si>
  <si>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</si>
  <si>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</si>
  <si>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</si>
  <si>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</si>
  <si>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</si>
  <si>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</si>
  <si>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</si>
  <si>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</si>
  <si>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</si>
  <si>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</si>
  <si>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</si>
  <si>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</si>
  <si>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</si>
  <si>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</si>
  <si>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</si>
  <si>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</si>
  <si>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</si>
  <si>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</si>
  <si>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</si>
  <si>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</si>
  <si>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</si>
  <si>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</si>
  <si>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</si>
  <si>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</si>
  <si>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</si>
  <si>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</si>
  <si>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</si>
  <si>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</si>
  <si>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</si>
  <si>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</si>
  <si>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</si>
  <si>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</si>
  <si>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</si>
  <si>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</si>
  <si>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</si>
  <si>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</si>
  <si>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</si>
  <si>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</si>
  <si>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</si>
  <si>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</si>
  <si>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</si>
  <si>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</si>
  <si>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</si>
  <si>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</si>
  <si>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</si>
  <si>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</si>
  <si>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</si>
  <si>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</si>
  <si>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</si>
  <si>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</si>
  <si>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</si>
  <si>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</si>
  <si>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</si>
  <si>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</si>
  <si>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</si>
  <si>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</si>
  <si>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</si>
  <si>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</si>
  <si>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</si>
  <si>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</si>
  <si>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</si>
  <si>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</si>
  <si>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</si>
  <si>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</si>
  <si>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</si>
  <si>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</si>
  <si>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</si>
  <si>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</si>
  <si>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</si>
  <si>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</si>
  <si>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</si>
  <si>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</si>
  <si>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</si>
  <si>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</si>
  <si>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</si>
  <si>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</si>
  <si>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</si>
  <si>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</si>
  <si>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</si>
  <si>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</si>
  <si>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</si>
  <si>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</si>
  <si>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</si>
  <si>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</si>
  <si>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</si>
  <si>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</si>
  <si>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</si>
  <si>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</si>
  <si>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</si>
  <si>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</si>
  <si>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</si>
  <si>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</si>
  <si>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</si>
  <si>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</si>
  <si>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</si>
  <si>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</si>
  <si>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</si>
  <si>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</si>
  <si>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</si>
  <si>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</si>
  <si>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</si>
  <si>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</si>
  <si>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</si>
  <si>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</si>
  <si>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</si>
  <si>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</si>
  <si>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</si>
  <si>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</si>
  <si>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</si>
  <si>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</si>
  <si>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</si>
  <si>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</si>
  <si>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</si>
  <si>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</si>
  <si>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</si>
  <si>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</si>
  <si>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</si>
  <si>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</si>
  <si>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</si>
  <si>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</si>
  <si>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</si>
  <si>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</si>
  <si>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</si>
  <si>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</si>
  <si>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</si>
  <si>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</si>
  <si>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</si>
  <si>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</si>
  <si>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</si>
  <si>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</si>
  <si>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</si>
  <si>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</si>
  <si>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</si>
  <si>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</si>
  <si>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</si>
  <si>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</si>
  <si>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</si>
  <si>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</si>
  <si>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</si>
  <si>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</si>
  <si>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</si>
  <si>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</si>
  <si>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</si>
  <si>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</si>
  <si>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</si>
  <si>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</si>
  <si>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</si>
  <si>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</si>
  <si>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</si>
  <si>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</si>
  <si>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</si>
  <si>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</si>
  <si>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</si>
  <si>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</si>
  <si>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</si>
  <si>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</si>
  <si>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</si>
  <si>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</si>
  <si>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</si>
  <si>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</si>
  <si>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</si>
  <si>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</si>
  <si>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</si>
  <si>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</si>
  <si>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</si>
  <si>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</si>
  <si>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</si>
  <si>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</si>
  <si>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</si>
  <si>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</si>
  <si>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</si>
  <si>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</si>
  <si>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</si>
  <si>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</si>
  <si>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</si>
  <si>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</si>
  <si>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</si>
  <si>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</si>
  <si>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</si>
  <si>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</si>
  <si>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</si>
  <si>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</si>
  <si>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</si>
  <si>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</si>
  <si>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</si>
  <si>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</si>
  <si>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</si>
  <si>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</si>
  <si>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</si>
  <si>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</si>
  <si>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</si>
  <si>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</si>
  <si>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</si>
  <si>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</si>
  <si>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</si>
  <si>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</si>
  <si>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</si>
  <si>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</si>
  <si>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</si>
  <si>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</si>
  <si>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</si>
  <si>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</si>
  <si>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</si>
  <si>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</si>
  <si>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</si>
  <si>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</si>
  <si>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</si>
  <si>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</si>
  <si>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</si>
  <si>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</si>
  <si>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</si>
  <si>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</si>
  <si>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</si>
  <si>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</si>
  <si>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</si>
  <si>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</si>
  <si>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</si>
  <si>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</si>
  <si>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</si>
  <si>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</si>
  <si>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</si>
  <si>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</si>
  <si>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</si>
  <si>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</si>
  <si>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</si>
  <si>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</si>
  <si>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</si>
  <si>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</si>
  <si>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</si>
  <si>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</si>
  <si>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</si>
  <si>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</si>
  <si>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</si>
  <si>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</si>
  <si>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Al Hamd Bakers </t>
  </si>
  <si>
    <t xml:space="preserve">Address:Punjab Coparative </t>
  </si>
  <si>
    <t>Husnain Store</t>
  </si>
  <si>
    <t xml:space="preserve">Address:Punjab Coprative </t>
  </si>
  <si>
    <t xml:space="preserve">HK Mart </t>
  </si>
  <si>
    <t>Agrowo Store</t>
  </si>
  <si>
    <t xml:space="preserve">Address:Punjab coprative </t>
  </si>
  <si>
    <t>Marhaba Store</t>
  </si>
  <si>
    <t>Address:Punjab Store</t>
  </si>
  <si>
    <t xml:space="preserve">Address:7 Street Alfalah Town </t>
  </si>
  <si>
    <t>Roshan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</si>
</sst>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5" workbookViewId="0">
      <selection activeCell="D31" sqref="D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504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Al Hamd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Husnain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HK Mart </v>
      </c>
      <c r="T5" s="301">
        <f>+'3'!P35</f>
        <v>11077.812668745764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Agrowo Store</v>
      </c>
      <c r="T6" s="301">
        <f>+'4'!P35</f>
        <v>2770.3261629915255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118">
        <f>M7+N7+O7</f>
        <v>679.51547485169488</v>
      </c>
      <c r="Q7" s="142"/>
      <c r="R7" s="299">
        <v>5</v>
      </c>
      <c r="S7" s="300" t="str">
        <f>+'5'!A6:A6</f>
        <v>Marhaba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>Roshan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91</v>
      </c>
      <c r="I10" s="236">
        <f t="shared" si="0"/>
        <v>6610.24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528.81920000000002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231.35840000000002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5850.0623999999998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1249.3220338983051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35.496922169491526</v>
      </c>
      <c r="P10" s="119">
        <f t="shared" si="2"/>
        <v>7134.8813560677972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499.76320000000004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5528.6304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33.546541830508474</v>
      </c>
      <c r="P11" s="119">
        <f t="shared" si="2"/>
        <v>6742.8549079322038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81</v>
      </c>
      <c r="I12" s="236">
        <f t="shared" si="0"/>
        <v>5883.84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470.70720000000006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205.93440000000004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5207.1984000000002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1112.0338983050849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31.596161491525425</v>
      </c>
      <c r="P12" s="119">
        <f t="shared" si="2"/>
        <v>6350.8284597966103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119">
        <f t="shared" si="2"/>
        <v>3338.355826983051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362</v>
      </c>
      <c r="I16" s="114">
        <f t="shared" si="3"/>
        <v>23138.620000000003</v>
      </c>
      <c r="J16" s="274">
        <f>SUM(J7:J15)</f>
        <v>1756.9376000000002</v>
      </c>
      <c r="K16" s="275">
        <f t="shared" si="3"/>
        <v>809.85170000000016</v>
      </c>
      <c r="L16" s="276">
        <f t="shared" si="3"/>
        <v>160.05840000000001</v>
      </c>
      <c r="M16" s="232">
        <f t="shared" si="3"/>
        <v>20411.772300000001</v>
      </c>
      <c r="N16" s="233">
        <f>SUM(N7:N15)</f>
        <v>4390.1694915254229</v>
      </c>
      <c r="O16" s="101">
        <f>SUM(O7:O15)</f>
        <v>124.00970895762713</v>
      </c>
      <c r="P16" s="234">
        <f>SUM(P7:P15)</f>
        <v>24925.95150048305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23138.620000000003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1756.9376000000002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969.91010000000017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20411.772300000001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4390.1694915254229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24801.941791525423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124.00970895762713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24925.95150048305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24925.951500483054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4474.8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310.90800000000002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236.6472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3927.2447999999999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4781.4820881355927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4" t="s">
        <v>88</v>
      </c>
      <c r="O35" s="335"/>
      <c r="P35" s="297">
        <f>+P33+P34</f>
        <v>4805.3894985762709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234">
        <f>SUM(P16:P24)</f>
        <v>11077.812668745762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10286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775.80400000000009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440.03920000000005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9070.1568000000007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11022.699172881357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34" t="s">
        <v>88</v>
      </c>
      <c r="O35" s="335"/>
      <c r="P35" s="297">
        <f>+P33+P34</f>
        <v>11077.812668745764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42</v>
      </c>
      <c r="I25" s="114">
        <f t="shared" si="7"/>
        <v>2566.6200000000003</v>
      </c>
      <c r="J25" s="274">
        <f>SUM(J16:J24)</f>
        <v>205.3296</v>
      </c>
      <c r="K25" s="275">
        <f t="shared" si="7"/>
        <v>89.831700000000012</v>
      </c>
      <c r="L25" s="276">
        <f t="shared" si="7"/>
        <v>0</v>
      </c>
      <c r="M25" s="232">
        <f t="shared" si="7"/>
        <v>2271.4587000000001</v>
      </c>
      <c r="N25" s="233">
        <f>SUM(N16:N24)</f>
        <v>485.0847457627118</v>
      </c>
      <c r="O25" s="101">
        <f>SUM(O16:O24)</f>
        <v>13.78271722881356</v>
      </c>
      <c r="P25" s="234">
        <f>SUM(P16:P24)</f>
        <v>2770.3261629915251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2566.6200000000003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205.3296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89.831700000000012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2271.4587000000001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485.0847457627118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2756.5434457627121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13.78271722881356</v>
      </c>
    </row>
    <row r="35" spans="2:16" ht="15.75" customHeight="1" thickBot="1" x14ac:dyDescent="0.4">
      <c r="N35" s="334" t="s">
        <v>88</v>
      </c>
      <c r="O35" s="335"/>
      <c r="P35" s="297">
        <f>+P33+P34</f>
        <v>2770.3261629915255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17" sqref="H17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521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2026-07-27T11:15:28Z</dcterms:modified>
</cp:coreProperties>
</file>