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A1AB1D0A-57BA-4FB9-A24D-BBC69A99B1B1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23" l="1"/>
  <c r="L22" i="24"/>
  <c r="L22" i="25"/>
  <c r="L22" i="26"/>
  <c r="L22" i="27"/>
  <c r="L22" i="28"/>
  <c r="L22" i="29"/>
  <c r="L22" i="30"/>
  <c r="L22" i="31"/>
  <c r="L22" i="32"/>
  <c r="L22" i="33"/>
  <c r="L22" i="34"/>
  <c r="L22" i="35"/>
  <c r="K17" i="17"/>
  <c r="K18" i="17"/>
  <c r="K19" i="17"/>
  <c r="K20" i="17"/>
  <c r="K21" i="17"/>
  <c r="K18" i="19"/>
  <c r="K17" i="18"/>
  <c r="K18" i="18"/>
  <c r="K17" i="20"/>
  <c r="K18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6" i="17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L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K21" i="18" s="1"/>
  <c r="I22" i="18"/>
  <c r="L22" i="18" s="1"/>
  <c r="I24" i="18"/>
  <c r="L24" i="18" s="1"/>
  <c r="I19" i="19"/>
  <c r="I20" i="19"/>
  <c r="K20" i="19" s="1"/>
  <c r="I21" i="19"/>
  <c r="I22" i="19"/>
  <c r="L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I19" i="20"/>
  <c r="K19" i="20" s="1"/>
  <c r="I21" i="20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K24" i="19"/>
  <c r="L24" i="19"/>
  <c r="K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1" l="1"/>
  <c r="L22" i="21"/>
  <c r="L21" i="20"/>
  <c r="K21" i="20"/>
  <c r="M21" i="20" s="1"/>
  <c r="N21" i="20" s="1"/>
  <c r="O21" i="20" s="1"/>
  <c r="L20" i="20"/>
  <c r="K20" i="20"/>
  <c r="K22" i="20"/>
  <c r="L22" i="20"/>
  <c r="L20" i="18"/>
  <c r="K20" i="18"/>
  <c r="M20" i="18" s="1"/>
  <c r="N20" i="18" s="1"/>
  <c r="O20" i="18" s="1"/>
  <c r="L21" i="19"/>
  <c r="K21" i="19"/>
  <c r="L20" i="19"/>
  <c r="L25" i="19" s="1"/>
  <c r="P29" i="19" s="1"/>
  <c r="L19" i="19"/>
  <c r="K19" i="19"/>
  <c r="L17" i="19"/>
  <c r="K17" i="19"/>
  <c r="L16" i="19"/>
  <c r="K16" i="19"/>
  <c r="L24" i="17"/>
  <c r="M21" i="19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K19" i="16" s="1"/>
  <c r="I20" i="16"/>
  <c r="K20" i="16" s="1"/>
  <c r="I21" i="16"/>
  <c r="K21" i="16" s="1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O22" i="16"/>
  <c r="O22" i="15" s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<sst xmlns="http://schemas.openxmlformats.org/spreadsheetml/2006/main" count="1635" uniqueCount="135">
  <si>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</si>
  <si>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</si>
  <si>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</si>
  <si>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</si>
  <si>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</si>
  <si>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</si>
  <si>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</si>
  <si>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</si>
  <si>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</si>
  <si>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</si>
  <si>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</si>
  <si>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</si>
  <si>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</si>
  <si>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</si>
  <si>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</si>
  <si>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</si>
  <si>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</si>
  <si>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</si>
  <si>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</si>
  <si>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</si>
  <si>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</si>
  <si>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</si>
  <si>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</si>
  <si>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</si>
  <si>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</si>
  <si>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</si>
  <si>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</si>
  <si>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</si>
  <si>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</si>
  <si>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</si>
  <si>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</si>
  <si>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</si>
  <si>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</si>
  <si>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</si>
  <si>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</si>
  <si>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</si>
  <si>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</si>
  <si>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</si>
  <si>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</si>
  <si>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</si>
  <si>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</si>
  <si>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</si>
  <si>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</si>
  <si>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</si>
  <si>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</si>
  <si>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</si>
  <si>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</si>
  <si>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</si>
  <si>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</si>
  <si>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</si>
  <si>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</si>
  <si>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</si>
  <si>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</si>
  <si>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</si>
  <si>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</si>
  <si>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</si>
  <si>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</si>
  <si>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</si>
  <si>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</si>
  <si>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</si>
  <si>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</si>
  <si>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</si>
  <si>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</si>
  <si>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</si>
  <si>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</si>
  <si>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</si>
  <si>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</si>
  <si>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</si>
  <si>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</si>
  <si>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</si>
  <si>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</si>
  <si>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</si>
  <si>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</si>
  <si>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</si>
  <si>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</si>
  <si>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</si>
  <si>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</si>
  <si>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</si>
  <si>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</si>
  <si>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</si>
  <si>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</si>
  <si>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</si>
  <si>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</si>
  <si>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</si>
  <si>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</si>
  <si>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</si>
  <si>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</si>
  <si>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</si>
  <si>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</si>
  <si>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</si>
  <si>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</si>
  <si>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</si>
  <si>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</si>
  <si>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</si>
  <si>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</si>
  <si>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</si>
  <si>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</si>
  <si>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</si>
  <si>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</si>
  <si>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</si>
  <si>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</si>
  <si>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</si>
  <si>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</si>
  <si>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</si>
  <si>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</si>
  <si>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</si>
  <si>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</si>
  <si>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</si>
  <si>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</si>
  <si>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</si>
  <si>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</si>
  <si>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</si>
  <si>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</si>
  <si>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</si>
  <si>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</si>
  <si>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</si>
  <si>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</si>
  <si>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</si>
  <si>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</si>
  <si>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</si>
  <si>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</si>
  <si>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 (Umair)</t>
  </si>
  <si>
    <t>Customer Name : M.s Mart</t>
  </si>
  <si>
    <t>Address: Shahdab Colony</t>
  </si>
  <si>
    <t>Customer Name : MF Chanda Store</t>
  </si>
  <si>
    <t>Address: Shadab Colony</t>
  </si>
  <si>
    <t>E6304792</t>
  </si>
  <si>
    <t>Customer Name : Bhati GS</t>
  </si>
  <si>
    <t xml:space="preserve">Customer Name : US Mart </t>
  </si>
  <si>
    <t>Address: Shahdab Colony Sial Chock</t>
  </si>
  <si>
    <t>Customer Name : Shahdab Super Store</t>
  </si>
  <si>
    <t>Address: Sial Chowk</t>
  </si>
  <si>
    <t>Customer Name : Husnain Super Store</t>
  </si>
  <si>
    <t>Customer Name : Al Karam Smart Store</t>
  </si>
  <si>
    <t>8086661-8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</si>
</sst>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0" sqref="I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0" sqref="I10"/>
      <selection pane="topRight" activeCell="I10" sqref="I10"/>
      <selection pane="bottomLeft" activeCell="I10" sqref="I10"/>
      <selection pane="bottomRight" activeCell="I10" sqref="I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0" zoomScale="70" zoomScaleNormal="70" workbookViewId="0">
      <selection activeCell="S17" sqref="S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M.s Mart</v>
      </c>
      <c r="U14" s="164">
        <f>+'1'!P35</f>
        <v>4817.1188454000003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MF Chanda Store</v>
      </c>
      <c r="U15" s="164">
        <f>+'2'!P35</f>
        <v>499.27699314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20</v>
      </c>
      <c r="I16" s="1">
        <f>(G16*D16)*F16+H16*F16</f>
        <v>1049.25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36.723750000000003</v>
      </c>
      <c r="L16" s="175">
        <f>+'1'!L16+'2'!L16+'4'!L16+'3'!L16+'5'!L16+'6'!L16+'7'!L16+'8'!L16+'9'!L16+'10'!L16</f>
        <v>83.94</v>
      </c>
      <c r="M16" s="106">
        <f>I16-K16-L16</f>
        <v>928.58625000000006</v>
      </c>
      <c r="N16" s="101">
        <f>+'1'!N16+'2'!N16+'4'!N16+'3'!N16+'5'!N16+'6'!N16+'7'!N16+'8'!N16+'9'!N16+'10'!N16</f>
        <v>204.28897500000002</v>
      </c>
      <c r="O16" s="101">
        <f>+'1'!O16+'2'!O16+'4'!O16+'3'!O16+'5'!O16+'6'!O16+'7'!O16+'8'!O16+'9'!O16+'10'!O16</f>
        <v>5.6643761250000004</v>
      </c>
      <c r="P16" s="105">
        <f t="shared" ref="P16:P24" si="0">M16+N16+O16</f>
        <v>1138.539601125</v>
      </c>
      <c r="Q16" s="108"/>
      <c r="T16" s="163" t="str">
        <f>+'3'!A5</f>
        <v>Customer Name : Bhati GS</v>
      </c>
      <c r="U16" s="164">
        <f>+'3'!P35</f>
        <v>13399.922450850001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20</v>
      </c>
      <c r="I17" s="1">
        <f t="shared" ref="I17:I23" si="1">(G17*D17)*F17+H17*F17</f>
        <v>1049.25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36.723750000000003</v>
      </c>
      <c r="L17" s="175">
        <f>+'1'!L17+'2'!L17+'4'!L17+'3'!L17+'5'!L17+'6'!L17+'7'!L17+'8'!L17+'9'!L17+'10'!L17</f>
        <v>83.94</v>
      </c>
      <c r="M17" s="118">
        <f t="shared" ref="M17:M23" si="2">I17-K17-L17</f>
        <v>928.58625000000006</v>
      </c>
      <c r="N17" s="101">
        <f>+'1'!N17+'2'!N17+'4'!N17+'3'!N17+'5'!N17+'6'!N17+'7'!N17+'8'!N17+'9'!N17+'10'!N17</f>
        <v>204.28897500000002</v>
      </c>
      <c r="O17" s="101">
        <f>+'1'!O17+'2'!O17+'4'!O17+'3'!O17+'5'!O17+'6'!O17+'7'!O17+'8'!O17+'9'!O17+'10'!O17</f>
        <v>5.6643761250000004</v>
      </c>
      <c r="P17" s="120">
        <f t="shared" si="0"/>
        <v>1138.539601125</v>
      </c>
      <c r="S17" s="64"/>
      <c r="T17" s="163" t="str">
        <f>+'4'!A5</f>
        <v xml:space="preserve">Customer Name : US Mart </v>
      </c>
      <c r="U17" s="164">
        <f>+'4'!P35</f>
        <v>4912.9819070000003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Shahdab Super Store</v>
      </c>
      <c r="U18" s="164">
        <f>+'5'!P35</f>
        <v>32406.877445999995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145</v>
      </c>
      <c r="I19" s="1">
        <f t="shared" si="1"/>
        <v>10532.8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368.64800000000002</v>
      </c>
      <c r="L19" s="175">
        <f>+'1'!L19+'2'!L19+'4'!L19+'3'!L19+'5'!L19+'6'!L19+'7'!L19+'8'!L19+'9'!L19+'10'!L19</f>
        <v>842.62400000000002</v>
      </c>
      <c r="M19" s="118">
        <f t="shared" si="2"/>
        <v>9321.5280000000002</v>
      </c>
      <c r="N19" s="101">
        <f>+'1'!N19+'2'!N19+'4'!N19+'3'!N19+'5'!N19+'6'!N19+'7'!N19+'8'!N19+'9'!N19+'10'!N19</f>
        <v>2050.7361599999999</v>
      </c>
      <c r="O19" s="101">
        <f>+'1'!O19+'2'!O19+'4'!O19+'3'!O19+'5'!O19+'6'!O19+'7'!O19+'8'!O19+'9'!O19+'10'!O19</f>
        <v>72.547202400000003</v>
      </c>
      <c r="P19" s="120">
        <f t="shared" si="0"/>
        <v>11444.8113624</v>
      </c>
      <c r="T19" s="163" t="str">
        <f>+'6'!A5</f>
        <v>Customer Name : Husnain Super Store</v>
      </c>
      <c r="U19" s="164">
        <f>+'6'!P35</f>
        <v>1697.3761790000003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145</v>
      </c>
      <c r="I20" s="1">
        <f t="shared" si="1"/>
        <v>10532.8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368.64800000000002</v>
      </c>
      <c r="L20" s="175">
        <f>+'1'!L20+'2'!L20+'4'!L20+'3'!L20+'5'!L20+'6'!L20+'7'!L20+'8'!L20+'9'!L20+'10'!L20</f>
        <v>842.62400000000002</v>
      </c>
      <c r="M20" s="118">
        <f t="shared" si="2"/>
        <v>9321.5280000000002</v>
      </c>
      <c r="N20" s="101">
        <f>+'1'!N20+'2'!N20+'4'!N20+'3'!N20+'5'!N20+'6'!N20+'7'!N20+'8'!N20+'9'!N20+'10'!N20</f>
        <v>2050.7361599999999</v>
      </c>
      <c r="O20" s="101">
        <f>+'1'!O20+'2'!O20+'4'!O20+'3'!O20+'5'!O20+'6'!O20+'7'!O20+'8'!O20+'9'!O20+'10'!O20</f>
        <v>72.547202400000003</v>
      </c>
      <c r="P20" s="120">
        <f t="shared" si="0"/>
        <v>11444.8113624</v>
      </c>
      <c r="T20" s="163" t="str">
        <f>+'7'!A5</f>
        <v>Customer Name : Al Karam Smart Store</v>
      </c>
      <c r="U20" s="164">
        <f>+'7'!P35</f>
        <v>1664.2566438000003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110</v>
      </c>
      <c r="I21" s="1">
        <f t="shared" si="1"/>
        <v>7990.4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279.66400000000004</v>
      </c>
      <c r="L21" s="175">
        <f>+'1'!L21+'2'!L21+'4'!L21+'3'!L21+'5'!L21+'6'!L21+'7'!L21+'8'!L21+'9'!L21+'10'!L21</f>
        <v>639.23199999999997</v>
      </c>
      <c r="M21" s="118">
        <f t="shared" si="2"/>
        <v>7071.5039999999999</v>
      </c>
      <c r="N21" s="101">
        <f>+'1'!N21+'2'!N21+'4'!N21+'3'!N21+'5'!N21+'6'!N21+'7'!N21+'8'!N21+'9'!N21+'10'!N21</f>
        <v>1555.7308800000001</v>
      </c>
      <c r="O21" s="101">
        <f>+'1'!O21+'2'!O21+'4'!O21+'3'!O21+'5'!O21+'6'!O21+'7'!O21+'8'!O21+'9'!O21+'10'!O21</f>
        <v>74.507937600000005</v>
      </c>
      <c r="P21" s="120">
        <f t="shared" si="0"/>
        <v>8701.7428175999994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612</v>
      </c>
      <c r="I22" s="1">
        <f t="shared" si="1"/>
        <v>24008.760000000002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840.30660000000023</v>
      </c>
      <c r="L22" s="175">
        <f>+'1'!L22+'2'!L22+'4'!L22+'3'!L22+'5'!L22+'6'!L22+'7'!L22+'8'!L22+'9'!L22+'10'!L22</f>
        <v>2400.8760000000007</v>
      </c>
      <c r="M22" s="118">
        <f t="shared" si="2"/>
        <v>20767.577400000002</v>
      </c>
      <c r="N22" s="101">
        <f>+'1'!N22+'2'!N22+'4'!N22+'3'!N22+'5'!N22+'6'!N22+'7'!N22+'8'!N22+'9'!N22+'10'!N22</f>
        <v>4568.8670280000006</v>
      </c>
      <c r="O22" s="101">
        <f>+'1'!O22+'2'!O22+'4'!O22+'3'!O22+'5'!O22+'6'!O22+'7'!O22+'8'!O22+'9'!O22+'10'!O22</f>
        <v>192.92129254000002</v>
      </c>
      <c r="P22" s="120">
        <f t="shared" si="0"/>
        <v>25529.365720540001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26.3</v>
      </c>
      <c r="D25" s="231"/>
      <c r="E25" s="231"/>
      <c r="F25" s="231"/>
      <c r="G25" s="176">
        <f t="shared" ref="G25:M25" si="3">SUM(G16:G24)</f>
        <v>0</v>
      </c>
      <c r="H25" s="177">
        <f t="shared" si="3"/>
        <v>1052</v>
      </c>
      <c r="I25" s="178">
        <f t="shared" si="3"/>
        <v>55163.26</v>
      </c>
      <c r="J25" s="177">
        <f t="shared" si="3"/>
        <v>0</v>
      </c>
      <c r="K25" s="178">
        <f t="shared" si="3"/>
        <v>1930.7141000000001</v>
      </c>
      <c r="L25" s="179">
        <f t="shared" si="3"/>
        <v>4893.2360000000008</v>
      </c>
      <c r="M25" s="141">
        <f t="shared" si="3"/>
        <v>48339.309900000007</v>
      </c>
      <c r="N25" s="142">
        <f>SUM(N16:N24)</f>
        <v>10634.648177999999</v>
      </c>
      <c r="O25" s="143">
        <f>SUM(O16:O24)</f>
        <v>423.85238719000006</v>
      </c>
      <c r="P25" s="144">
        <f>SUM(P16:P24)</f>
        <v>59397.810465189999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59397.810465189999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55163.26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4893.2360000000008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1930.7141000000001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48339.309900000007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10634.648177999999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58973.958078000011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1474.3489519500004</v>
      </c>
    </row>
    <row r="43" spans="1:21" ht="15.75" customHeight="1" thickBot="1" x14ac:dyDescent="0.4">
      <c r="N43" s="229" t="s">
        <v>92</v>
      </c>
      <c r="O43" s="230"/>
      <c r="P43" s="160">
        <f>P41+P42</f>
        <v>60448.30702995001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>
        <v>3660116719857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/>
      <c r="K19" s="104">
        <f t="shared" si="4"/>
        <v>38.136000000000003</v>
      </c>
      <c r="L19" s="105">
        <f t="shared" si="5"/>
        <v>87.167999999999992</v>
      </c>
      <c r="M19" s="118">
        <f t="shared" si="6"/>
        <v>964.29599999999994</v>
      </c>
      <c r="N19" s="118">
        <f t="shared" si="0"/>
        <v>212.14511999999999</v>
      </c>
      <c r="O19" s="119">
        <f t="shared" si="1"/>
        <v>5.8822055999999998</v>
      </c>
      <c r="P19" s="120">
        <f t="shared" si="2"/>
        <v>1182.3233255999999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3"/>
        <v>1089.5999999999999</v>
      </c>
      <c r="J20" s="117"/>
      <c r="K20" s="104">
        <f t="shared" si="4"/>
        <v>38.136000000000003</v>
      </c>
      <c r="L20" s="105">
        <f t="shared" si="5"/>
        <v>87.167999999999992</v>
      </c>
      <c r="M20" s="118">
        <f t="shared" si="6"/>
        <v>964.29599999999994</v>
      </c>
      <c r="N20" s="118">
        <f t="shared" si="0"/>
        <v>212.14511999999999</v>
      </c>
      <c r="O20" s="119">
        <f t="shared" si="1"/>
        <v>5.8822055999999998</v>
      </c>
      <c r="P20" s="120">
        <f t="shared" si="2"/>
        <v>1182.3233255999999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3"/>
        <v>726.4</v>
      </c>
      <c r="J21" s="117"/>
      <c r="K21" s="104">
        <f t="shared" si="4"/>
        <v>25.424000000000003</v>
      </c>
      <c r="L21" s="105">
        <f t="shared" si="5"/>
        <v>58.112000000000002</v>
      </c>
      <c r="M21" s="118">
        <f t="shared" si="6"/>
        <v>642.86400000000003</v>
      </c>
      <c r="N21" s="118">
        <f t="shared" si="0"/>
        <v>141.43008</v>
      </c>
      <c r="O21" s="119">
        <f t="shared" si="1"/>
        <v>3.9214704</v>
      </c>
      <c r="P21" s="120">
        <f t="shared" si="2"/>
        <v>788.21555039999998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6"/>
        <v>1357.3580000000002</v>
      </c>
      <c r="N22" s="118">
        <f t="shared" si="0"/>
        <v>298.61876000000007</v>
      </c>
      <c r="O22" s="119">
        <f t="shared" si="1"/>
        <v>8.2798838000000021</v>
      </c>
      <c r="P22" s="120">
        <f t="shared" si="2"/>
        <v>1664.2566438000003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80</v>
      </c>
      <c r="I25" s="137">
        <f t="shared" si="13"/>
        <v>4474.8</v>
      </c>
      <c r="J25" s="138"/>
      <c r="K25" s="139">
        <f t="shared" si="13"/>
        <v>156.61800000000002</v>
      </c>
      <c r="L25" s="140">
        <f t="shared" si="13"/>
        <v>389.36800000000005</v>
      </c>
      <c r="M25" s="141">
        <f t="shared" si="13"/>
        <v>3928.8140000000003</v>
      </c>
      <c r="N25" s="142">
        <f>SUM(N16:N24)</f>
        <v>864.33908000000008</v>
      </c>
      <c r="O25" s="143">
        <f>SUM(O16:O24)</f>
        <v>23.965765400000002</v>
      </c>
      <c r="P25" s="144">
        <f>SUM(P16:P24)</f>
        <v>4817.1188454000003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4474.8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389.36800000000005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156.61800000000002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3928.8140000000003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864.33908000000008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4793.15308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23.965765400000002</v>
      </c>
    </row>
    <row r="35" spans="2:16" ht="15.75" customHeight="1" thickBot="1" x14ac:dyDescent="0.4">
      <c r="N35" s="229" t="s">
        <v>92</v>
      </c>
      <c r="O35" s="230"/>
      <c r="P35" s="160">
        <f>P33+P34</f>
        <v>4817.1188454000003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125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126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I22*10%</f>
        <v>47.076000000000008</v>
      </c>
      <c r="M22" s="118">
        <f t="shared" si="5"/>
        <v>407.20740000000001</v>
      </c>
      <c r="N22" s="118">
        <f t="shared" si="0"/>
        <v>89.585628</v>
      </c>
      <c r="O22" s="119">
        <f t="shared" si="6"/>
        <v>2.48396514</v>
      </c>
      <c r="P22" s="120">
        <f t="shared" si="1"/>
        <v>499.27699314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47.076000000000008</v>
      </c>
      <c r="M25" s="141">
        <f t="shared" si="9"/>
        <v>407.20740000000001</v>
      </c>
      <c r="N25" s="142">
        <f>SUM(N16:N24)</f>
        <v>89.585628</v>
      </c>
      <c r="O25" s="143">
        <f>SUM(O16:O24)</f>
        <v>2.48396514</v>
      </c>
      <c r="P25" s="144">
        <f>SUM(P16:P24)</f>
        <v>499.27699314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470.76000000000005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47.076000000000008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16.476600000000005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407.20740000000001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89.585628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496.79302799999999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2.48396514</v>
      </c>
    </row>
    <row r="35" spans="2:16" ht="15.75" customHeight="1" thickBot="1" x14ac:dyDescent="0.4">
      <c r="N35" s="229" t="s">
        <v>92</v>
      </c>
      <c r="O35" s="230"/>
      <c r="P35" s="160">
        <f>P33+P34</f>
        <v>499.27699314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125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126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5.6643761250000004</v>
      </c>
      <c r="P16" s="105">
        <f t="shared" ref="P16:P24" si="1">M16+N16+O16</f>
        <v>1138.539601125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5.6643761250000004</v>
      </c>
      <c r="P17" s="120">
        <f t="shared" si="1"/>
        <v>1138.539601125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565.72032000000002</v>
      </c>
      <c r="O20" s="119">
        <f t="shared" si="6"/>
        <v>15.6858816</v>
      </c>
      <c r="P20" s="120">
        <f t="shared" si="1"/>
        <v>3152.8622015999999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200</v>
      </c>
      <c r="I25" s="137">
        <f t="shared" si="9"/>
        <v>12384.500000000002</v>
      </c>
      <c r="J25" s="138"/>
      <c r="K25" s="139">
        <f t="shared" si="9"/>
        <v>433.4575000000001</v>
      </c>
      <c r="L25" s="140">
        <f t="shared" si="9"/>
        <v>1022.144</v>
      </c>
      <c r="M25" s="141">
        <f t="shared" si="9"/>
        <v>10928.898500000001</v>
      </c>
      <c r="N25" s="142">
        <f>SUM(N16:N24)</f>
        <v>2404.3576700000003</v>
      </c>
      <c r="O25" s="143">
        <f>SUM(O16:O24)</f>
        <v>66.666280850000007</v>
      </c>
      <c r="P25" s="144">
        <f>SUM(P16:P24)</f>
        <v>13399.922450850001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12384.500000000002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1022.144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433.4575000000001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10928.898500000001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2404.3576700000003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13333.256170000001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66.666280850000007</v>
      </c>
    </row>
    <row r="35" spans="2:16" ht="15.75" customHeight="1" thickBot="1" x14ac:dyDescent="0.4">
      <c r="N35" s="229" t="s">
        <v>92</v>
      </c>
      <c r="O35" s="230"/>
      <c r="P35" s="160">
        <f>P33+P34</f>
        <v>13399.922450850001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129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141.43008</v>
      </c>
      <c r="O19" s="119">
        <f t="shared" si="6"/>
        <v>19.607352000000002</v>
      </c>
      <c r="P19" s="120">
        <f t="shared" si="1"/>
        <v>803.901432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19.607352000000002</v>
      </c>
      <c r="P20" s="120">
        <f t="shared" si="1"/>
        <v>803.901432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39.214704000000005</v>
      </c>
      <c r="P21" s="120">
        <f t="shared" si="1"/>
        <v>1607.802864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41.399419000000009</v>
      </c>
      <c r="P22" s="120">
        <f t="shared" si="1"/>
        <v>1697.3761790000003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156.61800000000002</v>
      </c>
      <c r="L25" s="140">
        <f t="shared" si="9"/>
        <v>389.36800000000005</v>
      </c>
      <c r="M25" s="141">
        <f t="shared" si="9"/>
        <v>3928.8140000000003</v>
      </c>
      <c r="N25" s="142">
        <f>SUM(N16:N24)</f>
        <v>864.33908000000008</v>
      </c>
      <c r="O25" s="143">
        <f>SUM(O16:O24)</f>
        <v>119.82882700000002</v>
      </c>
      <c r="P25" s="144">
        <f>SUM(P16:P24)</f>
        <v>4912.9819070000003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4474.8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389.36800000000005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156.61800000000002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3928.8140000000003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864.33908000000008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4793.15308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119.828827</v>
      </c>
    </row>
    <row r="35" spans="2:16" ht="15.75" customHeight="1" thickBot="1" x14ac:dyDescent="0.4">
      <c r="N35" s="229" t="s">
        <v>92</v>
      </c>
      <c r="O35" s="230"/>
      <c r="P35" s="160">
        <f>P33+P34</f>
        <v>4912.9819070000003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131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3510290336649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04">
        <f t="shared" si="3"/>
        <v>203.39200000000002</v>
      </c>
      <c r="L19" s="105">
        <f t="shared" si="4"/>
        <v>464.89600000000002</v>
      </c>
      <c r="M19" s="118">
        <f t="shared" si="5"/>
        <v>5142.9120000000003</v>
      </c>
      <c r="N19" s="118">
        <f t="shared" si="0"/>
        <v>1131.44064</v>
      </c>
      <c r="O19" s="119">
        <f t="shared" si="6"/>
        <v>31.3717632</v>
      </c>
      <c r="P19" s="120">
        <f t="shared" si="1"/>
        <v>6305.7244031999999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/>
      <c r="K20" s="104">
        <f t="shared" si="3"/>
        <v>203.39200000000002</v>
      </c>
      <c r="L20" s="105">
        <f t="shared" si="4"/>
        <v>464.89600000000002</v>
      </c>
      <c r="M20" s="118">
        <f t="shared" si="5"/>
        <v>5142.9120000000003</v>
      </c>
      <c r="N20" s="118">
        <f t="shared" si="0"/>
        <v>1131.44064</v>
      </c>
      <c r="O20" s="119">
        <f t="shared" si="6"/>
        <v>31.3717632</v>
      </c>
      <c r="P20" s="120">
        <f t="shared" si="1"/>
        <v>6305.7244031999999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400</v>
      </c>
      <c r="I22" s="116">
        <f t="shared" si="2"/>
        <v>15692.000000000002</v>
      </c>
      <c r="J22" s="117"/>
      <c r="K22" s="1">
        <f>I22*3.5%</f>
        <v>549.22000000000014</v>
      </c>
      <c r="L22" s="120">
        <f>I22*10%</f>
        <v>1569.2000000000003</v>
      </c>
      <c r="M22" s="118">
        <f t="shared" si="5"/>
        <v>13573.580000000002</v>
      </c>
      <c r="N22" s="118">
        <f t="shared" si="0"/>
        <v>2986.1876000000002</v>
      </c>
      <c r="O22" s="119">
        <f t="shared" si="6"/>
        <v>82.798838000000018</v>
      </c>
      <c r="P22" s="120">
        <f t="shared" si="1"/>
        <v>16642.566438000002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600</v>
      </c>
      <c r="I25" s="137">
        <f t="shared" si="9"/>
        <v>30220</v>
      </c>
      <c r="J25" s="138"/>
      <c r="K25" s="139">
        <f t="shared" si="9"/>
        <v>1057.7000000000003</v>
      </c>
      <c r="L25" s="140">
        <f t="shared" si="9"/>
        <v>2731.4400000000005</v>
      </c>
      <c r="M25" s="141">
        <f t="shared" si="9"/>
        <v>26430.86</v>
      </c>
      <c r="N25" s="142">
        <f>SUM(N16:N24)</f>
        <v>5814.7892000000002</v>
      </c>
      <c r="O25" s="143">
        <f>SUM(O16:O24)</f>
        <v>161.22824600000001</v>
      </c>
      <c r="P25" s="144">
        <f>SUM(P16:P24)</f>
        <v>32406.877446000002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30220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2731.4400000000005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1057.7000000000003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26430.859999999997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5814.7892000000002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32245.649199999996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161.22824599999998</v>
      </c>
    </row>
    <row r="35" spans="2:16" ht="15.75" customHeight="1" thickBot="1" x14ac:dyDescent="0.4">
      <c r="N35" s="229" t="s">
        <v>92</v>
      </c>
      <c r="O35" s="230"/>
      <c r="P35" s="160">
        <f>P33+P34</f>
        <v>32406.877445999995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125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41.399419000000009</v>
      </c>
      <c r="P22" s="120">
        <f t="shared" si="1"/>
        <v>1697.3761790000003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156.92000000000004</v>
      </c>
      <c r="M25" s="141">
        <f t="shared" si="9"/>
        <v>1357.3580000000002</v>
      </c>
      <c r="N25" s="142">
        <f>SUM(N16:N24)</f>
        <v>298.61876000000007</v>
      </c>
      <c r="O25" s="143">
        <f>SUM(O16:O24)</f>
        <v>41.399419000000009</v>
      </c>
      <c r="P25" s="144">
        <f>SUM(P16:P24)</f>
        <v>1697.3761790000003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156.92000000000004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54.922000000000011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1357.3580000000002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1655.9767600000002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41.399419000000009</v>
      </c>
    </row>
    <row r="35" spans="2:16" ht="15.75" customHeight="1" thickBot="1" x14ac:dyDescent="0.4">
      <c r="N35" s="229" t="s">
        <v>92</v>
      </c>
      <c r="O35" s="230"/>
      <c r="P35" s="160">
        <f>P33+P34</f>
        <v>1697.3761790000003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125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134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156.92000000000004</v>
      </c>
      <c r="M25" s="141">
        <f t="shared" si="9"/>
        <v>1357.3580000000002</v>
      </c>
      <c r="N25" s="142">
        <f>SUM(N16:N24)</f>
        <v>298.61876000000007</v>
      </c>
      <c r="O25" s="143">
        <f>SUM(O16:O24)</f>
        <v>8.2798838000000021</v>
      </c>
      <c r="P25" s="144">
        <f>SUM(P16:P24)</f>
        <v>1664.2566438000003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156.92000000000004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54.922000000000011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1357.3580000000002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1655.9767600000002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8.2798838000000021</v>
      </c>
    </row>
    <row r="35" spans="2:16" ht="15.75" customHeight="1" thickBot="1" x14ac:dyDescent="0.4">
      <c r="N35" s="229" t="s">
        <v>92</v>
      </c>
      <c r="O35" s="230"/>
      <c r="P35" s="160">
        <f>P33+P34</f>
        <v>1664.2566438000003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2026-07-03T05:55:15Z</dcterms:modified>
</cp:coreProperties>
</file>