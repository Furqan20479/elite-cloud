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8616348-F899-4D2D-AB81-3F8D4B2EFE1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8" l="1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8" i="17"/>
  <c r="K17" i="18"/>
  <c r="K18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0" i="18"/>
  <c r="K20" i="18"/>
  <c r="M20" i="18" s="1"/>
  <c r="N20" i="18" s="1"/>
  <c r="O20" i="18" s="1"/>
  <c r="L21" i="19"/>
  <c r="K21" i="19"/>
  <c r="K22" i="19"/>
  <c r="M22" i="19" s="1"/>
  <c r="N22" i="19" s="1"/>
  <c r="O22" i="19" s="1"/>
  <c r="P22" i="19" s="1"/>
  <c r="L20" i="19"/>
  <c r="L19" i="19"/>
  <c r="K19" i="19"/>
  <c r="L18" i="19"/>
  <c r="K18" i="19"/>
  <c r="L17" i="19"/>
  <c r="K17" i="19"/>
  <c r="M17" i="19" s="1"/>
  <c r="N17" i="19" s="1"/>
  <c r="O17" i="19" s="1"/>
  <c r="L16" i="19"/>
  <c r="K16" i="19"/>
  <c r="L21" i="17"/>
  <c r="K21" i="17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<sst xmlns="http://schemas.openxmlformats.org/spreadsheetml/2006/main" count="1636" uniqueCount="134">
  <si>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</si>
  <si>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</si>
  <si>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</si>
  <si>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</si>
  <si>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</si>
  <si>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</si>
  <si>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</si>
  <si>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</si>
  <si>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</si>
  <si>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</si>
  <si>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</si>
  <si>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</si>
  <si>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</si>
  <si>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</si>
  <si>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</si>
  <si>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</si>
  <si>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</si>
  <si>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</si>
  <si>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</si>
  <si>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</si>
  <si>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</si>
  <si>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</si>
  <si>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</si>
  <si>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</si>
  <si>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</si>
  <si>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</si>
  <si>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</si>
  <si>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</si>
  <si>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</si>
  <si>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</si>
  <si>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</si>
  <si>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</si>
  <si>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</si>
  <si>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</si>
  <si>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</si>
  <si>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</si>
  <si>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</si>
  <si>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</si>
  <si>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</si>
  <si>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</si>
  <si>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</si>
  <si>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</si>
  <si>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</si>
  <si>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</si>
  <si>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</si>
  <si>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</si>
  <si>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</si>
  <si>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</si>
  <si>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</si>
  <si>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</si>
  <si>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</si>
  <si>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</si>
  <si>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</si>
  <si>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</si>
  <si>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</si>
  <si>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</si>
  <si>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</si>
  <si>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</si>
  <si>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</si>
  <si>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</si>
  <si>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</si>
  <si>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</si>
  <si>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</si>
  <si>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</si>
  <si>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</si>
  <si>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</si>
  <si>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</si>
  <si>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</si>
  <si>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</si>
  <si>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</si>
  <si>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</si>
  <si>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</si>
  <si>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</si>
  <si>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</si>
  <si>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</si>
  <si>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</si>
  <si>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</si>
  <si>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</si>
  <si>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</si>
  <si>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</si>
  <si>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</si>
  <si>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</si>
  <si>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</si>
  <si>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</si>
  <si>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</si>
  <si>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</si>
  <si>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</si>
  <si>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</si>
  <si>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</si>
  <si>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</si>
  <si>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</si>
  <si>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</si>
  <si>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</si>
  <si>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</si>
  <si>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</si>
  <si>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</si>
  <si>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</si>
  <si>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</si>
  <si>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</si>
  <si>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</si>
  <si>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</si>
  <si>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</si>
  <si>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</si>
  <si>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</si>
  <si>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</si>
  <si>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</si>
  <si>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</si>
  <si>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</si>
  <si>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</si>
  <si>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</si>
  <si>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</si>
  <si>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</si>
  <si>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</si>
  <si>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</si>
  <si>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</si>
  <si>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</si>
  <si>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</si>
  <si>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</si>
  <si>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</si>
  <si>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</si>
  <si>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Mubeen </t>
  </si>
  <si>
    <t>Shop Bill Summary (Mubeen)</t>
  </si>
  <si>
    <t xml:space="preserve">Customer Name : Pick &amp; Pack </t>
  </si>
  <si>
    <t xml:space="preserve">Address: Paragon City </t>
  </si>
  <si>
    <t>4357664-8</t>
  </si>
  <si>
    <t>Customer Name : Umaima Store</t>
  </si>
  <si>
    <t xml:space="preserve">Address: Paragon </t>
  </si>
  <si>
    <t xml:space="preserve">Customer Name : RI Cash &amp; Carry </t>
  </si>
  <si>
    <t xml:space="preserve">Address: Zarar Shaheed Road </t>
  </si>
  <si>
    <t>2562310-9</t>
  </si>
  <si>
    <t>03002562310-12</t>
  </si>
  <si>
    <t>Customer Name : Rehman Store</t>
  </si>
  <si>
    <t>Address: Al Kareem Society 60ft Road</t>
  </si>
  <si>
    <t>G621936-0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</si>
</sst>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S36" sqref="S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Pick &amp; Pack </v>
      </c>
      <c r="U14" s="164">
        <f>+'1'!P35</f>
        <v>3415.6799551125005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Umaima Store</v>
      </c>
      <c r="U15" s="164">
        <f>+'2'!P35</f>
        <v>7838.500826550001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72</v>
      </c>
      <c r="I16" s="1">
        <f>(G16*D16)*F16+H16*F16</f>
        <v>3777.2999999999997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132.2055</v>
      </c>
      <c r="L16" s="175">
        <f>+'1'!L16+'2'!L16+'4'!L16+'3'!L16+'5'!L16+'6'!L16+'7'!L16+'8'!L16+'9'!L16+'10'!L16</f>
        <v>302.18399999999997</v>
      </c>
      <c r="M16" s="106">
        <f>I16-K16-L16</f>
        <v>3342.9105</v>
      </c>
      <c r="N16" s="101">
        <f>+'1'!N16+'2'!N16+'4'!N16+'3'!N16+'5'!N16+'6'!N16+'7'!N16+'8'!N16+'9'!N16+'10'!N16</f>
        <v>661.15340999999989</v>
      </c>
      <c r="O16" s="101">
        <f>+'1'!O16+'2'!O16+'4'!O16+'3'!O16+'5'!O16+'6'!O16+'7'!O16+'8'!O16+'9'!O16+'10'!O16</f>
        <v>20.02031955</v>
      </c>
      <c r="P16" s="105">
        <f t="shared" ref="P16:P24" si="0">M16+N16+O16</f>
        <v>4024.0842295499997</v>
      </c>
      <c r="Q16" s="108"/>
      <c r="T16" s="163" t="str">
        <f>+'3'!A5</f>
        <v xml:space="preserve">Customer Name : RI Cash &amp; Carry </v>
      </c>
      <c r="U16" s="164">
        <f>+'3'!P35</f>
        <v>15163.0015989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66</v>
      </c>
      <c r="I17" s="1">
        <f t="shared" ref="I17:I23" si="1">(G17*D17)*F17+H17*F17</f>
        <v>3462.5250000000001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121.18837500000001</v>
      </c>
      <c r="L17" s="175">
        <f>+'1'!L17+'2'!L17+'4'!L17+'3'!L17+'5'!L17+'6'!L17+'7'!L17+'8'!L17+'9'!L17+'10'!L17</f>
        <v>277.00200000000001</v>
      </c>
      <c r="M17" s="118">
        <f t="shared" ref="M17:M23" si="2">I17-K17-L17</f>
        <v>3064.334625</v>
      </c>
      <c r="N17" s="101">
        <f>+'1'!N17+'2'!N17+'4'!N17+'3'!N17+'5'!N17+'6'!N17+'7'!N17+'8'!N17+'9'!N17+'10'!N17</f>
        <v>599.86671750000005</v>
      </c>
      <c r="O17" s="101">
        <f>+'1'!O17+'2'!O17+'4'!O17+'3'!O17+'5'!O17+'6'!O17+'7'!O17+'8'!O17+'9'!O17+'10'!O17</f>
        <v>18.321006712500001</v>
      </c>
      <c r="P17" s="120">
        <f t="shared" si="0"/>
        <v>3682.5223492125001</v>
      </c>
      <c r="S17" s="64"/>
      <c r="T17" s="163" t="str">
        <f>+'4'!A5</f>
        <v>Customer Name : Rehman Store</v>
      </c>
      <c r="U17" s="164">
        <f>+'4'!P35</f>
        <v>9148.4690111999989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112</v>
      </c>
      <c r="I19" s="1">
        <f t="shared" si="1"/>
        <v>8135.68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284.74880000000002</v>
      </c>
      <c r="L19" s="175">
        <f>+'1'!L19+'2'!L19+'4'!L19+'3'!L19+'5'!L19+'6'!L19+'7'!L19+'8'!L19+'9'!L19+'10'!L19</f>
        <v>650.85440000000006</v>
      </c>
      <c r="M19" s="118">
        <f t="shared" si="2"/>
        <v>7200.0767999999998</v>
      </c>
      <c r="N19" s="101">
        <f>+'1'!N19+'2'!N19+'4'!N19+'3'!N19+'5'!N19+'6'!N19+'7'!N19+'8'!N19+'9'!N19+'10'!N19</f>
        <v>1378.300416</v>
      </c>
      <c r="O19" s="101">
        <f>+'1'!O19+'2'!O19+'4'!O19+'3'!O19+'5'!O19+'6'!O19+'7'!O19+'8'!O19+'9'!O19+'10'!O19</f>
        <v>42.891886079999999</v>
      </c>
      <c r="P19" s="120">
        <f t="shared" si="0"/>
        <v>8621.2691020800012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100</v>
      </c>
      <c r="I20" s="1">
        <f t="shared" si="1"/>
        <v>7264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254.24</v>
      </c>
      <c r="L20" s="175">
        <f>+'1'!L20+'2'!L20+'4'!L20+'3'!L20+'5'!L20+'6'!L20+'7'!L20+'8'!L20+'9'!L20+'10'!L20</f>
        <v>581.12</v>
      </c>
      <c r="M20" s="118">
        <f t="shared" si="2"/>
        <v>6428.64</v>
      </c>
      <c r="N20" s="101">
        <f>+'1'!N20+'2'!N20+'4'!N20+'3'!N20+'5'!N20+'6'!N20+'7'!N20+'8'!N20+'9'!N20+'10'!N20</f>
        <v>1208.5843199999999</v>
      </c>
      <c r="O20" s="101">
        <f>+'1'!O20+'2'!O20+'4'!O20+'3'!O20+'5'!O20+'6'!O20+'7'!O20+'8'!O20+'9'!O20+'10'!O20</f>
        <v>38.1861216</v>
      </c>
      <c r="P20" s="120">
        <f t="shared" si="0"/>
        <v>7675.4104416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112</v>
      </c>
      <c r="I21" s="1">
        <f t="shared" si="1"/>
        <v>8135.68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284.74880000000002</v>
      </c>
      <c r="L21" s="175">
        <f>+'1'!L21+'2'!L21+'4'!L21+'3'!L21+'5'!L21+'6'!L21+'7'!L21+'8'!L21+'9'!L21+'10'!L21</f>
        <v>650.85440000000006</v>
      </c>
      <c r="M21" s="118">
        <f t="shared" si="2"/>
        <v>7200.0767999999998</v>
      </c>
      <c r="N21" s="101">
        <f>+'1'!N21+'2'!N21+'4'!N21+'3'!N21+'5'!N21+'6'!N21+'7'!N21+'8'!N21+'9'!N21+'10'!N21</f>
        <v>1378.300416</v>
      </c>
      <c r="O21" s="101">
        <f>+'1'!O21+'2'!O21+'4'!O21+'3'!O21+'5'!O21+'6'!O21+'7'!O21+'8'!O21+'9'!O21+'10'!O21</f>
        <v>42.891886079999999</v>
      </c>
      <c r="P21" s="120">
        <f t="shared" si="0"/>
        <v>8621.2691020800012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72</v>
      </c>
      <c r="I22" s="1">
        <f t="shared" si="1"/>
        <v>2824.5600000000004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98.859600000000029</v>
      </c>
      <c r="L22" s="175">
        <f>+'1'!L22+'2'!L22+'4'!L22+'3'!L22+'5'!L22+'6'!L22+'7'!L22+'8'!L22+'9'!L22+'10'!L22</f>
        <v>282.45600000000007</v>
      </c>
      <c r="M22" s="118">
        <f t="shared" si="2"/>
        <v>2443.2444</v>
      </c>
      <c r="N22" s="101">
        <f>+'1'!N22+'2'!N22+'4'!N22+'3'!N22+'5'!N22+'6'!N22+'7'!N22+'8'!N22+'9'!N22+'10'!N22</f>
        <v>483.21944800000006</v>
      </c>
      <c r="O22" s="101">
        <f>+'1'!O22+'2'!O22+'4'!O22+'3'!O22+'5'!O22+'6'!O22+'7'!O22+'8'!O22+'9'!O22+'10'!O22</f>
        <v>14.632319240000003</v>
      </c>
      <c r="P22" s="120">
        <f t="shared" si="0"/>
        <v>2941.0961672400003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13.35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534</v>
      </c>
      <c r="I25" s="178">
        <f t="shared" si="3"/>
        <v>33599.745000000003</v>
      </c>
      <c r="J25" s="177">
        <f t="shared" si="3"/>
        <v>0</v>
      </c>
      <c r="K25" s="178">
        <f t="shared" si="3"/>
        <v>1175.9910750000001</v>
      </c>
      <c r="L25" s="179">
        <f t="shared" si="3"/>
        <v>2744.4708000000001</v>
      </c>
      <c r="M25" s="141">
        <f t="shared" si="3"/>
        <v>29679.283124999998</v>
      </c>
      <c r="N25" s="142">
        <f>SUM(N16:N24)</f>
        <v>5709.4247274999998</v>
      </c>
      <c r="O25" s="143">
        <f>SUM(O16:O24)</f>
        <v>176.94353926250002</v>
      </c>
      <c r="P25" s="144">
        <f>SUM(P16:P24)</f>
        <v>35565.651391762498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35565.651391762498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33599.745000000003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2744.4708000000001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1175.9910750000001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29679.283125000002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5709.4247274999998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35388.707852500003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884.71769631250015</v>
      </c>
    </row>
    <row r="43" spans="1:21" ht="15.75" customHeight="1" thickBot="1" x14ac:dyDescent="0.4">
      <c r="N43" s="213" t="s">
        <v>92</v>
      </c>
      <c r="O43" s="214"/>
      <c r="P43" s="160">
        <f>P41+P42</f>
        <v>36273.425548812505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 t="shared" ref="O16:O24" si="1">(N16+M16)*$O$15</f>
        <v>3.3986256749999995</v>
      </c>
      <c r="P16" s="105">
        <f t="shared" ref="P16:P24" si="2">M16+N16+O16</f>
        <v>683.12376067499986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04">
        <f t="shared" ref="K17:K21" si="4">I17*3.5%</f>
        <v>11.017125</v>
      </c>
      <c r="L17" s="105">
        <f t="shared" ref="L17:L21" si="5">I17*8%</f>
        <v>25.181999999999999</v>
      </c>
      <c r="M17" s="118">
        <f t="shared" ref="M17:M23" si="6">I17-K17-L17</f>
        <v>278.57587499999994</v>
      </c>
      <c r="N17" s="118">
        <f t="shared" si="0"/>
        <v>61.286692499999987</v>
      </c>
      <c r="O17" s="119">
        <f t="shared" si="1"/>
        <v>1.6993128374999997</v>
      </c>
      <c r="P17" s="120">
        <f t="shared" si="2"/>
        <v>341.56188033749993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04">
        <f t="shared" si="4"/>
        <v>30.508800000000004</v>
      </c>
      <c r="L19" s="105">
        <f t="shared" si="5"/>
        <v>69.734400000000008</v>
      </c>
      <c r="M19" s="118">
        <f t="shared" si="6"/>
        <v>771.43680000000006</v>
      </c>
      <c r="N19" s="118">
        <f t="shared" si="0"/>
        <v>169.71609600000002</v>
      </c>
      <c r="O19" s="119">
        <f t="shared" si="1"/>
        <v>4.70576448</v>
      </c>
      <c r="P19" s="120">
        <f t="shared" si="2"/>
        <v>945.85866048000003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04">
        <f t="shared" si="4"/>
        <v>30.508800000000004</v>
      </c>
      <c r="L21" s="105">
        <f t="shared" si="5"/>
        <v>69.734400000000008</v>
      </c>
      <c r="M21" s="118">
        <f t="shared" si="6"/>
        <v>771.43680000000006</v>
      </c>
      <c r="N21" s="118">
        <f t="shared" si="0"/>
        <v>169.71609600000002</v>
      </c>
      <c r="O21" s="119">
        <f t="shared" si="1"/>
        <v>4.70576448</v>
      </c>
      <c r="P21" s="120">
        <f t="shared" si="2"/>
        <v>945.85866048000003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89.585628</v>
      </c>
      <c r="O22" s="119">
        <f t="shared" si="1"/>
        <v>2.48396514</v>
      </c>
      <c r="P22" s="120">
        <f t="shared" si="2"/>
        <v>499.27699314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54</v>
      </c>
      <c r="I25" s="137">
        <f t="shared" si="13"/>
        <v>3158.4450000000006</v>
      </c>
      <c r="J25" s="138"/>
      <c r="K25" s="139">
        <f t="shared" si="13"/>
        <v>110.54557500000001</v>
      </c>
      <c r="L25" s="140">
        <f t="shared" si="13"/>
        <v>262.0908</v>
      </c>
      <c r="M25" s="141">
        <f t="shared" si="13"/>
        <v>2785.8086249999997</v>
      </c>
      <c r="N25" s="142">
        <f>SUM(N16:N24)</f>
        <v>612.87789750000002</v>
      </c>
      <c r="O25" s="143">
        <f>SUM(O16:O24)</f>
        <v>16.993432612499998</v>
      </c>
      <c r="P25" s="144">
        <f>SUM(P16:P24)</f>
        <v>3415.6799551124996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3158.4450000000006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262.0908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110.54557500000001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2785.8086250000006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612.87789750000002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3398.6865225000006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16.993432612500005</v>
      </c>
    </row>
    <row r="35" spans="2:16" ht="15.75" customHeight="1" thickBot="1" x14ac:dyDescent="0.4">
      <c r="N35" s="213" t="s">
        <v>92</v>
      </c>
      <c r="O35" s="214"/>
      <c r="P35" s="160">
        <f>P33+P34</f>
        <v>3415.6799551125005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50080645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4.1399419000000011</v>
      </c>
      <c r="P22" s="120">
        <f t="shared" si="1"/>
        <v>832.12832190000017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7241.5000000000009</v>
      </c>
      <c r="J25" s="138"/>
      <c r="K25" s="139">
        <f t="shared" si="9"/>
        <v>253.45250000000004</v>
      </c>
      <c r="L25" s="140">
        <f t="shared" si="9"/>
        <v>595.01200000000006</v>
      </c>
      <c r="M25" s="141">
        <f t="shared" si="9"/>
        <v>6393.0355000000009</v>
      </c>
      <c r="N25" s="142">
        <f>SUM(N16:N24)</f>
        <v>1406.4678100000001</v>
      </c>
      <c r="O25" s="143">
        <f>SUM(O16:O24)</f>
        <v>38.997516550000007</v>
      </c>
      <c r="P25" s="144">
        <f>SUM(P16:P24)</f>
        <v>7838.5008265500001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7241.5000000000009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595.01200000000006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253.45250000000004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6393.0355000000009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1406.4678100000001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7799.503310000001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38.997516550000007</v>
      </c>
    </row>
    <row r="35" spans="2:16" ht="15.75" customHeight="1" thickBot="1" x14ac:dyDescent="0.4">
      <c r="N35" s="213" t="s">
        <v>92</v>
      </c>
      <c r="O35" s="214"/>
      <c r="P35" s="160">
        <f>P33+P34</f>
        <v>7838.500826550001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 t="s">
        <v>130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8.0084122000000022</v>
      </c>
      <c r="P22" s="120">
        <f t="shared" si="1"/>
        <v>1609.6908522000003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2301.4927799999996</v>
      </c>
      <c r="O25" s="143">
        <f>SUM(O16:O24)</f>
        <v>75.437818899999996</v>
      </c>
      <c r="P25" s="144">
        <f>SUM(P16:P24)</f>
        <v>15163.001598900002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1190.0240000000001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506.90500000000009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12786.071000000002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2301.4927799999996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15087.56378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75.437818900000011</v>
      </c>
    </row>
    <row r="35" spans="2:16" ht="15.75" customHeight="1" thickBot="1" x14ac:dyDescent="0.4">
      <c r="N35" s="213" t="s">
        <v>92</v>
      </c>
      <c r="O35" s="214"/>
      <c r="P35" s="160">
        <f>P33+P34</f>
        <v>15163.0015989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3520113033151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9102.9542399999991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3" t="s">
        <v>92</v>
      </c>
      <c r="O35" s="214"/>
      <c r="P35" s="160">
        <f>P33+P34</f>
        <v>9148.4690111999989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2026-07-03T05:21:49Z</dcterms:modified>
</cp:coreProperties>
</file>