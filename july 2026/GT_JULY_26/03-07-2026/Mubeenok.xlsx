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6CCC7CC-8E0D-40E3-981C-BD3914D087F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8" l="1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8"/>
  <c r="K18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L20" i="18"/>
  <c r="K20" i="18"/>
  <c r="M20" i="18" s="1"/>
  <c r="N20" i="18" s="1"/>
  <c r="O20" i="18" s="1"/>
  <c r="L21" i="19"/>
  <c r="K21" i="19"/>
  <c r="M21" i="19" s="1"/>
  <c r="K22" i="19"/>
  <c r="M22" i="19" s="1"/>
  <c r="N22" i="19" s="1"/>
  <c r="O22" i="19" s="1"/>
  <c r="P22" i="19" s="1"/>
  <c r="L20" i="19"/>
  <c r="L19" i="19"/>
  <c r="M19" i="19" s="1"/>
  <c r="N19" i="19" s="1"/>
  <c r="O19" i="19" s="1"/>
  <c r="K19" i="19"/>
  <c r="L18" i="19"/>
  <c r="K18" i="19"/>
  <c r="L17" i="19"/>
  <c r="L25" i="19" s="1"/>
  <c r="P29" i="19" s="1"/>
  <c r="K17" i="19"/>
  <c r="L16" i="19"/>
  <c r="K16" i="19"/>
  <c r="L21" i="17"/>
  <c r="K21" i="17"/>
  <c r="L24" i="17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N24" i="19"/>
  <c r="O24" i="19" s="1"/>
  <c r="N24" i="18"/>
  <c r="O24" i="18" s="1"/>
  <c r="I23" i="15"/>
  <c r="M17" i="19" l="1"/>
  <c r="N17" i="19" s="1"/>
  <c r="O17" i="19" s="1"/>
  <c r="L17" i="16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<sst xmlns="http://schemas.openxmlformats.org/spreadsheetml/2006/main" count="1636" uniqueCount="134">
  <si>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</si>
  <si>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</si>
  <si>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</si>
  <si>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</si>
  <si>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</si>
  <si>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</si>
  <si>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</si>
  <si>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</si>
  <si>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</si>
  <si>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</si>
  <si>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</si>
  <si>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</si>
  <si>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</si>
  <si>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</si>
  <si>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</si>
  <si>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</si>
  <si>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</si>
  <si>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</si>
  <si>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</si>
  <si>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</si>
  <si>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</si>
  <si>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</si>
  <si>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</si>
  <si>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</si>
  <si>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</si>
  <si>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</si>
  <si>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</si>
  <si>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</si>
  <si>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</si>
  <si>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</si>
  <si>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</si>
  <si>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</si>
  <si>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</si>
  <si>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</si>
  <si>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</si>
  <si>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</si>
  <si>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</si>
  <si>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</si>
  <si>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</si>
  <si>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</si>
  <si>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</si>
  <si>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</si>
  <si>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</si>
  <si>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</si>
  <si>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</si>
  <si>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</si>
  <si>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</si>
  <si>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</si>
  <si>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</si>
  <si>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</si>
  <si>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</si>
  <si>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</si>
  <si>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</si>
  <si>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</si>
  <si>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</si>
  <si>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</si>
  <si>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</si>
  <si>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</si>
  <si>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</si>
  <si>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</si>
  <si>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</si>
  <si>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</si>
  <si>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</si>
  <si>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</si>
  <si>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</si>
  <si>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</si>
  <si>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</si>
  <si>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</si>
  <si>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</si>
  <si>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</si>
  <si>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</si>
  <si>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</si>
  <si>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</si>
  <si>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</si>
  <si>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</si>
  <si>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</si>
  <si>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</si>
  <si>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</si>
  <si>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</si>
  <si>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</si>
  <si>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</si>
  <si>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</si>
  <si>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</si>
  <si>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</si>
  <si>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</si>
  <si>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</si>
  <si>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</si>
  <si>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</si>
  <si>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</si>
  <si>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</si>
  <si>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</si>
  <si>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</si>
  <si>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</si>
  <si>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</si>
  <si>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</si>
  <si>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</si>
  <si>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</si>
  <si>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</si>
  <si>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</si>
  <si>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</si>
  <si>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</si>
  <si>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</si>
  <si>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</si>
  <si>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</si>
  <si>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</si>
  <si>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</si>
  <si>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</si>
  <si>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</si>
  <si>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</si>
  <si>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</si>
  <si>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</si>
  <si>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</si>
  <si>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</si>
  <si>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</si>
  <si>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</si>
  <si>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</si>
  <si>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</si>
  <si>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</si>
  <si>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</si>
  <si>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</si>
  <si>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Mubeen </t>
  </si>
  <si>
    <t>Shop Bill Summary (Mubeen)</t>
  </si>
  <si>
    <t xml:space="preserve">Customer Name : Pick &amp; Pack </t>
  </si>
  <si>
    <t xml:space="preserve">Address: Paragon City </t>
  </si>
  <si>
    <t>4357664-8</t>
  </si>
  <si>
    <t>Customer Name : Umaima Store</t>
  </si>
  <si>
    <t xml:space="preserve">Address: Paragon </t>
  </si>
  <si>
    <t xml:space="preserve">Customer Name : RI Cash &amp; Carry </t>
  </si>
  <si>
    <t xml:space="preserve">Address: Zarar Shaheed Road </t>
  </si>
  <si>
    <t>2562310-9</t>
  </si>
  <si>
    <t>03002562310-12</t>
  </si>
  <si>
    <t>Customer Name : Rehman Store</t>
  </si>
  <si>
    <t>Address: Al Kareem Society 60ft Road</t>
  </si>
  <si>
    <t>G621936-0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</si>
</sst>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0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Pick &amp; Pack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Umaima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RI Cash &amp; Carry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Rehman Store</v>
      </c>
      <c r="U17" s="164">
        <f>+'4'!P35</f>
        <v>9148.4690111999989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232.44800000000001</v>
      </c>
      <c r="M19" s="118">
        <f t="shared" si="2"/>
        <v>2571.4560000000001</v>
      </c>
      <c r="N19" s="101">
        <f>+'1'!N19+'2'!N19+'4'!N19+'3'!N19+'5'!N19+'6'!N19+'7'!N19+'8'!N19+'9'!N19+'10'!N19</f>
        <v>462.86207999999999</v>
      </c>
      <c r="O19" s="101">
        <f>+'1'!O19+'2'!O19+'4'!O19+'3'!O19+'5'!O19+'6'!O19+'7'!O19+'8'!O19+'9'!O19+'10'!O19</f>
        <v>15.171590399999999</v>
      </c>
      <c r="P19" s="120">
        <f t="shared" si="0"/>
        <v>3049.4896703999998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101.69600000000001</v>
      </c>
      <c r="L20" s="175">
        <f>+'1'!L20+'2'!L20+'4'!L20+'3'!L20+'5'!L20+'6'!L20+'7'!L20+'8'!L20+'9'!L20+'10'!L20</f>
        <v>232.44800000000001</v>
      </c>
      <c r="M20" s="118">
        <f t="shared" si="2"/>
        <v>2571.4560000000001</v>
      </c>
      <c r="N20" s="101">
        <f>+'1'!N20+'2'!N20+'4'!N20+'3'!N20+'5'!N20+'6'!N20+'7'!N20+'8'!N20+'9'!N20+'10'!N20</f>
        <v>462.86207999999999</v>
      </c>
      <c r="O20" s="101">
        <f>+'1'!O20+'2'!O20+'4'!O20+'3'!O20+'5'!O20+'6'!O20+'7'!O20+'8'!O20+'9'!O20+'10'!O20</f>
        <v>15.171590399999999</v>
      </c>
      <c r="P20" s="120">
        <f t="shared" si="0"/>
        <v>3049.4896703999998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15.171590399999999</v>
      </c>
      <c r="P21" s="120">
        <f t="shared" si="0"/>
        <v>3049.4896703999998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3</v>
      </c>
      <c r="D25" s="231"/>
      <c r="E25" s="231"/>
      <c r="F25" s="231"/>
      <c r="G25" s="176">
        <f t="shared" ref="G25:M25" si="3">SUM(G16:G24)</f>
        <v>0</v>
      </c>
      <c r="H25" s="177">
        <f t="shared" si="3"/>
        <v>120</v>
      </c>
      <c r="I25" s="178">
        <f t="shared" si="3"/>
        <v>8716.7999999999993</v>
      </c>
      <c r="J25" s="177">
        <f t="shared" si="3"/>
        <v>0</v>
      </c>
      <c r="K25" s="178">
        <f t="shared" si="3"/>
        <v>305.08800000000002</v>
      </c>
      <c r="L25" s="179">
        <f t="shared" si="3"/>
        <v>697.34400000000005</v>
      </c>
      <c r="M25" s="141">
        <f t="shared" si="3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9148.4690111999989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8716.7999999999993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697.34400000000005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305.08800000000002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7714.3679999999995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1388.5862400000001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9102.9542399999991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227.57385599999998</v>
      </c>
    </row>
    <row r="43" spans="1:21" ht="15.75" customHeight="1" thickBot="1" x14ac:dyDescent="0.4">
      <c r="N43" s="229" t="s">
        <v>92</v>
      </c>
      <c r="O43" s="230"/>
      <c r="P43" s="160">
        <f>P41+P42</f>
        <v>9330.5280959999982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3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50080645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128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 t="s">
        <v>130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3520113033151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9102.9542399999991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29" t="s">
        <v>92</v>
      </c>
      <c r="O35" s="230"/>
      <c r="P35" s="160">
        <f>P33+P34</f>
        <v>9148.4690111999989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1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2026-07-03T13:21:32Z</dcterms:modified>
</cp:coreProperties>
</file>