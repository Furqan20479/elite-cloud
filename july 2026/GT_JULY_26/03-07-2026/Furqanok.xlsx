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CF17C73-326F-4C89-9756-35DEFB5E787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5">'3'!$A$1:$P$36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8" i="19"/>
  <c r="K17" i="18"/>
  <c r="K17" i="20"/>
  <c r="K18" i="20"/>
  <c r="K19" i="20"/>
  <c r="K20" i="20"/>
  <c r="K21" i="20"/>
  <c r="K18" i="21"/>
  <c r="K19" i="21"/>
  <c r="K20" i="21"/>
  <c r="K21" i="21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9" i="16"/>
  <c r="K20" i="16"/>
  <c r="K21" i="16"/>
  <c r="K16" i="18"/>
  <c r="K16" i="20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I24" i="20"/>
  <c r="K24" i="20" s="1"/>
  <c r="I16" i="21"/>
  <c r="I18" i="21"/>
  <c r="I20" i="2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8" l="1"/>
  <c r="K18" i="18"/>
  <c r="L21" i="17"/>
  <c r="K21" i="17"/>
  <c r="K22" i="21"/>
  <c r="L22" i="21"/>
  <c r="L17" i="21"/>
  <c r="K17" i="21"/>
  <c r="L16" i="21"/>
  <c r="K16" i="21"/>
  <c r="K22" i="20"/>
  <c r="L22" i="20"/>
  <c r="L20" i="18"/>
  <c r="K20" i="18"/>
  <c r="L21" i="19"/>
  <c r="K21" i="19"/>
  <c r="L20" i="19"/>
  <c r="L19" i="19"/>
  <c r="K19" i="19"/>
  <c r="L17" i="19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25" i="19" l="1"/>
  <c r="P29" i="19" s="1"/>
  <c r="L17" i="16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P22" i="20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<sst xmlns="http://schemas.openxmlformats.org/spreadsheetml/2006/main" count="1636" uniqueCount="138">
  <si>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</si>
  <si>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</si>
  <si>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</si>
  <si>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</si>
  <si>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</si>
  <si>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</si>
  <si>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</si>
  <si>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</si>
  <si>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</si>
  <si>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</si>
  <si>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</si>
  <si>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</si>
  <si>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</si>
  <si>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</si>
  <si>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</si>
  <si>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</si>
  <si>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</si>
  <si>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</si>
  <si>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</si>
  <si>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</si>
  <si>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</si>
  <si>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</si>
  <si>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</si>
  <si>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</si>
  <si>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</si>
  <si>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</si>
  <si>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</si>
  <si>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</si>
  <si>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</si>
  <si>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</si>
  <si>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</si>
  <si>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</si>
  <si>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</si>
  <si>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</si>
  <si>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</si>
  <si>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</si>
  <si>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</si>
  <si>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</si>
  <si>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</si>
  <si>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</si>
  <si>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</si>
  <si>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</si>
  <si>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</si>
  <si>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</si>
  <si>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</si>
  <si>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</si>
  <si>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</si>
  <si>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</si>
  <si>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</si>
  <si>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</si>
  <si>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</si>
  <si>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</si>
  <si>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</si>
  <si>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</si>
  <si>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</si>
  <si>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</si>
  <si>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</si>
  <si>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</si>
  <si>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</si>
  <si>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</si>
  <si>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</si>
  <si>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</si>
  <si>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</si>
  <si>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</si>
  <si>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</si>
  <si>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</si>
  <si>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</si>
  <si>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</si>
  <si>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</si>
  <si>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</si>
  <si>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</si>
  <si>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</si>
  <si>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</si>
  <si>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</si>
  <si>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</si>
  <si>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</si>
  <si>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</si>
  <si>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</si>
  <si>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</si>
  <si>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</si>
  <si>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</si>
  <si>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</si>
  <si>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</si>
  <si>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</si>
  <si>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</si>
  <si>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</si>
  <si>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</si>
  <si>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</si>
  <si>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</si>
  <si>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</si>
  <si>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</si>
  <si>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</si>
  <si>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</si>
  <si>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</si>
  <si>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</si>
  <si>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</si>
  <si>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</si>
  <si>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</si>
  <si>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</si>
  <si>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</si>
  <si>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</si>
  <si>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</si>
  <si>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</si>
  <si>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</si>
  <si>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</si>
  <si>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</si>
  <si>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</si>
  <si>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</si>
  <si>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</si>
  <si>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</si>
  <si>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</si>
  <si>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</si>
  <si>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</si>
  <si>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</si>
  <si>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</si>
  <si>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</si>
  <si>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</si>
  <si>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</si>
  <si>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</si>
  <si>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</si>
  <si>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(Furqan)</t>
  </si>
  <si>
    <t xml:space="preserve">Customer Name : Brand Bakers Mart </t>
  </si>
  <si>
    <t xml:space="preserve">Address: Railway Road Qila Gujjar Singh </t>
  </si>
  <si>
    <t xml:space="preserve">Customer Name : SK Mart </t>
  </si>
  <si>
    <t xml:space="preserve">Address: Gullberg </t>
  </si>
  <si>
    <t xml:space="preserve">Customer Name : Shell Pump </t>
  </si>
  <si>
    <t xml:space="preserve">Address: Press Club </t>
  </si>
  <si>
    <t xml:space="preserve">Customer Name : Star Bakers </t>
  </si>
  <si>
    <t xml:space="preserve">Address: Bibi Pak Daman </t>
  </si>
  <si>
    <t>Customer Name : Iqbal Store</t>
  </si>
  <si>
    <t>Address: Habibullah Road</t>
  </si>
  <si>
    <t>3255339-7</t>
  </si>
  <si>
    <t>Customer Name : Ali Brother Store</t>
  </si>
  <si>
    <t xml:space="preserve">Address: Qila Gujjer Singh </t>
  </si>
  <si>
    <t>Customer Name : Tufail Store</t>
  </si>
  <si>
    <t xml:space="preserve">Address: Qilla Gujjer Singh </t>
  </si>
  <si>
    <t>2506537-8</t>
  </si>
  <si>
    <t>4550863-0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</si>
</sst>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96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Brand Bakers Mart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36</v>
      </c>
      <c r="I16" s="1">
        <f>(G16*D16)*F16+H16*F16</f>
        <v>1888.6499999999999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66.10275</v>
      </c>
      <c r="L16" s="175">
        <f>+'1'!L16+'2'!L16+'4'!L16+'3'!L16+'5'!L16+'6'!L16+'7'!L16+'8'!L16+'9'!L16+'10'!L16</f>
        <v>151.09199999999998</v>
      </c>
      <c r="M16" s="106">
        <f>I16-K16-L16</f>
        <v>1671.45525</v>
      </c>
      <c r="N16" s="101">
        <f>+'1'!N16+'2'!N16+'4'!N16+'3'!N16+'5'!N16+'6'!N16+'7'!N16+'8'!N16+'9'!N16+'10'!N16</f>
        <v>367.72015499999998</v>
      </c>
      <c r="O16" s="101">
        <f>+'1'!O16+'2'!O16+'4'!O16+'3'!O16+'5'!O16+'6'!O16+'7'!O16+'8'!O16+'9'!O16+'10'!O16</f>
        <v>28.321880625000002</v>
      </c>
      <c r="P16" s="105">
        <f t="shared" ref="P16:P24" si="0">M16+N16+O16</f>
        <v>2067.4972856250001</v>
      </c>
      <c r="Q16" s="108"/>
      <c r="T16" s="163" t="str">
        <f>+'3'!A5</f>
        <v xml:space="preserve">Customer Name : Shell Pump </v>
      </c>
      <c r="U16" s="164">
        <f>+'3'!P35</f>
        <v>6098.9793407999996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58.758000000000003</v>
      </c>
      <c r="L17" s="175">
        <f>+'1'!L17+'2'!L17+'4'!L17+'3'!L17+'5'!L17+'6'!L17+'7'!L17+'8'!L17+'9'!L17+'10'!L17</f>
        <v>134.304</v>
      </c>
      <c r="M17" s="118">
        <f t="shared" ref="M17:M23" si="2">I17-K17-L17</f>
        <v>1485.7379999999998</v>
      </c>
      <c r="N17" s="101">
        <f>+'1'!N17+'2'!N17+'4'!N17+'3'!N17+'5'!N17+'6'!N17+'7'!N17+'8'!N17+'9'!N17+'10'!N17</f>
        <v>326.86235999999997</v>
      </c>
      <c r="O17" s="101">
        <f>+'1'!O17+'2'!O17+'4'!O17+'3'!O17+'5'!O17+'6'!O17+'7'!O17+'8'!O17+'9'!O17+'10'!O17</f>
        <v>22.657504499999998</v>
      </c>
      <c r="P17" s="120">
        <f t="shared" si="0"/>
        <v>1835.2578644999999</v>
      </c>
      <c r="S17" s="64"/>
      <c r="T17" s="163" t="str">
        <f>+'4'!A5</f>
        <v xml:space="preserve">Customer Name : Star Bakers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Iqbal Store</v>
      </c>
      <c r="U18" s="164">
        <f>+'5'!P35</f>
        <v>1664.2566438000003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50.848000000000006</v>
      </c>
      <c r="L19" s="175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231.43104</v>
      </c>
      <c r="O19" s="101">
        <f>+'1'!O19+'2'!O19+'4'!O19+'3'!O19+'5'!O19+'6'!O19+'7'!O19+'8'!O19+'9'!O19+'10'!O19</f>
        <v>7.5857951999999997</v>
      </c>
      <c r="P19" s="120">
        <f t="shared" si="0"/>
        <v>1524.7448351999999</v>
      </c>
      <c r="T19" s="163" t="str">
        <f>+'6'!A5</f>
        <v>Customer Name : Ali Brother Store</v>
      </c>
      <c r="U19" s="164">
        <f>+'6'!P35</f>
        <v>2474.364037375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231.43104</v>
      </c>
      <c r="O20" s="101">
        <f>+'1'!O20+'2'!O20+'4'!O20+'3'!O20+'5'!O20+'6'!O20+'7'!O20+'8'!O20+'9'!O20+'10'!O20</f>
        <v>7.5857951999999997</v>
      </c>
      <c r="P20" s="120">
        <f t="shared" si="0"/>
        <v>1524.7448351999999</v>
      </c>
      <c r="T20" s="163" t="str">
        <f>+'7'!A5</f>
        <v>Customer Name : Tufail Store</v>
      </c>
      <c r="U20" s="164">
        <f>+'7'!P35</f>
        <v>2277.07920225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462.86207999999999</v>
      </c>
      <c r="O21" s="101">
        <f>+'1'!O21+'2'!O21+'4'!O21+'3'!O21+'5'!O21+'6'!O21+'7'!O21+'8'!O21+'9'!O21+'10'!O21</f>
        <v>15.171590399999999</v>
      </c>
      <c r="P21" s="120">
        <f t="shared" si="0"/>
        <v>3049.4896703999998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235.38000000000005</v>
      </c>
      <c r="M22" s="118">
        <f t="shared" si="2"/>
        <v>2036.0370000000003</v>
      </c>
      <c r="N22" s="101">
        <f>+'1'!N22+'2'!N22+'4'!N22+'3'!N22+'5'!N22+'6'!N22+'7'!N22+'8'!N22+'9'!N22+'10'!N22</f>
        <v>447.9281400000001</v>
      </c>
      <c r="O22" s="101">
        <f>+'1'!O22+'2'!O22+'4'!O22+'3'!O22+'5'!O22+'6'!O22+'7'!O22+'8'!O22+'9'!O22+'10'!O22</f>
        <v>28.979593300000005</v>
      </c>
      <c r="P22" s="120">
        <f t="shared" si="0"/>
        <v>2512.9447333000003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5.2</v>
      </c>
      <c r="D25" s="215"/>
      <c r="E25" s="215"/>
      <c r="F25" s="215"/>
      <c r="G25" s="176">
        <f t="shared" ref="G25:M25" si="3">SUM(G16:G24)</f>
        <v>0</v>
      </c>
      <c r="H25" s="177">
        <f t="shared" si="3"/>
        <v>208</v>
      </c>
      <c r="I25" s="178">
        <f t="shared" si="3"/>
        <v>11732.45</v>
      </c>
      <c r="J25" s="177">
        <f t="shared" si="3"/>
        <v>0</v>
      </c>
      <c r="K25" s="178">
        <f t="shared" si="3"/>
        <v>410.63575000000003</v>
      </c>
      <c r="L25" s="179">
        <f t="shared" si="3"/>
        <v>985.67200000000003</v>
      </c>
      <c r="M25" s="141">
        <f t="shared" si="3"/>
        <v>10336.142250000001</v>
      </c>
      <c r="N25" s="142">
        <f>SUM(N16:N24)</f>
        <v>2068.2348149999998</v>
      </c>
      <c r="O25" s="143">
        <f>SUM(O16:O24)</f>
        <v>110.30215922500001</v>
      </c>
      <c r="P25" s="144">
        <f>SUM(P16:P24)</f>
        <v>12514.679224225001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12514.679224225001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11732.45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985.67200000000003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410.63575000000003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10336.142250000001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2068.2348149999998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12404.377065000001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310.10942662500003</v>
      </c>
    </row>
    <row r="43" spans="1:21" ht="15.75" customHeight="1" thickBot="1" x14ac:dyDescent="0.4">
      <c r="N43" s="213" t="s">
        <v>92</v>
      </c>
      <c r="O43" s="214"/>
      <c r="P43" s="160">
        <f>P41+P42</f>
        <v>12714.486491625001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2" max="2" width="24.269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3.26953125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122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>
        <v>32777876136186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40.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I22*10%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2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124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9" t="s">
        <v>137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203.39200000000002</v>
      </c>
      <c r="L25" s="140">
        <f t="shared" si="9"/>
        <v>464.89600000000002</v>
      </c>
      <c r="M25" s="141">
        <f t="shared" si="9"/>
        <v>5142.9120000000003</v>
      </c>
      <c r="N25" s="142">
        <f>SUM(N16:N24)</f>
        <v>925.72415999999998</v>
      </c>
      <c r="O25" s="143">
        <f>SUM(O16:O24)</f>
        <v>30.343180799999999</v>
      </c>
      <c r="P25" s="144">
        <f>SUM(P16:P24)</f>
        <v>6098.9793407999996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5811.2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464.89600000000002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203.39200000000002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5142.9120000000003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925.72415999999998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6068.63616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30.343180799999999</v>
      </c>
    </row>
    <row r="35" spans="2:16" ht="15.75" customHeight="1" thickBot="1" x14ac:dyDescent="0.4">
      <c r="N35" s="213" t="s">
        <v>92</v>
      </c>
      <c r="O35" s="214"/>
      <c r="P35" s="160">
        <f>P33+P34</f>
        <v>6098.9793407999996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H18" sqref="H18: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131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13" t="s">
        <v>92</v>
      </c>
      <c r="O35" s="214"/>
      <c r="P35" s="160">
        <f>P33+P34</f>
        <v>1664.2566438000003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2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133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16</v>
      </c>
      <c r="I16" s="102">
        <f>(G16*D16)*F16+H16*F16</f>
        <v>839.4</v>
      </c>
      <c r="J16" s="103"/>
      <c r="K16" s="104">
        <f>I16*3.5%</f>
        <v>29.379000000000001</v>
      </c>
      <c r="L16" s="105">
        <f>I16*8%</f>
        <v>67.152000000000001</v>
      </c>
      <c r="M16" s="106">
        <f>I16-K16-L16</f>
        <v>742.86899999999991</v>
      </c>
      <c r="N16" s="106">
        <f t="shared" ref="N16:N24" si="0">(M16*$N$15)+(J16*F16)*$N$15</f>
        <v>163.43117999999998</v>
      </c>
      <c r="O16" s="107">
        <f>(N16+M16)*$O$15</f>
        <v>22.657504500000002</v>
      </c>
      <c r="P16" s="105">
        <f t="shared" ref="P16:P24" si="1">M16+N16+O16</f>
        <v>928.95768449999991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48</v>
      </c>
      <c r="I25" s="137">
        <f t="shared" si="9"/>
        <v>2253.5500000000002</v>
      </c>
      <c r="J25" s="138"/>
      <c r="K25" s="139">
        <f t="shared" si="9"/>
        <v>78.874250000000018</v>
      </c>
      <c r="L25" s="140">
        <f t="shared" si="9"/>
        <v>195.976</v>
      </c>
      <c r="M25" s="141">
        <f t="shared" si="9"/>
        <v>1978.6997499999998</v>
      </c>
      <c r="N25" s="142">
        <f>SUM(N16:N24)</f>
        <v>435.31394499999999</v>
      </c>
      <c r="O25" s="143">
        <f>SUM(O16:O24)</f>
        <v>60.350342375000004</v>
      </c>
      <c r="P25" s="144">
        <f>SUM(P16:P24)</f>
        <v>2474.364037375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2253.5500000000002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195.976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78.874250000000018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1978.69975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435.31394499999999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2414.0136950000001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60.350342375000004</v>
      </c>
    </row>
    <row r="35" spans="2:16" ht="15.75" customHeight="1" thickBot="1" x14ac:dyDescent="0.4">
      <c r="N35" s="213" t="s">
        <v>92</v>
      </c>
      <c r="O35" s="214"/>
      <c r="P35" s="160">
        <f>P33+P34</f>
        <v>2474.364037375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135</v>
      </c>
      <c r="B6" s="239"/>
      <c r="C6" s="239"/>
      <c r="F6" s="70"/>
      <c r="G6" s="74"/>
      <c r="K6" s="239" t="s">
        <v>52</v>
      </c>
      <c r="L6" s="239"/>
      <c r="M6" s="239"/>
      <c r="N6" s="252" t="s">
        <v>96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 t="s">
        <v>136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>(N16+M16)*$O$15</f>
        <v>5.6643761250000004</v>
      </c>
      <c r="P16" s="105">
        <f t="shared" ref="P16:P24" si="1">M16+N16+O16</f>
        <v>1138.539601125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204.28897500000002</v>
      </c>
      <c r="O17" s="119">
        <f t="shared" ref="O17:O24" si="6">(N17+M17)*$O$15</f>
        <v>5.6643761250000004</v>
      </c>
      <c r="P17" s="120">
        <f t="shared" si="1"/>
        <v>1138.539601125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408.57795000000004</v>
      </c>
      <c r="O25" s="143">
        <f>SUM(O16:O24)</f>
        <v>11.328752250000001</v>
      </c>
      <c r="P25" s="144">
        <f>SUM(P16:P24)</f>
        <v>2277.07920225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2098.5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167.88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73.447500000000005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1857.1724999999999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408.57795000000004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2265.75045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11.328752250000001</v>
      </c>
    </row>
    <row r="35" spans="2:16" ht="15.75" customHeight="1" thickBot="1" x14ac:dyDescent="0.4">
      <c r="N35" s="213" t="s">
        <v>92</v>
      </c>
      <c r="O35" s="214"/>
      <c r="P35" s="160">
        <f>P33+P34</f>
        <v>2277.07920225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2026-07-06T05:13:17Z</dcterms:modified>
</cp:coreProperties>
</file>