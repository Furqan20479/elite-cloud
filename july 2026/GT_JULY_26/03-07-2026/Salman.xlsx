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4DB3F691-E569-4579-AEC1-CC1DB4D24048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7" l="1"/>
  <c r="L22" i="18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L22" i="16"/>
  <c r="K17" i="17"/>
  <c r="K18" i="17"/>
  <c r="K18" i="19"/>
  <c r="K19" i="19"/>
  <c r="K20" i="19"/>
  <c r="K21" i="19"/>
  <c r="K18" i="18"/>
  <c r="K19" i="18"/>
  <c r="K20" i="18"/>
  <c r="K17" i="20"/>
  <c r="K18" i="20"/>
  <c r="K19" i="20"/>
  <c r="K20" i="20"/>
  <c r="K21" i="20"/>
  <c r="K17" i="21"/>
  <c r="K18" i="21"/>
  <c r="K20" i="21"/>
  <c r="K17" i="22"/>
  <c r="K18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6" i="17"/>
  <c r="K16" i="20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K22" i="28" s="1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2" i="35"/>
  <c r="M22" i="35"/>
  <c r="K23" i="35"/>
  <c r="L23" i="35"/>
  <c r="K24" i="35"/>
  <c r="L24" i="35"/>
  <c r="L16" i="34"/>
  <c r="L17" i="34"/>
  <c r="L18" i="34"/>
  <c r="L21" i="34"/>
  <c r="K22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K22" i="32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2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K21" i="18" s="1"/>
  <c r="I22" i="18"/>
  <c r="I24" i="18"/>
  <c r="L24" i="18" s="1"/>
  <c r="I19" i="19"/>
  <c r="L19" i="19" s="1"/>
  <c r="I20" i="19"/>
  <c r="I21" i="19"/>
  <c r="L21" i="19" s="1"/>
  <c r="I22" i="19"/>
  <c r="L22" i="19" s="1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I24" i="20"/>
  <c r="K24" i="20" s="1"/>
  <c r="I16" i="21"/>
  <c r="I18" i="21"/>
  <c r="I20" i="21"/>
  <c r="I22" i="21"/>
  <c r="I24" i="21"/>
  <c r="K24" i="21" s="1"/>
  <c r="I16" i="17"/>
  <c r="I17" i="17"/>
  <c r="I18" i="17"/>
  <c r="I19" i="17"/>
  <c r="K19" i="17" s="1"/>
  <c r="I20" i="17"/>
  <c r="K20" i="17" s="1"/>
  <c r="I21" i="17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L20" i="19"/>
  <c r="K24" i="19"/>
  <c r="L24" i="19"/>
  <c r="K22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6" i="21" l="1"/>
  <c r="K16" i="21"/>
  <c r="K22" i="21"/>
  <c r="L22" i="21"/>
  <c r="K22" i="20"/>
  <c r="L22" i="20"/>
  <c r="L21" i="18"/>
  <c r="L16" i="18"/>
  <c r="K16" i="18"/>
  <c r="L17" i="18"/>
  <c r="K17" i="18"/>
  <c r="L17" i="19"/>
  <c r="K17" i="19"/>
  <c r="L16" i="19"/>
  <c r="K16" i="19"/>
  <c r="L21" i="17"/>
  <c r="K21" i="17"/>
  <c r="L24" i="17"/>
  <c r="M21" i="19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5" i="19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8" i="15" l="1"/>
  <c r="N16" i="15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<sst xmlns="http://schemas.openxmlformats.org/spreadsheetml/2006/main" count="1632" uniqueCount="134">
  <si>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</si>
  <si>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</si>
  <si>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</si>
  <si>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</si>
  <si>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</si>
  <si>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</si>
  <si>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</si>
  <si>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</si>
  <si>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</si>
  <si>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</si>
  <si>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</si>
  <si>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</si>
  <si>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</si>
  <si>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</si>
  <si>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</si>
  <si>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</si>
  <si>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</si>
  <si>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</si>
  <si>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</si>
  <si>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</si>
  <si>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</si>
  <si>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</si>
  <si>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</si>
  <si>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</si>
  <si>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</si>
  <si>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</si>
  <si>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</si>
  <si>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</si>
  <si>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</si>
  <si>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</si>
  <si>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</si>
  <si>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</si>
  <si>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</si>
  <si>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</si>
  <si>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</si>
  <si>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</si>
  <si>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</si>
  <si>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</si>
  <si>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</si>
  <si>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</si>
  <si>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</si>
  <si>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</si>
  <si>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</si>
  <si>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</si>
  <si>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</si>
  <si>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</si>
  <si>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</si>
  <si>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</si>
  <si>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</si>
  <si>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</si>
  <si>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</si>
  <si>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</si>
  <si>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</si>
  <si>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</si>
  <si>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</si>
  <si>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</si>
  <si>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</si>
  <si>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</si>
  <si>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</si>
  <si>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</si>
  <si>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</si>
  <si>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</si>
  <si>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</si>
  <si>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</si>
  <si>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</si>
  <si>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</si>
  <si>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</si>
  <si>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</si>
  <si>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</si>
  <si>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</si>
  <si>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</si>
  <si>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</si>
  <si>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</si>
  <si>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</si>
  <si>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</si>
  <si>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</si>
  <si>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</si>
  <si>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</si>
  <si>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</si>
  <si>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</si>
  <si>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</si>
  <si>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</si>
  <si>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</si>
  <si>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</si>
  <si>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</si>
  <si>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</si>
  <si>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</si>
  <si>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</si>
  <si>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</si>
  <si>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</si>
  <si>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</si>
  <si>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</si>
  <si>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</si>
  <si>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</si>
  <si>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</si>
  <si>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</si>
  <si>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</si>
  <si>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</si>
  <si>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</si>
  <si>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</si>
  <si>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</si>
  <si>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</si>
  <si>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</si>
  <si>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</si>
  <si>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</si>
  <si>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</si>
  <si>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</si>
  <si>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</si>
  <si>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</si>
  <si>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</si>
  <si>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</si>
  <si>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</si>
  <si>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</si>
  <si>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</si>
  <si>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</si>
  <si>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</si>
  <si>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</si>
  <si>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</si>
  <si>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</si>
  <si>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</si>
  <si>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Salman</t>
  </si>
  <si>
    <t>Shop Bill Summary (Salman)</t>
  </si>
  <si>
    <t xml:space="preserve">Customer Name : H Mart </t>
  </si>
  <si>
    <t>Address: Gullberg 2</t>
  </si>
  <si>
    <t>Customer Name : Al Fallah Bakers</t>
  </si>
  <si>
    <t xml:space="preserve">Customer Name : SK Mart </t>
  </si>
  <si>
    <t>Address: Gullberg 3</t>
  </si>
  <si>
    <t xml:space="preserve">Customer Name : Shera Mart </t>
  </si>
  <si>
    <t xml:space="preserve">Address: Gullberg </t>
  </si>
  <si>
    <t xml:space="preserve">Customer Name : Murad Genral Store </t>
  </si>
  <si>
    <t>Customer Name : Kamal Store</t>
  </si>
  <si>
    <t>Address: Gullberg</t>
  </si>
  <si>
    <t>Customer Name : Umair Store</t>
  </si>
  <si>
    <t>Address: Gulberg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</si>
</sst>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I10" sqref="I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I10" sqref="I10"/>
      <selection pane="topRight" activeCell="I10" sqref="I10"/>
      <selection pane="bottomLeft" activeCell="I10" sqref="I10"/>
      <selection pane="bottomRight" activeCell="I10" sqref="I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7" zoomScale="70" zoomScaleNormal="70" workbookViewId="0">
      <selection activeCell="T37" sqref="T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120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121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Al Fallah Bakers</v>
      </c>
      <c r="U14" s="164">
        <f>+'1'!P35</f>
        <v>2522.2897612799998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H Mart </v>
      </c>
      <c r="U15" s="164">
        <f>+'2'!P35</f>
        <v>3152.8622016000004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32</v>
      </c>
      <c r="I16" s="1">
        <f>(G16*D16)*F16+H16*F16</f>
        <v>1678.8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58.758000000000003</v>
      </c>
      <c r="L16" s="175">
        <f>+'1'!L16+'2'!L16+'4'!L16+'3'!L16+'5'!L16+'6'!L16+'7'!L16+'8'!L16+'9'!L16+'10'!L16</f>
        <v>134.304</v>
      </c>
      <c r="M16" s="106">
        <f>I16-K16-L16</f>
        <v>1485.7379999999998</v>
      </c>
      <c r="N16" s="101">
        <f>+'1'!N16+'2'!N16+'4'!N16+'3'!N16+'5'!N16+'6'!N16+'7'!N16+'8'!N16+'9'!N16+'10'!N16</f>
        <v>326.86235999999997</v>
      </c>
      <c r="O16" s="101">
        <f>+'1'!O16+'2'!O16+'4'!O16+'3'!O16+'5'!O16+'6'!O16+'7'!O16+'8'!O16+'9'!O16+'10'!O16</f>
        <v>45.315009000000003</v>
      </c>
      <c r="P16" s="105">
        <f t="shared" ref="P16:P24" si="0">M16+N16+O16</f>
        <v>1857.9153689999998</v>
      </c>
      <c r="Q16" s="108"/>
      <c r="T16" s="163" t="str">
        <f>+'3'!A5</f>
        <v xml:space="preserve">Customer Name : SK Mart </v>
      </c>
      <c r="U16" s="164">
        <f>+'3'!P35</f>
        <v>1205.9311170749997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26</v>
      </c>
      <c r="I17" s="1">
        <f t="shared" ref="I17:I23" si="1">(G17*D17)*F17+H17*F17</f>
        <v>1364.0249999999999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47.740875000000003</v>
      </c>
      <c r="L17" s="175">
        <f>+'1'!L17+'2'!L17+'4'!L17+'3'!L17+'5'!L17+'6'!L17+'7'!L17+'8'!L17+'9'!L17+'10'!L17</f>
        <v>109.122</v>
      </c>
      <c r="M17" s="118">
        <f t="shared" ref="M17:M23" si="2">I17-K17-L17</f>
        <v>1207.1621249999998</v>
      </c>
      <c r="N17" s="101">
        <f>+'1'!N17+'2'!N17+'4'!N17+'3'!N17+'5'!N17+'6'!N17+'7'!N17+'8'!N17+'9'!N17+'10'!N17</f>
        <v>265.57566750000001</v>
      </c>
      <c r="O17" s="101">
        <f>+'1'!O17+'2'!O17+'4'!O17+'3'!O17+'5'!O17+'6'!O17+'7'!O17+'8'!O17+'9'!O17+'10'!O17</f>
        <v>36.818444812500005</v>
      </c>
      <c r="P17" s="120">
        <f t="shared" si="0"/>
        <v>1509.5562373124999</v>
      </c>
      <c r="S17" s="64"/>
      <c r="T17" s="163" t="str">
        <f>+'4'!A5</f>
        <v xml:space="preserve">Customer Name : Shera Mart </v>
      </c>
      <c r="U17" s="164">
        <f>+'4'!P35</f>
        <v>2804.7350704500004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Murad Genral Store </v>
      </c>
      <c r="U18" s="164">
        <f>+'5'!P35</f>
        <v>499.27699314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42</v>
      </c>
      <c r="I19" s="1">
        <f t="shared" si="1"/>
        <v>3050.88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106.7808</v>
      </c>
      <c r="L19" s="175">
        <f>+'1'!L19+'2'!L19+'4'!L19+'3'!L19+'5'!L19+'6'!L19+'7'!L19+'8'!L19+'9'!L19+'10'!L19</f>
        <v>244.07040000000001</v>
      </c>
      <c r="M19" s="118">
        <f t="shared" si="2"/>
        <v>2700.0288</v>
      </c>
      <c r="N19" s="101">
        <f>+'1'!N19+'2'!N19+'4'!N19+'3'!N19+'5'!N19+'6'!N19+'7'!N19+'8'!N19+'9'!N19+'10'!N19</f>
        <v>594.00633599999992</v>
      </c>
      <c r="O19" s="101">
        <f>+'1'!O19+'2'!O19+'4'!O19+'3'!O19+'5'!O19+'6'!O19+'7'!O19+'8'!O19+'9'!O19+'10'!O19</f>
        <v>25.881704640000002</v>
      </c>
      <c r="P19" s="120">
        <f t="shared" si="0"/>
        <v>3319.9168406399999</v>
      </c>
      <c r="T19" s="163" t="str">
        <f>+'6'!A5</f>
        <v>Customer Name : Kamal Store</v>
      </c>
      <c r="U19" s="164">
        <f>+'6'!P35</f>
        <v>1737.3848948375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36</v>
      </c>
      <c r="I20" s="1">
        <f t="shared" si="1"/>
        <v>2615.04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91.526399999999995</v>
      </c>
      <c r="L20" s="175">
        <f>+'1'!L20+'2'!L20+'4'!L20+'3'!L20+'5'!L20+'6'!L20+'7'!L20+'8'!L20+'9'!L20+'10'!L20</f>
        <v>209.20320000000001</v>
      </c>
      <c r="M20" s="118">
        <f t="shared" si="2"/>
        <v>2314.3103999999998</v>
      </c>
      <c r="N20" s="101">
        <f>+'1'!N20+'2'!N20+'4'!N20+'3'!N20+'5'!N20+'6'!N20+'7'!N20+'8'!N20+'9'!N20+'10'!N20</f>
        <v>509.14828799999998</v>
      </c>
      <c r="O20" s="101">
        <f>+'1'!O20+'2'!O20+'4'!O20+'3'!O20+'5'!O20+'6'!O20+'7'!O20+'8'!O20+'9'!O20+'10'!O20</f>
        <v>14.117293440000001</v>
      </c>
      <c r="P20" s="120">
        <f t="shared" si="0"/>
        <v>2837.5759814399999</v>
      </c>
      <c r="T20" s="163" t="str">
        <f>+'7'!A5</f>
        <v>Customer Name : Umair Store</v>
      </c>
      <c r="U20" s="164">
        <f>+'7'!P35</f>
        <v>3152.8622016000004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52</v>
      </c>
      <c r="I21" s="1">
        <f t="shared" si="1"/>
        <v>3777.28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132.20480000000001</v>
      </c>
      <c r="L21" s="175">
        <f>+'1'!L21+'2'!L21+'4'!L21+'3'!L21+'5'!L21+'6'!L21+'7'!L21+'8'!L21+'9'!L21+'10'!L21</f>
        <v>302.18240000000003</v>
      </c>
      <c r="M21" s="118">
        <f t="shared" si="2"/>
        <v>3342.8928000000001</v>
      </c>
      <c r="N21" s="101">
        <f>+'1'!N21+'2'!N21+'4'!N21+'3'!N21+'5'!N21+'6'!N21+'7'!N21+'8'!N21+'9'!N21+'10'!N21</f>
        <v>735.43641600000001</v>
      </c>
      <c r="O21" s="101">
        <f>+'1'!O21+'2'!O21+'4'!O21+'3'!O21+'5'!O21+'6'!O21+'7'!O21+'8'!O21+'9'!O21+'10'!O21</f>
        <v>39.214704000000005</v>
      </c>
      <c r="P21" s="120">
        <f t="shared" si="0"/>
        <v>4117.5439200000001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34</v>
      </c>
      <c r="I22" s="1">
        <f t="shared" si="1"/>
        <v>1333.8200000000002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46.683700000000016</v>
      </c>
      <c r="L22" s="175">
        <f>+'1'!L22+'2'!L22+'4'!L22+'3'!L22+'5'!L22+'6'!L22+'7'!L22+'8'!L22+'9'!L22+'10'!L22</f>
        <v>133.38200000000003</v>
      </c>
      <c r="M22" s="118">
        <f t="shared" si="2"/>
        <v>1153.7543000000001</v>
      </c>
      <c r="N22" s="101">
        <f>+'1'!N22+'2'!N22+'4'!N22+'3'!N22+'5'!N22+'6'!N22+'7'!N22+'8'!N22+'9'!N22+'10'!N22</f>
        <v>253.82594600000002</v>
      </c>
      <c r="O22" s="101">
        <f>+'1'!O22+'2'!O22+'4'!O22+'3'!O22+'5'!O22+'6'!O22+'7'!O22+'8'!O22+'9'!O22+'10'!O22</f>
        <v>25.253645590000005</v>
      </c>
      <c r="P22" s="120">
        <f t="shared" si="0"/>
        <v>1432.8338915899999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5.55</v>
      </c>
      <c r="D25" s="215"/>
      <c r="E25" s="215"/>
      <c r="F25" s="215"/>
      <c r="G25" s="176">
        <f t="shared" ref="G25:M25" si="3">SUM(G16:G24)</f>
        <v>0</v>
      </c>
      <c r="H25" s="177">
        <f t="shared" si="3"/>
        <v>222</v>
      </c>
      <c r="I25" s="178">
        <f t="shared" si="3"/>
        <v>13819.844999999999</v>
      </c>
      <c r="J25" s="177">
        <f t="shared" si="3"/>
        <v>0</v>
      </c>
      <c r="K25" s="178">
        <f t="shared" si="3"/>
        <v>483.69457499999999</v>
      </c>
      <c r="L25" s="179">
        <f t="shared" si="3"/>
        <v>1132.2640000000001</v>
      </c>
      <c r="M25" s="141">
        <f t="shared" si="3"/>
        <v>12203.886425000001</v>
      </c>
      <c r="N25" s="142">
        <f>SUM(N16:N24)</f>
        <v>2684.8550134999996</v>
      </c>
      <c r="O25" s="143">
        <f>SUM(O16:O24)</f>
        <v>186.6008014825</v>
      </c>
      <c r="P25" s="144">
        <f>SUM(P16:P24)</f>
        <v>15075.342239982501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15075.342239982501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13819.844999999999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1132.2640000000001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483.69457499999999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12203.886424999999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2684.8550134999996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14888.741438499997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372.21853596249997</v>
      </c>
    </row>
    <row r="43" spans="1:21" ht="15.75" customHeight="1" thickBot="1" x14ac:dyDescent="0.4">
      <c r="N43" s="213" t="s">
        <v>92</v>
      </c>
      <c r="O43" s="214"/>
      <c r="P43" s="160">
        <f>P41+P42</f>
        <v>15260.959974462497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124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26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>
        <v>3520227947949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3"/>
        <v>726.4</v>
      </c>
      <c r="J19" s="117"/>
      <c r="K19" s="104">
        <f t="shared" si="4"/>
        <v>25.424000000000003</v>
      </c>
      <c r="L19" s="105">
        <f t="shared" si="5"/>
        <v>58.112000000000002</v>
      </c>
      <c r="M19" s="118">
        <f t="shared" si="6"/>
        <v>642.86400000000003</v>
      </c>
      <c r="N19" s="118">
        <f t="shared" si="0"/>
        <v>141.43008</v>
      </c>
      <c r="O19" s="119">
        <f t="shared" si="1"/>
        <v>3.9214704</v>
      </c>
      <c r="P19" s="120">
        <f t="shared" si="2"/>
        <v>788.21555039999998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/>
      <c r="K20" s="104">
        <f t="shared" si="4"/>
        <v>25.424000000000003</v>
      </c>
      <c r="L20" s="105">
        <f t="shared" si="5"/>
        <v>58.112000000000002</v>
      </c>
      <c r="M20" s="118">
        <f t="shared" si="6"/>
        <v>642.86400000000003</v>
      </c>
      <c r="N20" s="118">
        <f t="shared" si="0"/>
        <v>141.43008</v>
      </c>
      <c r="O20" s="119">
        <f t="shared" si="1"/>
        <v>3.9214704</v>
      </c>
      <c r="P20" s="120">
        <f t="shared" si="2"/>
        <v>788.21555039999998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3"/>
        <v>871.68000000000006</v>
      </c>
      <c r="J21" s="117"/>
      <c r="K21" s="104">
        <f t="shared" si="4"/>
        <v>30.508800000000004</v>
      </c>
      <c r="L21" s="105">
        <f t="shared" si="5"/>
        <v>69.734400000000008</v>
      </c>
      <c r="M21" s="118">
        <f t="shared" si="6"/>
        <v>771.43680000000006</v>
      </c>
      <c r="N21" s="118">
        <f t="shared" si="0"/>
        <v>169.71609600000002</v>
      </c>
      <c r="O21" s="119">
        <f t="shared" si="1"/>
        <v>4.70576448</v>
      </c>
      <c r="P21" s="120">
        <f t="shared" si="2"/>
        <v>945.85866048000003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32</v>
      </c>
      <c r="I25" s="137">
        <f t="shared" si="13"/>
        <v>2324.48</v>
      </c>
      <c r="J25" s="138"/>
      <c r="K25" s="139">
        <f t="shared" si="13"/>
        <v>81.356800000000007</v>
      </c>
      <c r="L25" s="140">
        <f t="shared" si="13"/>
        <v>185.95840000000001</v>
      </c>
      <c r="M25" s="141">
        <f t="shared" si="13"/>
        <v>2057.1648</v>
      </c>
      <c r="N25" s="142">
        <f>SUM(N16:N24)</f>
        <v>452.57625600000006</v>
      </c>
      <c r="O25" s="143">
        <f>SUM(O16:O24)</f>
        <v>12.54870528</v>
      </c>
      <c r="P25" s="144">
        <f>SUM(P16:P24)</f>
        <v>2522.2897612799998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2324.48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185.95840000000001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81.356800000000007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2057.1648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452.57625600000006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2509.7410559999998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12.54870528</v>
      </c>
    </row>
    <row r="35" spans="2:16" ht="15.75" customHeight="1" thickBot="1" x14ac:dyDescent="0.4">
      <c r="N35" s="213" t="s">
        <v>92</v>
      </c>
      <c r="O35" s="214"/>
      <c r="P35" s="160">
        <f>P33+P34</f>
        <v>2522.2897612799998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1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3520227947949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2"/>
        <v>944.32</v>
      </c>
      <c r="J19" s="117"/>
      <c r="K19" s="104">
        <f t="shared" si="3"/>
        <v>33.051200000000001</v>
      </c>
      <c r="L19" s="105">
        <f t="shared" si="4"/>
        <v>75.545600000000007</v>
      </c>
      <c r="M19" s="118">
        <f t="shared" si="5"/>
        <v>835.72320000000002</v>
      </c>
      <c r="N19" s="118">
        <f t="shared" si="0"/>
        <v>183.859104</v>
      </c>
      <c r="O19" s="119">
        <f t="shared" si="6"/>
        <v>5.0979115200000003</v>
      </c>
      <c r="P19" s="120">
        <f t="shared" si="1"/>
        <v>1024.68021552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13</v>
      </c>
      <c r="I20" s="116">
        <f t="shared" si="2"/>
        <v>944.32</v>
      </c>
      <c r="J20" s="117"/>
      <c r="K20" s="104">
        <f t="shared" si="3"/>
        <v>33.051200000000001</v>
      </c>
      <c r="L20" s="105">
        <f t="shared" si="4"/>
        <v>75.545600000000007</v>
      </c>
      <c r="M20" s="118">
        <f t="shared" si="5"/>
        <v>835.72320000000002</v>
      </c>
      <c r="N20" s="118">
        <f t="shared" si="0"/>
        <v>183.859104</v>
      </c>
      <c r="O20" s="119">
        <f t="shared" si="6"/>
        <v>5.0979115200000003</v>
      </c>
      <c r="P20" s="120">
        <f t="shared" si="1"/>
        <v>1024.68021552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14</v>
      </c>
      <c r="I21" s="116">
        <f t="shared" si="2"/>
        <v>1016.96</v>
      </c>
      <c r="J21" s="117"/>
      <c r="K21" s="104">
        <f t="shared" si="3"/>
        <v>35.593600000000002</v>
      </c>
      <c r="L21" s="105">
        <f t="shared" si="4"/>
        <v>81.356800000000007</v>
      </c>
      <c r="M21" s="118">
        <f t="shared" si="5"/>
        <v>900.00959999999998</v>
      </c>
      <c r="N21" s="118">
        <f t="shared" si="0"/>
        <v>198.00211199999998</v>
      </c>
      <c r="O21" s="119">
        <f t="shared" si="6"/>
        <v>5.4900585600000005</v>
      </c>
      <c r="P21" s="120">
        <f t="shared" si="1"/>
        <v>1103.5017705600001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2905.6000000000004</v>
      </c>
      <c r="J25" s="138"/>
      <c r="K25" s="139">
        <f t="shared" si="9"/>
        <v>101.696</v>
      </c>
      <c r="L25" s="140">
        <f t="shared" si="9"/>
        <v>232.44800000000004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15.685881600000002</v>
      </c>
      <c r="P25" s="144">
        <f>SUM(P16:P24)</f>
        <v>3152.8622015999999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2905.6000000000004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232.44800000000004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101.696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2571.4560000000006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3137.1763200000005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15.685881600000004</v>
      </c>
    </row>
    <row r="35" spans="2:16" ht="15.75" customHeight="1" thickBot="1" x14ac:dyDescent="0.4">
      <c r="N35" s="213" t="s">
        <v>92</v>
      </c>
      <c r="O35" s="214"/>
      <c r="P35" s="160">
        <f>P33+P34</f>
        <v>3152.8622016000004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1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I16*3.5%</f>
        <v>11.017125</v>
      </c>
      <c r="L16" s="105">
        <f>I16*8%</f>
        <v>25.181999999999999</v>
      </c>
      <c r="M16" s="106">
        <f>I16-K16-L16</f>
        <v>278.57587499999994</v>
      </c>
      <c r="N16" s="106">
        <f t="shared" ref="N16:N24" si="0">(M16*$N$15)+(J16*F16)*$N$15</f>
        <v>61.286692499999987</v>
      </c>
      <c r="O16" s="107">
        <f>(N16+M16)*$O$15</f>
        <v>8.4965641874999989</v>
      </c>
      <c r="P16" s="105">
        <f t="shared" ref="P16:P24" si="1">M16+N16+O16</f>
        <v>348.35913168749994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04">
        <f t="shared" ref="K17:K21" si="3">I17*3.5%</f>
        <v>11.017125</v>
      </c>
      <c r="L17" s="105">
        <f t="shared" ref="L17:L21" si="4">I17*8%</f>
        <v>25.181999999999999</v>
      </c>
      <c r="M17" s="118">
        <f t="shared" ref="M17:M23" si="5">I17-K17-L17</f>
        <v>278.57587499999994</v>
      </c>
      <c r="N17" s="118">
        <f t="shared" si="0"/>
        <v>61.286692499999987</v>
      </c>
      <c r="O17" s="119">
        <f t="shared" ref="O17:O24" si="6">(N17+M17)*$O$15</f>
        <v>8.4965641874999989</v>
      </c>
      <c r="P17" s="120">
        <f t="shared" si="1"/>
        <v>348.35913168749994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I22*10%</f>
        <v>47.076000000000008</v>
      </c>
      <c r="M22" s="118">
        <f t="shared" si="5"/>
        <v>407.20740000000001</v>
      </c>
      <c r="N22" s="118">
        <f t="shared" si="0"/>
        <v>89.585628</v>
      </c>
      <c r="O22" s="119">
        <f t="shared" si="6"/>
        <v>12.419825700000001</v>
      </c>
      <c r="P22" s="120">
        <f t="shared" si="1"/>
        <v>509.21285369999998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24</v>
      </c>
      <c r="I25" s="137">
        <f t="shared" si="9"/>
        <v>1100.31</v>
      </c>
      <c r="J25" s="138"/>
      <c r="K25" s="139">
        <f t="shared" si="9"/>
        <v>38.510850000000005</v>
      </c>
      <c r="L25" s="140">
        <f t="shared" si="9"/>
        <v>97.44</v>
      </c>
      <c r="M25" s="141">
        <f t="shared" si="9"/>
        <v>964.35914999999989</v>
      </c>
      <c r="N25" s="142">
        <f>SUM(N16:N24)</f>
        <v>212.15901299999996</v>
      </c>
      <c r="O25" s="143">
        <f>SUM(O16:O24)</f>
        <v>29.412954074999998</v>
      </c>
      <c r="P25" s="144">
        <f>SUM(P16:P24)</f>
        <v>1205.9311170749997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1100.31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97.44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38.510850000000005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964.35914999999989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212.15901299999996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1176.5181629999997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29.412954074999995</v>
      </c>
    </row>
    <row r="35" spans="2:16" ht="15.75" customHeight="1" thickBot="1" x14ac:dyDescent="0.4">
      <c r="N35" s="213" t="s">
        <v>92</v>
      </c>
      <c r="O35" s="214"/>
      <c r="P35" s="160">
        <f>P33+P34</f>
        <v>1205.9311170749997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>(N16+M16)*$O$15</f>
        <v>28.321880625000002</v>
      </c>
      <c r="P16" s="105">
        <f t="shared" ref="P16:P24" si="1">M16+N16+O16</f>
        <v>1161.1971056249999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28.321880625000002</v>
      </c>
      <c r="P17" s="120">
        <f t="shared" si="1"/>
        <v>1161.1971056249999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84.858048000000011</v>
      </c>
      <c r="O21" s="119">
        <f t="shared" si="6"/>
        <v>11.764411200000001</v>
      </c>
      <c r="P21" s="120">
        <f t="shared" si="1"/>
        <v>482.34085920000001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46</v>
      </c>
      <c r="I25" s="137">
        <f t="shared" si="9"/>
        <v>2534.34</v>
      </c>
      <c r="J25" s="138"/>
      <c r="K25" s="139">
        <f t="shared" si="9"/>
        <v>88.701900000000009</v>
      </c>
      <c r="L25" s="140">
        <f t="shared" si="9"/>
        <v>202.74719999999999</v>
      </c>
      <c r="M25" s="141">
        <f t="shared" si="9"/>
        <v>2242.8909000000003</v>
      </c>
      <c r="N25" s="142">
        <f>SUM(N16:N24)</f>
        <v>493.43599800000004</v>
      </c>
      <c r="O25" s="143">
        <f>SUM(O16:O24)</f>
        <v>68.408172450000009</v>
      </c>
      <c r="P25" s="144">
        <f>SUM(P16:P24)</f>
        <v>2804.73507045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2534.34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202.74719999999999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88.701900000000009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2242.8909000000003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493.43599800000004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2736.3268980000003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68.408172450000009</v>
      </c>
    </row>
    <row r="35" spans="2:16" ht="15.75" customHeight="1" thickBot="1" x14ac:dyDescent="0.4">
      <c r="N35" s="213" t="s">
        <v>92</v>
      </c>
      <c r="O35" s="214"/>
      <c r="P35" s="160">
        <f>P33+P34</f>
        <v>2804.7350704500004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22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129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3520014826759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I22*10%</f>
        <v>47.076000000000008</v>
      </c>
      <c r="M22" s="118">
        <f t="shared" si="5"/>
        <v>407.20740000000001</v>
      </c>
      <c r="N22" s="118">
        <f t="shared" si="0"/>
        <v>89.585628</v>
      </c>
      <c r="O22" s="119">
        <f t="shared" si="6"/>
        <v>2.48396514</v>
      </c>
      <c r="P22" s="120">
        <f t="shared" si="1"/>
        <v>499.27699314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47.076000000000008</v>
      </c>
      <c r="M25" s="141">
        <f t="shared" si="9"/>
        <v>407.20740000000001</v>
      </c>
      <c r="N25" s="142">
        <f>SUM(N16:N24)</f>
        <v>89.585628</v>
      </c>
      <c r="O25" s="143">
        <f>SUM(O16:O24)</f>
        <v>2.48396514</v>
      </c>
      <c r="P25" s="144">
        <f>SUM(P16:P24)</f>
        <v>499.27699314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470.76000000000005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47.076000000000008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16.476600000000005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407.20740000000001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89.585628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496.79302799999999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2.48396514</v>
      </c>
    </row>
    <row r="35" spans="2:16" ht="15.75" customHeight="1" thickBot="1" x14ac:dyDescent="0.4">
      <c r="N35" s="213" t="s">
        <v>92</v>
      </c>
      <c r="O35" s="214"/>
      <c r="P35" s="160">
        <f>P33+P34</f>
        <v>499.27699314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22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130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131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I16*3.5%</f>
        <v>11.017125</v>
      </c>
      <c r="L16" s="105">
        <f>I16*8%</f>
        <v>25.181999999999999</v>
      </c>
      <c r="M16" s="106">
        <f>I16-K16-L16</f>
        <v>278.57587499999994</v>
      </c>
      <c r="N16" s="106">
        <f t="shared" ref="N16:N24" si="0">(M16*$N$15)+(J16*F16)*$N$15</f>
        <v>61.286692499999987</v>
      </c>
      <c r="O16" s="107">
        <f>(N16+M16)*$O$15</f>
        <v>8.4965641874999989</v>
      </c>
      <c r="P16" s="105">
        <f t="shared" ref="P16:P24" si="1">M16+N16+O16</f>
        <v>348.35913168749994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84.858048000000011</v>
      </c>
      <c r="O19" s="119">
        <f t="shared" si="6"/>
        <v>11.764411200000001</v>
      </c>
      <c r="P19" s="120">
        <f t="shared" si="1"/>
        <v>482.34085920000001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84.858048000000011</v>
      </c>
      <c r="O21" s="119">
        <f t="shared" si="6"/>
        <v>11.764411200000001</v>
      </c>
      <c r="P21" s="120">
        <f t="shared" si="1"/>
        <v>482.34085920000001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74.654690000000016</v>
      </c>
      <c r="O22" s="119">
        <f t="shared" si="6"/>
        <v>10.349854750000002</v>
      </c>
      <c r="P22" s="120">
        <f t="shared" si="1"/>
        <v>424.34404475000008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28</v>
      </c>
      <c r="I25" s="137">
        <f t="shared" si="9"/>
        <v>1578.7550000000001</v>
      </c>
      <c r="J25" s="138"/>
      <c r="K25" s="139">
        <f t="shared" si="9"/>
        <v>55.256425000000007</v>
      </c>
      <c r="L25" s="140">
        <f t="shared" si="9"/>
        <v>134.14640000000003</v>
      </c>
      <c r="M25" s="141">
        <f t="shared" si="9"/>
        <v>1389.352175</v>
      </c>
      <c r="N25" s="142">
        <f>SUM(N16:N24)</f>
        <v>305.65747850000002</v>
      </c>
      <c r="O25" s="143">
        <f>SUM(O16:O24)</f>
        <v>42.3752413375</v>
      </c>
      <c r="P25" s="144">
        <f>SUM(P16:P24)</f>
        <v>1737.3848948375003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1578.7550000000001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134.14640000000003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55.256425000000007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1389.352175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305.65747850000002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1695.0096535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42.3752413375</v>
      </c>
    </row>
    <row r="35" spans="2:16" ht="15.75" customHeight="1" thickBot="1" x14ac:dyDescent="0.4">
      <c r="N35" s="213" t="s">
        <v>92</v>
      </c>
      <c r="O35" s="214"/>
      <c r="P35" s="160">
        <f>P33+P34</f>
        <v>1737.3848948375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0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133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3520232013195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2"/>
        <v>944.32</v>
      </c>
      <c r="J19" s="117"/>
      <c r="K19" s="104">
        <f t="shared" si="3"/>
        <v>33.051200000000001</v>
      </c>
      <c r="L19" s="105">
        <f t="shared" si="4"/>
        <v>75.545600000000007</v>
      </c>
      <c r="M19" s="118">
        <f t="shared" si="5"/>
        <v>835.72320000000002</v>
      </c>
      <c r="N19" s="118">
        <f t="shared" si="0"/>
        <v>183.859104</v>
      </c>
      <c r="O19" s="119">
        <f t="shared" si="6"/>
        <v>5.0979115200000003</v>
      </c>
      <c r="P19" s="120">
        <f t="shared" si="1"/>
        <v>1024.68021552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13</v>
      </c>
      <c r="I20" s="116">
        <f t="shared" si="2"/>
        <v>944.32</v>
      </c>
      <c r="J20" s="117"/>
      <c r="K20" s="104">
        <f t="shared" si="3"/>
        <v>33.051200000000001</v>
      </c>
      <c r="L20" s="105">
        <f t="shared" si="4"/>
        <v>75.545600000000007</v>
      </c>
      <c r="M20" s="118">
        <f t="shared" si="5"/>
        <v>835.72320000000002</v>
      </c>
      <c r="N20" s="118">
        <f t="shared" si="0"/>
        <v>183.859104</v>
      </c>
      <c r="O20" s="119">
        <f t="shared" si="6"/>
        <v>5.0979115200000003</v>
      </c>
      <c r="P20" s="120">
        <f t="shared" si="1"/>
        <v>1024.68021552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14</v>
      </c>
      <c r="I21" s="116">
        <f t="shared" si="2"/>
        <v>1016.96</v>
      </c>
      <c r="J21" s="117"/>
      <c r="K21" s="104">
        <f t="shared" si="3"/>
        <v>35.593600000000002</v>
      </c>
      <c r="L21" s="105">
        <f t="shared" si="4"/>
        <v>81.356800000000007</v>
      </c>
      <c r="M21" s="118">
        <f t="shared" si="5"/>
        <v>900.00959999999998</v>
      </c>
      <c r="N21" s="118">
        <f t="shared" si="0"/>
        <v>198.00211199999998</v>
      </c>
      <c r="O21" s="119">
        <f t="shared" si="6"/>
        <v>5.4900585600000005</v>
      </c>
      <c r="P21" s="120">
        <f t="shared" si="1"/>
        <v>1103.5017705600001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2905.6000000000004</v>
      </c>
      <c r="J25" s="138"/>
      <c r="K25" s="139">
        <f t="shared" si="9"/>
        <v>101.696</v>
      </c>
      <c r="L25" s="140">
        <f t="shared" si="9"/>
        <v>232.44800000000004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15.685881600000002</v>
      </c>
      <c r="P25" s="144">
        <f>SUM(P16:P24)</f>
        <v>3152.8622015999999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2905.6000000000004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232.44800000000004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101.696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2571.4560000000006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3137.1763200000005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15.685881600000004</v>
      </c>
    </row>
    <row r="35" spans="2:16" ht="15.75" customHeight="1" thickBot="1" x14ac:dyDescent="0.4">
      <c r="N35" s="213" t="s">
        <v>92</v>
      </c>
      <c r="O35" s="214"/>
      <c r="P35" s="160">
        <f>P33+P34</f>
        <v>3152.8622016000004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2026-07-03T05:24:56Z</dcterms:modified>
</cp:coreProperties>
</file>