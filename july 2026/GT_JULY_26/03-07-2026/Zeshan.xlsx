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596CA179-5D5F-45BF-B1A9-ABB6D70AA9C2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7" l="1"/>
  <c r="L22" i="19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K17" i="17"/>
  <c r="K18" i="17"/>
  <c r="K19" i="17"/>
  <c r="K20" i="17"/>
  <c r="K17" i="19"/>
  <c r="K18" i="19"/>
  <c r="K19" i="19"/>
  <c r="K20" i="19"/>
  <c r="K17" i="18"/>
  <c r="K18" i="18"/>
  <c r="K19" i="18"/>
  <c r="K18" i="20"/>
  <c r="K18" i="21"/>
  <c r="K17" i="22"/>
  <c r="K18" i="22"/>
  <c r="K19" i="22"/>
  <c r="K20" i="22"/>
  <c r="K17" i="23"/>
  <c r="K18" i="23"/>
  <c r="K19" i="23"/>
  <c r="K20" i="23"/>
  <c r="K17" i="24"/>
  <c r="K18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19" i="16"/>
  <c r="K20" i="16"/>
  <c r="K21" i="16"/>
  <c r="K16" i="17"/>
  <c r="K16" i="19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K21" i="18" s="1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L16" i="24" s="1"/>
  <c r="I17" i="24"/>
  <c r="L17" i="24" s="1"/>
  <c r="I18" i="24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I18" i="20"/>
  <c r="I20" i="20"/>
  <c r="I22" i="20"/>
  <c r="I24" i="20"/>
  <c r="K24" i="20" s="1"/>
  <c r="I16" i="21"/>
  <c r="L16" i="21" s="1"/>
  <c r="I18" i="21"/>
  <c r="I20" i="21"/>
  <c r="K20" i="21" s="1"/>
  <c r="I22" i="21"/>
  <c r="K22" i="21" s="1"/>
  <c r="I24" i="21"/>
  <c r="K24" i="21" s="1"/>
  <c r="I16" i="17"/>
  <c r="I17" i="17"/>
  <c r="I18" i="17"/>
  <c r="I19" i="17"/>
  <c r="I20" i="17"/>
  <c r="I21" i="17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L20" i="19"/>
  <c r="K24" i="19"/>
  <c r="L24" i="19"/>
  <c r="K22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4" l="1"/>
  <c r="K21" i="24"/>
  <c r="M21" i="24" s="1"/>
  <c r="N21" i="24" s="1"/>
  <c r="O21" i="24" s="1"/>
  <c r="L19" i="24"/>
  <c r="K19" i="24"/>
  <c r="L17" i="21"/>
  <c r="K17" i="21"/>
  <c r="K22" i="20"/>
  <c r="L22" i="20"/>
  <c r="L16" i="20"/>
  <c r="K16" i="20"/>
  <c r="L21" i="20"/>
  <c r="K21" i="20"/>
  <c r="L20" i="20"/>
  <c r="K20" i="20"/>
  <c r="L16" i="18"/>
  <c r="K16" i="18"/>
  <c r="L20" i="18"/>
  <c r="K20" i="18"/>
  <c r="L21" i="18"/>
  <c r="L21" i="19"/>
  <c r="K21" i="19"/>
  <c r="M21" i="19" s="1"/>
  <c r="L21" i="17"/>
  <c r="K21" i="17"/>
  <c r="L24" i="17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I20" i="16"/>
  <c r="I21" i="16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P25" i="20" l="1"/>
  <c r="N18" i="15"/>
  <c r="N16" i="15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16E357D6-7219-4802-B8B1-8D78FE1F7EA1}">
      <text>
        <r>
          <rPr>
            <b/>
            <sz val="9"/>
            <color indexed="81"/>
            <rFont val="Tahoma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<sst xmlns="http://schemas.openxmlformats.org/spreadsheetml/2006/main" count="1641" uniqueCount="140">
  <si>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</si>
  <si>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</si>
  <si>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</si>
  <si>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</si>
  <si>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</si>
  <si>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</si>
  <si>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</si>
  <si>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</si>
  <si>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</si>
  <si>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</si>
  <si>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</si>
  <si>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</si>
  <si>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</si>
  <si>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</si>
  <si>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</si>
  <si>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</si>
  <si>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</si>
  <si>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</si>
  <si>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</si>
  <si>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</si>
  <si>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</si>
  <si>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</si>
  <si>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</si>
  <si>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</si>
  <si>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</si>
  <si>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</si>
  <si>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</si>
  <si>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</si>
  <si>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</si>
  <si>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</si>
  <si>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</si>
  <si>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</si>
  <si>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</si>
  <si>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</si>
  <si>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</si>
  <si>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</si>
  <si>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</si>
  <si>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</si>
  <si>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</si>
  <si>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</si>
  <si>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</si>
  <si>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</si>
  <si>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</si>
  <si>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</si>
  <si>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</si>
  <si>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</si>
  <si>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</si>
  <si>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</si>
  <si>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</si>
  <si>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</si>
  <si>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</si>
  <si>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</si>
  <si>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</si>
  <si>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</si>
  <si>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</si>
  <si>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</si>
  <si>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</si>
  <si>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</si>
  <si>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</si>
  <si>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</si>
  <si>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</si>
  <si>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</si>
  <si>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</si>
  <si>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</si>
  <si>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</si>
  <si>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</si>
  <si>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</si>
  <si>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</si>
  <si>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</si>
  <si>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</si>
  <si>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</si>
  <si>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</si>
  <si>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</si>
  <si>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</si>
  <si>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</si>
  <si>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</si>
  <si>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</si>
  <si>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</si>
  <si>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</si>
  <si>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</si>
  <si>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</si>
  <si>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</si>
  <si>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</si>
  <si>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</si>
  <si>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</si>
  <si>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</si>
  <si>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</si>
  <si>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</si>
  <si>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</si>
  <si>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</si>
  <si>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</si>
  <si>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</si>
  <si>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</si>
  <si>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</si>
  <si>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</si>
  <si>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</si>
  <si>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</si>
  <si>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</si>
  <si>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</si>
  <si>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</si>
  <si>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</si>
  <si>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</si>
  <si>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</si>
  <si>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</si>
  <si>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</si>
  <si>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</si>
  <si>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</si>
  <si>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</si>
  <si>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</si>
  <si>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</si>
  <si>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</si>
  <si>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</si>
  <si>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</si>
  <si>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</si>
  <si>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</si>
  <si>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</si>
  <si>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</si>
  <si>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</si>
  <si>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</si>
  <si>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</si>
  <si>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Zeshan</t>
  </si>
  <si>
    <t>Shop Bill Summary (Zeshan)</t>
  </si>
  <si>
    <t>Customer Name : Trust Store</t>
  </si>
  <si>
    <t>Address: DHA</t>
  </si>
  <si>
    <t>0159686-1</t>
  </si>
  <si>
    <t>Customer Name : Bilal Store</t>
  </si>
  <si>
    <t>457897-4</t>
  </si>
  <si>
    <t xml:space="preserve">Customer Name : Bilal Store </t>
  </si>
  <si>
    <t xml:space="preserve">Address: DHA M Block </t>
  </si>
  <si>
    <t>Customer Name : 786 Store</t>
  </si>
  <si>
    <t xml:space="preserve">Address: DHA B Block </t>
  </si>
  <si>
    <t>0846372-7</t>
  </si>
  <si>
    <t xml:space="preserve">Customer Name : Groccer Mart </t>
  </si>
  <si>
    <t>Customer Name : Bin Hadi Store</t>
  </si>
  <si>
    <t>8754367-1</t>
  </si>
  <si>
    <t xml:space="preserve">Customer Name : Besta Mart </t>
  </si>
  <si>
    <t>876546-3</t>
  </si>
  <si>
    <t>7643679-4</t>
  </si>
  <si>
    <t xml:space="preserve">Customer Name : K S Mart </t>
  </si>
  <si>
    <t>Customer Name : Hafiz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</si>
</sst>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9"/>
      <color indexed="81"/>
      <name val="Tahoma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7" zoomScale="70" zoomScaleNormal="70" workbookViewId="0">
      <selection activeCell="T38" sqref="T3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Trust Store</v>
      </c>
      <c r="U14" s="164">
        <f>+'1'!P35</f>
        <v>985.33396151249997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Bilal Store</v>
      </c>
      <c r="U15" s="164">
        <f>+'2'!P35</f>
        <v>762.37241759999995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100</v>
      </c>
      <c r="I16" s="1">
        <f>(G16*D16)*F16+H16*F16</f>
        <v>5246.25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183.61875000000001</v>
      </c>
      <c r="L16" s="175">
        <f>+'1'!L16+'2'!L16+'4'!L16+'3'!L16+'5'!L16+'6'!L16+'7'!L16+'8'!L16+'9'!L16+'10'!L16</f>
        <v>419.70000000000005</v>
      </c>
      <c r="M16" s="106">
        <f>I16-K16-L16</f>
        <v>4642.9312500000005</v>
      </c>
      <c r="N16" s="101">
        <f>+'1'!N16+'2'!N16+'4'!N16+'3'!N16+'5'!N16+'6'!N16+'7'!N16+'8'!N16+'9'!N16+'10'!N16</f>
        <v>854.29934999999989</v>
      </c>
      <c r="O16" s="101">
        <f>+'1'!O16+'2'!O16+'4'!O16+'3'!O16+'5'!O16+'6'!O16+'7'!O16+'8'!O16+'9'!O16+'10'!O16</f>
        <v>27.486152999999998</v>
      </c>
      <c r="P16" s="105">
        <f t="shared" ref="P16:P24" si="0">M16+N16+O16</f>
        <v>5524.7167530000006</v>
      </c>
      <c r="Q16" s="108"/>
      <c r="T16" s="163" t="str">
        <f>+'3'!A5</f>
        <v xml:space="preserve">Customer Name : Bilal Store </v>
      </c>
      <c r="U16" s="164">
        <f>+'3'!P35</f>
        <v>762.37241759999995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30</v>
      </c>
      <c r="I17" s="1">
        <f t="shared" ref="I17:I23" si="1">(G17*D17)*F17+H17*F17</f>
        <v>1573.875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55.085625000000007</v>
      </c>
      <c r="L17" s="175">
        <f>+'1'!L17+'2'!L17+'4'!L17+'3'!L17+'5'!L17+'6'!L17+'7'!L17+'8'!L17+'9'!L17+'10'!L17</f>
        <v>125.91</v>
      </c>
      <c r="M17" s="118">
        <f t="shared" ref="M17:M23" si="2">I17-K17-L17</f>
        <v>1392.879375</v>
      </c>
      <c r="N17" s="101">
        <f>+'1'!N17+'2'!N17+'4'!N17+'3'!N17+'5'!N17+'6'!N17+'7'!N17+'8'!N17+'9'!N17+'10'!N17</f>
        <v>287.8617375</v>
      </c>
      <c r="O17" s="101">
        <f>+'1'!O17+'2'!O17+'4'!O17+'3'!O17+'5'!O17+'6'!O17+'7'!O17+'8'!O17+'9'!O17+'10'!O17</f>
        <v>8.4037055625000008</v>
      </c>
      <c r="P17" s="120">
        <f t="shared" si="0"/>
        <v>1689.1448180624998</v>
      </c>
      <c r="S17" s="64"/>
      <c r="T17" s="163" t="str">
        <f>+'4'!A5</f>
        <v>Customer Name : 786 Store</v>
      </c>
      <c r="U17" s="164">
        <f>+'4'!P35</f>
        <v>16772.6924511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Groccer Mart </v>
      </c>
      <c r="U18" s="164">
        <f>+'5'!P35</f>
        <v>4553.1228173250001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45</v>
      </c>
      <c r="I19" s="1">
        <f t="shared" si="1"/>
        <v>3268.8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114.40800000000002</v>
      </c>
      <c r="L19" s="175">
        <f>+'1'!L19+'2'!L19+'4'!L19+'3'!L19+'5'!L19+'6'!L19+'7'!L19+'8'!L19+'9'!L19+'10'!L19</f>
        <v>261.50400000000002</v>
      </c>
      <c r="M19" s="118">
        <f t="shared" si="2"/>
        <v>2892.8880000000004</v>
      </c>
      <c r="N19" s="101">
        <f>+'1'!N19+'2'!N19+'4'!N19+'3'!N19+'5'!N19+'6'!N19+'7'!N19+'8'!N19+'9'!N19+'10'!N19</f>
        <v>585.00624000000005</v>
      </c>
      <c r="O19" s="101">
        <f>+'1'!O19+'2'!O19+'4'!O19+'3'!O19+'5'!O19+'6'!O19+'7'!O19+'8'!O19+'9'!O19+'10'!O19</f>
        <v>40.918293599999998</v>
      </c>
      <c r="P19" s="120">
        <f t="shared" si="0"/>
        <v>3518.8125336000007</v>
      </c>
      <c r="T19" s="163" t="str">
        <f>+'6'!A5</f>
        <v>Customer Name : Bin Hadi Store</v>
      </c>
      <c r="U19" s="164">
        <f>+'6'!P35</f>
        <v>2714.9707019250004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60</v>
      </c>
      <c r="I20" s="1">
        <f t="shared" si="1"/>
        <v>4358.3999999999996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152.54400000000001</v>
      </c>
      <c r="L20" s="175">
        <f>+'1'!L20+'2'!L20+'4'!L20+'3'!L20+'5'!L20+'6'!L20+'7'!L20+'8'!L20+'9'!L20+'10'!L20</f>
        <v>348.67200000000003</v>
      </c>
      <c r="M20" s="118">
        <f t="shared" si="2"/>
        <v>3857.1839999999997</v>
      </c>
      <c r="N20" s="101">
        <f>+'1'!N20+'2'!N20+'4'!N20+'3'!N20+'5'!N20+'6'!N20+'7'!N20+'8'!N20+'9'!N20+'10'!N20</f>
        <v>720.00767999999994</v>
      </c>
      <c r="O20" s="101">
        <f>+'1'!O20+'2'!O20+'4'!O20+'3'!O20+'5'!O20+'6'!O20+'7'!O20+'8'!O20+'9'!O20+'10'!O20</f>
        <v>38.571840000000002</v>
      </c>
      <c r="P20" s="120">
        <f t="shared" si="0"/>
        <v>4615.7635199999995</v>
      </c>
      <c r="T20" s="163" t="str">
        <f>+'7'!A5</f>
        <v xml:space="preserve">Customer Name : Besta Mart </v>
      </c>
      <c r="U20" s="164">
        <f>+'7'!P35</f>
        <v>762.37241759999995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155</v>
      </c>
      <c r="I21" s="1">
        <f t="shared" si="1"/>
        <v>11259.2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394.072</v>
      </c>
      <c r="L21" s="175">
        <f>+'1'!L21+'2'!L21+'4'!L21+'3'!L21+'5'!L21+'6'!L21+'7'!L21+'8'!L21+'9'!L21+'10'!L21</f>
        <v>900.73599999999988</v>
      </c>
      <c r="M21" s="118">
        <f t="shared" si="2"/>
        <v>9964.3919999999998</v>
      </c>
      <c r="N21" s="101">
        <f>+'1'!N21+'2'!N21+'4'!N21+'3'!N21+'5'!N21+'6'!N21+'7'!N21+'8'!N21+'9'!N21+'10'!N21</f>
        <v>1857.8769599999998</v>
      </c>
      <c r="O21" s="101">
        <f>+'1'!O21+'2'!O21+'4'!O21+'3'!O21+'5'!O21+'6'!O21+'7'!O21+'8'!O21+'9'!O21+'10'!O21</f>
        <v>82.640167200000008</v>
      </c>
      <c r="P21" s="120">
        <f t="shared" si="0"/>
        <v>11904.909127199999</v>
      </c>
      <c r="T21" s="163" t="str">
        <f>+'8'!A5</f>
        <v xml:space="preserve">Customer Name : K S Mart </v>
      </c>
      <c r="U21" s="164">
        <f>+'8'!P35</f>
        <v>762.37241759999995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100</v>
      </c>
      <c r="I22" s="1">
        <f t="shared" si="1"/>
        <v>3923.0000000000005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137.30500000000004</v>
      </c>
      <c r="L22" s="175">
        <f>+'1'!L22+'2'!L22+'4'!L22+'3'!L22+'5'!L22+'6'!L22+'7'!L22+'8'!L22+'9'!L22+'10'!L22</f>
        <v>392.30000000000013</v>
      </c>
      <c r="M22" s="118">
        <f t="shared" si="2"/>
        <v>3393.3950000000004</v>
      </c>
      <c r="N22" s="101">
        <f>+'1'!N22+'2'!N22+'4'!N22+'3'!N22+'5'!N22+'6'!N22+'7'!N22+'8'!N22+'9'!N22+'10'!N22</f>
        <v>624.38468</v>
      </c>
      <c r="O22" s="101">
        <f>+'1'!O22+'2'!O22+'4'!O22+'3'!O22+'5'!O22+'6'!O22+'7'!O22+'8'!O22+'9'!O22+'10'!O22</f>
        <v>20.088898400000005</v>
      </c>
      <c r="P22" s="120">
        <f t="shared" si="0"/>
        <v>4037.8685784000004</v>
      </c>
      <c r="T22" s="163" t="str">
        <f>+'9'!A5</f>
        <v>Customer Name : Hafiz Store</v>
      </c>
      <c r="U22" s="164">
        <f>+'9'!P35</f>
        <v>3215.605728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12.25</v>
      </c>
      <c r="D25" s="215"/>
      <c r="E25" s="215"/>
      <c r="F25" s="215"/>
      <c r="G25" s="176">
        <f t="shared" ref="G25:M25" si="3">SUM(G16:G24)</f>
        <v>0</v>
      </c>
      <c r="H25" s="177">
        <f t="shared" si="3"/>
        <v>490</v>
      </c>
      <c r="I25" s="178">
        <f t="shared" si="3"/>
        <v>29629.525000000001</v>
      </c>
      <c r="J25" s="177">
        <f t="shared" si="3"/>
        <v>0</v>
      </c>
      <c r="K25" s="178">
        <f t="shared" si="3"/>
        <v>1037.033375</v>
      </c>
      <c r="L25" s="179">
        <f t="shared" si="3"/>
        <v>2448.8220000000001</v>
      </c>
      <c r="M25" s="141">
        <f t="shared" si="3"/>
        <v>26143.669624999999</v>
      </c>
      <c r="N25" s="142">
        <f>SUM(N16:N24)</f>
        <v>4929.4366474999997</v>
      </c>
      <c r="O25" s="143">
        <f>SUM(O16:O24)</f>
        <v>218.10905776250002</v>
      </c>
      <c r="P25" s="144">
        <f>SUM(P16:P24)</f>
        <v>31291.215330262497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31291.215330262501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29629.525000000001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2448.8220000000001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1037.033375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26143.669625000002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4929.4366474999997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31073.106272500001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776.82765681250009</v>
      </c>
    </row>
    <row r="43" spans="1:21" ht="15.75" customHeight="1" thickBot="1" x14ac:dyDescent="0.4">
      <c r="N43" s="213" t="s">
        <v>92</v>
      </c>
      <c r="O43" s="214"/>
      <c r="P43" s="160">
        <f>P41+P42</f>
        <v>31849.933929312501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20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 t="s">
        <v>124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 t="shared" ref="O16:O24" si="1">(N16+M16)*$O$15</f>
        <v>2.8321880625000002</v>
      </c>
      <c r="P16" s="105">
        <f t="shared" ref="P16:P24" si="2">M16+N16+O16</f>
        <v>569.2698005625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3"/>
        <v>392.30000000000007</v>
      </c>
      <c r="J22" s="117"/>
      <c r="K22" s="1">
        <f>I22*3.5%</f>
        <v>13.730500000000003</v>
      </c>
      <c r="L22" s="120">
        <f>I22*10%</f>
        <v>39.230000000000011</v>
      </c>
      <c r="M22" s="118">
        <f t="shared" si="6"/>
        <v>339.33950000000004</v>
      </c>
      <c r="N22" s="118">
        <f t="shared" si="0"/>
        <v>74.654690000000016</v>
      </c>
      <c r="O22" s="119">
        <f t="shared" si="1"/>
        <v>2.0699709500000005</v>
      </c>
      <c r="P22" s="120">
        <f t="shared" si="2"/>
        <v>416.06416095000009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20</v>
      </c>
      <c r="I25" s="137">
        <f t="shared" si="13"/>
        <v>916.92500000000007</v>
      </c>
      <c r="J25" s="138"/>
      <c r="K25" s="139">
        <f t="shared" si="13"/>
        <v>32.092375000000004</v>
      </c>
      <c r="L25" s="140">
        <f t="shared" si="13"/>
        <v>81.200000000000017</v>
      </c>
      <c r="M25" s="141">
        <f t="shared" si="13"/>
        <v>803.63262500000008</v>
      </c>
      <c r="N25" s="142">
        <f>SUM(N16:N24)</f>
        <v>176.79917750000004</v>
      </c>
      <c r="O25" s="143">
        <f>SUM(O16:O24)</f>
        <v>4.9021590125000003</v>
      </c>
      <c r="P25" s="144">
        <f>SUM(P16:P24)</f>
        <v>985.33396151250008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916.92500000000007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81.200000000000017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32.092375000000004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803.63262499999996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176.79917750000004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980.4318025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4.9021590125000003</v>
      </c>
    </row>
    <row r="35" spans="2:16" ht="15.75" customHeight="1" thickBot="1" x14ac:dyDescent="0.4">
      <c r="N35" s="213" t="s">
        <v>92</v>
      </c>
      <c r="O35" s="214"/>
      <c r="P35" s="160">
        <f>P33+P34</f>
        <v>985.33396151249997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2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126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 t="s">
        <v>126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726.4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58.112000000000002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25.424000000000003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642.86400000000003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758.57952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13" t="s">
        <v>92</v>
      </c>
      <c r="O35" s="214"/>
      <c r="P35" s="160">
        <f>P33+P34</f>
        <v>762.37241759999995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126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9" t="s">
        <v>126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726.4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58.112000000000002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25.424000000000003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642.86400000000003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758.57952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13" t="s">
        <v>92</v>
      </c>
      <c r="O35" s="214"/>
      <c r="P35" s="160">
        <f>P33+P34</f>
        <v>762.37241759999995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130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131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3520138776599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/>
      <c r="K16" s="104">
        <f>I16*3.5%</f>
        <v>146.89500000000001</v>
      </c>
      <c r="L16" s="105">
        <f>I16*8%</f>
        <v>335.76</v>
      </c>
      <c r="M16" s="106">
        <f>I16-K16-L16</f>
        <v>3714.3450000000003</v>
      </c>
      <c r="N16" s="106">
        <f t="shared" ref="N16:N24" si="0">(M16*$N$15)+(J16*F16)*$N$15</f>
        <v>668.58209999999997</v>
      </c>
      <c r="O16" s="107">
        <f>(N16+M16)*$O$15</f>
        <v>21.914635499999999</v>
      </c>
      <c r="P16" s="105">
        <f t="shared" ref="P16:P24" si="1">M16+N16+O16</f>
        <v>4404.8417355000001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/>
      <c r="K21" s="104">
        <f t="shared" si="3"/>
        <v>203.39200000000002</v>
      </c>
      <c r="L21" s="105">
        <f t="shared" si="4"/>
        <v>464.89600000000002</v>
      </c>
      <c r="M21" s="118">
        <f t="shared" si="5"/>
        <v>5142.9120000000003</v>
      </c>
      <c r="N21" s="118">
        <f t="shared" si="0"/>
        <v>925.72415999999998</v>
      </c>
      <c r="O21" s="119">
        <f t="shared" si="6"/>
        <v>30.343180799999999</v>
      </c>
      <c r="P21" s="120">
        <f t="shared" si="1"/>
        <v>6098.9793407999996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I22*10%</f>
        <v>313.84000000000009</v>
      </c>
      <c r="M22" s="118">
        <f t="shared" si="5"/>
        <v>2714.7160000000003</v>
      </c>
      <c r="N22" s="118">
        <f t="shared" si="0"/>
        <v>488.64888000000002</v>
      </c>
      <c r="O22" s="119">
        <f t="shared" si="6"/>
        <v>16.016824400000004</v>
      </c>
      <c r="P22" s="120">
        <f t="shared" si="1"/>
        <v>3219.3817044000007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280</v>
      </c>
      <c r="I25" s="137">
        <f t="shared" si="9"/>
        <v>16052.2</v>
      </c>
      <c r="J25" s="138"/>
      <c r="K25" s="139">
        <f t="shared" si="9"/>
        <v>561.82700000000011</v>
      </c>
      <c r="L25" s="140">
        <f t="shared" si="9"/>
        <v>1346.9440000000002</v>
      </c>
      <c r="M25" s="141">
        <f t="shared" si="9"/>
        <v>14143.429</v>
      </c>
      <c r="N25" s="142">
        <f>SUM(N16:N24)</f>
        <v>2545.8172200000004</v>
      </c>
      <c r="O25" s="143">
        <f>SUM(O16:O24)</f>
        <v>83.446231100000006</v>
      </c>
      <c r="P25" s="144">
        <f>SUM(P16:P24)</f>
        <v>16772.692451100003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16052.2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1346.9440000000002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561.82700000000011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14143.429000000002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2545.8172200000004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16689.246220000001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83.446231100000006</v>
      </c>
    </row>
    <row r="35" spans="2:16" ht="15.75" customHeight="1" thickBot="1" x14ac:dyDescent="0.4">
      <c r="N35" s="213" t="s">
        <v>92</v>
      </c>
      <c r="O35" s="214"/>
      <c r="P35" s="160">
        <f>P33+P34</f>
        <v>16772.6924511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0" workbookViewId="0">
      <selection activeCell="A2" sqref="A2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1881146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8110112801763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83.572762499999996</v>
      </c>
      <c r="O16" s="107">
        <f>(N16+M16)*$O$15</f>
        <v>2.7393294374999999</v>
      </c>
      <c r="P16" s="105">
        <f t="shared" ref="P16:P24" si="1">M16+N16+O16</f>
        <v>550.60521693750002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83.572762499999996</v>
      </c>
      <c r="O17" s="119">
        <f t="shared" ref="O17:O24" si="6">(N17+M17)*$O$15</f>
        <v>2.7393294374999999</v>
      </c>
      <c r="P17" s="120">
        <f t="shared" si="1"/>
        <v>550.60521693750002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61.081110000000002</v>
      </c>
      <c r="O22" s="119">
        <f t="shared" si="6"/>
        <v>2.0021030500000006</v>
      </c>
      <c r="P22" s="120">
        <f t="shared" si="1"/>
        <v>402.42271305000008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70</v>
      </c>
      <c r="I25" s="137">
        <f t="shared" si="9"/>
        <v>4347.1500000000005</v>
      </c>
      <c r="J25" s="138"/>
      <c r="K25" s="139">
        <f t="shared" si="9"/>
        <v>152.15025000000003</v>
      </c>
      <c r="L25" s="140">
        <f t="shared" si="9"/>
        <v>355.61800000000005</v>
      </c>
      <c r="M25" s="141">
        <f t="shared" si="9"/>
        <v>3839.3817500000005</v>
      </c>
      <c r="N25" s="142">
        <f>SUM(N16:N24)</f>
        <v>691.08871499999987</v>
      </c>
      <c r="O25" s="143">
        <f>SUM(O16:O24)</f>
        <v>22.652352325000003</v>
      </c>
      <c r="P25" s="144">
        <f>SUM(P16:P24)</f>
        <v>4553.1228173250001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4347.1500000000005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355.61800000000005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152.15025000000003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3839.3817500000005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691.08871499999987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4530.4704650000003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22.652352325000003</v>
      </c>
    </row>
    <row r="35" spans="2:16" ht="15.75" customHeight="1" thickBot="1" x14ac:dyDescent="0.4">
      <c r="N35" s="213" t="s">
        <v>92</v>
      </c>
      <c r="O35" s="214"/>
      <c r="P35" s="160">
        <f>P33+P34</f>
        <v>4553.1228173250001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134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5.6643761250000004</v>
      </c>
      <c r="P17" s="120">
        <f t="shared" si="1"/>
        <v>1138.539601125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3.9214704</v>
      </c>
      <c r="P19" s="120">
        <f t="shared" si="1"/>
        <v>788.21555039999998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2502.0500000000002</v>
      </c>
      <c r="J25" s="138"/>
      <c r="K25" s="139">
        <f t="shared" si="9"/>
        <v>87.571750000000009</v>
      </c>
      <c r="L25" s="140">
        <f t="shared" si="9"/>
        <v>200.16399999999999</v>
      </c>
      <c r="M25" s="141">
        <f t="shared" si="9"/>
        <v>2214.3142500000004</v>
      </c>
      <c r="N25" s="142">
        <f>SUM(N16:N24)</f>
        <v>487.149135</v>
      </c>
      <c r="O25" s="143">
        <f>SUM(O16:O24)</f>
        <v>13.507316925000001</v>
      </c>
      <c r="P25" s="144">
        <f>SUM(P16:P24)</f>
        <v>2714.970701925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2502.0500000000002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200.16399999999999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87.571750000000009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2214.3142500000004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487.149135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2701.4633850000005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13.507316925000003</v>
      </c>
    </row>
    <row r="35" spans="2:16" ht="15.75" customHeight="1" thickBot="1" x14ac:dyDescent="0.4">
      <c r="N35" s="213" t="s">
        <v>92</v>
      </c>
      <c r="O35" s="214"/>
      <c r="P35" s="160">
        <f>P33+P34</f>
        <v>2714.9707019250004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136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137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726.4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58.112000000000002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25.424000000000003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642.86400000000003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758.57952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13" t="s">
        <v>92</v>
      </c>
      <c r="O35" s="214"/>
      <c r="P35" s="160">
        <f>P33+P34</f>
        <v>762.37241759999995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22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138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56788995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3520114977654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115.71552</v>
      </c>
      <c r="O21" s="119">
        <f t="shared" si="6"/>
        <v>3.7928975999999999</v>
      </c>
      <c r="P21" s="120">
        <f t="shared" si="1"/>
        <v>762.37241759999995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726.4</v>
      </c>
      <c r="J25" s="138"/>
      <c r="K25" s="139">
        <f t="shared" si="9"/>
        <v>25.424000000000003</v>
      </c>
      <c r="L25" s="140">
        <f t="shared" si="9"/>
        <v>58.112000000000002</v>
      </c>
      <c r="M25" s="141">
        <f t="shared" si="9"/>
        <v>642.86400000000003</v>
      </c>
      <c r="N25" s="142">
        <f>SUM(N16:N24)</f>
        <v>115.71552</v>
      </c>
      <c r="O25" s="143">
        <f>SUM(O16:O24)</f>
        <v>3.7928975999999999</v>
      </c>
      <c r="P25" s="144">
        <f>SUM(P16:P24)</f>
        <v>762.37241759999995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726.4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58.112000000000002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25.424000000000003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642.86400000000003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115.71552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758.57952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3.7928975999999999</v>
      </c>
    </row>
    <row r="35" spans="2:16" ht="15.75" customHeight="1" thickBot="1" x14ac:dyDescent="0.4">
      <c r="N35" s="213" t="s">
        <v>92</v>
      </c>
      <c r="O35" s="214"/>
      <c r="P35" s="160">
        <f>P33+P34</f>
        <v>762.37241759999995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29.411028000000002</v>
      </c>
      <c r="P19" s="120">
        <f t="shared" si="1"/>
        <v>1205.8521479999999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19.607352000000002</v>
      </c>
      <c r="P20" s="120">
        <f t="shared" si="1"/>
        <v>803.901432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212.14511999999999</v>
      </c>
      <c r="O21" s="119">
        <f t="shared" si="6"/>
        <v>29.411028000000002</v>
      </c>
      <c r="P21" s="120">
        <f t="shared" si="1"/>
        <v>1205.8521479999999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232.44799999999998</v>
      </c>
      <c r="M25" s="141">
        <f t="shared" si="9"/>
        <v>2571.4559999999997</v>
      </c>
      <c r="N25" s="142">
        <f>SUM(N16:N24)</f>
        <v>565.72032000000002</v>
      </c>
      <c r="O25" s="143">
        <f>SUM(O16:O24)</f>
        <v>78.429408000000009</v>
      </c>
      <c r="P25" s="144">
        <f>SUM(P16:P24)</f>
        <v>3215.605728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232.44799999999998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101.696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2571.4560000000001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565.72032000000002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3137.17632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78.429408000000009</v>
      </c>
    </row>
    <row r="35" spans="2:16" ht="15.75" customHeight="1" thickBot="1" x14ac:dyDescent="0.4">
      <c r="N35" s="213" t="s">
        <v>92</v>
      </c>
      <c r="O35" s="214"/>
      <c r="P35" s="160">
        <f>P33+P34</f>
        <v>3215.605728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2026-07-03T05:27:29Z</dcterms:modified>
</cp:coreProperties>
</file>