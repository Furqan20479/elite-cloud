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F09044EA-A67B-4BC7-BC8D-DCBD0F766161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9" l="1"/>
  <c r="L22" i="18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8" i="17"/>
  <c r="K19" i="17"/>
  <c r="K20" i="17"/>
  <c r="K21" i="17"/>
  <c r="K18" i="19"/>
  <c r="K17" i="18"/>
  <c r="K18" i="18"/>
  <c r="K17" i="20"/>
  <c r="K18" i="20"/>
  <c r="K19" i="20"/>
  <c r="K20" i="20"/>
  <c r="K21" i="20"/>
  <c r="K18" i="21"/>
  <c r="K19" i="21"/>
  <c r="K20" i="21"/>
  <c r="K21" i="21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19" i="16"/>
  <c r="K20" i="16"/>
  <c r="K21" i="16"/>
  <c r="K16" i="18"/>
  <c r="K16" i="20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I24" i="20"/>
  <c r="K24" i="20" s="1"/>
  <c r="I16" i="21"/>
  <c r="I18" i="21"/>
  <c r="I20" i="21"/>
  <c r="I22" i="21"/>
  <c r="I24" i="21"/>
  <c r="K24" i="21" s="1"/>
  <c r="I16" i="17"/>
  <c r="K16" i="17" s="1"/>
  <c r="I17" i="17"/>
  <c r="K17" i="17" s="1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1" l="1"/>
  <c r="L22" i="21"/>
  <c r="L17" i="21"/>
  <c r="K17" i="21"/>
  <c r="L16" i="21"/>
  <c r="K16" i="21"/>
  <c r="K22" i="20"/>
  <c r="L22" i="20"/>
  <c r="L20" i="18"/>
  <c r="K20" i="18"/>
  <c r="L21" i="19"/>
  <c r="K21" i="19"/>
  <c r="L20" i="19"/>
  <c r="L19" i="19"/>
  <c r="K19" i="19"/>
  <c r="L17" i="19"/>
  <c r="K17" i="19"/>
  <c r="L16" i="19"/>
  <c r="K16" i="19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L25" i="19" l="1"/>
  <c r="P29" i="19" s="1"/>
  <c r="L17" i="16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P22" i="20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<sst xmlns="http://schemas.openxmlformats.org/spreadsheetml/2006/main" count="1634" uniqueCount="137">
  <si>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</si>
  <si>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</si>
  <si>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</si>
  <si>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</si>
  <si>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</si>
  <si>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</si>
  <si>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</si>
  <si>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</si>
  <si>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</si>
  <si>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</si>
  <si>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</si>
  <si>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</si>
  <si>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</si>
  <si>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</si>
  <si>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</si>
  <si>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</si>
  <si>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</si>
  <si>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</si>
  <si>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</si>
  <si>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</si>
  <si>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</si>
  <si>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</si>
  <si>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</si>
  <si>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</si>
  <si>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</si>
  <si>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</si>
  <si>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</si>
  <si>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</si>
  <si>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</si>
  <si>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</si>
  <si>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</si>
  <si>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</si>
  <si>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</si>
  <si>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</si>
  <si>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</si>
  <si>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</si>
  <si>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</si>
  <si>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</si>
  <si>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</si>
  <si>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</si>
  <si>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</si>
  <si>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</si>
  <si>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</si>
  <si>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</si>
  <si>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</si>
  <si>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</si>
  <si>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</si>
  <si>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</si>
  <si>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</si>
  <si>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</si>
  <si>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</si>
  <si>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</si>
  <si>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</si>
  <si>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</si>
  <si>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</si>
  <si>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</si>
  <si>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</si>
  <si>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</si>
  <si>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</si>
  <si>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</si>
  <si>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</si>
  <si>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</si>
  <si>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</si>
  <si>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</si>
  <si>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</si>
  <si>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</si>
  <si>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</si>
  <si>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</si>
  <si>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</si>
  <si>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</si>
  <si>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</si>
  <si>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</si>
  <si>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</si>
  <si>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</si>
  <si>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</si>
  <si>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</si>
  <si>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</si>
  <si>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</si>
  <si>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</si>
  <si>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</si>
  <si>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</si>
  <si>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</si>
  <si>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</si>
  <si>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</si>
  <si>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</si>
  <si>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</si>
  <si>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</si>
  <si>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</si>
  <si>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</si>
  <si>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</si>
  <si>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</si>
  <si>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</si>
  <si>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</si>
  <si>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</si>
  <si>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</si>
  <si>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</si>
  <si>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</si>
  <si>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</si>
  <si>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</si>
  <si>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</si>
  <si>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</si>
  <si>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</si>
  <si>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</si>
  <si>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</si>
  <si>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</si>
  <si>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</si>
  <si>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</si>
  <si>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</si>
  <si>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</si>
  <si>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</si>
  <si>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</si>
  <si>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</si>
  <si>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</si>
  <si>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</si>
  <si>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</si>
  <si>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</si>
  <si>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</si>
  <si>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</si>
  <si>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</si>
  <si>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</si>
  <si>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(Furqan)</t>
  </si>
  <si>
    <t xml:space="preserve">Customer Name : Brand Bakers Mart </t>
  </si>
  <si>
    <t xml:space="preserve">Address: Railway Road Qila Gujjar Singh </t>
  </si>
  <si>
    <t xml:space="preserve">Customer Name : SK Mart </t>
  </si>
  <si>
    <t xml:space="preserve">Address: Gullberg </t>
  </si>
  <si>
    <t xml:space="preserve">Customer Name : Shell Pump </t>
  </si>
  <si>
    <t xml:space="preserve">Address: Press Club </t>
  </si>
  <si>
    <t xml:space="preserve">Customer Name : Star Bakers </t>
  </si>
  <si>
    <t xml:space="preserve">Address: Bibi Pak Daman </t>
  </si>
  <si>
    <t>Customer Name : Iqbal Store</t>
  </si>
  <si>
    <t>Address: Habibullah Road</t>
  </si>
  <si>
    <t>3255339-7</t>
  </si>
  <si>
    <t>Customer Name : Ali Brother Store</t>
  </si>
  <si>
    <t xml:space="preserve">Address: Qila Gujjer Singh </t>
  </si>
  <si>
    <t>Customer Name : Tufail Store</t>
  </si>
  <si>
    <t xml:space="preserve">Address: Qilla Gujjer Singh </t>
  </si>
  <si>
    <t>2506537-8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</si>
</sst>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7" zoomScale="70" zoomScaleNormal="70" workbookViewId="0">
      <selection activeCell="S34" sqref="S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96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120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Brand Bakers Mart </v>
      </c>
      <c r="U14" s="164">
        <f>+'1'!P35</f>
        <v>2277.07920225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SK Mart </v>
      </c>
      <c r="U15" s="164">
        <f>+'2'!P35</f>
        <v>1143.6335159849998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72</v>
      </c>
      <c r="I16" s="1">
        <f>(G16*D16)*F16+H16*F16</f>
        <v>3777.2999999999997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132.20550000000003</v>
      </c>
      <c r="L16" s="175">
        <f>+'1'!L16+'2'!L16+'4'!L16+'3'!L16+'5'!L16+'6'!L16+'7'!L16+'8'!L16+'9'!L16+'10'!L16</f>
        <v>302.18399999999997</v>
      </c>
      <c r="M16" s="106">
        <f>I16-K16-L16</f>
        <v>3342.9105</v>
      </c>
      <c r="N16" s="101">
        <f>+'1'!N16+'2'!N16+'4'!N16+'3'!N16+'5'!N16+'6'!N16+'7'!N16+'8'!N16+'9'!N16+'10'!N16</f>
        <v>724.29727500000001</v>
      </c>
      <c r="O16" s="101">
        <f>+'1'!O16+'2'!O16+'4'!O16+'3'!O16+'5'!O16+'6'!O16+'7'!O16+'8'!O16+'9'!O16+'10'!O16</f>
        <v>38.462042475000004</v>
      </c>
      <c r="P16" s="105">
        <f t="shared" ref="P16:P24" si="0">M16+N16+O16</f>
        <v>4105.6698174749999</v>
      </c>
      <c r="Q16" s="108"/>
      <c r="T16" s="163" t="str">
        <f>+'3'!A5</f>
        <v xml:space="preserve">Customer Name : Shell Pump </v>
      </c>
      <c r="U16" s="164">
        <f>+'3'!P35</f>
        <v>6431.211456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48</v>
      </c>
      <c r="I17" s="1">
        <f t="shared" ref="I17:I23" si="1">(G17*D17)*F17+H17*F17</f>
        <v>2518.1999999999998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88.137</v>
      </c>
      <c r="L17" s="175">
        <f>+'1'!L17+'2'!L17+'4'!L17+'3'!L17+'5'!L17+'6'!L17+'7'!L17+'8'!L17+'9'!L17+'10'!L17</f>
        <v>201.45599999999999</v>
      </c>
      <c r="M17" s="118">
        <f t="shared" ref="M17:M23" si="2">I17-K17-L17</f>
        <v>2228.6069999999995</v>
      </c>
      <c r="N17" s="101">
        <f>+'1'!N17+'2'!N17+'4'!N17+'3'!N17+'5'!N17+'6'!N17+'7'!N17+'8'!N17+'9'!N17+'10'!N17</f>
        <v>479.15050499999995</v>
      </c>
      <c r="O17" s="101">
        <f>+'1'!O17+'2'!O17+'4'!O17+'3'!O17+'5'!O17+'6'!O17+'7'!O17+'8'!O17+'9'!O17+'10'!O17</f>
        <v>27.133290225</v>
      </c>
      <c r="P17" s="120">
        <f t="shared" si="0"/>
        <v>2734.8907952249997</v>
      </c>
      <c r="S17" s="64"/>
      <c r="T17" s="163" t="str">
        <f>+'4'!A5</f>
        <v xml:space="preserve">Customer Name : Star Bakers </v>
      </c>
      <c r="U17" s="164">
        <f>+'4'!P35</f>
        <v>3215.605728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Iqbal Store</v>
      </c>
      <c r="U18" s="164">
        <f>+'5'!P35</f>
        <v>1664.2566438000003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40</v>
      </c>
      <c r="I19" s="1">
        <f t="shared" si="1"/>
        <v>2905.6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101.69600000000001</v>
      </c>
      <c r="L19" s="175">
        <f>+'1'!L19+'2'!L19+'4'!L19+'3'!L19+'5'!L19+'6'!L19+'7'!L19+'8'!L19+'9'!L19+'10'!L19</f>
        <v>232.44800000000001</v>
      </c>
      <c r="M19" s="118">
        <f t="shared" si="2"/>
        <v>2571.4560000000001</v>
      </c>
      <c r="N19" s="101">
        <f>+'1'!N19+'2'!N19+'4'!N19+'3'!N19+'5'!N19+'6'!N19+'7'!N19+'8'!N19+'9'!N19+'10'!N19</f>
        <v>565.72032000000002</v>
      </c>
      <c r="O19" s="101">
        <f>+'1'!O19+'2'!O19+'4'!O19+'3'!O19+'5'!O19+'6'!O19+'7'!O19+'8'!O19+'9'!O19+'10'!O19</f>
        <v>78.429408000000009</v>
      </c>
      <c r="P19" s="120">
        <f t="shared" si="0"/>
        <v>3215.605728</v>
      </c>
      <c r="T19" s="163" t="str">
        <f>+'6'!A5</f>
        <v>Customer Name : Ali Brother Store</v>
      </c>
      <c r="U19" s="164">
        <f>+'6'!P35</f>
        <v>2474.364037375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20</v>
      </c>
      <c r="I20" s="1">
        <f t="shared" si="1"/>
        <v>1452.8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50.848000000000006</v>
      </c>
      <c r="L20" s="175">
        <f>+'1'!L20+'2'!L20+'4'!L20+'3'!L20+'5'!L20+'6'!L20+'7'!L20+'8'!L20+'9'!L20+'10'!L20</f>
        <v>116.224</v>
      </c>
      <c r="M20" s="118">
        <f t="shared" si="2"/>
        <v>1285.7280000000001</v>
      </c>
      <c r="N20" s="101">
        <f>+'1'!N20+'2'!N20+'4'!N20+'3'!N20+'5'!N20+'6'!N20+'7'!N20+'8'!N20+'9'!N20+'10'!N20</f>
        <v>282.86016000000001</v>
      </c>
      <c r="O20" s="101">
        <f>+'1'!O20+'2'!O20+'4'!O20+'3'!O20+'5'!O20+'6'!O20+'7'!O20+'8'!O20+'9'!O20+'10'!O20</f>
        <v>39.214704000000005</v>
      </c>
      <c r="P20" s="120">
        <f t="shared" si="0"/>
        <v>1607.802864</v>
      </c>
      <c r="T20" s="163" t="str">
        <f>+'7'!A5</f>
        <v>Customer Name : Tufail Store</v>
      </c>
      <c r="U20" s="164">
        <f>+'7'!P35</f>
        <v>2277.07920225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60</v>
      </c>
      <c r="I21" s="1">
        <f t="shared" si="1"/>
        <v>4358.3999999999996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152.54400000000001</v>
      </c>
      <c r="L21" s="175">
        <f>+'1'!L21+'2'!L21+'4'!L21+'3'!L21+'5'!L21+'6'!L21+'7'!L21+'8'!L21+'9'!L21+'10'!L21</f>
        <v>348.67200000000003</v>
      </c>
      <c r="M21" s="118">
        <f t="shared" si="2"/>
        <v>3857.1839999999997</v>
      </c>
      <c r="N21" s="101">
        <f>+'1'!N21+'2'!N21+'4'!N21+'3'!N21+'5'!N21+'6'!N21+'7'!N21+'8'!N21+'9'!N21+'10'!N21</f>
        <v>848.58048000000008</v>
      </c>
      <c r="O21" s="101">
        <f>+'1'!O21+'2'!O21+'4'!O21+'3'!O21+'5'!O21+'6'!O21+'7'!O21+'8'!O21+'9'!O21+'10'!O21</f>
        <v>117.64411200000001</v>
      </c>
      <c r="P21" s="120">
        <f t="shared" si="0"/>
        <v>4823.4085919999998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72</v>
      </c>
      <c r="I22" s="1">
        <f t="shared" si="1"/>
        <v>2824.5600000000004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98.859600000000029</v>
      </c>
      <c r="L22" s="175">
        <f>+'1'!L22+'2'!L22+'4'!L22+'3'!L22+'5'!L22+'6'!L22+'7'!L22+'8'!L22+'9'!L22+'10'!L22</f>
        <v>282.45600000000007</v>
      </c>
      <c r="M22" s="118">
        <f t="shared" si="2"/>
        <v>2443.2444</v>
      </c>
      <c r="N22" s="101">
        <f>+'1'!N22+'2'!N22+'4'!N22+'3'!N22+'5'!N22+'6'!N22+'7'!N22+'8'!N22+'9'!N22+'10'!N22</f>
        <v>521.22547200000008</v>
      </c>
      <c r="O22" s="101">
        <f>+'1'!O22+'2'!O22+'4'!O22+'3'!O22+'5'!O22+'6'!O22+'7'!O22+'8'!O22+'9'!O22+'10'!O22</f>
        <v>31.382116960000005</v>
      </c>
      <c r="P22" s="120">
        <f t="shared" si="0"/>
        <v>2995.8519889600002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7.8</v>
      </c>
      <c r="D25" s="215"/>
      <c r="E25" s="215"/>
      <c r="F25" s="215"/>
      <c r="G25" s="176">
        <f t="shared" ref="G25:M25" si="3">SUM(G16:G24)</f>
        <v>0</v>
      </c>
      <c r="H25" s="177">
        <f t="shared" si="3"/>
        <v>312</v>
      </c>
      <c r="I25" s="178">
        <f t="shared" si="3"/>
        <v>17836.86</v>
      </c>
      <c r="J25" s="177">
        <f t="shared" si="3"/>
        <v>0</v>
      </c>
      <c r="K25" s="178">
        <f t="shared" si="3"/>
        <v>624.29010000000005</v>
      </c>
      <c r="L25" s="179">
        <f t="shared" si="3"/>
        <v>1483.44</v>
      </c>
      <c r="M25" s="141">
        <f t="shared" si="3"/>
        <v>15729.129899999998</v>
      </c>
      <c r="N25" s="142">
        <f>SUM(N16:N24)</f>
        <v>3421.8342120000002</v>
      </c>
      <c r="O25" s="143">
        <f>SUM(O16:O24)</f>
        <v>332.26567366</v>
      </c>
      <c r="P25" s="144">
        <f>SUM(P16:P24)</f>
        <v>19483.229785659998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19483.229785659998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17836.86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1483.44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624.29010000000005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15729.1299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3421.8342120000002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19150.964112000001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478.77410280000004</v>
      </c>
    </row>
    <row r="43" spans="1:21" ht="15.75" customHeight="1" thickBot="1" x14ac:dyDescent="0.4">
      <c r="N43" s="213" t="s">
        <v>92</v>
      </c>
      <c r="O43" s="214"/>
      <c r="P43" s="160">
        <f>P41+P42</f>
        <v>19629.738214800003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2" max="2" width="24.269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3.26953125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6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>
        <v>32777876136186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40.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30</v>
      </c>
      <c r="I16" s="102">
        <f>(G16*D16)*F16+H16*F16</f>
        <v>1573.875</v>
      </c>
      <c r="J16" s="103"/>
      <c r="K16" s="104">
        <f>I16*3.5%</f>
        <v>55.085625000000007</v>
      </c>
      <c r="L16" s="105">
        <f>I16*8%</f>
        <v>125.91</v>
      </c>
      <c r="M16" s="106">
        <f>I16-K16-L16</f>
        <v>1392.879375</v>
      </c>
      <c r="N16" s="106">
        <f t="shared" ref="N16:N24" si="0">(M16*$N$15)+(J16*F16)*$N$15</f>
        <v>306.43346250000002</v>
      </c>
      <c r="O16" s="107">
        <f t="shared" ref="O16:O24" si="1">(N16+M16)*$O$15</f>
        <v>8.4965641875000006</v>
      </c>
      <c r="P16" s="105">
        <f t="shared" ref="P16:P24" si="2">M16+N16+O16</f>
        <v>1707.8094016875002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/>
      <c r="K17" s="104">
        <f t="shared" ref="K17:K21" si="4">I17*3.5%</f>
        <v>18.361875000000001</v>
      </c>
      <c r="L17" s="105">
        <f t="shared" ref="L17:L21" si="5">I17*8%</f>
        <v>41.97</v>
      </c>
      <c r="M17" s="118">
        <f t="shared" ref="M17:M23" si="6">I17-K17-L17</f>
        <v>464.29312500000003</v>
      </c>
      <c r="N17" s="118">
        <f t="shared" si="0"/>
        <v>102.14448750000001</v>
      </c>
      <c r="O17" s="119">
        <f t="shared" si="1"/>
        <v>2.8321880625000002</v>
      </c>
      <c r="P17" s="120">
        <f t="shared" si="2"/>
        <v>569.2698005625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40</v>
      </c>
      <c r="I25" s="137">
        <f t="shared" si="13"/>
        <v>2098.5</v>
      </c>
      <c r="J25" s="138"/>
      <c r="K25" s="139">
        <f t="shared" si="13"/>
        <v>73.447500000000005</v>
      </c>
      <c r="L25" s="140">
        <f t="shared" si="13"/>
        <v>167.88</v>
      </c>
      <c r="M25" s="141">
        <f t="shared" si="13"/>
        <v>1857.1725000000001</v>
      </c>
      <c r="N25" s="142">
        <f>SUM(N16:N24)</f>
        <v>408.57795000000004</v>
      </c>
      <c r="O25" s="143">
        <f>SUM(O16:O24)</f>
        <v>11.328752250000001</v>
      </c>
      <c r="P25" s="144">
        <f>SUM(P16:P24)</f>
        <v>2277.07920225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2098.5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167.88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73.447500000000005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1857.1724999999999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408.57795000000004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2265.75045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11.328752250000001</v>
      </c>
    </row>
    <row r="35" spans="2:16" ht="15.75" customHeight="1" thickBot="1" x14ac:dyDescent="0.4">
      <c r="N35" s="213" t="s">
        <v>92</v>
      </c>
      <c r="O35" s="214"/>
      <c r="P35" s="160">
        <f>P33+P34</f>
        <v>2277.07920225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124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50.143657499999989</v>
      </c>
      <c r="O16" s="107">
        <f>(N16+M16)*$O$15</f>
        <v>1.6435976624999995</v>
      </c>
      <c r="P16" s="105">
        <f t="shared" ref="P16:P24" si="1">M16+N16+O16</f>
        <v>330.36313016249989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50.143657499999989</v>
      </c>
      <c r="O17" s="119">
        <f t="shared" ref="O17:O24" si="6">(N17+M17)*$O$15</f>
        <v>1.6435976624999995</v>
      </c>
      <c r="P17" s="120">
        <f t="shared" si="1"/>
        <v>330.36313016249989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73.297331999999997</v>
      </c>
      <c r="O22" s="119">
        <f t="shared" si="6"/>
        <v>2.4025236599999999</v>
      </c>
      <c r="P22" s="120">
        <f t="shared" si="1"/>
        <v>482.90725565999998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24</v>
      </c>
      <c r="I25" s="137">
        <f t="shared" si="9"/>
        <v>1100.31</v>
      </c>
      <c r="J25" s="138"/>
      <c r="K25" s="139">
        <f t="shared" si="9"/>
        <v>38.510850000000005</v>
      </c>
      <c r="L25" s="140">
        <f t="shared" si="9"/>
        <v>97.44</v>
      </c>
      <c r="M25" s="141">
        <f t="shared" si="9"/>
        <v>964.35914999999989</v>
      </c>
      <c r="N25" s="142">
        <f>SUM(N16:N24)</f>
        <v>173.58464699999996</v>
      </c>
      <c r="O25" s="143">
        <f>SUM(O16:O24)</f>
        <v>5.689718984999999</v>
      </c>
      <c r="P25" s="144">
        <f>SUM(P16:P24)</f>
        <v>1143.6335159849998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1100.31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97.44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38.510850000000005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964.35914999999989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173.58464699999996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1137.9437969999999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5.6897189849999998</v>
      </c>
    </row>
    <row r="35" spans="2:16" ht="15.75" customHeight="1" thickBot="1" x14ac:dyDescent="0.4">
      <c r="N35" s="213" t="s">
        <v>92</v>
      </c>
      <c r="O35" s="214"/>
      <c r="P35" s="160">
        <f>P33+P34</f>
        <v>1143.6335159849998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282.86016000000001</v>
      </c>
      <c r="O19" s="119">
        <f t="shared" si="6"/>
        <v>39.214704000000005</v>
      </c>
      <c r="P19" s="120">
        <f t="shared" si="1"/>
        <v>1607.802864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39.214704000000005</v>
      </c>
      <c r="P20" s="120">
        <f t="shared" si="1"/>
        <v>1607.802864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565.72032000000002</v>
      </c>
      <c r="O21" s="119">
        <f t="shared" si="6"/>
        <v>78.429408000000009</v>
      </c>
      <c r="P21" s="120">
        <f t="shared" si="1"/>
        <v>3215.605728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1131.44064</v>
      </c>
      <c r="O25" s="143">
        <f>SUM(O16:O24)</f>
        <v>156.85881600000002</v>
      </c>
      <c r="P25" s="144">
        <f>SUM(P16:P24)</f>
        <v>6431.211456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5811.2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464.89600000000002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203.39200000000002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5142.9120000000003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1131.44064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6274.3526400000001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156.85881600000002</v>
      </c>
    </row>
    <row r="35" spans="2:16" ht="15.75" customHeight="1" thickBot="1" x14ac:dyDescent="0.4">
      <c r="N35" s="213" t="s">
        <v>92</v>
      </c>
      <c r="O35" s="214"/>
      <c r="P35" s="160">
        <f>P33+P34</f>
        <v>6431.211456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282.86016000000001</v>
      </c>
      <c r="O19" s="119">
        <f t="shared" si="6"/>
        <v>39.214704000000005</v>
      </c>
      <c r="P19" s="120">
        <f t="shared" si="1"/>
        <v>1607.802864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39.214704000000005</v>
      </c>
      <c r="P21" s="120">
        <f t="shared" si="1"/>
        <v>1607.802864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565.72032000000002</v>
      </c>
      <c r="O25" s="143">
        <f>SUM(O16:O24)</f>
        <v>78.429408000000009</v>
      </c>
      <c r="P25" s="144">
        <f>SUM(P16:P24)</f>
        <v>3215.605728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232.44800000000001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101.69600000000001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3137.17632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78.429408000000009</v>
      </c>
    </row>
    <row r="35" spans="2:16" ht="15.75" customHeight="1" thickBot="1" x14ac:dyDescent="0.4">
      <c r="N35" s="213" t="s">
        <v>92</v>
      </c>
      <c r="O35" s="214"/>
      <c r="P35" s="160">
        <f>P33+P34</f>
        <v>3215.605728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8.2798838000000021</v>
      </c>
      <c r="P25" s="144">
        <f>SUM(P16:P24)</f>
        <v>1664.2566438000003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1569.2000000000003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156.92000000000004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1357.3580000000002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1655.9767600000002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8.2798838000000021</v>
      </c>
    </row>
    <row r="35" spans="2:16" ht="15.75" customHeight="1" thickBot="1" x14ac:dyDescent="0.4">
      <c r="N35" s="213" t="s">
        <v>92</v>
      </c>
      <c r="O35" s="214"/>
      <c r="P35" s="160">
        <f>P33+P34</f>
        <v>1664.2566438000003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2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133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16</v>
      </c>
      <c r="I16" s="102">
        <f>(G16*D16)*F16+H16*F16</f>
        <v>839.4</v>
      </c>
      <c r="J16" s="103"/>
      <c r="K16" s="104">
        <f>I16*3.5%</f>
        <v>29.379000000000001</v>
      </c>
      <c r="L16" s="105">
        <f>I16*8%</f>
        <v>67.152000000000001</v>
      </c>
      <c r="M16" s="106">
        <f>I16-K16-L16</f>
        <v>742.86899999999991</v>
      </c>
      <c r="N16" s="106">
        <f t="shared" ref="N16:N24" si="0">(M16*$N$15)+(J16*F16)*$N$15</f>
        <v>163.43117999999998</v>
      </c>
      <c r="O16" s="107">
        <f>(N16+M16)*$O$15</f>
        <v>22.657504500000002</v>
      </c>
      <c r="P16" s="105">
        <f t="shared" ref="P16:P24" si="1">M16+N16+O16</f>
        <v>928.95768449999991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122.57338499999997</v>
      </c>
      <c r="O17" s="119">
        <f t="shared" ref="O17:O24" si="6">(N17+M17)*$O$15</f>
        <v>16.993128374999998</v>
      </c>
      <c r="P17" s="120">
        <f t="shared" si="1"/>
        <v>696.71826337499988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I22*10%</f>
        <v>78.460000000000022</v>
      </c>
      <c r="M22" s="118">
        <f t="shared" si="5"/>
        <v>678.67900000000009</v>
      </c>
      <c r="N22" s="118">
        <f t="shared" si="0"/>
        <v>149.30938000000003</v>
      </c>
      <c r="O22" s="119">
        <f t="shared" si="6"/>
        <v>20.699709500000004</v>
      </c>
      <c r="P22" s="120">
        <f t="shared" si="1"/>
        <v>848.68808950000016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48</v>
      </c>
      <c r="I25" s="137">
        <f t="shared" si="9"/>
        <v>2253.5500000000002</v>
      </c>
      <c r="J25" s="138"/>
      <c r="K25" s="139">
        <f t="shared" si="9"/>
        <v>78.874250000000018</v>
      </c>
      <c r="L25" s="140">
        <f t="shared" si="9"/>
        <v>195.976</v>
      </c>
      <c r="M25" s="141">
        <f t="shared" si="9"/>
        <v>1978.6997499999998</v>
      </c>
      <c r="N25" s="142">
        <f>SUM(N16:N24)</f>
        <v>435.31394499999999</v>
      </c>
      <c r="O25" s="143">
        <f>SUM(O16:O24)</f>
        <v>60.350342375000004</v>
      </c>
      <c r="P25" s="144">
        <f>SUM(P16:P24)</f>
        <v>2474.364037375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2253.5500000000002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195.976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78.874250000000018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1978.69975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435.31394499999999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2414.0136950000001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60.350342375000004</v>
      </c>
    </row>
    <row r="35" spans="2:16" ht="15.75" customHeight="1" thickBot="1" x14ac:dyDescent="0.4">
      <c r="N35" s="213" t="s">
        <v>92</v>
      </c>
      <c r="O35" s="214"/>
      <c r="P35" s="160">
        <f>P33+P34</f>
        <v>2474.364037375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135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136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5.6643761250000004</v>
      </c>
      <c r="P16" s="105">
        <f t="shared" ref="P16:P24" si="1">M16+N16+O16</f>
        <v>1138.539601125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5.6643761250000004</v>
      </c>
      <c r="P17" s="120">
        <f t="shared" si="1"/>
        <v>1138.539601125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408.57795000000004</v>
      </c>
      <c r="O25" s="143">
        <f>SUM(O16:O24)</f>
        <v>11.328752250000001</v>
      </c>
      <c r="P25" s="144">
        <f>SUM(P16:P24)</f>
        <v>2277.07920225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2098.5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167.88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73.447500000000005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1857.1724999999999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408.57795000000004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2265.75045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11.328752250000001</v>
      </c>
    </row>
    <row r="35" spans="2:16" ht="15.75" customHeight="1" thickBot="1" x14ac:dyDescent="0.4">
      <c r="N35" s="213" t="s">
        <v>92</v>
      </c>
      <c r="O35" s="214"/>
      <c r="P35" s="160">
        <f>P33+P34</f>
        <v>2277.07920225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1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2026-07-03T05:20:16Z</dcterms:modified>
</cp:coreProperties>
</file>