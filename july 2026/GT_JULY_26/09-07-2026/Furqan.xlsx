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55EDBE09-1D43-4353-8696-E564BB8FD4B9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18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7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0" i="19" l="1"/>
  <c r="L21" i="19"/>
  <c r="K21" i="19"/>
  <c r="L19" i="19"/>
  <c r="K19" i="19"/>
  <c r="L17" i="19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L25" i="19" l="1"/>
  <c r="P29" i="19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31" i="18" l="1"/>
  <c r="P31" i="19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<sst xmlns="http://schemas.openxmlformats.org/spreadsheetml/2006/main" count="1634" uniqueCount="130">
  <si>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</si>
  <si>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</si>
  <si>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</si>
  <si>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</si>
  <si>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</si>
  <si>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</si>
  <si>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</si>
  <si>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</si>
  <si>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</si>
  <si>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</si>
  <si>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</si>
  <si>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</si>
  <si>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</si>
  <si>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</si>
  <si>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</si>
  <si>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</si>
  <si>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</si>
  <si>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</si>
  <si>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</si>
  <si>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</si>
  <si>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</si>
  <si>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</si>
  <si>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</si>
  <si>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</si>
  <si>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</si>
  <si>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</si>
  <si>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</si>
  <si>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</si>
  <si>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</si>
  <si>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</si>
  <si>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</si>
  <si>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</si>
  <si>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</si>
  <si>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</si>
  <si>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</si>
  <si>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</si>
  <si>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</si>
  <si>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</si>
  <si>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</si>
  <si>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</si>
  <si>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</si>
  <si>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</si>
  <si>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</si>
  <si>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</si>
  <si>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</si>
  <si>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</si>
  <si>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</si>
  <si>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</si>
  <si>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</si>
  <si>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</si>
  <si>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</si>
  <si>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</si>
  <si>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</si>
  <si>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</si>
  <si>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</si>
  <si>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</si>
  <si>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</si>
  <si>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</si>
  <si>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</si>
  <si>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</si>
  <si>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</si>
  <si>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</si>
  <si>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</si>
  <si>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</si>
  <si>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</si>
  <si>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</si>
  <si>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</si>
  <si>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</si>
  <si>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</si>
  <si>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</si>
  <si>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</si>
  <si>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</si>
  <si>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</si>
  <si>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</si>
  <si>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</si>
  <si>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</si>
  <si>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</si>
  <si>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</si>
  <si>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</si>
  <si>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</si>
  <si>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</si>
  <si>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</si>
  <si>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</si>
  <si>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</si>
  <si>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</si>
  <si>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</si>
  <si>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</si>
  <si>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</si>
  <si>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</si>
  <si>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</si>
  <si>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</si>
  <si>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</si>
  <si>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</si>
  <si>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</si>
  <si>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</si>
  <si>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</si>
  <si>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</si>
  <si>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</si>
  <si>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</si>
  <si>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</si>
  <si>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</si>
  <si>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</si>
  <si>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</si>
  <si>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</si>
  <si>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</si>
  <si>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</si>
  <si>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</si>
  <si>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</si>
  <si>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</si>
  <si>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</si>
  <si>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</si>
  <si>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</si>
  <si>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</si>
  <si>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</si>
  <si>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</si>
  <si>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</si>
  <si>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</si>
  <si>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</si>
  <si>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</si>
  <si>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</si>
  <si>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 (Furqan)</t>
  </si>
  <si>
    <t xml:space="preserve">Customer Name : Saeed Bakery </t>
  </si>
  <si>
    <t>Address: Kanak Mandi Mozang</t>
  </si>
  <si>
    <t>Customer Name : Super Fina Bakery</t>
  </si>
  <si>
    <t xml:space="preserve">Address: Kanak Mandi </t>
  </si>
  <si>
    <t>1446856-7</t>
  </si>
  <si>
    <t>Customer Name : Zaheed Store</t>
  </si>
  <si>
    <t>3255339-7</t>
  </si>
  <si>
    <t xml:space="preserve">Customer Name : Mughal Bakery </t>
  </si>
  <si>
    <t xml:space="preserve">Address: Nanak Mandi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</si>
</sst>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3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96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120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Saeed Bakery </v>
      </c>
      <c r="U14" s="164">
        <f>+'1'!P35</f>
        <v>933.05280960000016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Super Fina Bakery</v>
      </c>
      <c r="U15" s="164">
        <f>+'2'!P35</f>
        <v>498.69979430400002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12</v>
      </c>
      <c r="I16" s="1">
        <f>(G16*D16)*F16+H16*F16</f>
        <v>629.54999999999995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22.03425</v>
      </c>
      <c r="L16" s="175">
        <f>+'1'!L16+'2'!L16+'4'!L16+'3'!L16+'5'!L16+'6'!L16+'7'!L16+'8'!L16+'9'!L16+'10'!L16</f>
        <v>50.363999999999997</v>
      </c>
      <c r="M16" s="106">
        <f>I16-K16-L16</f>
        <v>557.15174999999988</v>
      </c>
      <c r="N16" s="101">
        <f>+'1'!N16+'2'!N16+'4'!N16+'3'!N16+'5'!N16+'6'!N16+'7'!N16+'8'!N16+'9'!N16+'10'!N16</f>
        <v>122.57338499999997</v>
      </c>
      <c r="O16" s="101">
        <f>+'1'!O16+'2'!O16+'4'!O16+'3'!O16+'5'!O16+'6'!O16+'7'!O16+'8'!O16+'9'!O16+'10'!O16</f>
        <v>3.3986256749999995</v>
      </c>
      <c r="P16" s="105">
        <f t="shared" ref="P16:P24" si="0">M16+N16+O16</f>
        <v>683.12376067499986</v>
      </c>
      <c r="Q16" s="108"/>
      <c r="T16" s="163" t="str">
        <f>+'3'!A5</f>
        <v>Customer Name : Zaheed Store</v>
      </c>
      <c r="U16" s="164">
        <f>+'3'!P35</f>
        <v>4702.5232970939996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12</v>
      </c>
      <c r="I17" s="1">
        <f t="shared" ref="I17:I23" si="1">(G17*D17)*F17+H17*F17</f>
        <v>629.54999999999995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22.03425</v>
      </c>
      <c r="L17" s="175">
        <f>+'1'!L17+'2'!L17+'4'!L17+'3'!L17+'5'!L17+'6'!L17+'7'!L17+'8'!L17+'9'!L17+'10'!L17</f>
        <v>50.363999999999997</v>
      </c>
      <c r="M17" s="118">
        <f t="shared" ref="M17:M23" si="2">I17-K17-L17</f>
        <v>557.15174999999988</v>
      </c>
      <c r="N17" s="101">
        <f>+'1'!N17+'2'!N17+'4'!N17+'3'!N17+'5'!N17+'6'!N17+'7'!N17+'8'!N17+'9'!N17+'10'!N17</f>
        <v>122.57338499999997</v>
      </c>
      <c r="O17" s="101">
        <f>+'1'!O17+'2'!O17+'4'!O17+'3'!O17+'5'!O17+'6'!O17+'7'!O17+'8'!O17+'9'!O17+'10'!O17</f>
        <v>3.3986256749999995</v>
      </c>
      <c r="P17" s="120">
        <f t="shared" si="0"/>
        <v>683.12376067499986</v>
      </c>
      <c r="S17" s="64"/>
      <c r="T17" s="163" t="str">
        <f>+'4'!A5</f>
        <v xml:space="preserve">Customer Name : Mughal Bakery </v>
      </c>
      <c r="U17" s="164">
        <f>+'4'!P35</f>
        <v>1639.8265536000001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16</v>
      </c>
      <c r="I19" s="1">
        <f t="shared" si="1"/>
        <v>1162.24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40.678400000000003</v>
      </c>
      <c r="L19" s="175">
        <f>+'1'!L19+'2'!L19+'4'!L19+'3'!L19+'5'!L19+'6'!L19+'7'!L19+'8'!L19+'9'!L19+'10'!L19</f>
        <v>92.979200000000006</v>
      </c>
      <c r="M19" s="118">
        <f t="shared" si="2"/>
        <v>1028.5824</v>
      </c>
      <c r="N19" s="101">
        <f>+'1'!N19+'2'!N19+'4'!N19+'3'!N19+'5'!N19+'6'!N19+'7'!N19+'8'!N19+'9'!N19+'10'!N19</f>
        <v>216.00230400000004</v>
      </c>
      <c r="O19" s="101">
        <f>+'1'!O19+'2'!O19+'4'!O19+'3'!O19+'5'!O19+'6'!O19+'7'!O19+'8'!O19+'9'!O19+'10'!O19</f>
        <v>12.291559679999999</v>
      </c>
      <c r="P19" s="120">
        <f t="shared" si="0"/>
        <v>1256.8762636800002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16</v>
      </c>
      <c r="I20" s="1">
        <f t="shared" si="1"/>
        <v>1162.24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40.678400000000003</v>
      </c>
      <c r="L20" s="175">
        <f>+'1'!L20+'2'!L20+'4'!L20+'3'!L20+'5'!L20+'6'!L20+'7'!L20+'8'!L20+'9'!L20+'10'!L20</f>
        <v>92.979200000000006</v>
      </c>
      <c r="M20" s="118">
        <f t="shared" si="2"/>
        <v>1028.5824</v>
      </c>
      <c r="N20" s="101">
        <f>+'1'!N20+'2'!N20+'4'!N20+'3'!N20+'5'!N20+'6'!N20+'7'!N20+'8'!N20+'9'!N20+'10'!N20</f>
        <v>216.00230400000004</v>
      </c>
      <c r="O20" s="101">
        <f>+'1'!O20+'2'!O20+'4'!O20+'3'!O20+'5'!O20+'6'!O20+'7'!O20+'8'!O20+'9'!O20+'10'!O20</f>
        <v>12.291559679999999</v>
      </c>
      <c r="P20" s="120">
        <f t="shared" si="0"/>
        <v>1256.8762636800002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16</v>
      </c>
      <c r="I21" s="1">
        <f t="shared" si="1"/>
        <v>1162.24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40.678400000000003</v>
      </c>
      <c r="L21" s="175">
        <f>+'1'!L21+'2'!L21+'4'!L21+'3'!L21+'5'!L21+'6'!L21+'7'!L21+'8'!L21+'9'!L21+'10'!L21</f>
        <v>92.979200000000006</v>
      </c>
      <c r="M21" s="118">
        <f t="shared" si="2"/>
        <v>1028.5824</v>
      </c>
      <c r="N21" s="101">
        <f>+'1'!N21+'2'!N21+'4'!N21+'3'!N21+'5'!N21+'6'!N21+'7'!N21+'8'!N21+'9'!N21+'10'!N21</f>
        <v>216.00230400000004</v>
      </c>
      <c r="O21" s="101">
        <f>+'1'!O21+'2'!O21+'4'!O21+'3'!O21+'5'!O21+'6'!O21+'7'!O21+'8'!O21+'9'!O21+'10'!O21</f>
        <v>12.291559679999999</v>
      </c>
      <c r="P21" s="120">
        <f t="shared" si="0"/>
        <v>1256.8762636800002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64</v>
      </c>
      <c r="I22" s="1">
        <f t="shared" si="1"/>
        <v>2510.7200000000003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215.92192</v>
      </c>
      <c r="L22" s="175">
        <f>+'1'!L22+'2'!L22+'4'!L22+'3'!L22+'5'!L22+'6'!L22+'7'!L22+'8'!L22+'9'!L22+'10'!L22</f>
        <v>125.53600000000003</v>
      </c>
      <c r="M22" s="118">
        <f t="shared" si="2"/>
        <v>2169.2620800000004</v>
      </c>
      <c r="N22" s="101">
        <f>+'1'!N22+'2'!N22+'4'!N22+'3'!N22+'5'!N22+'6'!N22+'7'!N22+'8'!N22+'9'!N22+'10'!N22</f>
        <v>423.00610560000007</v>
      </c>
      <c r="O22" s="101">
        <f>+'1'!O22+'2'!O22+'4'!O22+'3'!O22+'5'!O22+'6'!O22+'7'!O22+'8'!O22+'9'!O22+'10'!O22</f>
        <v>44.957956608000011</v>
      </c>
      <c r="P22" s="120">
        <f t="shared" si="0"/>
        <v>2637.2261422080005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3.4</v>
      </c>
      <c r="D25" s="231"/>
      <c r="E25" s="231"/>
      <c r="F25" s="231"/>
      <c r="G25" s="176">
        <f t="shared" ref="G25:M25" si="3">SUM(G16:G24)</f>
        <v>0</v>
      </c>
      <c r="H25" s="177">
        <f t="shared" si="3"/>
        <v>136</v>
      </c>
      <c r="I25" s="178">
        <f t="shared" si="3"/>
        <v>7256.54</v>
      </c>
      <c r="J25" s="177">
        <f t="shared" si="3"/>
        <v>0</v>
      </c>
      <c r="K25" s="178">
        <f t="shared" si="3"/>
        <v>382.02562</v>
      </c>
      <c r="L25" s="179">
        <f t="shared" si="3"/>
        <v>505.20159999999998</v>
      </c>
      <c r="M25" s="141">
        <f t="shared" si="3"/>
        <v>6369.3127800000002</v>
      </c>
      <c r="N25" s="142">
        <f>SUM(N16:N24)</f>
        <v>1316.1597876000001</v>
      </c>
      <c r="O25" s="143">
        <f>SUM(O16:O24)</f>
        <v>88.629886998000018</v>
      </c>
      <c r="P25" s="144">
        <f>SUM(P16:P24)</f>
        <v>7774.1024545980017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7774.1024545979999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7256.54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505.20159999999998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382.02562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6369.3127799999993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1316.1597876000001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7685.4725675999998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192.13681419</v>
      </c>
    </row>
    <row r="43" spans="1:21" ht="15.75" customHeight="1" thickBot="1" x14ac:dyDescent="0.4">
      <c r="N43" s="229" t="s">
        <v>92</v>
      </c>
      <c r="O43" s="230"/>
      <c r="P43" s="160">
        <f>P41+P42</f>
        <v>7877.60938179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26 16383:16384" ht="15" customHeight="1" x14ac:dyDescent="0.35">
      <c r="A6" s="211" t="s">
        <v>122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3640272298333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</v>
      </c>
      <c r="I19" s="116">
        <f t="shared" si="3"/>
        <v>290.56</v>
      </c>
      <c r="J19" s="117"/>
      <c r="K19" s="104">
        <f t="shared" si="4"/>
        <v>10.169600000000001</v>
      </c>
      <c r="L19" s="105">
        <f t="shared" si="5"/>
        <v>23.244800000000001</v>
      </c>
      <c r="M19" s="118">
        <f t="shared" si="6"/>
        <v>257.1456</v>
      </c>
      <c r="N19" s="118">
        <f t="shared" si="0"/>
        <v>46.286208000000002</v>
      </c>
      <c r="O19" s="119">
        <f t="shared" si="1"/>
        <v>7.5857951999999997</v>
      </c>
      <c r="P19" s="120">
        <f t="shared" si="2"/>
        <v>311.0176032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</v>
      </c>
      <c r="I20" s="116">
        <f t="shared" si="3"/>
        <v>290.56</v>
      </c>
      <c r="J20" s="117"/>
      <c r="K20" s="104">
        <f t="shared" si="4"/>
        <v>10.169600000000001</v>
      </c>
      <c r="L20" s="105">
        <f t="shared" si="5"/>
        <v>23.244800000000001</v>
      </c>
      <c r="M20" s="118">
        <f t="shared" si="6"/>
        <v>257.1456</v>
      </c>
      <c r="N20" s="118">
        <f t="shared" si="0"/>
        <v>46.286208000000002</v>
      </c>
      <c r="O20" s="119">
        <f t="shared" si="1"/>
        <v>7.5857951999999997</v>
      </c>
      <c r="P20" s="120">
        <f t="shared" si="2"/>
        <v>311.0176032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</v>
      </c>
      <c r="I21" s="116">
        <f t="shared" si="3"/>
        <v>290.56</v>
      </c>
      <c r="J21" s="117"/>
      <c r="K21" s="104">
        <f t="shared" si="4"/>
        <v>10.169600000000001</v>
      </c>
      <c r="L21" s="105">
        <f t="shared" si="5"/>
        <v>23.244800000000001</v>
      </c>
      <c r="M21" s="118">
        <f t="shared" si="6"/>
        <v>257.1456</v>
      </c>
      <c r="N21" s="118">
        <f t="shared" si="0"/>
        <v>46.286208000000002</v>
      </c>
      <c r="O21" s="119">
        <f t="shared" si="1"/>
        <v>7.5857951999999997</v>
      </c>
      <c r="P21" s="120">
        <f t="shared" si="2"/>
        <v>311.0176032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12</v>
      </c>
      <c r="I25" s="137">
        <f t="shared" si="13"/>
        <v>871.68000000000006</v>
      </c>
      <c r="J25" s="138"/>
      <c r="K25" s="139">
        <f t="shared" si="13"/>
        <v>30.508800000000001</v>
      </c>
      <c r="L25" s="140">
        <f t="shared" si="13"/>
        <v>69.734400000000008</v>
      </c>
      <c r="M25" s="141">
        <f t="shared" si="13"/>
        <v>771.43679999999995</v>
      </c>
      <c r="N25" s="142">
        <f>SUM(N16:N24)</f>
        <v>138.85862400000002</v>
      </c>
      <c r="O25" s="143">
        <f>SUM(O16:O24)</f>
        <v>22.757385599999999</v>
      </c>
      <c r="P25" s="144">
        <f>SUM(P16:P24)</f>
        <v>933.05280960000005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871.68000000000006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69.734400000000008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30.508800000000001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771.43680000000006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138.85862400000002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910.29542400000014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22.757385600000006</v>
      </c>
    </row>
    <row r="35" spans="2:16" ht="15.75" customHeight="1" thickBot="1" x14ac:dyDescent="0.4">
      <c r="N35" s="229" t="s">
        <v>92</v>
      </c>
      <c r="O35" s="230"/>
      <c r="P35" s="160">
        <f>P33+P34</f>
        <v>933.05280960000016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124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2.4810935039999999</v>
      </c>
      <c r="P22" s="120">
        <f t="shared" si="1"/>
        <v>498.69979430400002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89.482060799999999</v>
      </c>
      <c r="O25" s="143">
        <f>SUM(O16:O24)</f>
        <v>2.4810935039999999</v>
      </c>
      <c r="P25" s="144">
        <f>SUM(P16:P24)</f>
        <v>498.69979430400002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470.76000000000005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23.538000000000004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40.48536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406.73664000000002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89.482060799999999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496.21870080000002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2.4810935039999999</v>
      </c>
    </row>
    <row r="35" spans="2:16" ht="15.75" customHeight="1" thickBot="1" x14ac:dyDescent="0.4">
      <c r="N35" s="229" t="s">
        <v>92</v>
      </c>
      <c r="O35" s="230"/>
      <c r="P35" s="160">
        <f>P33+P34</f>
        <v>498.69979430400002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124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127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122.57338499999997</v>
      </c>
      <c r="O16" s="107">
        <f>(N16+M16)*$O$15</f>
        <v>3.3986256749999995</v>
      </c>
      <c r="P16" s="105">
        <f t="shared" ref="P16:P24" si="1">M16+N16+O16</f>
        <v>683.12376067499986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1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122.57338499999997</v>
      </c>
      <c r="O17" s="119">
        <f t="shared" ref="O17:O24" si="6">(N17+M17)*$O$15</f>
        <v>3.3986256749999995</v>
      </c>
      <c r="P17" s="120">
        <f t="shared" si="1"/>
        <v>683.12376067499986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04">
        <f t="shared" si="3"/>
        <v>30.508800000000004</v>
      </c>
      <c r="L19" s="105">
        <f t="shared" si="4"/>
        <v>69.734400000000008</v>
      </c>
      <c r="M19" s="118">
        <f t="shared" si="5"/>
        <v>771.43680000000006</v>
      </c>
      <c r="N19" s="118">
        <f t="shared" si="0"/>
        <v>169.71609600000002</v>
      </c>
      <c r="O19" s="119">
        <f t="shared" si="6"/>
        <v>4.70576448</v>
      </c>
      <c r="P19" s="120">
        <f t="shared" si="1"/>
        <v>945.85866048000003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04">
        <f t="shared" si="3"/>
        <v>30.508800000000004</v>
      </c>
      <c r="L20" s="105">
        <f t="shared" si="4"/>
        <v>69.734400000000008</v>
      </c>
      <c r="M20" s="118">
        <f t="shared" si="5"/>
        <v>771.43680000000006</v>
      </c>
      <c r="N20" s="118">
        <f t="shared" si="0"/>
        <v>169.71609600000002</v>
      </c>
      <c r="O20" s="119">
        <f t="shared" si="6"/>
        <v>4.70576448</v>
      </c>
      <c r="P20" s="120">
        <f t="shared" si="1"/>
        <v>945.85866048000003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169.71609600000002</v>
      </c>
      <c r="O21" s="119">
        <f t="shared" si="6"/>
        <v>4.70576448</v>
      </c>
      <c r="P21" s="120">
        <f t="shared" si="1"/>
        <v>945.85866048000003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2.4810935039999999</v>
      </c>
      <c r="P22" s="120">
        <f t="shared" si="1"/>
        <v>498.69979430400002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72</v>
      </c>
      <c r="I25" s="137">
        <f t="shared" si="9"/>
        <v>4344.9000000000005</v>
      </c>
      <c r="J25" s="138"/>
      <c r="K25" s="139">
        <f t="shared" si="9"/>
        <v>176.08026000000001</v>
      </c>
      <c r="L25" s="140">
        <f t="shared" si="9"/>
        <v>333.4692</v>
      </c>
      <c r="M25" s="141">
        <f t="shared" si="9"/>
        <v>3835.3505399999999</v>
      </c>
      <c r="N25" s="142">
        <f>SUM(N16:N24)</f>
        <v>843.77711879999993</v>
      </c>
      <c r="O25" s="143">
        <f>SUM(O16:O24)</f>
        <v>23.395638293999998</v>
      </c>
      <c r="P25" s="144">
        <f>SUM(P16:P24)</f>
        <v>4702.5232970939996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4344.9000000000005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333.4692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176.08026000000001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3835.3505400000004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843.77711879999993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4679.1276588000001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23.395638294000001</v>
      </c>
    </row>
    <row r="35" spans="2:16" ht="15.75" customHeight="1" thickBot="1" x14ac:dyDescent="0.4">
      <c r="N35" s="229" t="s">
        <v>92</v>
      </c>
      <c r="O35" s="230"/>
      <c r="P35" s="160">
        <f>P33+P34</f>
        <v>4702.5232970939996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129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3277876196185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78.460000000000022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134.9512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1355.7888000000003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1599.8307840000002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29" t="s">
        <v>92</v>
      </c>
      <c r="O35" s="230"/>
      <c r="P35" s="160">
        <f>P33+P34</f>
        <v>1639.8265536000001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K6" sqref="K6:M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2026-07-09T04:58:32Z</dcterms:modified>
</cp:coreProperties>
</file>