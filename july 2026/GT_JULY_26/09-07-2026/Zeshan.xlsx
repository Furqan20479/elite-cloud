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83821697-F1C8-4E00-A5B4-3F9758DD173C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7" l="1"/>
  <c r="K19" i="17"/>
  <c r="K20" i="17"/>
  <c r="K21" i="17"/>
  <c r="K18" i="19"/>
  <c r="K19" i="19"/>
  <c r="K20" i="19"/>
  <c r="K21" i="19"/>
  <c r="K17" i="18"/>
  <c r="K18" i="18"/>
  <c r="K21" i="18"/>
  <c r="K17" i="20"/>
  <c r="K18" i="20"/>
  <c r="K17" i="21"/>
  <c r="K18" i="21"/>
  <c r="K17" i="22"/>
  <c r="K18" i="22"/>
  <c r="K20" i="22"/>
  <c r="K18" i="23"/>
  <c r="K18" i="24"/>
  <c r="K19" i="24"/>
  <c r="K20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8"/>
  <c r="K16" i="20"/>
  <c r="K16" i="21"/>
  <c r="K16" i="22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K19" i="20" s="1"/>
  <c r="I21" i="20"/>
  <c r="I23" i="20"/>
  <c r="L23" i="20" s="1"/>
  <c r="M25" i="27"/>
  <c r="P24" i="27"/>
  <c r="I16" i="24"/>
  <c r="I17" i="24"/>
  <c r="I18" i="24"/>
  <c r="I19" i="24"/>
  <c r="L19" i="24" s="1"/>
  <c r="I20" i="24"/>
  <c r="I21" i="24"/>
  <c r="I22" i="24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I19" i="23"/>
  <c r="K19" i="23" s="1"/>
  <c r="I23" i="22"/>
  <c r="K23" i="22" s="1"/>
  <c r="I24" i="22"/>
  <c r="L24" i="22" s="1"/>
  <c r="I23" i="21"/>
  <c r="K23" i="21" s="1"/>
  <c r="I16" i="23"/>
  <c r="I18" i="23"/>
  <c r="L18" i="23" s="1"/>
  <c r="I20" i="23"/>
  <c r="I22" i="23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K20" i="21" s="1"/>
  <c r="I22" i="21"/>
  <c r="I24" i="21"/>
  <c r="K24" i="21" s="1"/>
  <c r="I16" i="17"/>
  <c r="K16" i="17" s="1"/>
  <c r="I17" i="17"/>
  <c r="K17" i="17" s="1"/>
  <c r="I18" i="17"/>
  <c r="I19" i="17"/>
  <c r="I20" i="17"/>
  <c r="I21" i="17"/>
  <c r="L21" i="17" s="1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4" l="1"/>
  <c r="K21" i="24"/>
  <c r="L17" i="24"/>
  <c r="K17" i="24"/>
  <c r="L16" i="24"/>
  <c r="K16" i="24"/>
  <c r="L17" i="23"/>
  <c r="K17" i="23"/>
  <c r="L16" i="23"/>
  <c r="K16" i="23"/>
  <c r="L20" i="23"/>
  <c r="K20" i="23"/>
  <c r="L21" i="20"/>
  <c r="K21" i="20"/>
  <c r="M21" i="20" s="1"/>
  <c r="N21" i="20" s="1"/>
  <c r="O21" i="20" s="1"/>
  <c r="L20" i="20"/>
  <c r="K20" i="20"/>
  <c r="L20" i="18"/>
  <c r="K20" i="18"/>
  <c r="M20" i="18" s="1"/>
  <c r="N20" i="18" s="1"/>
  <c r="O20" i="18" s="1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P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25" i="21" l="1"/>
  <c r="P32" i="21" s="1"/>
  <c r="M25" i="21"/>
  <c r="M21" i="15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<sst xmlns="http://schemas.openxmlformats.org/spreadsheetml/2006/main" count="1640" uniqueCount="139">
  <si>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</si>
  <si>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</si>
  <si>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</si>
  <si>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</si>
  <si>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</si>
  <si>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</si>
  <si>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</si>
  <si>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</si>
  <si>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</si>
  <si>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</si>
  <si>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</si>
  <si>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</si>
  <si>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</si>
  <si>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</si>
  <si>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</si>
  <si>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</si>
  <si>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</si>
  <si>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</si>
  <si>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</si>
  <si>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</si>
  <si>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</si>
  <si>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</si>
  <si>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</si>
  <si>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</si>
  <si>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</si>
  <si>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</si>
  <si>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</si>
  <si>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</si>
  <si>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</si>
  <si>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</si>
  <si>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</si>
  <si>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</si>
  <si>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</si>
  <si>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</si>
  <si>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</si>
  <si>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</si>
  <si>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</si>
  <si>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</si>
  <si>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</si>
  <si>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</si>
  <si>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</si>
  <si>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</si>
  <si>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</si>
  <si>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</si>
  <si>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</si>
  <si>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</si>
  <si>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</si>
  <si>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</si>
  <si>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</si>
  <si>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</si>
  <si>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</si>
  <si>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</si>
  <si>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</si>
  <si>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</si>
  <si>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</si>
  <si>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</si>
  <si>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</si>
  <si>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</si>
  <si>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</si>
  <si>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</si>
  <si>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</si>
  <si>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</si>
  <si>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</si>
  <si>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</si>
  <si>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</si>
  <si>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</si>
  <si>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</si>
  <si>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</si>
  <si>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</si>
  <si>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</si>
  <si>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</si>
  <si>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</si>
  <si>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</si>
  <si>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</si>
  <si>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</si>
  <si>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</si>
  <si>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</si>
  <si>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</si>
  <si>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</si>
  <si>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</si>
  <si>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</si>
  <si>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</si>
  <si>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</si>
  <si>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</si>
  <si>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</si>
  <si>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</si>
  <si>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</si>
  <si>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</si>
  <si>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</si>
  <si>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</si>
  <si>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</si>
  <si>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</si>
  <si>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</si>
  <si>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</si>
  <si>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</si>
  <si>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</si>
  <si>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</si>
  <si>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</si>
  <si>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</si>
  <si>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</si>
  <si>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</si>
  <si>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</si>
  <si>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</si>
  <si>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</si>
  <si>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</si>
  <si>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</si>
  <si>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</si>
  <si>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</si>
  <si>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</si>
  <si>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</si>
  <si>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</si>
  <si>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</si>
  <si>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</si>
  <si>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</si>
  <si>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</si>
  <si>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</si>
  <si>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</si>
  <si>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</si>
  <si>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</si>
  <si>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</si>
  <si>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Zeshan </t>
  </si>
  <si>
    <t>Shop Bill Summary (Zeshan)</t>
  </si>
  <si>
    <t>Customer Name : Euro Store</t>
  </si>
  <si>
    <t xml:space="preserve">Address: Nishat </t>
  </si>
  <si>
    <t>9878957-8</t>
  </si>
  <si>
    <t xml:space="preserve">Customer Name : Mahraja </t>
  </si>
  <si>
    <t>Address: DHA</t>
  </si>
  <si>
    <t>Customer Name : Trust Store</t>
  </si>
  <si>
    <t>Customer Name : MS Store</t>
  </si>
  <si>
    <t xml:space="preserve">Customer Name : Bravo Mart </t>
  </si>
  <si>
    <t>a276821-8</t>
  </si>
  <si>
    <t xml:space="preserve">Customer Name : Hamza Mart </t>
  </si>
  <si>
    <t>7164181-1</t>
  </si>
  <si>
    <t xml:space="preserve">Customer Name : Tariq Mart </t>
  </si>
  <si>
    <t>D301759-7</t>
  </si>
  <si>
    <t>Customer Name : Usman Store</t>
  </si>
  <si>
    <t>9561987-0</t>
  </si>
  <si>
    <t>Customer Name : Hafiz Store</t>
  </si>
  <si>
    <t>365357-7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</si>
</sst>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2" zoomScale="70" zoomScaleNormal="70" workbookViewId="0">
      <selection activeCell="V28" sqref="V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Euro Store</v>
      </c>
      <c r="U14" s="164">
        <f>+'1'!P35</f>
        <v>9148.4690111999989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Mahraja </v>
      </c>
      <c r="U15" s="164">
        <f>+'2'!P35</f>
        <v>2008.904052825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80</v>
      </c>
      <c r="I16" s="1">
        <f>(G16*D16)*F16+H16*F16</f>
        <v>4197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146.89500000000001</v>
      </c>
      <c r="L16" s="175">
        <f>+'1'!L16+'2'!L16+'4'!L16+'3'!L16+'5'!L16+'6'!L16+'7'!L16+'8'!L16+'9'!L16+'10'!L16</f>
        <v>335.76</v>
      </c>
      <c r="M16" s="106">
        <f>I16-K16-L16</f>
        <v>3714.3450000000003</v>
      </c>
      <c r="N16" s="101">
        <f>+'1'!N16+'2'!N16+'4'!N16+'3'!N16+'5'!N16+'6'!N16+'7'!N16+'8'!N16+'9'!N16+'10'!N16</f>
        <v>687.15382499999998</v>
      </c>
      <c r="O16" s="101">
        <f>+'1'!O16+'2'!O16+'4'!O16+'3'!O16+'5'!O16+'6'!O16+'7'!O16+'8'!O16+'9'!O16+'10'!O16</f>
        <v>33.336246375000002</v>
      </c>
      <c r="P16" s="105">
        <f t="shared" ref="P16:P24" si="0">M16+N16+O16</f>
        <v>4434.8350713750006</v>
      </c>
      <c r="Q16" s="108"/>
      <c r="T16" s="163" t="str">
        <f>+'3'!A5</f>
        <v>Customer Name : Trust Store</v>
      </c>
      <c r="U16" s="164">
        <f>+'3'!P35</f>
        <v>2202.4208677500001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60</v>
      </c>
      <c r="I17" s="1">
        <f t="shared" ref="I17:I23" si="1">(G17*D17)*F17+H17*F17</f>
        <v>3147.75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110.17125000000001</v>
      </c>
      <c r="L17" s="175">
        <f>+'1'!L17+'2'!L17+'4'!L17+'3'!L17+'5'!L17+'6'!L17+'7'!L17+'8'!L17+'9'!L17+'10'!L17</f>
        <v>251.82</v>
      </c>
      <c r="M17" s="118">
        <f t="shared" ref="M17:M23" si="2">I17-K17-L17</f>
        <v>2785.75875</v>
      </c>
      <c r="N17" s="101">
        <f>+'1'!N17+'2'!N17+'4'!N17+'3'!N17+'5'!N17+'6'!N17+'7'!N17+'8'!N17+'9'!N17+'10'!N17</f>
        <v>520.00829999999996</v>
      </c>
      <c r="O17" s="101">
        <f>+'1'!O17+'2'!O17+'4'!O17+'3'!O17+'5'!O17+'6'!O17+'7'!O17+'8'!O17+'9'!O17+'10'!O17</f>
        <v>27.857587500000001</v>
      </c>
      <c r="P17" s="120">
        <f t="shared" si="0"/>
        <v>3333.6246375000001</v>
      </c>
      <c r="S17" s="64"/>
      <c r="T17" s="163" t="str">
        <f>+'4'!A5</f>
        <v>Customer Name : MS Store</v>
      </c>
      <c r="U17" s="164">
        <f>+'4'!P35</f>
        <v>3049.4896703999998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Bravo Mart </v>
      </c>
      <c r="U18" s="164">
        <f>+'5'!P35</f>
        <v>3152.8622015999999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160</v>
      </c>
      <c r="I19" s="1">
        <f t="shared" si="1"/>
        <v>11622.4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406.78400000000005</v>
      </c>
      <c r="L19" s="175">
        <f>+'1'!L19+'2'!L19+'4'!L19+'3'!L19+'5'!L19+'6'!L19+'7'!L19+'8'!L19+'9'!L19+'10'!L19</f>
        <v>929.79200000000003</v>
      </c>
      <c r="M19" s="118">
        <f t="shared" si="2"/>
        <v>10285.824000000001</v>
      </c>
      <c r="N19" s="101">
        <f>+'1'!N19+'2'!N19+'4'!N19+'3'!N19+'5'!N19+'6'!N19+'7'!N19+'8'!N19+'9'!N19+'10'!N19</f>
        <v>1890.02016</v>
      </c>
      <c r="O19" s="101">
        <f>+'1'!O19+'2'!O19+'4'!O19+'3'!O19+'5'!O19+'6'!O19+'7'!O19+'8'!O19+'9'!O19+'10'!O19</f>
        <v>60.879220799999999</v>
      </c>
      <c r="P19" s="120">
        <f t="shared" si="0"/>
        <v>12236.7233808</v>
      </c>
      <c r="T19" s="163" t="str">
        <f>+'6'!A5</f>
        <v xml:space="preserve">Customer Name : Hamza Mart </v>
      </c>
      <c r="U19" s="164">
        <f>+'6'!P35</f>
        <v>10756.298949120001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110</v>
      </c>
      <c r="I20" s="1">
        <f t="shared" si="1"/>
        <v>7990.4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279.66399999999999</v>
      </c>
      <c r="L20" s="175">
        <f>+'1'!L20+'2'!L20+'4'!L20+'3'!L20+'5'!L20+'6'!L20+'7'!L20+'8'!L20+'9'!L20+'10'!L20</f>
        <v>639.23199999999997</v>
      </c>
      <c r="M20" s="118">
        <f t="shared" si="2"/>
        <v>7071.5039999999999</v>
      </c>
      <c r="N20" s="101">
        <f>+'1'!N20+'2'!N20+'4'!N20+'3'!N20+'5'!N20+'6'!N20+'7'!N20+'8'!N20+'9'!N20+'10'!N20</f>
        <v>1298.58528</v>
      </c>
      <c r="O20" s="101">
        <f>+'1'!O20+'2'!O20+'4'!O20+'3'!O20+'5'!O20+'6'!O20+'7'!O20+'8'!O20+'9'!O20+'10'!O20</f>
        <v>41.850446399999996</v>
      </c>
      <c r="P20" s="120">
        <f t="shared" si="0"/>
        <v>8411.9397263999999</v>
      </c>
      <c r="T20" s="163" t="str">
        <f>+'7'!A5</f>
        <v xml:space="preserve">Customer Name : Tariq Mart </v>
      </c>
      <c r="U20" s="164">
        <f>+'7'!P35</f>
        <v>4657.31960832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140</v>
      </c>
      <c r="I21" s="1">
        <f t="shared" si="1"/>
        <v>10169.6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355.93600000000004</v>
      </c>
      <c r="L21" s="175">
        <f>+'1'!L21+'2'!L21+'4'!L21+'3'!L21+'5'!L21+'6'!L21+'7'!L21+'8'!L21+'9'!L21+'10'!L21</f>
        <v>813.56799999999998</v>
      </c>
      <c r="M21" s="118">
        <f t="shared" si="2"/>
        <v>9000.0960000000014</v>
      </c>
      <c r="N21" s="101">
        <f>+'1'!N21+'2'!N21+'4'!N21+'3'!N21+'5'!N21+'6'!N21+'7'!N21+'8'!N21+'9'!N21+'10'!N21</f>
        <v>1658.5891199999999</v>
      </c>
      <c r="O21" s="101">
        <f>+'1'!O21+'2'!O21+'4'!O21+'3'!O21+'5'!O21+'6'!O21+'7'!O21+'8'!O21+'9'!O21+'10'!O21</f>
        <v>53.293425599999992</v>
      </c>
      <c r="P21" s="120">
        <f t="shared" si="0"/>
        <v>10711.978545600003</v>
      </c>
      <c r="T21" s="163" t="str">
        <f>+'8'!A5</f>
        <v>Customer Name : Usman Store</v>
      </c>
      <c r="U21" s="164">
        <f>+'8'!P35</f>
        <v>6859.740476070001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140</v>
      </c>
      <c r="I22" s="1">
        <f t="shared" si="1"/>
        <v>5492.2000000000007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472.32920000000001</v>
      </c>
      <c r="L22" s="175">
        <f>+'1'!L22+'2'!L22+'4'!L22+'3'!L22+'5'!L22+'6'!L22+'7'!L22+'8'!L22+'9'!L22+'10'!L22</f>
        <v>274.61000000000007</v>
      </c>
      <c r="M22" s="118">
        <f t="shared" si="2"/>
        <v>4745.2608000000009</v>
      </c>
      <c r="N22" s="101">
        <f>+'1'!N22+'2'!N22+'4'!N22+'3'!N22+'5'!N22+'6'!N22+'7'!N22+'8'!N22+'9'!N22+'10'!N22</f>
        <v>881.26272000000017</v>
      </c>
      <c r="O22" s="101">
        <f>+'1'!O22+'2'!O22+'4'!O22+'3'!O22+'5'!O22+'6'!O22+'7'!O22+'8'!O22+'9'!O22+'10'!O22</f>
        <v>44.673240960000015</v>
      </c>
      <c r="P22" s="120">
        <f t="shared" si="0"/>
        <v>5671.1967609600006</v>
      </c>
      <c r="T22" s="163" t="str">
        <f>+'9'!A5</f>
        <v>Customer Name : Hafiz Store</v>
      </c>
      <c r="U22" s="164">
        <f>+'9'!P35</f>
        <v>2964.7932853499997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17.25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690</v>
      </c>
      <c r="I25" s="178">
        <f t="shared" si="3"/>
        <v>42619.350000000006</v>
      </c>
      <c r="J25" s="177">
        <f t="shared" si="3"/>
        <v>0</v>
      </c>
      <c r="K25" s="178">
        <f t="shared" si="3"/>
        <v>1771.77945</v>
      </c>
      <c r="L25" s="179">
        <f t="shared" si="3"/>
        <v>3244.7819999999997</v>
      </c>
      <c r="M25" s="141">
        <f t="shared" si="3"/>
        <v>37602.788550000012</v>
      </c>
      <c r="N25" s="142">
        <f>SUM(N16:N24)</f>
        <v>6935.6194049999995</v>
      </c>
      <c r="O25" s="143">
        <f>SUM(O16:O24)</f>
        <v>261.89016763500001</v>
      </c>
      <c r="P25" s="144">
        <f>SUM(P16:P24)</f>
        <v>44800.298122635002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44800.298122635002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42619.350000000006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3244.7819999999997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1771.77945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37602.788550000005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6935.6194049999995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44538.407955000002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1113.4601988750001</v>
      </c>
    </row>
    <row r="43" spans="1:21" ht="15.75" customHeight="1" thickBot="1" x14ac:dyDescent="0.4">
      <c r="N43" s="213" t="s">
        <v>92</v>
      </c>
      <c r="O43" s="214"/>
      <c r="P43" s="160">
        <f>P41+P42</f>
        <v>45651.868153875002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3420157306530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232.44800000000001</v>
      </c>
      <c r="M20" s="118">
        <f t="shared" si="6"/>
        <v>2571.4560000000001</v>
      </c>
      <c r="N20" s="118">
        <f t="shared" si="0"/>
        <v>462.86207999999999</v>
      </c>
      <c r="O20" s="119">
        <f t="shared" si="1"/>
        <v>15.171590399999999</v>
      </c>
      <c r="P20" s="120">
        <f t="shared" si="2"/>
        <v>3049.4896703999998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120</v>
      </c>
      <c r="I25" s="137">
        <f t="shared" si="13"/>
        <v>8716.7999999999993</v>
      </c>
      <c r="J25" s="138"/>
      <c r="K25" s="139">
        <f t="shared" si="13"/>
        <v>305.08800000000002</v>
      </c>
      <c r="L25" s="140">
        <f t="shared" si="13"/>
        <v>697.34400000000005</v>
      </c>
      <c r="M25" s="141">
        <f t="shared" si="13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8716.7999999999993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697.34400000000005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305.08800000000002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7714.3679999999995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9102.9542399999991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13" t="s">
        <v>92</v>
      </c>
      <c r="O35" s="214"/>
      <c r="P35" s="160">
        <f>P33+P34</f>
        <v>9148.4690111999989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14.160940312500001</v>
      </c>
      <c r="P16" s="105">
        <f t="shared" ref="P16:P24" si="1">M16+N16+O16</f>
        <v>580.59855281249997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14.160940312500001</v>
      </c>
      <c r="P17" s="120">
        <f t="shared" si="1"/>
        <v>580.59855281249997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20.675779200000008</v>
      </c>
      <c r="P22" s="120">
        <f t="shared" si="1"/>
        <v>847.70694720000017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1833.8500000000001</v>
      </c>
      <c r="J25" s="138"/>
      <c r="K25" s="139">
        <f t="shared" si="9"/>
        <v>104.19935000000001</v>
      </c>
      <c r="L25" s="140">
        <f t="shared" si="9"/>
        <v>123.17000000000002</v>
      </c>
      <c r="M25" s="141">
        <f t="shared" si="9"/>
        <v>1606.4806500000002</v>
      </c>
      <c r="N25" s="142">
        <f>SUM(N16:N24)</f>
        <v>353.42574300000001</v>
      </c>
      <c r="O25" s="143">
        <f>SUM(O16:O24)</f>
        <v>48.997659825000014</v>
      </c>
      <c r="P25" s="144">
        <f>SUM(P16:P24)</f>
        <v>2008.9040528250002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1833.8500000000001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123.17000000000002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104.19935000000001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1606.48065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353.42574300000001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1959.906393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48.997659825</v>
      </c>
    </row>
    <row r="35" spans="2:16" ht="15.75" customHeight="1" thickBot="1" x14ac:dyDescent="0.4">
      <c r="N35" s="213" t="s">
        <v>92</v>
      </c>
      <c r="O35" s="214"/>
      <c r="P35" s="160">
        <f>P33+P34</f>
        <v>2008.904052825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5780076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530057804678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30</v>
      </c>
      <c r="I16" s="102">
        <f>(G16*D16)*F16+H16*F16</f>
        <v>1573.875</v>
      </c>
      <c r="J16" s="103"/>
      <c r="K16" s="104">
        <f>I16*3.5%</f>
        <v>55.085625000000007</v>
      </c>
      <c r="L16" s="105">
        <f>I16*8%</f>
        <v>125.91</v>
      </c>
      <c r="M16" s="106">
        <f>I16-K16-L16</f>
        <v>1392.879375</v>
      </c>
      <c r="N16" s="106">
        <f t="shared" ref="N16:N24" si="0">(M16*$N$15)+(J16*F16)*$N$15</f>
        <v>250.71828749999997</v>
      </c>
      <c r="O16" s="107">
        <f>(N16+M16)*$O$15</f>
        <v>8.2179883124999993</v>
      </c>
      <c r="P16" s="105">
        <f t="shared" ref="P16:P24" si="1">M16+N16+O16</f>
        <v>1651.8156508124998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334.29104999999998</v>
      </c>
      <c r="O25" s="143">
        <f>SUM(O16:O24)</f>
        <v>10.95731775</v>
      </c>
      <c r="P25" s="144">
        <f>SUM(P16:P24)</f>
        <v>2202.4208677500001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2098.5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167.88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73.447500000000005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1857.1724999999999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334.29104999999998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2191.4635499999999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10.95731775</v>
      </c>
    </row>
    <row r="35" spans="2:16" ht="15.75" customHeight="1" thickBot="1" x14ac:dyDescent="0.4">
      <c r="N35" s="213" t="s">
        <v>92</v>
      </c>
      <c r="O35" s="214"/>
      <c r="P35" s="160">
        <f>P33+P34</f>
        <v>2202.4208677500001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6543679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345008765368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30</v>
      </c>
      <c r="I19" s="116">
        <f t="shared" si="2"/>
        <v>2179.1999999999998</v>
      </c>
      <c r="J19" s="117"/>
      <c r="K19" s="104">
        <f t="shared" si="3"/>
        <v>76.272000000000006</v>
      </c>
      <c r="L19" s="105">
        <f t="shared" si="4"/>
        <v>174.33599999999998</v>
      </c>
      <c r="M19" s="118">
        <f t="shared" si="5"/>
        <v>1928.5919999999999</v>
      </c>
      <c r="N19" s="118">
        <f t="shared" si="0"/>
        <v>347.14655999999997</v>
      </c>
      <c r="O19" s="119">
        <f t="shared" si="6"/>
        <v>11.3786928</v>
      </c>
      <c r="P19" s="120">
        <f t="shared" si="1"/>
        <v>2287.1172527999997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232.44799999999998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232.44799999999998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101.69600000000001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3034.31808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3" t="s">
        <v>92</v>
      </c>
      <c r="O35" s="214"/>
      <c r="P35" s="160">
        <f>P33+P34</f>
        <v>3049.4896703999998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5.8822055999999998</v>
      </c>
      <c r="P19" s="120">
        <f t="shared" si="1"/>
        <v>1182.3233255999999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5.8822055999999998</v>
      </c>
      <c r="P21" s="120">
        <f t="shared" si="1"/>
        <v>1182.3233255999999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565.72032000000002</v>
      </c>
      <c r="O25" s="143">
        <f>SUM(O16:O24)</f>
        <v>15.685881599999998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232.44799999999998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3137.17632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13" t="s">
        <v>92</v>
      </c>
      <c r="O35" s="214"/>
      <c r="P35" s="160">
        <f>P33+P34</f>
        <v>3152.8622015999999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132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3277876118572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440.03920000000005</v>
      </c>
      <c r="L25" s="140">
        <f t="shared" si="9"/>
        <v>775.80400000000009</v>
      </c>
      <c r="M25" s="141">
        <f t="shared" si="9"/>
        <v>9070.1568000000007</v>
      </c>
      <c r="N25" s="142">
        <f>SUM(N16:N24)</f>
        <v>1632.628224</v>
      </c>
      <c r="O25" s="143">
        <f>SUM(O16:O24)</f>
        <v>53.513925119999996</v>
      </c>
      <c r="P25" s="144">
        <f>SUM(P16:P24)</f>
        <v>10756.298949119999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10286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775.80400000000009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440.03920000000005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9070.1568000000007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1632.628224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10702.785024000001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53.513925120000003</v>
      </c>
    </row>
    <row r="35" spans="2:16" ht="15.75" customHeight="1" thickBot="1" x14ac:dyDescent="0.4">
      <c r="N35" s="213" t="s">
        <v>92</v>
      </c>
      <c r="O35" s="214"/>
      <c r="P35" s="160">
        <f>P33+P34</f>
        <v>10756.298949120001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9" t="s">
        <v>134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4474.8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310.90800000000002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236.6472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3927.2447999999999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4634.1488639999998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3" t="s">
        <v>92</v>
      </c>
      <c r="O35" s="214"/>
      <c r="P35" s="160">
        <f>P33+P34</f>
        <v>4657.31960832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3520118587822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310.09469999999999</v>
      </c>
      <c r="L25" s="140">
        <f t="shared" si="9"/>
        <v>478.78800000000007</v>
      </c>
      <c r="M25" s="141">
        <f t="shared" si="9"/>
        <v>5784.4173000000001</v>
      </c>
      <c r="N25" s="142">
        <f>SUM(N16:N24)</f>
        <v>1041.1951139999999</v>
      </c>
      <c r="O25" s="143">
        <f>SUM(O16:O24)</f>
        <v>34.128062069999999</v>
      </c>
      <c r="P25" s="144">
        <f>SUM(P16:P24)</f>
        <v>6859.7404760699992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6573.3000000000011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478.78800000000007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310.09469999999999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5784.417300000001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1041.1951139999999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6825.6124140000011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34.128062070000006</v>
      </c>
    </row>
    <row r="35" spans="2:16" ht="15.75" customHeight="1" thickBot="1" x14ac:dyDescent="0.4">
      <c r="N35" s="213" t="s">
        <v>92</v>
      </c>
      <c r="O35" s="214"/>
      <c r="P35" s="160">
        <f>P33+P34</f>
        <v>6859.740476070001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 t="s">
        <v>138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7" t="s">
        <v>138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50</v>
      </c>
      <c r="I25" s="137">
        <f t="shared" si="9"/>
        <v>2824.9</v>
      </c>
      <c r="J25" s="138"/>
      <c r="K25" s="139">
        <f t="shared" si="9"/>
        <v>98.871500000000012</v>
      </c>
      <c r="L25" s="140">
        <f t="shared" si="9"/>
        <v>225.99199999999999</v>
      </c>
      <c r="M25" s="141">
        <f t="shared" si="9"/>
        <v>2500.0365000000002</v>
      </c>
      <c r="N25" s="142">
        <f>SUM(N16:N24)</f>
        <v>450.00657000000001</v>
      </c>
      <c r="O25" s="143">
        <f>SUM(O16:O24)</f>
        <v>14.75021535</v>
      </c>
      <c r="P25" s="144">
        <f>SUM(P16:P24)</f>
        <v>2964.7932853500001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2824.9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225.99199999999999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98.871500000000012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2500.0364999999997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450.00657000000001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2950.0430699999997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14.75021535</v>
      </c>
    </row>
    <row r="35" spans="2:16" ht="15.75" customHeight="1" thickBot="1" x14ac:dyDescent="0.4">
      <c r="N35" s="213" t="s">
        <v>92</v>
      </c>
      <c r="O35" s="214"/>
      <c r="P35" s="160">
        <f>P33+P34</f>
        <v>2964.7932853499997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46212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46211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2026-07-09T04:59:14Z</dcterms:modified>
</cp:coreProperties>
</file>