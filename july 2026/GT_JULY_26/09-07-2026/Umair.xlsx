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36B5E9D-0AD5-49A8-A95E-4ABD62F6AAC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7" i="19"/>
  <c r="K18" i="19"/>
  <c r="K18" i="18"/>
  <c r="K19" i="18"/>
  <c r="K20" i="18"/>
  <c r="K21" i="18"/>
  <c r="K17" i="20"/>
  <c r="K18" i="20"/>
  <c r="K17" i="21"/>
  <c r="K18" i="21"/>
  <c r="K19" i="21"/>
  <c r="K20" i="21"/>
  <c r="K21" i="21"/>
  <c r="K17" i="22"/>
  <c r="K18" i="22"/>
  <c r="K17" i="23"/>
  <c r="K18" i="23"/>
  <c r="K19" i="23"/>
  <c r="K17" i="24"/>
  <c r="K18" i="24"/>
  <c r="K19" i="24"/>
  <c r="K20" i="24"/>
  <c r="K21" i="24"/>
  <c r="K17" i="25"/>
  <c r="K18" i="25"/>
  <c r="K19" i="25"/>
  <c r="K17" i="26"/>
  <c r="K18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20" i="16"/>
  <c r="K16" i="17"/>
  <c r="K16" i="19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K19" i="26" s="1"/>
  <c r="I20" i="26"/>
  <c r="I21" i="26"/>
  <c r="K21" i="26" s="1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L20" i="26" l="1"/>
  <c r="K20" i="26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K20" i="25" s="1"/>
  <c r="I22" i="25"/>
  <c r="I23" i="25"/>
  <c r="I24" i="25"/>
  <c r="L24" i="25" s="1"/>
  <c r="I21" i="18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I23" i="18"/>
  <c r="L23" i="18" s="1"/>
  <c r="L18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5" l="1"/>
  <c r="K21" i="25"/>
  <c r="L20" i="25"/>
  <c r="M20" i="25" s="1"/>
  <c r="N20" i="25" s="1"/>
  <c r="O20" i="25" s="1"/>
  <c r="L20" i="23"/>
  <c r="K20" i="23"/>
  <c r="L21" i="20"/>
  <c r="K21" i="20"/>
  <c r="L20" i="20"/>
  <c r="K20" i="20"/>
  <c r="L17" i="18"/>
  <c r="K17" i="18"/>
  <c r="L16" i="18"/>
  <c r="K16" i="18"/>
  <c r="L21" i="19"/>
  <c r="K21" i="19"/>
  <c r="M21" i="19" s="1"/>
  <c r="L20" i="19"/>
  <c r="L19" i="19"/>
  <c r="K19" i="19"/>
  <c r="L21" i="17"/>
  <c r="K21" i="17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K22" i="18"/>
  <c r="L22" i="18"/>
  <c r="M22" i="18" s="1"/>
  <c r="N22" i="18" s="1"/>
  <c r="O22" i="18" s="1"/>
  <c r="K22" i="25"/>
  <c r="L22" i="25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5" l="1"/>
  <c r="N22" i="25" s="1"/>
  <c r="O22" i="25" s="1"/>
  <c r="M22" i="24"/>
  <c r="N22" i="24" s="1"/>
  <c r="O22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P31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<sst xmlns="http://schemas.openxmlformats.org/spreadsheetml/2006/main" count="1634" uniqueCount="138">
  <si>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</si>
  <si>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</si>
  <si>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</si>
  <si>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</si>
  <si>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</si>
  <si>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</si>
  <si>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</si>
  <si>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</si>
  <si>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</si>
  <si>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</si>
  <si>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</si>
  <si>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</si>
  <si>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</si>
  <si>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</si>
  <si>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</si>
  <si>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</si>
  <si>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</si>
  <si>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</si>
  <si>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</si>
  <si>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</si>
  <si>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</si>
  <si>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</si>
  <si>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</si>
  <si>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</si>
  <si>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</si>
  <si>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</si>
  <si>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</si>
  <si>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</si>
  <si>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</si>
  <si>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</si>
  <si>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</si>
  <si>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</si>
  <si>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</si>
  <si>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</si>
  <si>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</si>
  <si>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</si>
  <si>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</si>
  <si>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</si>
  <si>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</si>
  <si>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</si>
  <si>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</si>
  <si>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</si>
  <si>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</si>
  <si>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</si>
  <si>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</si>
  <si>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</si>
  <si>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</si>
  <si>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</si>
  <si>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</si>
  <si>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</si>
  <si>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</si>
  <si>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</si>
  <si>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</si>
  <si>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</si>
  <si>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</si>
  <si>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</si>
  <si>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</si>
  <si>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</si>
  <si>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</si>
  <si>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</si>
  <si>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</si>
  <si>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</si>
  <si>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</si>
  <si>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</si>
  <si>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</si>
  <si>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</si>
  <si>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</si>
  <si>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</si>
  <si>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</si>
  <si>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</si>
  <si>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</si>
  <si>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</si>
  <si>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</si>
  <si>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</si>
  <si>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</si>
  <si>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</si>
  <si>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</si>
  <si>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</si>
  <si>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</si>
  <si>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</si>
  <si>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</si>
  <si>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</si>
  <si>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</si>
  <si>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</si>
  <si>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</si>
  <si>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</si>
  <si>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</si>
  <si>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</si>
  <si>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</si>
  <si>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</si>
  <si>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</si>
  <si>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</si>
  <si>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</si>
  <si>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</si>
  <si>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</si>
  <si>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</si>
  <si>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</si>
  <si>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</si>
  <si>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</si>
  <si>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</si>
  <si>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</si>
  <si>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</si>
  <si>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</si>
  <si>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</si>
  <si>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</si>
  <si>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</si>
  <si>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</si>
  <si>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</si>
  <si>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</si>
  <si>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</si>
  <si>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</si>
  <si>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</si>
  <si>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</si>
  <si>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</si>
  <si>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</si>
  <si>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</si>
  <si>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</si>
  <si>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</si>
  <si>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</si>
  <si>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</si>
  <si>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</si>
  <si>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</si>
  <si>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 xml:space="preserve">Customer Name : Primer Mart </t>
  </si>
  <si>
    <t xml:space="preserve">Address: Pak Arab </t>
  </si>
  <si>
    <t>I0407002</t>
  </si>
  <si>
    <t xml:space="preserve">Customer Name : Panda Mart </t>
  </si>
  <si>
    <t xml:space="preserve">Customer Name : Awan Mart </t>
  </si>
  <si>
    <t xml:space="preserve">Customer Name : Chohan Bakery </t>
  </si>
  <si>
    <t xml:space="preserve">Customer Name : Al noor Cash &amp; Carry </t>
  </si>
  <si>
    <t>Customer Name : 786 GS</t>
  </si>
  <si>
    <t xml:space="preserve">Address: Ghora Chowk </t>
  </si>
  <si>
    <t>Customer Name : Awan Super Store</t>
  </si>
  <si>
    <t xml:space="preserve">Customer Name : Tayyaba Baker  </t>
  </si>
  <si>
    <t xml:space="preserve">Customer Name : Waleed Super Mart </t>
  </si>
  <si>
    <t>Customer Name : Khatak Store</t>
  </si>
  <si>
    <t>Address: Shadab Colony</t>
  </si>
  <si>
    <t>E2215888</t>
  </si>
  <si>
    <t xml:space="preserve">Customer Name : KK  Super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</si>
</sst>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0" zoomScale="70" zoomScaleNormal="70" workbookViewId="0">
      <selection activeCell="V16" sqref="V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Primer Mart </v>
      </c>
      <c r="U14" s="164">
        <f>+'1'!P35</f>
        <v>4657.31960832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Panda Mart </v>
      </c>
      <c r="U15" s="164">
        <f>+'2'!P35</f>
        <v>9458.5866047999989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36.723750000000003</v>
      </c>
      <c r="L16" s="175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204.28897500000002</v>
      </c>
      <c r="O16" s="101">
        <f>+'1'!O16+'2'!O16+'4'!O16+'3'!O16+'5'!O16+'6'!O16+'7'!O16+'8'!O16+'9'!O16+'10'!O16</f>
        <v>28.321880625000002</v>
      </c>
      <c r="P16" s="105">
        <f t="shared" ref="P16:P24" si="0">M16+N16+O16</f>
        <v>1161.1971056249999</v>
      </c>
      <c r="Q16" s="108"/>
      <c r="T16" s="163" t="str">
        <f>+'3'!A5</f>
        <v xml:space="preserve">Customer Name : Awan Mart </v>
      </c>
      <c r="U16" s="164">
        <f>+'3'!P35</f>
        <v>3215.605728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36.723750000000003</v>
      </c>
      <c r="L17" s="175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204.28897500000002</v>
      </c>
      <c r="O17" s="101">
        <f>+'1'!O17+'2'!O17+'4'!O17+'3'!O17+'5'!O17+'6'!O17+'7'!O17+'8'!O17+'9'!O17+'10'!O17</f>
        <v>28.321880625000002</v>
      </c>
      <c r="P17" s="120">
        <f t="shared" si="0"/>
        <v>1161.1971056249999</v>
      </c>
      <c r="S17" s="64"/>
      <c r="T17" s="163" t="str">
        <f>+'4'!A5</f>
        <v xml:space="preserve">Customer Name : Chohan Bakery </v>
      </c>
      <c r="U17" s="164">
        <f>+'4'!P35</f>
        <v>2322.3942112499999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 noor Cash &amp; Carry </v>
      </c>
      <c r="U18" s="164">
        <f>+'5'!P35</f>
        <v>11120.91925248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148</v>
      </c>
      <c r="I19" s="1">
        <f t="shared" si="1"/>
        <v>10750.72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274.57920000000001</v>
      </c>
      <c r="L19" s="175">
        <f>+'1'!L19+'2'!L19+'4'!L19+'3'!L19+'5'!L19+'6'!L19+'7'!L19+'8'!L19+'9'!L19+'10'!L19</f>
        <v>627.6096</v>
      </c>
      <c r="M19" s="118">
        <f t="shared" si="2"/>
        <v>9848.5311999999994</v>
      </c>
      <c r="N19" s="101">
        <f>+'1'!N19+'2'!N19+'4'!N19+'3'!N19+'5'!N19+'6'!N19+'7'!N19+'8'!N19+'9'!N19+'10'!N19</f>
        <v>1527.4448640000001</v>
      </c>
      <c r="O19" s="101">
        <f>+'1'!O19+'2'!O19+'4'!O19+'3'!O19+'5'!O19+'6'!O19+'7'!O19+'8'!O19+'9'!O19+'10'!O19</f>
        <v>86.272348800000003</v>
      </c>
      <c r="P19" s="120">
        <f t="shared" si="0"/>
        <v>11462.248412799998</v>
      </c>
      <c r="T19" s="163" t="str">
        <f>+'6'!A5</f>
        <v>Customer Name : 786 GS</v>
      </c>
      <c r="U19" s="164">
        <f>+'6'!P35</f>
        <v>1662.3326476800005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208</v>
      </c>
      <c r="I20" s="1">
        <f t="shared" si="1"/>
        <v>15109.12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427.12320000000005</v>
      </c>
      <c r="L20" s="175">
        <f>+'1'!L20+'2'!L20+'4'!L20+'3'!L20+'5'!L20+'6'!L20+'7'!L20+'8'!L20+'9'!L20+'10'!L20</f>
        <v>976.28160000000003</v>
      </c>
      <c r="M20" s="118">
        <f t="shared" si="2"/>
        <v>13705.715200000001</v>
      </c>
      <c r="N20" s="101">
        <f>+'1'!N20+'2'!N20+'4'!N20+'3'!N20+'5'!N20+'6'!N20+'7'!N20+'8'!N20+'9'!N20+'10'!N20</f>
        <v>2376.0253440000001</v>
      </c>
      <c r="O20" s="101">
        <f>+'1'!O20+'2'!O20+'4'!O20+'3'!O20+'5'!O20+'6'!O20+'7'!O20+'8'!O20+'9'!O20+'10'!O20</f>
        <v>109.8011712</v>
      </c>
      <c r="P20" s="120">
        <f t="shared" si="0"/>
        <v>16191.541715200001</v>
      </c>
      <c r="T20" s="163" t="str">
        <f>+'7'!A5</f>
        <v>Customer Name : Awan Super Store</v>
      </c>
      <c r="U20" s="164">
        <f>+'7'!P35</f>
        <v>3215.6057280000005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284</v>
      </c>
      <c r="I21" s="1">
        <f t="shared" si="1"/>
        <v>20629.759999999998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518.64960000000008</v>
      </c>
      <c r="L21" s="175">
        <f>+'1'!L21+'2'!L21+'4'!L21+'3'!L21+'5'!L21+'6'!L21+'7'!L21+'8'!L21+'9'!L21+'10'!L21</f>
        <v>1185.4848000000002</v>
      </c>
      <c r="M21" s="118">
        <f t="shared" si="2"/>
        <v>18925.625599999999</v>
      </c>
      <c r="N21" s="101">
        <f>+'1'!N21+'2'!N21+'4'!N21+'3'!N21+'5'!N21+'6'!N21+'7'!N21+'8'!N21+'9'!N21+'10'!N21</f>
        <v>2782.315392</v>
      </c>
      <c r="O21" s="101">
        <f>+'1'!O21+'2'!O21+'4'!O21+'3'!O21+'5'!O21+'6'!O21+'7'!O21+'8'!O21+'9'!O21+'10'!O21</f>
        <v>117.1298208</v>
      </c>
      <c r="P21" s="120">
        <f t="shared" si="0"/>
        <v>21825.070812800001</v>
      </c>
      <c r="T21" s="163" t="str">
        <f>+'8'!A5</f>
        <v xml:space="preserve">Customer Name : Tayyaba Baker  </v>
      </c>
      <c r="U21" s="164">
        <f>+'8'!P35</f>
        <v>3152.8622015999999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172</v>
      </c>
      <c r="I22" s="1">
        <f t="shared" si="1"/>
        <v>6747.56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580.29016000000001</v>
      </c>
      <c r="L22" s="175">
        <f>+'1'!L22+'2'!L22+'4'!L22+'3'!L22+'5'!L22+'6'!L22+'7'!L22+'8'!L22+'9'!L22+'10'!L22</f>
        <v>337.3780000000001</v>
      </c>
      <c r="M22" s="118">
        <f t="shared" si="2"/>
        <v>5829.8918400000011</v>
      </c>
      <c r="N22" s="101">
        <f>+'1'!N22+'2'!N22+'4'!N22+'3'!N22+'5'!N22+'6'!N22+'7'!N22+'8'!N22+'9'!N22+'10'!N22</f>
        <v>1228.3446528000002</v>
      </c>
      <c r="O22" s="101">
        <f>+'1'!O22+'2'!O22+'4'!O22+'3'!O22+'5'!O22+'6'!O22+'7'!O22+'8'!O22+'9'!O22+'10'!O22</f>
        <v>45.215556480000018</v>
      </c>
      <c r="P22" s="120">
        <f t="shared" si="0"/>
        <v>7103.4520492800011</v>
      </c>
      <c r="T22" s="163" t="str">
        <f>+'9'!A5</f>
        <v xml:space="preserve">Customer Name : Waleed Super Mart </v>
      </c>
      <c r="U22" s="164">
        <f>+'9'!P35</f>
        <v>508.62416832000002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Khatak Store</v>
      </c>
      <c r="U23" s="164">
        <f>+'10'!P35</f>
        <v>7968.0570508800001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KK  Super Mart </v>
      </c>
      <c r="U24" s="164">
        <f>+'11'!P35</f>
        <v>12611.4488064</v>
      </c>
    </row>
    <row r="25" spans="1:21 16384:16384" ht="26.5" thickBot="1" x14ac:dyDescent="0.65">
      <c r="A25" s="219" t="s">
        <v>84</v>
      </c>
      <c r="B25" s="220"/>
      <c r="C25" s="221">
        <f>H25/40</f>
        <v>21.3</v>
      </c>
      <c r="D25" s="215"/>
      <c r="E25" s="215"/>
      <c r="F25" s="215"/>
      <c r="G25" s="176">
        <f t="shared" ref="G25:M25" si="3">SUM(G16:G24)</f>
        <v>0</v>
      </c>
      <c r="H25" s="177">
        <f t="shared" si="3"/>
        <v>852</v>
      </c>
      <c r="I25" s="178">
        <f t="shared" si="3"/>
        <v>55335.659999999996</v>
      </c>
      <c r="J25" s="177">
        <f t="shared" si="3"/>
        <v>0</v>
      </c>
      <c r="K25" s="178">
        <f t="shared" si="3"/>
        <v>1874.0896600000001</v>
      </c>
      <c r="L25" s="179">
        <f t="shared" si="3"/>
        <v>3294.6340000000005</v>
      </c>
      <c r="M25" s="141">
        <f t="shared" si="3"/>
        <v>50166.936340000007</v>
      </c>
      <c r="N25" s="142">
        <f>SUM(N16:N24)</f>
        <v>8322.7082028000004</v>
      </c>
      <c r="O25" s="143">
        <f>SUM(O16:O24)</f>
        <v>415.06265853000002</v>
      </c>
      <c r="P25" s="144">
        <f>SUM(P16:P24)</f>
        <v>58904.707201329998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59893.75600773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55335.659999999996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3294.6340000000005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1874.0896600000001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50166.93634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8322.7082028000004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58489.644542800001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1462.2411135700002</v>
      </c>
    </row>
    <row r="43" spans="1:21" ht="15.75" customHeight="1" thickBot="1" x14ac:dyDescent="0.4">
      <c r="N43" s="213" t="s">
        <v>92</v>
      </c>
      <c r="O43" s="214"/>
      <c r="P43" s="160">
        <f>P41+P42</f>
        <v>59951.885656370003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75">
        <v>3277876375981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236.6472</v>
      </c>
      <c r="L25" s="140">
        <f t="shared" si="13"/>
        <v>310.90800000000002</v>
      </c>
      <c r="M25" s="141">
        <f t="shared" si="13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310.90800000000002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236.6472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3927.2447999999999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4634.1488639999998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3" t="s">
        <v>92</v>
      </c>
      <c r="O35" s="214"/>
      <c r="P35" s="160">
        <f>P33+P34</f>
        <v>4657.31960832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M19" sqref="M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3520263248545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1697.1609600000002</v>
      </c>
      <c r="O25" s="143">
        <f>SUM(O16:O24)</f>
        <v>47.057644799999998</v>
      </c>
      <c r="P25" s="144">
        <f>SUM(P16:P24)</f>
        <v>9458.5866047999989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8716.7999999999993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697.34400000000005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305.08800000000002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7714.3679999999995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1697.1609600000002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9411.5289599999996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47.057644799999998</v>
      </c>
    </row>
    <row r="35" spans="2:16" ht="15.75" customHeight="1" thickBot="1" x14ac:dyDescent="0.4">
      <c r="N35" s="213" t="s">
        <v>92</v>
      </c>
      <c r="O35" s="214"/>
      <c r="P35" s="160">
        <f>P33+P34</f>
        <v>9458.5866047999989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29.411028000000002</v>
      </c>
      <c r="P19" s="120">
        <f t="shared" si="1"/>
        <v>1205.8521479999999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212.14511999999999</v>
      </c>
      <c r="O20" s="119">
        <f t="shared" si="6"/>
        <v>29.411028000000002</v>
      </c>
      <c r="P20" s="120">
        <f t="shared" si="1"/>
        <v>1205.8521479999999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19.607352000000002</v>
      </c>
      <c r="P21" s="120">
        <f t="shared" si="1"/>
        <v>803.901432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232.44799999999998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101.69600000000001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13" t="s">
        <v>92</v>
      </c>
      <c r="O35" s="214"/>
      <c r="P35" s="160">
        <f>P33+P34</f>
        <v>3215.605728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56.643761250000004</v>
      </c>
      <c r="P25" s="144">
        <f>SUM(P16:P24)</f>
        <v>2322.3942112499999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2098.5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167.88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73.447500000000005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1857.1724999999999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2265.75045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56.643761250000004</v>
      </c>
    </row>
    <row r="35" spans="2:16" ht="15.75" customHeight="1" thickBot="1" x14ac:dyDescent="0.4">
      <c r="N35" s="213" t="s">
        <v>92</v>
      </c>
      <c r="O35" s="214"/>
      <c r="P35" s="160">
        <f>P33+P34</f>
        <v>2322.3942112499999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3110265550895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440.03920000000005</v>
      </c>
      <c r="L25" s="140">
        <f t="shared" si="9"/>
        <v>775.80400000000009</v>
      </c>
      <c r="M25" s="141">
        <f t="shared" si="9"/>
        <v>9070.1568000000007</v>
      </c>
      <c r="N25" s="142">
        <f>SUM(N16:N24)</f>
        <v>1995.4344960000003</v>
      </c>
      <c r="O25" s="143">
        <f>SUM(O16:O24)</f>
        <v>55.327956479999997</v>
      </c>
      <c r="P25" s="144">
        <f>SUM(P16:P24)</f>
        <v>11120.91925248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10286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775.80400000000009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440.03920000000005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9070.1568000000007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1995.4344960000003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11065.591296000001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55.327956480000005</v>
      </c>
    </row>
    <row r="35" spans="2:16" ht="15.75" customHeight="1" thickBot="1" x14ac:dyDescent="0.4">
      <c r="N35" s="213" t="s">
        <v>92</v>
      </c>
      <c r="O35" s="214"/>
      <c r="P35" s="160">
        <f>P33+P34</f>
        <v>11120.91925248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3520186128205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8.2703116800000025</v>
      </c>
      <c r="P25" s="144">
        <f>SUM(P16:P24)</f>
        <v>1662.3326476800005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78.460000000000022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134.9512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1355.7888000000003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1654.0623360000004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8.2703116800000025</v>
      </c>
    </row>
    <row r="35" spans="2:16" ht="15.75" customHeight="1" thickBot="1" x14ac:dyDescent="0.4">
      <c r="N35" s="213" t="s">
        <v>92</v>
      </c>
      <c r="O35" s="214"/>
      <c r="P35" s="160">
        <f>P33+P34</f>
        <v>1662.3326476800005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183.859104</v>
      </c>
      <c r="O19" s="119">
        <f t="shared" si="6"/>
        <v>25.489557600000001</v>
      </c>
      <c r="P19" s="120">
        <f t="shared" si="1"/>
        <v>1045.0718615999999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183.859104</v>
      </c>
      <c r="O20" s="119">
        <f t="shared" si="6"/>
        <v>25.489557600000001</v>
      </c>
      <c r="P20" s="120">
        <f t="shared" si="1"/>
        <v>1045.0718615999999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198.00211199999998</v>
      </c>
      <c r="O21" s="119">
        <f t="shared" si="6"/>
        <v>27.4502928</v>
      </c>
      <c r="P21" s="120">
        <f t="shared" si="1"/>
        <v>1125.4620047999999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78.429407999999995</v>
      </c>
      <c r="P25" s="144">
        <f>SUM(P16:P24)</f>
        <v>3215.6057279999995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2905.6000000000004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232.44800000000004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2571.4560000000006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3137.1763200000005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78.429408000000024</v>
      </c>
    </row>
    <row r="35" spans="2:16" ht="15.75" customHeight="1" thickBot="1" x14ac:dyDescent="0.4">
      <c r="N35" s="213" t="s">
        <v>92</v>
      </c>
      <c r="O35" s="214"/>
      <c r="P35" s="160">
        <f>P33+P34</f>
        <v>3215.6057280000005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4220105745939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232.44800000000001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101.69600000000001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13" t="s">
        <v>92</v>
      </c>
      <c r="O35" s="214"/>
      <c r="P35" s="160">
        <f>P33+P34</f>
        <v>3152.8622015999999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12.405467520000002</v>
      </c>
      <c r="P22" s="120">
        <f t="shared" si="1"/>
        <v>508.62416832000002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89.482060799999999</v>
      </c>
      <c r="O25" s="143">
        <f>SUM(O16:O24)</f>
        <v>12.405467520000002</v>
      </c>
      <c r="P25" s="144">
        <f>SUM(P16:P24)</f>
        <v>508.62416832000002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470.76000000000005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23.538000000000004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40.48536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406.73664000000002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89.482060799999999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496.21870080000002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12.405467520000002</v>
      </c>
    </row>
    <row r="35" spans="2:16" ht="15.75" customHeight="1" thickBot="1" x14ac:dyDescent="0.4">
      <c r="N35" s="213" t="s">
        <v>92</v>
      </c>
      <c r="O35" s="214"/>
      <c r="P35" s="160">
        <f>P33+P34</f>
        <v>508.62416832000002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7380.4</v>
      </c>
      <c r="J25" s="138"/>
      <c r="K25" s="139">
        <f t="shared" si="9"/>
        <v>338.34320000000002</v>
      </c>
      <c r="L25" s="140">
        <f t="shared" si="9"/>
        <v>543.35599999999999</v>
      </c>
      <c r="M25" s="141">
        <f t="shared" si="9"/>
        <v>6498.7008000000005</v>
      </c>
      <c r="N25" s="142">
        <f>SUM(N16:N24)</f>
        <v>1429.714176</v>
      </c>
      <c r="O25" s="143">
        <f>SUM(O16:O24)</f>
        <v>39.642074880000003</v>
      </c>
      <c r="P25" s="144">
        <f>SUM(P16:P24)</f>
        <v>7968.0570508800001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7380.4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543.35599999999999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338.34320000000002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6498.7007999999996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1429.714176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7928.414976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39.642074880000003</v>
      </c>
    </row>
    <row r="35" spans="2:16" ht="15.75" customHeight="1" thickBot="1" x14ac:dyDescent="0.4">
      <c r="N35" s="213" t="s">
        <v>92</v>
      </c>
      <c r="O35" s="214"/>
      <c r="P35" s="160">
        <f>P33+P34</f>
        <v>7968.0570508800001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3520263987555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1131.44064</v>
      </c>
      <c r="O21" s="119">
        <f t="shared" si="6"/>
        <v>31.3717632</v>
      </c>
      <c r="P21" s="120">
        <f t="shared" si="1"/>
        <v>6305.7244031999999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160</v>
      </c>
      <c r="I25" s="137">
        <f t="shared" si="9"/>
        <v>11622.4</v>
      </c>
      <c r="J25" s="138"/>
      <c r="K25" s="139">
        <f t="shared" si="9"/>
        <v>406.78400000000005</v>
      </c>
      <c r="L25" s="140">
        <f t="shared" si="9"/>
        <v>929.79200000000003</v>
      </c>
      <c r="M25" s="141">
        <f t="shared" si="9"/>
        <v>10285.824000000001</v>
      </c>
      <c r="N25" s="142">
        <f>SUM(N16:N24)</f>
        <v>2262.8812800000001</v>
      </c>
      <c r="O25" s="143">
        <f>SUM(O16:O24)</f>
        <v>62.7435264</v>
      </c>
      <c r="P25" s="144">
        <f>SUM(P16:P24)</f>
        <v>12611.4488064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11622.4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929.79200000000003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406.78400000000005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10285.824000000001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2262.8812800000001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12548.70528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62.7435264</v>
      </c>
    </row>
    <row r="35" spans="2:16" ht="15.75" customHeight="1" thickBot="1" x14ac:dyDescent="0.4">
      <c r="N35" s="213" t="s">
        <v>92</v>
      </c>
      <c r="O35" s="214"/>
      <c r="P35" s="160">
        <f>P33+P34</f>
        <v>12611.4488064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2026-07-08T11:14:31Z</dcterms:modified>
</cp:coreProperties>
</file>