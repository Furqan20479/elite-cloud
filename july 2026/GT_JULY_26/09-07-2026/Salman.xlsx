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9CD2D1C7-78F5-4A18-9A49-0028EBB815B3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7" i="17" l="1"/>
  <c r="K18" i="17"/>
  <c r="K19" i="17"/>
  <c r="K20" i="17"/>
  <c r="K21" i="17"/>
  <c r="K17" i="19"/>
  <c r="K18" i="19"/>
  <c r="K19" i="19"/>
  <c r="K20" i="19"/>
  <c r="K21" i="19"/>
  <c r="K18" i="18"/>
  <c r="K19" i="18"/>
  <c r="K20" i="18"/>
  <c r="K21" i="18"/>
  <c r="K17" i="20"/>
  <c r="K18" i="20"/>
  <c r="K19" i="20"/>
  <c r="K20" i="20"/>
  <c r="K21" i="20"/>
  <c r="K18" i="21"/>
  <c r="K17" i="22"/>
  <c r="K18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8" i="16"/>
  <c r="K20" i="16"/>
  <c r="K21" i="16"/>
  <c r="K16" i="19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I17" i="28"/>
  <c r="I18" i="28"/>
  <c r="I19" i="28"/>
  <c r="I20" i="28"/>
  <c r="I21" i="28"/>
  <c r="I22" i="28"/>
  <c r="I25" i="28" s="1"/>
  <c r="P28" i="28" s="1"/>
  <c r="I23" i="28"/>
  <c r="L23" i="28" s="1"/>
  <c r="I24" i="28"/>
  <c r="I22" i="32"/>
  <c r="I25" i="32" s="1"/>
  <c r="P28" i="32" s="1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I23" i="31"/>
  <c r="K23" i="31" s="1"/>
  <c r="I24" i="31"/>
  <c r="I23" i="32"/>
  <c r="I22" i="33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L18" i="34"/>
  <c r="L21" i="34"/>
  <c r="K23" i="34"/>
  <c r="L21" i="33"/>
  <c r="L20" i="33"/>
  <c r="K24" i="33"/>
  <c r="L24" i="33"/>
  <c r="M17" i="33"/>
  <c r="K24" i="32"/>
  <c r="L24" i="32"/>
  <c r="L16" i="32"/>
  <c r="L17" i="32"/>
  <c r="L19" i="32"/>
  <c r="L20" i="32"/>
  <c r="L21" i="32"/>
  <c r="K23" i="32"/>
  <c r="L23" i="32"/>
  <c r="M23" i="32" s="1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4" i="30"/>
  <c r="L24" i="30"/>
  <c r="L16" i="29"/>
  <c r="L21" i="29"/>
  <c r="K24" i="29"/>
  <c r="M24" i="29" s="1"/>
  <c r="L24" i="29"/>
  <c r="L17" i="29"/>
  <c r="L20" i="29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5" l="1"/>
  <c r="K22" i="34"/>
  <c r="L22" i="34"/>
  <c r="L25" i="34" s="1"/>
  <c r="P29" i="34" s="1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L25" i="31" s="1"/>
  <c r="P29" i="31" s="1"/>
  <c r="K22" i="30"/>
  <c r="L22" i="30"/>
  <c r="K22" i="28"/>
  <c r="L22" i="28"/>
  <c r="L25" i="28" s="1"/>
  <c r="P29" i="28" s="1"/>
  <c r="K23" i="28"/>
  <c r="M23" i="28" s="1"/>
  <c r="K23" i="29"/>
  <c r="L19" i="30"/>
  <c r="L19" i="31"/>
  <c r="K24" i="34"/>
  <c r="M24" i="34" s="1"/>
  <c r="L20" i="34"/>
  <c r="M21" i="35"/>
  <c r="I25" i="34"/>
  <c r="P28" i="34" s="1"/>
  <c r="M24" i="28"/>
  <c r="L18" i="28"/>
  <c r="L18" i="29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19" i="34"/>
  <c r="O19" i="34" s="1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L25" i="32"/>
  <c r="P29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1" i="30"/>
  <c r="O21" i="30" s="1"/>
  <c r="N17" i="30"/>
  <c r="O17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M22" i="29" l="1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L25" i="26" s="1"/>
  <c r="P29" i="26" s="1"/>
  <c r="N24" i="34"/>
  <c r="O24" i="34" s="1"/>
  <c r="K25" i="34"/>
  <c r="P30" i="34" s="1"/>
  <c r="P31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N20" i="26"/>
  <c r="O20" i="26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5" i="28" l="1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I23" i="25"/>
  <c r="I24" i="25"/>
  <c r="L24" i="25" s="1"/>
  <c r="I21" i="18"/>
  <c r="I22" i="18"/>
  <c r="I24" i="18"/>
  <c r="L24" i="18" s="1"/>
  <c r="I19" i="19"/>
  <c r="L19" i="19" s="1"/>
  <c r="I20" i="19"/>
  <c r="I21" i="19"/>
  <c r="L21" i="19" s="1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I16" i="24"/>
  <c r="L16" i="24" s="1"/>
  <c r="I17" i="24"/>
  <c r="L17" i="24" s="1"/>
  <c r="I18" i="24"/>
  <c r="I19" i="24"/>
  <c r="L19" i="24" s="1"/>
  <c r="I20" i="24"/>
  <c r="I21" i="24"/>
  <c r="L21" i="24" s="1"/>
  <c r="I22" i="24"/>
  <c r="I21" i="23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I24" i="23"/>
  <c r="L24" i="23" s="1"/>
  <c r="I16" i="20"/>
  <c r="I18" i="20"/>
  <c r="I20" i="20"/>
  <c r="L20" i="20" s="1"/>
  <c r="I22" i="20"/>
  <c r="I24" i="20"/>
  <c r="K24" i="20" s="1"/>
  <c r="I16" i="21"/>
  <c r="I18" i="21"/>
  <c r="I20" i="21"/>
  <c r="K20" i="21" s="1"/>
  <c r="I22" i="21"/>
  <c r="I24" i="21"/>
  <c r="K24" i="21" s="1"/>
  <c r="I16" i="17"/>
  <c r="K16" i="17" s="1"/>
  <c r="I17" i="17"/>
  <c r="I18" i="17"/>
  <c r="I19" i="17"/>
  <c r="I20" i="17"/>
  <c r="I21" i="17"/>
  <c r="L21" i="17" s="1"/>
  <c r="I22" i="17"/>
  <c r="I23" i="17"/>
  <c r="K23" i="17" s="1"/>
  <c r="I24" i="17"/>
  <c r="K24" i="17" s="1"/>
  <c r="I19" i="18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L20" i="19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7" i="21" l="1"/>
  <c r="K17" i="21"/>
  <c r="L16" i="21"/>
  <c r="K16" i="21"/>
  <c r="L16" i="20"/>
  <c r="K16" i="20"/>
  <c r="L17" i="18"/>
  <c r="K17" i="18"/>
  <c r="L16" i="18"/>
  <c r="K16" i="18"/>
  <c r="K22" i="23"/>
  <c r="L22" i="23"/>
  <c r="K22" i="17"/>
  <c r="L22" i="17"/>
  <c r="M22" i="17" s="1"/>
  <c r="N22" i="17" s="1"/>
  <c r="O22" i="17" s="1"/>
  <c r="K22" i="21"/>
  <c r="L22" i="21"/>
  <c r="K22" i="19"/>
  <c r="L22" i="19"/>
  <c r="L25" i="19" s="1"/>
  <c r="P29" i="19" s="1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M21" i="19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6" i="24"/>
  <c r="N16" i="24" s="1"/>
  <c r="M18" i="18"/>
  <c r="N18" i="18" s="1"/>
  <c r="O18" i="18" s="1"/>
  <c r="M21" i="20"/>
  <c r="N21" i="20" s="1"/>
  <c r="O21" i="20" s="1"/>
  <c r="L21" i="21"/>
  <c r="M21" i="21" s="1"/>
  <c r="N21" i="21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I19" i="16"/>
  <c r="K19" i="16" s="1"/>
  <c r="I20" i="16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17" i="19"/>
  <c r="N17" i="19" s="1"/>
  <c r="O17" i="19" s="1"/>
  <c r="N24" i="19"/>
  <c r="O24" i="19" s="1"/>
  <c r="N24" i="18"/>
  <c r="O24" i="18" s="1"/>
  <c r="I23" i="15"/>
  <c r="M22" i="21" l="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L25" i="25"/>
  <c r="P29" i="25" s="1"/>
  <c r="L17" i="16"/>
  <c r="M23" i="22"/>
  <c r="N23" i="22" s="1"/>
  <c r="O23" i="22" s="1"/>
  <c r="P23" i="22" s="1"/>
  <c r="L21" i="16"/>
  <c r="L21" i="15" s="1"/>
  <c r="K25" i="19"/>
  <c r="P30" i="19" s="1"/>
  <c r="P31" i="19" s="1"/>
  <c r="L19" i="16"/>
  <c r="L19" i="15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M21" i="15" s="1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31" i="18" l="1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8"/>
  <c r="O16" i="17"/>
  <c r="O25" i="17" s="1"/>
  <c r="N25" i="17"/>
  <c r="P32" i="17" s="1"/>
  <c r="P33" i="20" l="1"/>
  <c r="P34" i="20" s="1"/>
  <c r="P35" i="20" s="1"/>
  <c r="U18" i="15" s="1"/>
  <c r="P33" i="18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<sst xmlns="http://schemas.openxmlformats.org/spreadsheetml/2006/main" count="1634" uniqueCount="133">
  <si>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</si>
  <si>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</si>
  <si>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</si>
  <si>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</si>
  <si>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</si>
  <si>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</si>
  <si>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</si>
  <si>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</si>
  <si>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</si>
  <si>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</si>
  <si>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</si>
  <si>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</si>
  <si>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</si>
  <si>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</si>
  <si>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</si>
  <si>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</si>
  <si>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</si>
  <si>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</si>
  <si>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</si>
  <si>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</si>
  <si>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</si>
  <si>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</si>
  <si>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</si>
  <si>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</si>
  <si>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</si>
  <si>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</si>
  <si>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</si>
  <si>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</si>
  <si>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</si>
  <si>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</si>
  <si>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</si>
  <si>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</si>
  <si>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</si>
  <si>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</si>
  <si>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</si>
  <si>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</si>
  <si>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</si>
  <si>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</si>
  <si>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</si>
  <si>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</si>
  <si>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</si>
  <si>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</si>
  <si>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</si>
  <si>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</si>
  <si>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</si>
  <si>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</si>
  <si>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</si>
  <si>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</si>
  <si>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</si>
  <si>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</si>
  <si>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</si>
  <si>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</si>
  <si>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</si>
  <si>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</si>
  <si>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</si>
  <si>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</si>
  <si>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</si>
  <si>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</si>
  <si>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</si>
  <si>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</si>
  <si>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</si>
  <si>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</si>
  <si>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</si>
  <si>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</si>
  <si>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</si>
  <si>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</si>
  <si>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</si>
  <si>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</si>
  <si>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</si>
  <si>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</si>
  <si>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</si>
  <si>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</si>
  <si>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</si>
  <si>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</si>
  <si>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</si>
  <si>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</si>
  <si>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</si>
  <si>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</si>
  <si>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</si>
  <si>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</si>
  <si>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</si>
  <si>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</si>
  <si>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</si>
  <si>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</si>
  <si>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</si>
  <si>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</si>
  <si>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</si>
  <si>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</si>
  <si>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</si>
  <si>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</si>
  <si>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</si>
  <si>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</si>
  <si>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</si>
  <si>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</si>
  <si>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</si>
  <si>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</si>
  <si>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</si>
  <si>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</si>
  <si>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</si>
  <si>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</si>
  <si>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</si>
  <si>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</si>
  <si>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</si>
  <si>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</si>
  <si>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</si>
  <si>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</si>
  <si>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</si>
  <si>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</si>
  <si>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</si>
  <si>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</si>
  <si>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</si>
  <si>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</si>
  <si>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</si>
  <si>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</si>
  <si>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</si>
  <si>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</si>
  <si>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</si>
  <si>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</si>
  <si>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</si>
  <si>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</si>
  <si>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Salman</t>
  </si>
  <si>
    <t>Shop Bill Summary (Salman)</t>
  </si>
  <si>
    <t xml:space="preserve">Customer Name : Askari Cash &amp; Carry </t>
  </si>
  <si>
    <t>Address: Askari 5</t>
  </si>
  <si>
    <t>Customer Name : Sanwal GS</t>
  </si>
  <si>
    <t xml:space="preserve">Customer Name : Al Makkah Cash &amp; Carry </t>
  </si>
  <si>
    <t>Customer Name : Quality Store</t>
  </si>
  <si>
    <t>Customer Name : Hikma Super Store</t>
  </si>
  <si>
    <t>2302644-8</t>
  </si>
  <si>
    <t xml:space="preserve">Customer Name : Kashmir Bakers </t>
  </si>
  <si>
    <t>Address: Gopal Nagar</t>
  </si>
  <si>
    <t>Customer Name : Five Start</t>
  </si>
  <si>
    <t>4363239-4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</si>
</sst>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K17" sqref="K17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K17" sqref="K17"/>
      <selection pane="topRight" activeCell="K17" sqref="K17"/>
      <selection pane="bottomLeft" activeCell="K17" sqref="K17"/>
      <selection pane="bottomRight" activeCell="K17" sqref="K1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zoomScale="70" zoomScaleNormal="70" workbookViewId="0">
      <selection activeCell="S31" sqref="S3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9" t="s">
        <v>45</v>
      </c>
      <c r="B2" s="209"/>
      <c r="C2" s="209"/>
    </row>
    <row r="3" spans="1:21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4" t="s">
        <v>120</v>
      </c>
      <c r="B5" s="214"/>
      <c r="C5" s="214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21 16383:16384" ht="15" customHeight="1" x14ac:dyDescent="0.35">
      <c r="A6" s="214"/>
      <c r="B6" s="214"/>
      <c r="C6" s="214"/>
      <c r="F6" s="70"/>
      <c r="G6" s="74"/>
      <c r="K6" s="211" t="s">
        <v>52</v>
      </c>
      <c r="L6" s="211"/>
      <c r="M6" s="211"/>
      <c r="N6" s="213" t="s">
        <v>42</v>
      </c>
      <c r="O6" s="213"/>
      <c r="P6" s="21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1 16383:16384" hidden="1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1 16383:16384" x14ac:dyDescent="0.35">
      <c r="A10" s="216"/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1 16383:16384" ht="15" thickBot="1" x14ac:dyDescent="0.4">
      <c r="A11" s="216"/>
      <c r="B11" s="76"/>
      <c r="C11" s="77"/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1 16383:16384" ht="14.65" customHeight="1" x14ac:dyDescent="0.35">
      <c r="A12" s="216"/>
      <c r="B12" s="76"/>
      <c r="C12" s="77"/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T12" s="225" t="s">
        <v>121</v>
      </c>
      <c r="U12" s="226"/>
      <c r="XFD12" t="s">
        <v>62</v>
      </c>
    </row>
    <row r="13" spans="1:21 16383:16384" ht="15" thickBot="1" x14ac:dyDescent="0.4">
      <c r="A13" s="253"/>
      <c r="J13" s="78"/>
      <c r="K13" s="78"/>
      <c r="L13" s="79">
        <v>0.05</v>
      </c>
      <c r="T13" s="227"/>
      <c r="U13" s="228"/>
      <c r="XFD13" t="s">
        <v>63</v>
      </c>
    </row>
    <row r="14" spans="1:21 16383:16384" ht="29.25" customHeight="1" x14ac:dyDescent="0.6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19" t="s">
        <v>68</v>
      </c>
      <c r="H14" s="220"/>
      <c r="I14" s="220" t="s">
        <v>69</v>
      </c>
      <c r="J14" s="220" t="s">
        <v>70</v>
      </c>
      <c r="K14" s="220"/>
      <c r="L14" s="222"/>
      <c r="M14" s="22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Askari Cash &amp; Carry </v>
      </c>
      <c r="U14" s="164">
        <f>+'1'!P35</f>
        <v>1423.1745014062501</v>
      </c>
      <c r="XFD14" t="s">
        <v>75</v>
      </c>
    </row>
    <row r="15" spans="1:21 16383:16384" ht="29.25" customHeight="1" thickBot="1" x14ac:dyDescent="0.65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21"/>
      <c r="J15" s="171" t="s">
        <v>78</v>
      </c>
      <c r="K15" s="171" t="s">
        <v>79</v>
      </c>
      <c r="L15" s="174" t="s">
        <v>80</v>
      </c>
      <c r="M15" s="22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Sanwal GS</v>
      </c>
      <c r="U15" s="164">
        <f>+'2'!P35</f>
        <v>1477.2794437237501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67</v>
      </c>
      <c r="I16" s="1">
        <f>(G16*D16)*F16+H16*F16</f>
        <v>3514.9874999999997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123.0245625</v>
      </c>
      <c r="L16" s="175">
        <f>+'1'!L16+'2'!L16+'4'!L16+'3'!L16+'5'!L16+'6'!L16+'7'!L16+'8'!L16+'9'!L16+'10'!L16</f>
        <v>281.19899999999996</v>
      </c>
      <c r="M16" s="106">
        <f>I16-K16-L16</f>
        <v>3110.7639374999994</v>
      </c>
      <c r="N16" s="101">
        <f>+'1'!N16+'2'!N16+'4'!N16+'3'!N16+'5'!N16+'6'!N16+'7'!N16+'8'!N16+'9'!N16+'10'!N16</f>
        <v>684.36806624999997</v>
      </c>
      <c r="O16" s="101">
        <f>+'1'!O16+'2'!O16+'4'!O16+'3'!O16+'5'!O16+'6'!O16+'7'!O16+'8'!O16+'9'!O16+'10'!O16</f>
        <v>32.570162718749998</v>
      </c>
      <c r="P16" s="105">
        <f t="shared" ref="P16:P24" si="0">M16+N16+O16</f>
        <v>3827.7021664687495</v>
      </c>
      <c r="Q16" s="108"/>
      <c r="T16" s="163" t="str">
        <f>+'3'!A5</f>
        <v xml:space="preserve">Customer Name : Al Makkah Cash &amp; Carry </v>
      </c>
      <c r="U16" s="164">
        <f>+'3'!P35</f>
        <v>1662.3326476800005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32</v>
      </c>
      <c r="I17" s="1">
        <f t="shared" ref="I17:I23" si="1">(G17*D17)*F17+H17*F17</f>
        <v>1678.8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58.757999999999996</v>
      </c>
      <c r="L17" s="175">
        <f>+'1'!L17+'2'!L17+'4'!L17+'3'!L17+'5'!L17+'6'!L17+'7'!L17+'8'!L17+'9'!L17+'10'!L17</f>
        <v>134.304</v>
      </c>
      <c r="M17" s="118">
        <f t="shared" ref="M17:M23" si="2">I17-K17-L17</f>
        <v>1485.7379999999998</v>
      </c>
      <c r="N17" s="101">
        <f>+'1'!N17+'2'!N17+'4'!N17+'3'!N17+'5'!N17+'6'!N17+'7'!N17+'8'!N17+'9'!N17+'10'!N17</f>
        <v>326.86236000000002</v>
      </c>
      <c r="O17" s="101">
        <f>+'1'!O17+'2'!O17+'4'!O17+'3'!O17+'5'!O17+'6'!O17+'7'!O17+'8'!O17+'9'!O17+'10'!O17</f>
        <v>22.657504500000002</v>
      </c>
      <c r="P17" s="120">
        <f t="shared" si="0"/>
        <v>1835.2578644999999</v>
      </c>
      <c r="S17" s="64"/>
      <c r="T17" s="163" t="str">
        <f>+'4'!A5</f>
        <v>Customer Name : Quality Store</v>
      </c>
      <c r="U17" s="164">
        <f>+'4'!P35</f>
        <v>1902.0606950699998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Hikma Super Store</v>
      </c>
      <c r="U18" s="164">
        <f>+'5'!P35</f>
        <v>1851.30428945175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20</v>
      </c>
      <c r="I19" s="1">
        <f t="shared" si="1"/>
        <v>1452.8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50.848000000000006</v>
      </c>
      <c r="L19" s="175">
        <f>+'1'!L19+'2'!L19+'4'!L19+'3'!L19+'5'!L19+'6'!L19+'7'!L19+'8'!L19+'9'!L19+'10'!L19</f>
        <v>116.224</v>
      </c>
      <c r="M19" s="118">
        <f t="shared" si="2"/>
        <v>1285.7280000000001</v>
      </c>
      <c r="N19" s="101">
        <f>+'1'!N19+'2'!N19+'4'!N19+'3'!N19+'5'!N19+'6'!N19+'7'!N19+'8'!N19+'9'!N19+'10'!N19</f>
        <v>282.86016000000001</v>
      </c>
      <c r="O19" s="101">
        <f>+'1'!O19+'2'!O19+'4'!O19+'3'!O19+'5'!O19+'6'!O19+'7'!O19+'8'!O19+'9'!O19+'10'!O19</f>
        <v>7.8429408</v>
      </c>
      <c r="P19" s="120">
        <f t="shared" si="0"/>
        <v>1576.4311008</v>
      </c>
      <c r="T19" s="163" t="str">
        <f>+'6'!A5</f>
        <v xml:space="preserve">Customer Name : Kashmir Bakers </v>
      </c>
      <c r="U19" s="164">
        <f>+'6'!P35</f>
        <v>3918.7694142450005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20</v>
      </c>
      <c r="I20" s="1">
        <f t="shared" si="1"/>
        <v>1452.8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50.848000000000006</v>
      </c>
      <c r="L20" s="175">
        <f>+'1'!L20+'2'!L20+'4'!L20+'3'!L20+'5'!L20+'6'!L20+'7'!L20+'8'!L20+'9'!L20+'10'!L20</f>
        <v>116.224</v>
      </c>
      <c r="M20" s="118">
        <f t="shared" si="2"/>
        <v>1285.7280000000001</v>
      </c>
      <c r="N20" s="101">
        <f>+'1'!N20+'2'!N20+'4'!N20+'3'!N20+'5'!N20+'6'!N20+'7'!N20+'8'!N20+'9'!N20+'10'!N20</f>
        <v>282.86016000000001</v>
      </c>
      <c r="O20" s="101">
        <f>+'1'!O20+'2'!O20+'4'!O20+'3'!O20+'5'!O20+'6'!O20+'7'!O20+'8'!O20+'9'!O20+'10'!O20</f>
        <v>7.8429408</v>
      </c>
      <c r="P20" s="120">
        <f t="shared" si="0"/>
        <v>1576.4311008</v>
      </c>
      <c r="T20" s="163" t="str">
        <f>+'7'!A5</f>
        <v>Customer Name : Five Start</v>
      </c>
      <c r="U20" s="164">
        <f>+'7'!P35</f>
        <v>4815.1948492799993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30</v>
      </c>
      <c r="I21" s="1">
        <f t="shared" si="1"/>
        <v>2179.1999999999998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76.272000000000006</v>
      </c>
      <c r="L21" s="175">
        <f>+'1'!L21+'2'!L21+'4'!L21+'3'!L21+'5'!L21+'6'!L21+'7'!L21+'8'!L21+'9'!L21+'10'!L21</f>
        <v>174.33600000000001</v>
      </c>
      <c r="M21" s="118">
        <f t="shared" si="2"/>
        <v>1928.5919999999999</v>
      </c>
      <c r="N21" s="101">
        <f>+'1'!N21+'2'!N21+'4'!N21+'3'!N21+'5'!N21+'6'!N21+'7'!N21+'8'!N21+'9'!N21+'10'!N21</f>
        <v>424.29024000000004</v>
      </c>
      <c r="O21" s="101">
        <f>+'1'!O21+'2'!O21+'4'!O21+'3'!O21+'5'!O21+'6'!O21+'7'!O21+'8'!O21+'9'!O21+'10'!O21</f>
        <v>11.7644112</v>
      </c>
      <c r="P21" s="120">
        <f t="shared" si="0"/>
        <v>2364.6466511999997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141</v>
      </c>
      <c r="I22" s="1">
        <f t="shared" si="1"/>
        <v>5531.43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475.70298000000003</v>
      </c>
      <c r="L22" s="175">
        <f>+'1'!L22+'2'!L22+'4'!L22+'3'!L22+'5'!L22+'6'!L22+'7'!L22+'8'!L22+'9'!L22+'10'!L22</f>
        <v>276.57150000000007</v>
      </c>
      <c r="M22" s="118">
        <f t="shared" si="2"/>
        <v>4779.1555200000003</v>
      </c>
      <c r="N22" s="101">
        <f>+'1'!N22+'2'!N22+'4'!N22+'3'!N22+'5'!N22+'6'!N22+'7'!N22+'8'!N22+'9'!N22+'10'!N22</f>
        <v>1051.4142144000002</v>
      </c>
      <c r="O22" s="101">
        <f>+'1'!O22+'2'!O22+'4'!O22+'3'!O22+'5'!O22+'6'!O22+'7'!O22+'8'!O22+'9'!O22+'10'!O22</f>
        <v>39.077222688000006</v>
      </c>
      <c r="P22" s="120">
        <f t="shared" si="0"/>
        <v>5869.6469570879999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35" t="s">
        <v>84</v>
      </c>
      <c r="B25" s="236"/>
      <c r="C25" s="237">
        <f>H25/40</f>
        <v>7.75</v>
      </c>
      <c r="D25" s="231"/>
      <c r="E25" s="231"/>
      <c r="F25" s="231"/>
      <c r="G25" s="176">
        <f t="shared" ref="G25:M25" si="3">SUM(G16:G24)</f>
        <v>0</v>
      </c>
      <c r="H25" s="177">
        <f t="shared" si="3"/>
        <v>310</v>
      </c>
      <c r="I25" s="178">
        <f t="shared" si="3"/>
        <v>15810.0175</v>
      </c>
      <c r="J25" s="177">
        <f t="shared" si="3"/>
        <v>0</v>
      </c>
      <c r="K25" s="178">
        <f t="shared" si="3"/>
        <v>835.45354250000003</v>
      </c>
      <c r="L25" s="179">
        <f t="shared" si="3"/>
        <v>1098.8585</v>
      </c>
      <c r="M25" s="141">
        <f t="shared" si="3"/>
        <v>13875.7054575</v>
      </c>
      <c r="N25" s="142">
        <f>SUM(N16:N24)</f>
        <v>3052.6552006500001</v>
      </c>
      <c r="O25" s="143">
        <f>SUM(O16:O24)</f>
        <v>121.75518270675001</v>
      </c>
      <c r="P25" s="144">
        <f>SUM(P16:P24)</f>
        <v>17050.11584085675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17050.11584085675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8" t="s">
        <v>85</v>
      </c>
      <c r="C36" s="239"/>
      <c r="D36" s="239"/>
      <c r="E36" s="239"/>
      <c r="F36" s="239"/>
      <c r="G36" s="239"/>
      <c r="H36" s="239"/>
      <c r="I36" s="239"/>
      <c r="J36" s="239"/>
      <c r="K36" s="239"/>
      <c r="L36" s="240"/>
      <c r="N36" s="247" t="s">
        <v>86</v>
      </c>
      <c r="O36" s="248"/>
      <c r="P36" s="152">
        <f>I25</f>
        <v>15810.0175</v>
      </c>
    </row>
    <row r="37" spans="1:21" ht="15" customHeight="1" x14ac:dyDescent="0.35">
      <c r="B37" s="241"/>
      <c r="C37" s="242"/>
      <c r="D37" s="242"/>
      <c r="E37" s="242"/>
      <c r="F37" s="242"/>
      <c r="G37" s="242"/>
      <c r="H37" s="242"/>
      <c r="I37" s="242"/>
      <c r="J37" s="242"/>
      <c r="K37" s="242"/>
      <c r="L37" s="243"/>
      <c r="N37" s="249" t="s">
        <v>87</v>
      </c>
      <c r="O37" s="250"/>
      <c r="P37" s="153">
        <f>L25</f>
        <v>1098.8585</v>
      </c>
    </row>
    <row r="38" spans="1:21" ht="15" customHeight="1" x14ac:dyDescent="0.35">
      <c r="B38" s="241"/>
      <c r="C38" s="242"/>
      <c r="D38" s="242"/>
      <c r="E38" s="242"/>
      <c r="F38" s="242"/>
      <c r="G38" s="242"/>
      <c r="H38" s="242"/>
      <c r="I38" s="242"/>
      <c r="J38" s="242"/>
      <c r="K38" s="242"/>
      <c r="L38" s="243"/>
      <c r="N38" s="249" t="s">
        <v>4</v>
      </c>
      <c r="O38" s="250"/>
      <c r="P38" s="154">
        <f>K25</f>
        <v>835.45354250000003</v>
      </c>
    </row>
    <row r="39" spans="1:21" ht="15" customHeight="1" x14ac:dyDescent="0.35">
      <c r="B39" s="241"/>
      <c r="C39" s="242"/>
      <c r="D39" s="242"/>
      <c r="E39" s="242"/>
      <c r="F39" s="242"/>
      <c r="G39" s="242"/>
      <c r="H39" s="242"/>
      <c r="I39" s="242"/>
      <c r="J39" s="242"/>
      <c r="K39" s="242"/>
      <c r="L39" s="243"/>
      <c r="M39" s="2"/>
      <c r="N39" s="249" t="s">
        <v>88</v>
      </c>
      <c r="O39" s="250"/>
      <c r="P39" s="153">
        <f>P36-P37-P38</f>
        <v>13875.7054575</v>
      </c>
    </row>
    <row r="40" spans="1:21" ht="15" customHeight="1" x14ac:dyDescent="0.35">
      <c r="B40" s="241"/>
      <c r="C40" s="242"/>
      <c r="D40" s="242"/>
      <c r="E40" s="242"/>
      <c r="F40" s="242"/>
      <c r="G40" s="242"/>
      <c r="H40" s="242"/>
      <c r="I40" s="242"/>
      <c r="J40" s="242"/>
      <c r="K40" s="242"/>
      <c r="L40" s="243"/>
      <c r="M40" s="2"/>
      <c r="N40" s="155" t="s">
        <v>89</v>
      </c>
      <c r="O40" s="156">
        <f>IF(B12="Registered",18%,22%)</f>
        <v>0.22</v>
      </c>
      <c r="P40" s="153">
        <f>N25</f>
        <v>3052.6552006500001</v>
      </c>
    </row>
    <row r="41" spans="1:21" ht="15" customHeight="1" x14ac:dyDescent="0.35">
      <c r="B41" s="241"/>
      <c r="C41" s="242"/>
      <c r="D41" s="242"/>
      <c r="E41" s="242"/>
      <c r="F41" s="242"/>
      <c r="G41" s="242"/>
      <c r="H41" s="242"/>
      <c r="I41" s="242"/>
      <c r="J41" s="242"/>
      <c r="K41" s="242"/>
      <c r="L41" s="243"/>
      <c r="M41" s="2"/>
      <c r="N41" s="251" t="s">
        <v>90</v>
      </c>
      <c r="O41" s="252"/>
      <c r="P41" s="153">
        <f>P39+P40</f>
        <v>16928.360658149999</v>
      </c>
    </row>
    <row r="42" spans="1:21" ht="15" customHeight="1" thickBot="1" x14ac:dyDescent="0.4">
      <c r="B42" s="244"/>
      <c r="C42" s="245"/>
      <c r="D42" s="245"/>
      <c r="E42" s="245"/>
      <c r="F42" s="245"/>
      <c r="G42" s="245"/>
      <c r="H42" s="245"/>
      <c r="I42" s="245"/>
      <c r="J42" s="245"/>
      <c r="K42" s="245"/>
      <c r="L42" s="246"/>
      <c r="M42" s="157"/>
      <c r="N42" s="158" t="s">
        <v>91</v>
      </c>
      <c r="O42" s="159">
        <f>IF(B11="Filer",0.5%,2.5%)</f>
        <v>2.5000000000000001E-2</v>
      </c>
      <c r="P42" s="153">
        <f>O42*P41</f>
        <v>423.20901645375</v>
      </c>
    </row>
    <row r="43" spans="1:21" ht="15.75" customHeight="1" thickBot="1" x14ac:dyDescent="0.4">
      <c r="N43" s="229" t="s">
        <v>92</v>
      </c>
      <c r="O43" s="230"/>
      <c r="P43" s="160">
        <f>P41+P42</f>
        <v>17351.56967460375</v>
      </c>
    </row>
    <row r="44" spans="1:21" ht="15" thickBot="1" x14ac:dyDescent="0.4">
      <c r="B44" s="161" t="s">
        <v>93</v>
      </c>
      <c r="C44" s="231"/>
      <c r="D44" s="231"/>
      <c r="E44" s="231"/>
      <c r="F44" s="231"/>
      <c r="G44" s="231"/>
      <c r="H44" s="231"/>
      <c r="I44" s="232"/>
      <c r="J44" s="233"/>
      <c r="K44" s="234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9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9" t="s">
        <v>45</v>
      </c>
      <c r="B2" s="209"/>
      <c r="C2" s="209"/>
    </row>
    <row r="3" spans="1:26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6" t="s">
        <v>122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26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6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6 16383:16384" x14ac:dyDescent="0.35">
      <c r="A10" s="216" t="s">
        <v>95</v>
      </c>
      <c r="B10" s="75">
        <v>41197127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6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6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26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S14" s="263" t="s">
        <v>117</v>
      </c>
      <c r="T14" s="263"/>
      <c r="U14" s="263"/>
      <c r="V14" s="263"/>
      <c r="W14" s="264" t="s">
        <v>119</v>
      </c>
      <c r="X14" s="264"/>
      <c r="Y14" s="264"/>
      <c r="Z14" s="264"/>
      <c r="XFD14" t="s">
        <v>75</v>
      </c>
    </row>
    <row r="15" spans="1:26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15</v>
      </c>
      <c r="I16" s="102">
        <f>(G16*D16)*F16+H16*F16</f>
        <v>786.9375</v>
      </c>
      <c r="J16" s="103"/>
      <c r="K16" s="104">
        <f>I16*3.5%</f>
        <v>27.542812500000004</v>
      </c>
      <c r="L16" s="105">
        <f>I16*8%</f>
        <v>62.954999999999998</v>
      </c>
      <c r="M16" s="106">
        <f>I16-K16-L16</f>
        <v>696.43968749999999</v>
      </c>
      <c r="N16" s="106">
        <f t="shared" ref="N16:N24" si="0">(M16*$N$15)+(J16*F16)*$N$15</f>
        <v>153.21673125000001</v>
      </c>
      <c r="O16" s="107">
        <f t="shared" ref="O16:O24" si="1">(N16+M16)*$O$15</f>
        <v>4.2482820937500003</v>
      </c>
      <c r="P16" s="105">
        <f t="shared" ref="P16:P24" si="2">M16+N16+O16</f>
        <v>853.90470084375011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3">(G17*D17)*F17+H17*F17</f>
        <v>524.625</v>
      </c>
      <c r="J17" s="117"/>
      <c r="K17" s="104">
        <f t="shared" ref="K17:K21" si="4">I17*3.5%</f>
        <v>18.361875000000001</v>
      </c>
      <c r="L17" s="105">
        <f t="shared" ref="L17:L21" si="5">I17*8%</f>
        <v>41.97</v>
      </c>
      <c r="M17" s="118">
        <f t="shared" ref="M17:M23" si="6">I17-K17-L17</f>
        <v>464.29312500000003</v>
      </c>
      <c r="N17" s="118">
        <f t="shared" si="0"/>
        <v>102.14448750000001</v>
      </c>
      <c r="O17" s="119">
        <f t="shared" si="1"/>
        <v>2.8321880625000002</v>
      </c>
      <c r="P17" s="120">
        <f t="shared" si="2"/>
        <v>569.2698005625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65" t="s">
        <v>118</v>
      </c>
      <c r="T19" s="265"/>
      <c r="U19" s="265"/>
      <c r="V19" s="265"/>
      <c r="W19" s="266" t="s">
        <v>116</v>
      </c>
      <c r="X19" s="266"/>
      <c r="Y19" s="266"/>
      <c r="Z19" s="266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>I22*8.6%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13">SUM(G16:G24)</f>
        <v>0</v>
      </c>
      <c r="H25" s="136">
        <f t="shared" si="13"/>
        <v>25</v>
      </c>
      <c r="I25" s="137">
        <f t="shared" si="13"/>
        <v>1311.5625</v>
      </c>
      <c r="J25" s="138"/>
      <c r="K25" s="139">
        <f t="shared" si="13"/>
        <v>45.904687500000009</v>
      </c>
      <c r="L25" s="140">
        <f t="shared" si="13"/>
        <v>104.925</v>
      </c>
      <c r="M25" s="141">
        <f t="shared" si="13"/>
        <v>1160.7328124999999</v>
      </c>
      <c r="N25" s="142">
        <f>SUM(N16:N24)</f>
        <v>255.36121875000003</v>
      </c>
      <c r="O25" s="143">
        <f>SUM(O16:O24)</f>
        <v>7.0804701562500005</v>
      </c>
      <c r="P25" s="144">
        <f>SUM(P16:P24)</f>
        <v>1423.1745014062501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1311.5625</v>
      </c>
    </row>
    <row r="29" spans="1:26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104.925</v>
      </c>
    </row>
    <row r="30" spans="1:26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45.904687500000009</v>
      </c>
    </row>
    <row r="31" spans="1:26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1160.7328125000001</v>
      </c>
    </row>
    <row r="32" spans="1:26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255.36121875000003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1416.0940312500002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7.0804701562500014</v>
      </c>
    </row>
    <row r="35" spans="2:16" ht="15.75" customHeight="1" thickBot="1" x14ac:dyDescent="0.4">
      <c r="N35" s="229" t="s">
        <v>92</v>
      </c>
      <c r="O35" s="230"/>
      <c r="P35" s="160">
        <f>P33+P34</f>
        <v>1423.1745014062501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20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2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124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3530232820806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15</v>
      </c>
      <c r="I16" s="102">
        <f>(G16*D16)*F16+H16*F16</f>
        <v>786.9375</v>
      </c>
      <c r="J16" s="103"/>
      <c r="K16" s="104">
        <f>I16*3.5%</f>
        <v>27.542812500000004</v>
      </c>
      <c r="L16" s="105">
        <f>I16*8%</f>
        <v>62.954999999999998</v>
      </c>
      <c r="M16" s="106">
        <f>I16-K16-L16</f>
        <v>696.43968749999999</v>
      </c>
      <c r="N16" s="106">
        <f t="shared" ref="N16:N24" si="0">(M16*$N$15)+(J16*F16)*$N$15</f>
        <v>153.21673125000001</v>
      </c>
      <c r="O16" s="107">
        <f>(N16+M16)*$O$15</f>
        <v>4.2482820937500003</v>
      </c>
      <c r="P16" s="105">
        <f t="shared" ref="P16:P24" si="1">M16+N16+O16</f>
        <v>853.90470084375011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15</v>
      </c>
      <c r="I22" s="116">
        <f t="shared" si="2"/>
        <v>588.45000000000005</v>
      </c>
      <c r="J22" s="117"/>
      <c r="K22" s="104">
        <f>I22*8.6%</f>
        <v>50.606699999999996</v>
      </c>
      <c r="L22" s="120">
        <f>I22*5%</f>
        <v>29.422500000000003</v>
      </c>
      <c r="M22" s="118">
        <f t="shared" si="5"/>
        <v>508.42079999999999</v>
      </c>
      <c r="N22" s="118">
        <f t="shared" si="0"/>
        <v>111.852576</v>
      </c>
      <c r="O22" s="119">
        <f t="shared" si="6"/>
        <v>3.10136688</v>
      </c>
      <c r="P22" s="120">
        <f t="shared" si="1"/>
        <v>623.37474287999999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30</v>
      </c>
      <c r="I25" s="137">
        <f t="shared" si="9"/>
        <v>1375.3875</v>
      </c>
      <c r="J25" s="138"/>
      <c r="K25" s="139">
        <f t="shared" si="9"/>
        <v>78.1495125</v>
      </c>
      <c r="L25" s="140">
        <f t="shared" si="9"/>
        <v>92.377499999999998</v>
      </c>
      <c r="M25" s="141">
        <f t="shared" si="9"/>
        <v>1204.8604875000001</v>
      </c>
      <c r="N25" s="142">
        <f>SUM(N16:N24)</f>
        <v>265.06930725000001</v>
      </c>
      <c r="O25" s="143">
        <f>SUM(O16:O24)</f>
        <v>7.3496489737499999</v>
      </c>
      <c r="P25" s="144">
        <f>SUM(P16:P24)</f>
        <v>1477.2794437237501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1375.3875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92.377499999999998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78.1495125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1204.8604875000001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265.06930725000001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1469.9297947500002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7.3496489737500008</v>
      </c>
    </row>
    <row r="35" spans="2:16" ht="15.75" customHeight="1" thickBot="1" x14ac:dyDescent="0.4">
      <c r="N35" s="229" t="s">
        <v>92</v>
      </c>
      <c r="O35" s="230"/>
      <c r="P35" s="160">
        <f>P33+P34</f>
        <v>1477.2794437237501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20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4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125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21364524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298.27353600000004</v>
      </c>
      <c r="O22" s="119">
        <f t="shared" si="6"/>
        <v>8.2703116800000025</v>
      </c>
      <c r="P22" s="120">
        <f t="shared" si="1"/>
        <v>1662.3326476800005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298.27353600000004</v>
      </c>
      <c r="O25" s="143">
        <f>SUM(O16:O24)</f>
        <v>8.2703116800000025</v>
      </c>
      <c r="P25" s="144">
        <f>SUM(P16:P24)</f>
        <v>1662.3326476800005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1569.2000000000003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78.460000000000022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134.9512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1355.7888000000003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298.27353600000004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1654.0623360000004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8.2703116800000025</v>
      </c>
    </row>
    <row r="35" spans="2:16" ht="15.75" customHeight="1" thickBot="1" x14ac:dyDescent="0.4">
      <c r="N35" s="229" t="s">
        <v>92</v>
      </c>
      <c r="O35" s="230"/>
      <c r="P35" s="160">
        <f>P33+P34</f>
        <v>1662.3326476800005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3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126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</v>
      </c>
      <c r="I16" s="102">
        <f>(G16*D16)*F16+H16*F16</f>
        <v>629.54999999999995</v>
      </c>
      <c r="J16" s="103"/>
      <c r="K16" s="104">
        <f>I16*3.5%</f>
        <v>22.03425</v>
      </c>
      <c r="L16" s="105">
        <f>I16*8%</f>
        <v>50.363999999999997</v>
      </c>
      <c r="M16" s="106">
        <f>I16-K16-L16</f>
        <v>557.15174999999988</v>
      </c>
      <c r="N16" s="106">
        <f t="shared" ref="N16:N24" si="0">(M16*$N$15)+(J16*F16)*$N$15</f>
        <v>122.57338499999997</v>
      </c>
      <c r="O16" s="107">
        <f>(N16+M16)*$O$15</f>
        <v>16.993128374999998</v>
      </c>
      <c r="P16" s="105">
        <f t="shared" ref="P16:P24" si="1">M16+N16+O16</f>
        <v>696.71826337499988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</v>
      </c>
      <c r="I17" s="116">
        <f t="shared" ref="I17:I23" si="2">(G17*D17)*F17+H17*F17</f>
        <v>629.54999999999995</v>
      </c>
      <c r="J17" s="117"/>
      <c r="K17" s="104">
        <f t="shared" ref="K17:K21" si="3">I17*3.5%</f>
        <v>22.03425</v>
      </c>
      <c r="L17" s="105">
        <f t="shared" ref="L17:L21" si="4">I17*8%</f>
        <v>50.363999999999997</v>
      </c>
      <c r="M17" s="118">
        <f t="shared" ref="M17:M23" si="5">I17-K17-L17</f>
        <v>557.15174999999988</v>
      </c>
      <c r="N17" s="118">
        <f t="shared" si="0"/>
        <v>122.57338499999997</v>
      </c>
      <c r="O17" s="119">
        <f t="shared" ref="O17:O24" si="6">(N17+M17)*$O$15</f>
        <v>16.993128374999998</v>
      </c>
      <c r="P17" s="120">
        <f t="shared" si="1"/>
        <v>696.71826337499988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04">
        <f>I22*8.6%</f>
        <v>40.48536</v>
      </c>
      <c r="L22" s="120">
        <f>I22*5%</f>
        <v>23.538000000000004</v>
      </c>
      <c r="M22" s="118">
        <f t="shared" si="5"/>
        <v>406.73664000000002</v>
      </c>
      <c r="N22" s="118">
        <f t="shared" si="0"/>
        <v>89.482060799999999</v>
      </c>
      <c r="O22" s="119">
        <f t="shared" si="6"/>
        <v>12.405467520000002</v>
      </c>
      <c r="P22" s="120">
        <f t="shared" si="1"/>
        <v>508.62416832000002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36</v>
      </c>
      <c r="I25" s="137">
        <f t="shared" si="9"/>
        <v>1729.86</v>
      </c>
      <c r="J25" s="138"/>
      <c r="K25" s="139">
        <f t="shared" si="9"/>
        <v>84.55386</v>
      </c>
      <c r="L25" s="140">
        <f t="shared" si="9"/>
        <v>124.26599999999999</v>
      </c>
      <c r="M25" s="141">
        <f t="shared" si="9"/>
        <v>1521.0401399999998</v>
      </c>
      <c r="N25" s="142">
        <f>SUM(N16:N24)</f>
        <v>334.62883079999995</v>
      </c>
      <c r="O25" s="143">
        <f>SUM(O16:O24)</f>
        <v>46.391724269999997</v>
      </c>
      <c r="P25" s="144">
        <f>SUM(P16:P24)</f>
        <v>1902.0606950699998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1729.86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124.26599999999999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84.55386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1521.0401399999998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334.62883079999995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1855.6689707999999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46.391724269999997</v>
      </c>
    </row>
    <row r="35" spans="2:16" ht="15.75" customHeight="1" thickBot="1" x14ac:dyDescent="0.4">
      <c r="N35" s="229" t="s">
        <v>92</v>
      </c>
      <c r="O35" s="230"/>
      <c r="P35" s="160">
        <f>P33+P34</f>
        <v>1902.0606950699998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21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5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127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 t="s">
        <v>128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15</v>
      </c>
      <c r="I16" s="102">
        <f>(G16*D16)*F16+H16*F16</f>
        <v>786.9375</v>
      </c>
      <c r="J16" s="103"/>
      <c r="K16" s="104">
        <f>I16*3.5%</f>
        <v>27.542812500000004</v>
      </c>
      <c r="L16" s="105">
        <f>I16*8%</f>
        <v>62.954999999999998</v>
      </c>
      <c r="M16" s="106">
        <f>I16-K16-L16</f>
        <v>696.43968749999999</v>
      </c>
      <c r="N16" s="106">
        <f t="shared" ref="N16:N24" si="0">(M16*$N$15)+(J16*F16)*$N$15</f>
        <v>153.21673125000001</v>
      </c>
      <c r="O16" s="107">
        <f>(N16+M16)*$O$15</f>
        <v>4.2482820937500003</v>
      </c>
      <c r="P16" s="105">
        <f t="shared" ref="P16:P24" si="1">M16+N16+O16</f>
        <v>853.90470084375011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24</v>
      </c>
      <c r="I22" s="116">
        <f t="shared" si="2"/>
        <v>941.5200000000001</v>
      </c>
      <c r="J22" s="117"/>
      <c r="K22" s="104">
        <f>I22*8.6%</f>
        <v>80.97072</v>
      </c>
      <c r="L22" s="120">
        <f>I22*5%</f>
        <v>47.076000000000008</v>
      </c>
      <c r="M22" s="118">
        <f t="shared" si="5"/>
        <v>813.47328000000005</v>
      </c>
      <c r="N22" s="118">
        <f t="shared" si="0"/>
        <v>178.9641216</v>
      </c>
      <c r="O22" s="119">
        <f t="shared" si="6"/>
        <v>4.9621870079999999</v>
      </c>
      <c r="P22" s="120">
        <f t="shared" si="1"/>
        <v>997.39958860800004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39</v>
      </c>
      <c r="I25" s="137">
        <f t="shared" si="9"/>
        <v>1728.4575</v>
      </c>
      <c r="J25" s="138"/>
      <c r="K25" s="139">
        <f t="shared" si="9"/>
        <v>108.5135325</v>
      </c>
      <c r="L25" s="140">
        <f t="shared" si="9"/>
        <v>110.03100000000001</v>
      </c>
      <c r="M25" s="141">
        <f t="shared" si="9"/>
        <v>1509.9129674999999</v>
      </c>
      <c r="N25" s="142">
        <f>SUM(N16:N24)</f>
        <v>332.18085285000001</v>
      </c>
      <c r="O25" s="143">
        <f>SUM(O16:O24)</f>
        <v>9.2104691017500002</v>
      </c>
      <c r="P25" s="144">
        <f>SUM(P16:P24)</f>
        <v>1851.3042894517503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1728.4575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110.03100000000001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108.5135325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1509.9129674999999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332.18085285000001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1842.09382035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9.2104691017500002</v>
      </c>
    </row>
    <row r="35" spans="2:16" ht="15.75" customHeight="1" thickBot="1" x14ac:dyDescent="0.4">
      <c r="N35" s="229" t="s">
        <v>92</v>
      </c>
      <c r="O35" s="230"/>
      <c r="P35" s="160">
        <f>P33+P34</f>
        <v>1851.30428945175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20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6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130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3420103553549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102.14448750000001</v>
      </c>
      <c r="O16" s="107">
        <f>(N16+M16)*$O$15</f>
        <v>2.8321880625000002</v>
      </c>
      <c r="P16" s="105">
        <f t="shared" ref="P16:P24" si="1">M16+N16+O16</f>
        <v>569.2698005625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04">
        <f t="shared" ref="K17:K21" si="3">I17*3.5%</f>
        <v>18.361875000000001</v>
      </c>
      <c r="L17" s="105">
        <f t="shared" ref="L17:L21" si="4">I17*8%</f>
        <v>41.97</v>
      </c>
      <c r="M17" s="118">
        <f t="shared" ref="M17:M23" si="5">I17-K17-L17</f>
        <v>464.29312500000003</v>
      </c>
      <c r="N17" s="118">
        <f t="shared" si="0"/>
        <v>102.14448750000001</v>
      </c>
      <c r="O17" s="119">
        <f t="shared" ref="O17:O24" si="6">(N17+M17)*$O$15</f>
        <v>2.8321880625000002</v>
      </c>
      <c r="P17" s="120">
        <f t="shared" si="1"/>
        <v>569.2698005625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141.43008</v>
      </c>
      <c r="O19" s="119">
        <f t="shared" si="6"/>
        <v>3.9214704</v>
      </c>
      <c r="P19" s="120">
        <f t="shared" si="1"/>
        <v>788.21555039999998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141.43008</v>
      </c>
      <c r="O20" s="119">
        <f t="shared" si="6"/>
        <v>3.9214704</v>
      </c>
      <c r="P20" s="120">
        <f t="shared" si="1"/>
        <v>788.21555039999998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141.43008</v>
      </c>
      <c r="O21" s="119">
        <f t="shared" si="6"/>
        <v>3.9214704</v>
      </c>
      <c r="P21" s="120">
        <f t="shared" si="1"/>
        <v>788.21555039999998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74.568384000000009</v>
      </c>
      <c r="O22" s="119">
        <f t="shared" si="6"/>
        <v>2.0675779200000006</v>
      </c>
      <c r="P22" s="120">
        <f t="shared" si="1"/>
        <v>415.58316192000012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60</v>
      </c>
      <c r="I25" s="137">
        <f t="shared" si="9"/>
        <v>3620.7500000000005</v>
      </c>
      <c r="J25" s="138"/>
      <c r="K25" s="139">
        <f t="shared" si="9"/>
        <v>146.73355000000001</v>
      </c>
      <c r="L25" s="140">
        <f t="shared" si="9"/>
        <v>277.89100000000002</v>
      </c>
      <c r="M25" s="141">
        <f t="shared" si="9"/>
        <v>3196.1254500000005</v>
      </c>
      <c r="N25" s="142">
        <f>SUM(N16:N24)</f>
        <v>703.14759900000001</v>
      </c>
      <c r="O25" s="143">
        <f>SUM(O16:O24)</f>
        <v>19.496365245000003</v>
      </c>
      <c r="P25" s="144">
        <f>SUM(P16:P24)</f>
        <v>3918.7694142450005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3620.7500000000005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277.89100000000002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146.73355000000001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3196.1254500000005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703.14759900000001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3899.2730490000004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19.496365245000003</v>
      </c>
    </row>
    <row r="35" spans="2:16" ht="15.75" customHeight="1" thickBot="1" x14ac:dyDescent="0.4">
      <c r="N35" s="229" t="s">
        <v>92</v>
      </c>
      <c r="O35" s="230"/>
      <c r="P35" s="160">
        <f>P33+P34</f>
        <v>3918.7694142450005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21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7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131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 t="s">
        <v>132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141.43008</v>
      </c>
      <c r="O19" s="119">
        <f t="shared" si="6"/>
        <v>3.9214704</v>
      </c>
      <c r="P19" s="120">
        <f t="shared" si="1"/>
        <v>788.21555039999998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141.43008</v>
      </c>
      <c r="O20" s="119">
        <f t="shared" si="6"/>
        <v>3.9214704</v>
      </c>
      <c r="P20" s="120">
        <f t="shared" si="1"/>
        <v>788.21555039999998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282.86016000000001</v>
      </c>
      <c r="O21" s="119">
        <f t="shared" si="6"/>
        <v>7.8429408</v>
      </c>
      <c r="P21" s="120">
        <f t="shared" si="1"/>
        <v>1576.4311008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298.27353600000004</v>
      </c>
      <c r="O22" s="119">
        <f t="shared" si="6"/>
        <v>8.2703116800000025</v>
      </c>
      <c r="P22" s="120">
        <f t="shared" si="1"/>
        <v>1662.3326476800005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80</v>
      </c>
      <c r="I25" s="137">
        <f t="shared" si="9"/>
        <v>4474.8</v>
      </c>
      <c r="J25" s="138"/>
      <c r="K25" s="139">
        <f t="shared" si="9"/>
        <v>236.6472</v>
      </c>
      <c r="L25" s="140">
        <f t="shared" si="9"/>
        <v>310.90800000000002</v>
      </c>
      <c r="M25" s="141">
        <f t="shared" si="9"/>
        <v>3927.2448000000004</v>
      </c>
      <c r="N25" s="142">
        <f>SUM(N16:N24)</f>
        <v>863.99385600000005</v>
      </c>
      <c r="O25" s="143">
        <f>SUM(O16:O24)</f>
        <v>23.956193280000001</v>
      </c>
      <c r="P25" s="144">
        <f>SUM(P16:P24)</f>
        <v>4815.1948492800002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4474.8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310.90800000000002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236.6472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3927.2447999999999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863.99385600000005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4791.2386559999995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23.956193279999997</v>
      </c>
    </row>
    <row r="35" spans="2:16" ht="15.75" customHeight="1" thickBot="1" x14ac:dyDescent="0.4">
      <c r="N35" s="229" t="s">
        <v>92</v>
      </c>
      <c r="O35" s="230"/>
      <c r="P35" s="160">
        <f>P33+P34</f>
        <v>4815.1948492799993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8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9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7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80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opLeftCell="A7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2026-07-09T04:05:20Z</dcterms:modified>
</cp:coreProperties>
</file>