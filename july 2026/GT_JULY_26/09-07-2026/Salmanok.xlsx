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1E8062D9-F2C2-4A11-9A0D-EB6D8599EEAB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7" i="19"/>
  <c r="K18" i="19"/>
  <c r="K19" i="19"/>
  <c r="K20" i="19"/>
  <c r="K21" i="19"/>
  <c r="K18" i="18"/>
  <c r="K19" i="18"/>
  <c r="K20" i="18"/>
  <c r="K21" i="18"/>
  <c r="K17" i="20"/>
  <c r="K18" i="20"/>
  <c r="K19" i="20"/>
  <c r="K20" i="20"/>
  <c r="K21" i="20"/>
  <c r="K18" i="21"/>
  <c r="K17" i="22"/>
  <c r="K18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20" i="16"/>
  <c r="K21" i="16"/>
  <c r="K16" i="19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I24" i="23"/>
  <c r="L24" i="23" s="1"/>
  <c r="I16" i="20"/>
  <c r="I18" i="20"/>
  <c r="I20" i="20"/>
  <c r="L20" i="20" s="1"/>
  <c r="I22" i="20"/>
  <c r="I24" i="20"/>
  <c r="K24" i="20" s="1"/>
  <c r="I16" i="21"/>
  <c r="I18" i="21"/>
  <c r="I20" i="21"/>
  <c r="K20" i="21" s="1"/>
  <c r="I22" i="21"/>
  <c r="I24" i="21"/>
  <c r="K24" i="21" s="1"/>
  <c r="I16" i="17"/>
  <c r="K16" i="17" s="1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7" i="21" l="1"/>
  <c r="K17" i="21"/>
  <c r="L16" i="21"/>
  <c r="K16" i="21"/>
  <c r="L16" i="20"/>
  <c r="K16" i="20"/>
  <c r="L17" i="18"/>
  <c r="K17" i="18"/>
  <c r="L16" i="18"/>
  <c r="K16" i="18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M21" i="21" s="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K19" i="16" s="1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P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18" l="1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8"/>
  <c r="O16" i="17"/>
  <c r="O25" i="17" s="1"/>
  <c r="N25" i="17"/>
  <c r="P32" i="17" s="1"/>
  <c r="P33" i="20" l="1"/>
  <c r="P34" i="20" s="1"/>
  <c r="P35" i="20" s="1"/>
  <c r="U18" i="15" s="1"/>
  <c r="P33" i="18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<sst xmlns="http://schemas.openxmlformats.org/spreadsheetml/2006/main" count="1634" uniqueCount="133">
  <si>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</si>
  <si>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</si>
  <si>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</si>
  <si>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</si>
  <si>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</si>
  <si>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</si>
  <si>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</si>
  <si>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</si>
  <si>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</si>
  <si>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</si>
  <si>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</si>
  <si>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</si>
  <si>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</si>
  <si>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</si>
  <si>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</si>
  <si>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</si>
  <si>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</si>
  <si>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</si>
  <si>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</si>
  <si>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</si>
  <si>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</si>
  <si>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</si>
  <si>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</si>
  <si>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</si>
  <si>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</si>
  <si>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</si>
  <si>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</si>
  <si>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</si>
  <si>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</si>
  <si>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</si>
  <si>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</si>
  <si>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</si>
  <si>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</si>
  <si>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</si>
  <si>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</si>
  <si>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</si>
  <si>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</si>
  <si>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</si>
  <si>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</si>
  <si>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</si>
  <si>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</si>
  <si>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</si>
  <si>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</si>
  <si>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</si>
  <si>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</si>
  <si>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</si>
  <si>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</si>
  <si>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</si>
  <si>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</si>
  <si>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</si>
  <si>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</si>
  <si>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</si>
  <si>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</si>
  <si>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</si>
  <si>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</si>
  <si>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</si>
  <si>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</si>
  <si>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</si>
  <si>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</si>
  <si>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</si>
  <si>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</si>
  <si>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</si>
  <si>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</si>
  <si>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</si>
  <si>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</si>
  <si>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</si>
  <si>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</si>
  <si>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</si>
  <si>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</si>
  <si>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</si>
  <si>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</si>
  <si>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</si>
  <si>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</si>
  <si>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</si>
  <si>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</si>
  <si>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</si>
  <si>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</si>
  <si>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</si>
  <si>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</si>
  <si>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</si>
  <si>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</si>
  <si>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</si>
  <si>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</si>
  <si>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</si>
  <si>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</si>
  <si>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</si>
  <si>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</si>
  <si>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</si>
  <si>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</si>
  <si>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</si>
  <si>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</si>
  <si>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</si>
  <si>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</si>
  <si>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</si>
  <si>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</si>
  <si>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</si>
  <si>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</si>
  <si>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</si>
  <si>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</si>
  <si>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</si>
  <si>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</si>
  <si>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</si>
  <si>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</si>
  <si>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</si>
  <si>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</si>
  <si>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</si>
  <si>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</si>
  <si>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</si>
  <si>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</si>
  <si>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</si>
  <si>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</si>
  <si>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</si>
  <si>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</si>
  <si>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</si>
  <si>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</si>
  <si>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</si>
  <si>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</si>
  <si>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</si>
  <si>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</si>
  <si>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</si>
  <si>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</si>
  <si>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 (Salman)</t>
  </si>
  <si>
    <t xml:space="preserve">Customer Name : Askari Cash &amp; Carry </t>
  </si>
  <si>
    <t>Address: Askari 5</t>
  </si>
  <si>
    <t>Customer Name : Sanwal GS</t>
  </si>
  <si>
    <t xml:space="preserve">Customer Name : Al Makkah Cash &amp; Carry </t>
  </si>
  <si>
    <t>Customer Name : Quality Store</t>
  </si>
  <si>
    <t>Customer Name : Hikma Super Store</t>
  </si>
  <si>
    <t>2302644-8</t>
  </si>
  <si>
    <t xml:space="preserve">Customer Name : Kashmir Bakers </t>
  </si>
  <si>
    <t>Address: Gopal Nagar</t>
  </si>
  <si>
    <t>Customer Name : Five Start</t>
  </si>
  <si>
    <t>4363239-4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</si>
</sst>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K17" sqref="K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0" zoomScale="70" zoomScaleNormal="70" workbookViewId="0">
      <selection activeCell="W27" sqref="W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Askari Cash &amp; Carry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Sanwal GS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37</v>
      </c>
      <c r="I16" s="1">
        <f>(G16*D16)*F16+H16*F16</f>
        <v>1941.1125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67.938937500000009</v>
      </c>
      <c r="L16" s="175">
        <f>+'1'!L16+'2'!L16+'4'!L16+'3'!L16+'5'!L16+'6'!L16+'7'!L16+'8'!L16+'9'!L16+'10'!L16</f>
        <v>155.28899999999999</v>
      </c>
      <c r="M16" s="106">
        <f>I16-K16-L16</f>
        <v>1717.8845624999999</v>
      </c>
      <c r="N16" s="101">
        <f>+'1'!N16+'2'!N16+'4'!N16+'3'!N16+'5'!N16+'6'!N16+'7'!N16+'8'!N16+'9'!N16+'10'!N16</f>
        <v>377.93460375000001</v>
      </c>
      <c r="O16" s="101">
        <f>+'1'!O16+'2'!O16+'4'!O16+'3'!O16+'5'!O16+'6'!O16+'7'!O16+'8'!O16+'9'!O16+'10'!O16</f>
        <v>24.073598531249999</v>
      </c>
      <c r="P16" s="105">
        <f t="shared" ref="P16:P24" si="0">M16+N16+O16</f>
        <v>2119.8927647812498</v>
      </c>
      <c r="Q16" s="108"/>
      <c r="T16" s="163" t="str">
        <f>+'3'!A5</f>
        <v xml:space="preserve">Customer Name : Al Makkah Cash &amp; Carry </v>
      </c>
      <c r="U16" s="164">
        <f>+'3'!P35</f>
        <v>1662.3326476800005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22</v>
      </c>
      <c r="I17" s="1">
        <f t="shared" ref="I17:I23" si="1">(G17*D17)*F17+H17*F17</f>
        <v>1154.175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40.396124999999998</v>
      </c>
      <c r="L17" s="175">
        <f>+'1'!L17+'2'!L17+'4'!L17+'3'!L17+'5'!L17+'6'!L17+'7'!L17+'8'!L17+'9'!L17+'10'!L17</f>
        <v>92.334000000000003</v>
      </c>
      <c r="M17" s="118">
        <f t="shared" ref="M17:M23" si="2">I17-K17-L17</f>
        <v>1021.4448749999999</v>
      </c>
      <c r="N17" s="101">
        <f>+'1'!N17+'2'!N17+'4'!N17+'3'!N17+'5'!N17+'6'!N17+'7'!N17+'8'!N17+'9'!N17+'10'!N17</f>
        <v>224.7178725</v>
      </c>
      <c r="O17" s="101">
        <f>+'1'!O17+'2'!O17+'4'!O17+'3'!O17+'5'!O17+'6'!O17+'7'!O17+'8'!O17+'9'!O17+'10'!O17</f>
        <v>19.8253164375</v>
      </c>
      <c r="P17" s="120">
        <f t="shared" si="0"/>
        <v>1265.9880639375001</v>
      </c>
      <c r="S17" s="64"/>
      <c r="T17" s="163" t="str">
        <f>+'4'!A5</f>
        <v>Customer Name : Quality Store</v>
      </c>
      <c r="U17" s="164">
        <f>+'4'!P35</f>
        <v>1902.0606950699998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Hikma Super Store</v>
      </c>
      <c r="U18" s="164">
        <f>+'5'!P35</f>
        <v>1851.30428945175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20</v>
      </c>
      <c r="I19" s="1">
        <f t="shared" si="1"/>
        <v>1452.8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50.848000000000006</v>
      </c>
      <c r="L19" s="175">
        <f>+'1'!L19+'2'!L19+'4'!L19+'3'!L19+'5'!L19+'6'!L19+'7'!L19+'8'!L19+'9'!L19+'10'!L19</f>
        <v>116.224</v>
      </c>
      <c r="M19" s="118">
        <f t="shared" si="2"/>
        <v>1285.7280000000001</v>
      </c>
      <c r="N19" s="101">
        <f>+'1'!N19+'2'!N19+'4'!N19+'3'!N19+'5'!N19+'6'!N19+'7'!N19+'8'!N19+'9'!N19+'10'!N19</f>
        <v>282.86016000000001</v>
      </c>
      <c r="O19" s="101">
        <f>+'1'!O19+'2'!O19+'4'!O19+'3'!O19+'5'!O19+'6'!O19+'7'!O19+'8'!O19+'9'!O19+'10'!O19</f>
        <v>7.8429408</v>
      </c>
      <c r="P19" s="120">
        <f t="shared" si="0"/>
        <v>1576.4311008</v>
      </c>
      <c r="T19" s="163" t="str">
        <f>+'6'!A5</f>
        <v xml:space="preserve">Customer Name : Kashmir Bakers </v>
      </c>
      <c r="U19" s="164">
        <f>+'6'!P35</f>
        <v>3918.7694142450005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20</v>
      </c>
      <c r="I20" s="1">
        <f t="shared" si="1"/>
        <v>1452.8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50.848000000000006</v>
      </c>
      <c r="L20" s="175">
        <f>+'1'!L20+'2'!L20+'4'!L20+'3'!L20+'5'!L20+'6'!L20+'7'!L20+'8'!L20+'9'!L20+'10'!L20</f>
        <v>116.224</v>
      </c>
      <c r="M20" s="118">
        <f t="shared" si="2"/>
        <v>1285.7280000000001</v>
      </c>
      <c r="N20" s="101">
        <f>+'1'!N20+'2'!N20+'4'!N20+'3'!N20+'5'!N20+'6'!N20+'7'!N20+'8'!N20+'9'!N20+'10'!N20</f>
        <v>282.86016000000001</v>
      </c>
      <c r="O20" s="101">
        <f>+'1'!O20+'2'!O20+'4'!O20+'3'!O20+'5'!O20+'6'!O20+'7'!O20+'8'!O20+'9'!O20+'10'!O20</f>
        <v>7.8429408</v>
      </c>
      <c r="P20" s="120">
        <f t="shared" si="0"/>
        <v>1576.4311008</v>
      </c>
      <c r="T20" s="163" t="str">
        <f>+'7'!A5</f>
        <v>Customer Name : Five Start</v>
      </c>
      <c r="U20" s="164">
        <f>+'7'!P35</f>
        <v>4815.1948492799993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30</v>
      </c>
      <c r="I21" s="1">
        <f t="shared" si="1"/>
        <v>2179.1999999999998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76.272000000000006</v>
      </c>
      <c r="L21" s="175">
        <f>+'1'!L21+'2'!L21+'4'!L21+'3'!L21+'5'!L21+'6'!L21+'7'!L21+'8'!L21+'9'!L21+'10'!L21</f>
        <v>174.33600000000001</v>
      </c>
      <c r="M21" s="118">
        <f t="shared" si="2"/>
        <v>1928.5919999999999</v>
      </c>
      <c r="N21" s="101">
        <f>+'1'!N21+'2'!N21+'4'!N21+'3'!N21+'5'!N21+'6'!N21+'7'!N21+'8'!N21+'9'!N21+'10'!N21</f>
        <v>424.29024000000004</v>
      </c>
      <c r="O21" s="101">
        <f>+'1'!O21+'2'!O21+'4'!O21+'3'!O21+'5'!O21+'6'!O21+'7'!O21+'8'!O21+'9'!O21+'10'!O21</f>
        <v>11.7644112</v>
      </c>
      <c r="P21" s="120">
        <f t="shared" si="0"/>
        <v>2364.6466511999997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126</v>
      </c>
      <c r="I22" s="1">
        <f t="shared" si="1"/>
        <v>4942.9800000000005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425.09627999999998</v>
      </c>
      <c r="L22" s="175">
        <f>+'1'!L22+'2'!L22+'4'!L22+'3'!L22+'5'!L22+'6'!L22+'7'!L22+'8'!L22+'9'!L22+'10'!L22</f>
        <v>247.14900000000006</v>
      </c>
      <c r="M22" s="118">
        <f t="shared" si="2"/>
        <v>4270.7347200000004</v>
      </c>
      <c r="N22" s="101">
        <f>+'1'!N22+'2'!N22+'4'!N22+'3'!N22+'5'!N22+'6'!N22+'7'!N22+'8'!N22+'9'!N22+'10'!N22</f>
        <v>939.56163840000011</v>
      </c>
      <c r="O22" s="101">
        <f>+'1'!O22+'2'!O22+'4'!O22+'3'!O22+'5'!O22+'6'!O22+'7'!O22+'8'!O22+'9'!O22+'10'!O22</f>
        <v>35.975855808000006</v>
      </c>
      <c r="P22" s="120">
        <f t="shared" si="0"/>
        <v>5246.2722142080011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6.375</v>
      </c>
      <c r="D25" s="231"/>
      <c r="E25" s="231"/>
      <c r="F25" s="231"/>
      <c r="G25" s="176">
        <f t="shared" ref="G25:M25" si="3">SUM(G16:G24)</f>
        <v>0</v>
      </c>
      <c r="H25" s="177">
        <f t="shared" si="3"/>
        <v>255</v>
      </c>
      <c r="I25" s="178">
        <f t="shared" si="3"/>
        <v>13123.067500000001</v>
      </c>
      <c r="J25" s="177">
        <f t="shared" si="3"/>
        <v>0</v>
      </c>
      <c r="K25" s="178">
        <f t="shared" si="3"/>
        <v>711.39934249999999</v>
      </c>
      <c r="L25" s="179">
        <f t="shared" si="3"/>
        <v>901.55600000000004</v>
      </c>
      <c r="M25" s="141">
        <f t="shared" si="3"/>
        <v>11510.1121575</v>
      </c>
      <c r="N25" s="142">
        <f>SUM(N16:N24)</f>
        <v>2532.22467465</v>
      </c>
      <c r="O25" s="143">
        <f>SUM(O16:O24)</f>
        <v>107.32506357675001</v>
      </c>
      <c r="P25" s="144">
        <f>SUM(P16:P24)</f>
        <v>14149.661895726753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14149.661895726749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13123.067500000001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901.55600000000004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711.39934249999999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11510.1121575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2532.22467465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14042.33683215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351.05842080375004</v>
      </c>
    </row>
    <row r="43" spans="1:21" ht="15.75" customHeight="1" thickBot="1" x14ac:dyDescent="0.4">
      <c r="N43" s="229" t="s">
        <v>92</v>
      </c>
      <c r="O43" s="230"/>
      <c r="P43" s="160">
        <f>P41+P42</f>
        <v>14393.395252953751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H17" sqref="H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41197127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04">
        <f>I22*8.6%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0</v>
      </c>
      <c r="I25" s="137">
        <f t="shared" si="13"/>
        <v>0</v>
      </c>
      <c r="J25" s="138"/>
      <c r="K25" s="139">
        <f t="shared" si="13"/>
        <v>0</v>
      </c>
      <c r="L25" s="140">
        <f t="shared" si="13"/>
        <v>0</v>
      </c>
      <c r="M25" s="141">
        <f t="shared" si="1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3530232820806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21364524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134.9512</v>
      </c>
      <c r="L25" s="140">
        <f t="shared" si="9"/>
        <v>78.460000000000022</v>
      </c>
      <c r="M25" s="141">
        <f t="shared" si="9"/>
        <v>1355.7888000000003</v>
      </c>
      <c r="N25" s="142">
        <f>SUM(N16:N24)</f>
        <v>298.27353600000004</v>
      </c>
      <c r="O25" s="143">
        <f>SUM(O16:O24)</f>
        <v>8.2703116800000025</v>
      </c>
      <c r="P25" s="144">
        <f>SUM(P16:P24)</f>
        <v>1662.3326476800005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134.9512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1355.7888000000003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298.27353600000004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1654.0623360000004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8.2703116800000025</v>
      </c>
    </row>
    <row r="35" spans="2:16" ht="15.75" customHeight="1" thickBot="1" x14ac:dyDescent="0.4">
      <c r="N35" s="229" t="s">
        <v>92</v>
      </c>
      <c r="O35" s="230"/>
      <c r="P35" s="160">
        <f>P33+P34</f>
        <v>1662.3326476800005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9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122.57338499999997</v>
      </c>
      <c r="O16" s="107">
        <f>(N16+M16)*$O$15</f>
        <v>16.993128374999998</v>
      </c>
      <c r="P16" s="105">
        <f t="shared" ref="P16:P24" si="1">M16+N16+O16</f>
        <v>696.71826337499988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</v>
      </c>
      <c r="I17" s="116">
        <f t="shared" ref="I17:I23" si="2">(G17*D17)*F17+H17*F17</f>
        <v>629.54999999999995</v>
      </c>
      <c r="J17" s="117"/>
      <c r="K17" s="104">
        <f t="shared" ref="K17:K21" si="3">I17*3.5%</f>
        <v>22.03425</v>
      </c>
      <c r="L17" s="105">
        <f t="shared" ref="L17:L21" si="4">I17*8%</f>
        <v>50.363999999999997</v>
      </c>
      <c r="M17" s="118">
        <f t="shared" ref="M17:M23" si="5">I17-K17-L17</f>
        <v>557.15174999999988</v>
      </c>
      <c r="N17" s="118">
        <f t="shared" si="0"/>
        <v>122.57338499999997</v>
      </c>
      <c r="O17" s="119">
        <f t="shared" ref="O17:O24" si="6">(N17+M17)*$O$15</f>
        <v>16.993128374999998</v>
      </c>
      <c r="P17" s="120">
        <f t="shared" si="1"/>
        <v>696.71826337499988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12.405467520000002</v>
      </c>
      <c r="P22" s="120">
        <f t="shared" si="1"/>
        <v>508.62416832000002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36</v>
      </c>
      <c r="I25" s="137">
        <f t="shared" si="9"/>
        <v>1729.86</v>
      </c>
      <c r="J25" s="138"/>
      <c r="K25" s="139">
        <f t="shared" si="9"/>
        <v>84.55386</v>
      </c>
      <c r="L25" s="140">
        <f t="shared" si="9"/>
        <v>124.26599999999999</v>
      </c>
      <c r="M25" s="141">
        <f t="shared" si="9"/>
        <v>1521.0401399999998</v>
      </c>
      <c r="N25" s="142">
        <f>SUM(N16:N24)</f>
        <v>334.62883079999995</v>
      </c>
      <c r="O25" s="143">
        <f>SUM(O16:O24)</f>
        <v>46.391724269999997</v>
      </c>
      <c r="P25" s="144">
        <f>SUM(P16:P24)</f>
        <v>1902.0606950699998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1729.86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124.26599999999999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84.55386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1521.0401399999998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334.62883079999995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1855.6689707999999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46.391724269999997</v>
      </c>
    </row>
    <row r="35" spans="2:16" ht="15.75" customHeight="1" thickBot="1" x14ac:dyDescent="0.4">
      <c r="N35" s="229" t="s">
        <v>92</v>
      </c>
      <c r="O35" s="230"/>
      <c r="P35" s="160">
        <f>P33+P34</f>
        <v>1902.0606950699998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128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I16*3.5%</f>
        <v>27.542812500000004</v>
      </c>
      <c r="L16" s="105">
        <f>I16*8%</f>
        <v>62.954999999999998</v>
      </c>
      <c r="M16" s="106">
        <f>I16-K16-L16</f>
        <v>696.43968749999999</v>
      </c>
      <c r="N16" s="106">
        <f t="shared" ref="N16:N24" si="0">(M16*$N$15)+(J16*F16)*$N$15</f>
        <v>153.21673125000001</v>
      </c>
      <c r="O16" s="107">
        <f>(N16+M16)*$O$15</f>
        <v>4.2482820937500003</v>
      </c>
      <c r="P16" s="105">
        <f t="shared" ref="P16:P24" si="1">M16+N16+O16</f>
        <v>853.90470084375011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178.9641216</v>
      </c>
      <c r="O22" s="119">
        <f t="shared" si="6"/>
        <v>4.9621870079999999</v>
      </c>
      <c r="P22" s="120">
        <f t="shared" si="1"/>
        <v>997.39958860800004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39</v>
      </c>
      <c r="I25" s="137">
        <f t="shared" si="9"/>
        <v>1728.4575</v>
      </c>
      <c r="J25" s="138"/>
      <c r="K25" s="139">
        <f t="shared" si="9"/>
        <v>108.5135325</v>
      </c>
      <c r="L25" s="140">
        <f t="shared" si="9"/>
        <v>110.03100000000001</v>
      </c>
      <c r="M25" s="141">
        <f t="shared" si="9"/>
        <v>1509.9129674999999</v>
      </c>
      <c r="N25" s="142">
        <f>SUM(N16:N24)</f>
        <v>332.18085285000001</v>
      </c>
      <c r="O25" s="143">
        <f>SUM(O16:O24)</f>
        <v>9.2104691017500002</v>
      </c>
      <c r="P25" s="144">
        <f>SUM(P16:P24)</f>
        <v>1851.3042894517503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1728.4575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110.03100000000001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108.5135325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1509.9129674999999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332.18085285000001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1842.09382035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9.2104691017500002</v>
      </c>
    </row>
    <row r="35" spans="2:16" ht="15.75" customHeight="1" thickBot="1" x14ac:dyDescent="0.4">
      <c r="N35" s="229" t="s">
        <v>92</v>
      </c>
      <c r="O35" s="230"/>
      <c r="P35" s="160">
        <f>P33+P34</f>
        <v>1851.30428945175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3420103553549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2.8321880625000002</v>
      </c>
      <c r="P16" s="105">
        <f t="shared" ref="P16:P24" si="1">M16+N16+O16</f>
        <v>569.2698005625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04">
        <f t="shared" ref="K17:K21" si="3">I17*3.5%</f>
        <v>18.361875000000001</v>
      </c>
      <c r="L17" s="105">
        <f t="shared" ref="L17:L21" si="4">I17*8%</f>
        <v>41.97</v>
      </c>
      <c r="M17" s="118">
        <f t="shared" ref="M17:M23" si="5">I17-K17-L17</f>
        <v>464.29312500000003</v>
      </c>
      <c r="N17" s="118">
        <f t="shared" si="0"/>
        <v>102.14448750000001</v>
      </c>
      <c r="O17" s="119">
        <f t="shared" ref="O17:O24" si="6">(N17+M17)*$O$15</f>
        <v>2.8321880625000002</v>
      </c>
      <c r="P17" s="120">
        <f t="shared" si="1"/>
        <v>569.2698005625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60</v>
      </c>
      <c r="I25" s="137">
        <f t="shared" si="9"/>
        <v>3620.7500000000005</v>
      </c>
      <c r="J25" s="138"/>
      <c r="K25" s="139">
        <f t="shared" si="9"/>
        <v>146.73355000000001</v>
      </c>
      <c r="L25" s="140">
        <f t="shared" si="9"/>
        <v>277.89100000000002</v>
      </c>
      <c r="M25" s="141">
        <f t="shared" si="9"/>
        <v>3196.1254500000005</v>
      </c>
      <c r="N25" s="142">
        <f>SUM(N16:N24)</f>
        <v>703.14759900000001</v>
      </c>
      <c r="O25" s="143">
        <f>SUM(O16:O24)</f>
        <v>19.496365245000003</v>
      </c>
      <c r="P25" s="144">
        <f>SUM(P16:P24)</f>
        <v>3918.7694142450005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3620.7500000000005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277.89100000000002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146.73355000000001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3196.1254500000005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703.14759900000001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3899.2730490000004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19.496365245000003</v>
      </c>
    </row>
    <row r="35" spans="2:16" ht="15.75" customHeight="1" thickBot="1" x14ac:dyDescent="0.4">
      <c r="N35" s="229" t="s">
        <v>92</v>
      </c>
      <c r="O35" s="230"/>
      <c r="P35" s="160">
        <f>P33+P34</f>
        <v>3918.7694142450005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132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3.9214704</v>
      </c>
      <c r="P20" s="120">
        <f t="shared" si="1"/>
        <v>788.21555039999998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298.27353600000004</v>
      </c>
      <c r="O22" s="119">
        <f t="shared" si="6"/>
        <v>8.2703116800000025</v>
      </c>
      <c r="P22" s="120">
        <f t="shared" si="1"/>
        <v>1662.3326476800005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80</v>
      </c>
      <c r="I25" s="137">
        <f t="shared" si="9"/>
        <v>4474.8</v>
      </c>
      <c r="J25" s="138"/>
      <c r="K25" s="139">
        <f t="shared" si="9"/>
        <v>236.6472</v>
      </c>
      <c r="L25" s="140">
        <f t="shared" si="9"/>
        <v>310.90800000000002</v>
      </c>
      <c r="M25" s="141">
        <f t="shared" si="9"/>
        <v>3927.2448000000004</v>
      </c>
      <c r="N25" s="142">
        <f>SUM(N16:N24)</f>
        <v>863.99385600000005</v>
      </c>
      <c r="O25" s="143">
        <f>SUM(O16:O24)</f>
        <v>23.956193280000001</v>
      </c>
      <c r="P25" s="144">
        <f>SUM(P16:P24)</f>
        <v>4815.1948492800002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4474.8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310.90800000000002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236.6472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3927.2447999999999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863.99385600000005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4791.2386559999995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23.956193279999997</v>
      </c>
    </row>
    <row r="35" spans="2:16" ht="15.75" customHeight="1" thickBot="1" x14ac:dyDescent="0.4">
      <c r="N35" s="229" t="s">
        <v>92</v>
      </c>
      <c r="O35" s="230"/>
      <c r="P35" s="160">
        <f>P33+P34</f>
        <v>4815.1948492799993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46212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46211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2026-07-09T13:00:49Z</dcterms:modified>
</cp:coreProperties>
</file>