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BA72A91-9B8B-4988-A01E-402CB1F6C99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21" l="1"/>
  <c r="N17" i="21" s="1"/>
  <c r="O17" i="21" s="1"/>
  <c r="P17" i="21" s="1"/>
  <c r="M21" i="19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<sst xmlns="http://schemas.openxmlformats.org/spreadsheetml/2006/main" count="1634" uniqueCount="133">
  <si>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</si>
  <si>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</si>
  <si>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</si>
  <si>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</si>
  <si>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</si>
  <si>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</si>
  <si>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</si>
  <si>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</si>
  <si>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</si>
  <si>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</si>
  <si>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</si>
  <si>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</si>
  <si>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</si>
  <si>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</si>
  <si>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</si>
  <si>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</si>
  <si>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</si>
  <si>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</si>
  <si>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</si>
  <si>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</si>
  <si>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</si>
  <si>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</si>
  <si>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</si>
  <si>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</si>
  <si>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</si>
  <si>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</si>
  <si>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</si>
  <si>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</si>
  <si>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</si>
  <si>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</si>
  <si>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</si>
  <si>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</si>
  <si>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</si>
  <si>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</si>
  <si>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</si>
  <si>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</si>
  <si>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</si>
  <si>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</si>
  <si>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</si>
  <si>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</si>
  <si>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</si>
  <si>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</si>
  <si>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</si>
  <si>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</si>
  <si>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</si>
  <si>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</si>
  <si>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</si>
  <si>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</si>
  <si>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</si>
  <si>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</si>
  <si>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</si>
  <si>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</si>
  <si>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</si>
  <si>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</si>
  <si>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</si>
  <si>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</si>
  <si>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</si>
  <si>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</si>
  <si>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</si>
  <si>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</si>
  <si>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</si>
  <si>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</si>
  <si>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</si>
  <si>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</si>
  <si>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</si>
  <si>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</si>
  <si>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</si>
  <si>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</si>
  <si>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</si>
  <si>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</si>
  <si>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</si>
  <si>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</si>
  <si>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</si>
  <si>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</si>
  <si>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</si>
  <si>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</si>
  <si>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</si>
  <si>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</si>
  <si>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</si>
  <si>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</si>
  <si>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</si>
  <si>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</si>
  <si>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</si>
  <si>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</si>
  <si>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</si>
  <si>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</si>
  <si>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</si>
  <si>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</si>
  <si>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</si>
  <si>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</si>
  <si>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</si>
  <si>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</si>
  <si>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</si>
  <si>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</si>
  <si>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</si>
  <si>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</si>
  <si>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</si>
  <si>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</si>
  <si>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</si>
  <si>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</si>
  <si>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</si>
  <si>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</si>
  <si>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</si>
  <si>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</si>
  <si>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</si>
  <si>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</si>
  <si>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</si>
  <si>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</si>
  <si>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</si>
  <si>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</si>
  <si>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</si>
  <si>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</si>
  <si>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</si>
  <si>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</si>
  <si>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</si>
  <si>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</si>
  <si>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</si>
  <si>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</si>
  <si>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</si>
  <si>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</si>
  <si>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</si>
  <si>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</si>
  <si>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Fakher Store</t>
  </si>
  <si>
    <t>Address: Bedian Road</t>
  </si>
  <si>
    <t>235896-5</t>
  </si>
  <si>
    <t>Customer Name : Mian Bakers</t>
  </si>
  <si>
    <t>Customer Name : Toheed Store</t>
  </si>
  <si>
    <t>E260396-8</t>
  </si>
  <si>
    <t xml:space="preserve">Customer Name : Luqman Bakers </t>
  </si>
  <si>
    <t>Customer Name : Rehman Store</t>
  </si>
  <si>
    <t xml:space="preserve">Customer Name : Sakuf Mart </t>
  </si>
  <si>
    <t>Customer Name : Irfan Bakers</t>
  </si>
  <si>
    <t>Customer Name : Hikma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</si>
</sst>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Fakher Store</v>
      </c>
      <c r="U14" s="164">
        <f>+'1'!P35</f>
        <v>762.37241759999995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Mian Bakers</v>
      </c>
      <c r="U15" s="164">
        <f>+'2'!P35</f>
        <v>762.37241759999995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53</v>
      </c>
      <c r="I16" s="1">
        <f>(G16*D16)*F16+H16*F16</f>
        <v>2780.5124999999998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97.317937499999999</v>
      </c>
      <c r="L16" s="174">
        <f>+'1'!L16+'2'!L16+'4'!L16+'3'!L16+'5'!L16+'6'!L16+'7'!L16+'8'!L16+'9'!L16+'10'!L16</f>
        <v>222.441</v>
      </c>
      <c r="M16" s="106">
        <f>I16-K16-L16</f>
        <v>2460.7535625</v>
      </c>
      <c r="N16" s="101">
        <f>+'1'!N16+'2'!N16+'4'!N16+'3'!N16+'5'!N16+'6'!N16+'7'!N16+'8'!N16+'9'!N16+'10'!N16</f>
        <v>442.93564125</v>
      </c>
      <c r="O16" s="101">
        <f>+'1'!O16+'2'!O16+'4'!O16+'3'!O16+'5'!O16+'6'!O16+'7'!O16+'8'!O16+'9'!O16+'10'!O16</f>
        <v>14.518446018750002</v>
      </c>
      <c r="P16" s="105">
        <f t="shared" ref="P16:P24" si="0">M16+N16+O16</f>
        <v>2918.2076497687503</v>
      </c>
      <c r="Q16" s="108"/>
      <c r="T16" s="163" t="str">
        <f>+'3'!A5</f>
        <v>Customer Name : Toheed Store</v>
      </c>
      <c r="U16" s="164">
        <f>+'3'!P35</f>
        <v>12022.690948076252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55.085625000000007</v>
      </c>
      <c r="L17" s="174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250.71828749999997</v>
      </c>
      <c r="O17" s="101">
        <f>+'1'!O17+'2'!O17+'4'!O17+'3'!O17+'5'!O17+'6'!O17+'7'!O17+'8'!O17+'9'!O17+'10'!O17</f>
        <v>8.2179883124999993</v>
      </c>
      <c r="P17" s="120">
        <f t="shared" si="0"/>
        <v>1651.8156508124998</v>
      </c>
      <c r="S17" s="64"/>
      <c r="T17" s="163" t="str">
        <f>+'4'!A5</f>
        <v xml:space="preserve">Customer Name : Luqman Bakers </v>
      </c>
      <c r="U17" s="164">
        <f>+'4'!P35</f>
        <v>3049.4896703999998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Rehman Store</v>
      </c>
      <c r="U18" s="164">
        <f>+'5'!P35</f>
        <v>6055.8255071100002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508.48</v>
      </c>
      <c r="L19" s="174">
        <f>+'1'!L19+'2'!L19+'4'!L19+'3'!L19+'5'!L19+'6'!L19+'7'!L19+'8'!L19+'9'!L19+'10'!L19</f>
        <v>1162.24</v>
      </c>
      <c r="M19" s="118">
        <f t="shared" si="2"/>
        <v>12857.28</v>
      </c>
      <c r="N19" s="101">
        <f>+'1'!N19+'2'!N19+'4'!N19+'3'!N19+'5'!N19+'6'!N19+'7'!N19+'8'!N19+'9'!N19+'10'!N19</f>
        <v>2314.3103999999998</v>
      </c>
      <c r="O19" s="101">
        <f>+'1'!O19+'2'!O19+'4'!O19+'3'!O19+'5'!O19+'6'!O19+'7'!O19+'8'!O19+'9'!O19+'10'!O19</f>
        <v>75.857951999999997</v>
      </c>
      <c r="P19" s="120">
        <f t="shared" si="0"/>
        <v>15247.448352000001</v>
      </c>
      <c r="T19" s="163" t="str">
        <f>+'6'!A5</f>
        <v xml:space="preserve">Customer Name : Sakuf Mart </v>
      </c>
      <c r="U19" s="164">
        <f>+'6'!P35</f>
        <v>4753.6363309950002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100</v>
      </c>
      <c r="I20" s="1">
        <f t="shared" si="1"/>
        <v>7264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254.24</v>
      </c>
      <c r="L20" s="174">
        <f>+'1'!L20+'2'!L20+'4'!L20+'3'!L20+'5'!L20+'6'!L20+'7'!L20+'8'!L20+'9'!L20+'10'!L20</f>
        <v>581.12</v>
      </c>
      <c r="M20" s="118">
        <f t="shared" si="2"/>
        <v>6428.64</v>
      </c>
      <c r="N20" s="101">
        <f>+'1'!N20+'2'!N20+'4'!N20+'3'!N20+'5'!N20+'6'!N20+'7'!N20+'8'!N20+'9'!N20+'10'!N20</f>
        <v>1157.1551999999999</v>
      </c>
      <c r="O20" s="101">
        <f>+'1'!O20+'2'!O20+'4'!O20+'3'!O20+'5'!O20+'6'!O20+'7'!O20+'8'!O20+'9'!O20+'10'!O20</f>
        <v>37.928975999999999</v>
      </c>
      <c r="P20" s="120">
        <f t="shared" si="0"/>
        <v>7623.7241760000006</v>
      </c>
      <c r="T20" s="163" t="str">
        <f>+'7'!A5</f>
        <v>Customer Name : Irfan Bakers</v>
      </c>
      <c r="U20" s="164">
        <f>+'7'!P35</f>
        <v>762.37241759999995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290</v>
      </c>
      <c r="I21" s="1">
        <f t="shared" si="1"/>
        <v>21065.599999999999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737.29600000000005</v>
      </c>
      <c r="L21" s="174">
        <f>+'1'!L21+'2'!L21+'4'!L21+'3'!L21+'5'!L21+'6'!L21+'7'!L21+'8'!L21+'9'!L21+'10'!L21</f>
        <v>1685.248</v>
      </c>
      <c r="M21" s="118">
        <f t="shared" si="2"/>
        <v>18643.056</v>
      </c>
      <c r="N21" s="101">
        <f>+'1'!N21+'2'!N21+'4'!N21+'3'!N21+'5'!N21+'6'!N21+'7'!N21+'8'!N21+'9'!N21+'10'!N21</f>
        <v>3355.7500800000003</v>
      </c>
      <c r="O21" s="101">
        <f>+'1'!O21+'2'!O21+'4'!O21+'3'!O21+'5'!O21+'6'!O21+'7'!O21+'8'!O21+'9'!O21+'10'!O21</f>
        <v>109.99403039999999</v>
      </c>
      <c r="P21" s="120">
        <f t="shared" si="0"/>
        <v>22108.800110400003</v>
      </c>
      <c r="T21" s="163" t="str">
        <f>+'8'!A5</f>
        <v>Customer Name : Hikma Store</v>
      </c>
      <c r="U21" s="164">
        <f>+'8'!P35</f>
        <v>27611.577239039994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155</v>
      </c>
      <c r="I22" s="1">
        <f t="shared" si="1"/>
        <v>6080.6500000000005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522.93589999999995</v>
      </c>
      <c r="L22" s="174">
        <f>+'1'!L22+'2'!L22+'4'!L22+'3'!L22+'5'!L22+'6'!L22+'7'!L22+'8'!L22+'9'!L22+'10'!L22</f>
        <v>304.03250000000008</v>
      </c>
      <c r="M22" s="118">
        <f t="shared" si="2"/>
        <v>5253.6816000000008</v>
      </c>
      <c r="N22" s="101">
        <f>+'1'!N22+'2'!N22+'4'!N22+'3'!N22+'5'!N22+'6'!N22+'7'!N22+'8'!N22+'9'!N22+'10'!N22</f>
        <v>945.66268800000012</v>
      </c>
      <c r="O22" s="101">
        <f>+'1'!O22+'2'!O22+'4'!O22+'3'!O22+'5'!O22+'6'!O22+'7'!O22+'8'!O22+'9'!O22+'10'!O22</f>
        <v>30.996721440000005</v>
      </c>
      <c r="P22" s="120">
        <f t="shared" si="0"/>
        <v>6230.3410094400015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20.7</v>
      </c>
      <c r="D25" s="230"/>
      <c r="E25" s="230"/>
      <c r="F25" s="230"/>
      <c r="G25" s="175">
        <f t="shared" ref="G25:M25" si="3">SUM(G16:G24)</f>
        <v>0</v>
      </c>
      <c r="H25" s="176">
        <f t="shared" si="3"/>
        <v>828</v>
      </c>
      <c r="I25" s="177">
        <f t="shared" si="3"/>
        <v>53292.637500000004</v>
      </c>
      <c r="J25" s="176">
        <f t="shared" si="3"/>
        <v>0</v>
      </c>
      <c r="K25" s="177">
        <f t="shared" si="3"/>
        <v>2175.3554625000002</v>
      </c>
      <c r="L25" s="178">
        <f t="shared" si="3"/>
        <v>4080.9915000000001</v>
      </c>
      <c r="M25" s="141">
        <f t="shared" si="3"/>
        <v>47036.290537500005</v>
      </c>
      <c r="N25" s="142">
        <f>SUM(N16:N24)</f>
        <v>8466.5322967499997</v>
      </c>
      <c r="O25" s="143">
        <f>SUM(O16:O24)</f>
        <v>277.51411417125001</v>
      </c>
      <c r="P25" s="144">
        <f>SUM(P16:P24)</f>
        <v>55780.33694842126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55780.336948421245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53292.637500000004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4080.9915000000001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2175.3554625000002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47036.290537500005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8466.5322967499997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55502.822834250008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1387.5705708562502</v>
      </c>
    </row>
    <row r="43" spans="1:21" ht="15.75" customHeight="1" thickBot="1" x14ac:dyDescent="0.4">
      <c r="N43" s="228" t="s">
        <v>92</v>
      </c>
      <c r="O43" s="229"/>
      <c r="P43" s="160">
        <f>P41+P42</f>
        <v>56890.393405106261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115.71552</v>
      </c>
      <c r="O21" s="119">
        <f t="shared" si="1"/>
        <v>3.7928975999999999</v>
      </c>
      <c r="P21" s="120">
        <f t="shared" si="2"/>
        <v>762.37241759999995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10</v>
      </c>
      <c r="I25" s="137">
        <f t="shared" si="13"/>
        <v>726.4</v>
      </c>
      <c r="J25" s="138"/>
      <c r="K25" s="139">
        <f t="shared" si="13"/>
        <v>25.424000000000003</v>
      </c>
      <c r="L25" s="140">
        <f t="shared" si="13"/>
        <v>58.112000000000002</v>
      </c>
      <c r="M25" s="141">
        <f t="shared" si="13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8653696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23</v>
      </c>
      <c r="I16" s="102">
        <f>(G16*D16)*F16+H16*F16</f>
        <v>1206.6375</v>
      </c>
      <c r="J16" s="103"/>
      <c r="K16" s="104">
        <f>I16*3.5%</f>
        <v>42.232312500000006</v>
      </c>
      <c r="L16" s="105">
        <f>I16*8%</f>
        <v>96.531000000000006</v>
      </c>
      <c r="M16" s="106">
        <f>I16-K16-L16</f>
        <v>1067.8741875000001</v>
      </c>
      <c r="N16" s="106">
        <f t="shared" ref="N16:N24" si="0">(M16*$N$15)+(J16*F16)*$N$15</f>
        <v>192.21735375</v>
      </c>
      <c r="O16" s="107">
        <f>(N16+M16)*$O$15</f>
        <v>6.3004577062500005</v>
      </c>
      <c r="P16" s="105">
        <f t="shared" ref="P16:P24" si="1">M16+N16+O16</f>
        <v>1266.3919989562501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183</v>
      </c>
      <c r="I25" s="137">
        <f t="shared" si="9"/>
        <v>11492.637500000001</v>
      </c>
      <c r="J25" s="138"/>
      <c r="K25" s="139">
        <f t="shared" si="9"/>
        <v>482.27151250000009</v>
      </c>
      <c r="L25" s="140">
        <f t="shared" si="9"/>
        <v>872.33500000000004</v>
      </c>
      <c r="M25" s="141">
        <f t="shared" si="9"/>
        <v>10138.0309875</v>
      </c>
      <c r="N25" s="142">
        <f>SUM(N16:N24)</f>
        <v>1824.8455777499998</v>
      </c>
      <c r="O25" s="143">
        <f>SUM(O16:O24)</f>
        <v>59.814382826249997</v>
      </c>
      <c r="P25" s="144">
        <f>SUM(P16:P24)</f>
        <v>12022.69094807625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11492.637500000001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872.33500000000004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482.27151250000009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10138.030987500002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1824.8455777499998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11962.876565250002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59.814382826250011</v>
      </c>
    </row>
    <row r="35" spans="2:16" ht="15.75" customHeight="1" thickBot="1" x14ac:dyDescent="0.4">
      <c r="N35" s="228" t="s">
        <v>92</v>
      </c>
      <c r="O35" s="229"/>
      <c r="P35" s="160">
        <f>P33+P34</f>
        <v>12022.690948076252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5493325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795676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439.55800000000005</v>
      </c>
      <c r="M25" s="141">
        <f t="shared" si="9"/>
        <v>5106.5228999999999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6055.8255071099993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5788.7000000000007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439.55800000000005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242.6191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5106.5229000000008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6025.6970220000003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28" t="s">
        <v>92</v>
      </c>
      <c r="O35" s="229"/>
      <c r="P35" s="160">
        <f>P33+P34</f>
        <v>6055.8255071100002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8636869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75</v>
      </c>
      <c r="I25" s="137">
        <f t="shared" si="9"/>
        <v>4543.3</v>
      </c>
      <c r="J25" s="138"/>
      <c r="K25" s="139">
        <f t="shared" si="9"/>
        <v>189.02645000000001</v>
      </c>
      <c r="L25" s="140">
        <f t="shared" si="9"/>
        <v>345.81049999999999</v>
      </c>
      <c r="M25" s="141">
        <f t="shared" si="9"/>
        <v>4008.4630499999998</v>
      </c>
      <c r="N25" s="142">
        <f>SUM(N16:N24)</f>
        <v>721.52334899999994</v>
      </c>
      <c r="O25" s="143">
        <f>SUM(O16:O24)</f>
        <v>23.649931994999999</v>
      </c>
      <c r="P25" s="144">
        <f>SUM(P16:P24)</f>
        <v>4753.6363309950002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4543.3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345.81049999999999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189.02645000000001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4008.4630500000007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721.52334899999994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4729.9863990000003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23.649931995000003</v>
      </c>
    </row>
    <row r="35" spans="2:16" ht="15.75" customHeight="1" thickBot="1" x14ac:dyDescent="0.4">
      <c r="N35" s="228" t="s">
        <v>92</v>
      </c>
      <c r="O35" s="229"/>
      <c r="P35" s="160">
        <f>P33+P34</f>
        <v>4753.6363309950002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8664689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9561987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>
        <v>520118587822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/>
      <c r="K19" s="104">
        <f t="shared" si="3"/>
        <v>305.08800000000002</v>
      </c>
      <c r="L19" s="105">
        <f t="shared" si="4"/>
        <v>697.34399999999994</v>
      </c>
      <c r="M19" s="118">
        <f t="shared" si="5"/>
        <v>7714.3679999999995</v>
      </c>
      <c r="N19" s="118">
        <f t="shared" si="0"/>
        <v>1388.5862399999999</v>
      </c>
      <c r="O19" s="119">
        <f t="shared" si="6"/>
        <v>45.514771199999998</v>
      </c>
      <c r="P19" s="120">
        <f t="shared" si="1"/>
        <v>9148.4690111999989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/>
      <c r="K21" s="104">
        <f t="shared" si="3"/>
        <v>406.78400000000005</v>
      </c>
      <c r="L21" s="105">
        <f t="shared" si="4"/>
        <v>929.79200000000003</v>
      </c>
      <c r="M21" s="118">
        <f t="shared" si="5"/>
        <v>10285.824000000001</v>
      </c>
      <c r="N21" s="118">
        <f t="shared" si="0"/>
        <v>1851.44832</v>
      </c>
      <c r="O21" s="119">
        <f t="shared" si="6"/>
        <v>60.686361599999998</v>
      </c>
      <c r="P21" s="120">
        <f t="shared" si="1"/>
        <v>12197.958681599999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400</v>
      </c>
      <c r="I25" s="137">
        <f t="shared" si="9"/>
        <v>26383.200000000001</v>
      </c>
      <c r="J25" s="138"/>
      <c r="K25" s="139">
        <f t="shared" si="9"/>
        <v>1083.4704000000002</v>
      </c>
      <c r="L25" s="140">
        <f t="shared" si="9"/>
        <v>2016.5039999999999</v>
      </c>
      <c r="M25" s="141">
        <f t="shared" si="9"/>
        <v>23283.225600000002</v>
      </c>
      <c r="N25" s="142">
        <f>SUM(N16:N24)</f>
        <v>4190.9806079999998</v>
      </c>
      <c r="O25" s="143">
        <f>SUM(O16:O24)</f>
        <v>137.37103103999999</v>
      </c>
      <c r="P25" s="144">
        <f>SUM(P16:P24)</f>
        <v>27611.577239039998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26383.200000000001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2016.5039999999999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1083.4704000000002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23283.225599999998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4190.9806079999998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27474.206207999996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137.37103103999999</v>
      </c>
    </row>
    <row r="35" spans="2:16" ht="15.75" customHeight="1" thickBot="1" x14ac:dyDescent="0.4">
      <c r="N35" s="228" t="s">
        <v>92</v>
      </c>
      <c r="O35" s="229"/>
      <c r="P35" s="160">
        <f>P33+P34</f>
        <v>27611.577239039994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46216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46215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2026-07-13T11:55:17Z</dcterms:modified>
</cp:coreProperties>
</file>