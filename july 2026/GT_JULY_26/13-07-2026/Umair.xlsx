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B4CEBE3-3B03-425E-A80A-FDAB55CAAE78}" xr6:coauthVersionLast="47" xr6:coauthVersionMax="47" xr10:uidLastSave="{00000000-0000-0000-0000-000000000000}"/>
  <bookViews>
    <workbookView xWindow="-110" yWindow="-110" windowWidth="19420" windowHeight="10420" tabRatio="949" activeTab="1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L20" i="23"/>
  <c r="K20" i="23"/>
  <c r="M20" i="23" s="1"/>
  <c r="N20" i="23" s="1"/>
  <c r="O20" i="23" s="1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24" l="1"/>
  <c r="N19" i="24" s="1"/>
  <c r="O19" i="24" s="1"/>
  <c r="P19" i="24" s="1"/>
  <c r="M21" i="19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<sst xmlns="http://schemas.openxmlformats.org/spreadsheetml/2006/main" count="1634" uniqueCount="138">
  <si>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</si>
  <si>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</si>
  <si>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</si>
  <si>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</si>
  <si>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</si>
  <si>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</si>
  <si>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</si>
  <si>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</si>
  <si>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</si>
  <si>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</si>
  <si>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</si>
  <si>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</si>
  <si>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</si>
  <si>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</si>
  <si>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</si>
  <si>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</si>
  <si>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</si>
  <si>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</si>
  <si>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</si>
  <si>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</si>
  <si>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</si>
  <si>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</si>
  <si>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</si>
  <si>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</si>
  <si>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</si>
  <si>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</si>
  <si>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</si>
  <si>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</si>
  <si>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</si>
  <si>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</si>
  <si>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</si>
  <si>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</si>
  <si>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</si>
  <si>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</si>
  <si>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</si>
  <si>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</si>
  <si>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</si>
  <si>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</si>
  <si>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</si>
  <si>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</si>
  <si>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</si>
  <si>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</si>
  <si>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</si>
  <si>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</si>
  <si>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</si>
  <si>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</si>
  <si>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</si>
  <si>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</si>
  <si>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</si>
  <si>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</si>
  <si>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</si>
  <si>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</si>
  <si>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</si>
  <si>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</si>
  <si>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</si>
  <si>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</si>
  <si>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</si>
  <si>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</si>
  <si>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</si>
  <si>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</si>
  <si>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</si>
  <si>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</si>
  <si>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</si>
  <si>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</si>
  <si>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</si>
  <si>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</si>
  <si>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</si>
  <si>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</si>
  <si>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</si>
  <si>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</si>
  <si>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</si>
  <si>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</si>
  <si>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</si>
  <si>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</si>
  <si>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</si>
  <si>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</si>
  <si>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</si>
  <si>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</si>
  <si>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</si>
  <si>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</si>
  <si>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</si>
  <si>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</si>
  <si>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</si>
  <si>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</si>
  <si>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</si>
  <si>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</si>
  <si>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</si>
  <si>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</si>
  <si>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</si>
  <si>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</si>
  <si>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</si>
  <si>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</si>
  <si>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</si>
  <si>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</si>
  <si>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</si>
  <si>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</si>
  <si>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</si>
  <si>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</si>
  <si>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</si>
  <si>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</si>
  <si>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</si>
  <si>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</si>
  <si>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</si>
  <si>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</si>
  <si>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</si>
  <si>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</si>
  <si>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</si>
  <si>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</si>
  <si>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</si>
  <si>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</si>
  <si>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</si>
  <si>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</si>
  <si>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</si>
  <si>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</si>
  <si>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</si>
  <si>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</si>
  <si>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</si>
  <si>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</si>
  <si>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</si>
  <si>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</si>
  <si>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</si>
  <si>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</si>
  <si>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MS Mart </t>
  </si>
  <si>
    <t>Customer Name : MF Chanda Store</t>
  </si>
  <si>
    <t>Address: Shadab colony</t>
  </si>
  <si>
    <t xml:space="preserve">Customer Name : US Mart </t>
  </si>
  <si>
    <t xml:space="preserve">Address: Sial Chowk </t>
  </si>
  <si>
    <t xml:space="preserve">Customer Name : Shdab Super Mart </t>
  </si>
  <si>
    <t>Address: Shadab Colony</t>
  </si>
  <si>
    <t>Customer Name : Husnain Store</t>
  </si>
  <si>
    <t>Customer Name : Al Karam Super Store</t>
  </si>
  <si>
    <t>Customer Name : 786 GS</t>
  </si>
  <si>
    <t xml:space="preserve">Customer Name : Chaudry Cash &amp; Carry </t>
  </si>
  <si>
    <t>Address: Orange Station no 22</t>
  </si>
  <si>
    <t>8417475-1</t>
  </si>
  <si>
    <t>Customer Name : Roshan Store</t>
  </si>
  <si>
    <t xml:space="preserve">Address: Al falah town </t>
  </si>
  <si>
    <t>3008424-5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</si>
</sst>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6"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3" t="s">
        <v>45</v>
      </c>
      <c r="B2" s="253"/>
      <c r="C2" s="253"/>
    </row>
    <row r="3" spans="1:21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2" t="s">
        <v>120</v>
      </c>
      <c r="B5" s="252"/>
      <c r="C5" s="252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21 16383:16384" ht="15" customHeight="1" x14ac:dyDescent="0.35">
      <c r="A6" s="252"/>
      <c r="B6" s="252"/>
      <c r="C6" s="252"/>
      <c r="F6" s="70"/>
      <c r="G6" s="74"/>
      <c r="K6" s="237" t="s">
        <v>52</v>
      </c>
      <c r="L6" s="237"/>
      <c r="M6" s="237"/>
      <c r="N6" s="250" t="s">
        <v>42</v>
      </c>
      <c r="O6" s="250"/>
      <c r="P6" s="25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21 16383:16384" hidden="1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21 16383:16384" x14ac:dyDescent="0.35">
      <c r="A10" s="235"/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21 16383:16384" ht="15" thickBot="1" x14ac:dyDescent="0.4">
      <c r="A11" s="235"/>
      <c r="B11" s="76"/>
      <c r="C11" s="77"/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21 16383:16384" ht="14.65" customHeight="1" x14ac:dyDescent="0.35">
      <c r="A12" s="235"/>
      <c r="B12" s="76"/>
      <c r="C12" s="77"/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T12" s="207" t="s">
        <v>121</v>
      </c>
      <c r="U12" s="208"/>
      <c r="XFD12" t="s">
        <v>62</v>
      </c>
    </row>
    <row r="13" spans="1:21 16383:16384" ht="15" thickBot="1" x14ac:dyDescent="0.4">
      <c r="A13" s="236"/>
      <c r="J13" s="78"/>
      <c r="K13" s="78"/>
      <c r="L13" s="79">
        <v>0.05</v>
      </c>
      <c r="T13" s="209"/>
      <c r="U13" s="210"/>
      <c r="XFD13" t="s">
        <v>63</v>
      </c>
    </row>
    <row r="14" spans="1:21 16383:16384" ht="29.25" customHeight="1" x14ac:dyDescent="0.6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6" t="s">
        <v>69</v>
      </c>
      <c r="J14" s="246" t="s">
        <v>70</v>
      </c>
      <c r="K14" s="246"/>
      <c r="L14" s="248"/>
      <c r="M14" s="24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MS Mart </v>
      </c>
      <c r="U14" s="164">
        <f>+'1'!P35</f>
        <v>4750.0025856000002</v>
      </c>
      <c r="XFD14" t="s">
        <v>75</v>
      </c>
    </row>
    <row r="15" spans="1:21 16383:16384" ht="29.25" customHeight="1" thickBot="1" x14ac:dyDescent="0.65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47"/>
      <c r="J15" s="169" t="s">
        <v>78</v>
      </c>
      <c r="K15" s="169" t="s">
        <v>79</v>
      </c>
      <c r="L15" s="172" t="s">
        <v>80</v>
      </c>
      <c r="M15" s="24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MF Chanda Store</v>
      </c>
      <c r="U15" s="164">
        <f>+'2'!P35</f>
        <v>491.94796608000001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46</v>
      </c>
      <c r="I16" s="1">
        <f>(G16*D16)*F16+H16*F16</f>
        <v>2413.2750000000001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84.464625000000012</v>
      </c>
      <c r="L16" s="173">
        <f>+'1'!L16+'2'!L16+'4'!L16+'3'!L16+'5'!L16+'6'!L16+'7'!L16+'8'!L16+'9'!L16+'10'!L16</f>
        <v>193.06199999999998</v>
      </c>
      <c r="M16" s="106">
        <f>I16-K16-L16</f>
        <v>2135.7483750000001</v>
      </c>
      <c r="N16" s="101">
        <f>+'1'!N16+'2'!N16+'4'!N16+'3'!N16+'5'!N16+'6'!N16+'7'!N16+'8'!N16+'9'!N16+'10'!N16</f>
        <v>384.43470749999994</v>
      </c>
      <c r="O16" s="101">
        <f>+'1'!O16+'2'!O16+'4'!O16+'3'!O16+'5'!O16+'6'!O16+'7'!O16+'8'!O16+'9'!O16+'10'!O16</f>
        <v>19.175306062499999</v>
      </c>
      <c r="P16" s="105">
        <f t="shared" ref="P16:P24" si="0">M16+N16+O16</f>
        <v>2539.3583885625003</v>
      </c>
      <c r="Q16" s="108"/>
      <c r="T16" s="163" t="str">
        <f>+'3'!A5</f>
        <v xml:space="preserve">Customer Name : US Mart </v>
      </c>
      <c r="U16" s="164">
        <f>+'3'!P35</f>
        <v>3049.4896703999998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46</v>
      </c>
      <c r="I17" s="1">
        <f t="shared" ref="I17:I23" si="1">(G17*D17)*F17+H17*F17</f>
        <v>2413.2750000000001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84.464625000000012</v>
      </c>
      <c r="L17" s="173">
        <f>+'1'!L17+'2'!L17+'4'!L17+'3'!L17+'5'!L17+'6'!L17+'7'!L17+'8'!L17+'9'!L17+'10'!L17</f>
        <v>193.06199999999998</v>
      </c>
      <c r="M17" s="118">
        <f t="shared" ref="M17:M23" si="2">I17-K17-L17</f>
        <v>2135.7483750000001</v>
      </c>
      <c r="N17" s="101">
        <f>+'1'!N17+'2'!N17+'4'!N17+'3'!N17+'5'!N17+'6'!N17+'7'!N17+'8'!N17+'9'!N17+'10'!N17</f>
        <v>384.43470749999994</v>
      </c>
      <c r="O17" s="101">
        <f>+'1'!O17+'2'!O17+'4'!O17+'3'!O17+'5'!O17+'6'!O17+'7'!O17+'8'!O17+'9'!O17+'10'!O17</f>
        <v>19.175306062499999</v>
      </c>
      <c r="P17" s="120">
        <f t="shared" si="0"/>
        <v>2539.3583885625003</v>
      </c>
      <c r="S17" s="64"/>
      <c r="T17" s="163" t="str">
        <f>+'4'!A5</f>
        <v xml:space="preserve">Customer Name : Shdab Super Mart </v>
      </c>
      <c r="U17" s="164">
        <f>+'4'!P35</f>
        <v>13553.310746700001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Husnain Store</v>
      </c>
      <c r="U18" s="164">
        <f>+'5'!P35</f>
        <v>1639.8265536000001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115</v>
      </c>
      <c r="I19" s="1">
        <f t="shared" si="1"/>
        <v>8353.6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292.37600000000003</v>
      </c>
      <c r="L19" s="173">
        <f>+'1'!L19+'2'!L19+'4'!L19+'3'!L19+'5'!L19+'6'!L19+'7'!L19+'8'!L19+'9'!L19+'10'!L19</f>
        <v>668.28800000000001</v>
      </c>
      <c r="M19" s="118">
        <f t="shared" si="2"/>
        <v>7392.9359999999997</v>
      </c>
      <c r="N19" s="101">
        <f>+'1'!N19+'2'!N19+'4'!N19+'3'!N19+'5'!N19+'6'!N19+'7'!N19+'8'!N19+'9'!N19+'10'!N19</f>
        <v>1330.72848</v>
      </c>
      <c r="O19" s="101">
        <f>+'1'!O19+'2'!O19+'4'!O19+'3'!O19+'5'!O19+'6'!O19+'7'!O19+'8'!O19+'9'!O19+'10'!O19</f>
        <v>58.789912800000003</v>
      </c>
      <c r="P19" s="120">
        <f t="shared" si="0"/>
        <v>8782.4543928000003</v>
      </c>
      <c r="T19" s="163" t="str">
        <f>+'6'!A5</f>
        <v>Customer Name : Al Karam Super Store</v>
      </c>
      <c r="U19" s="164">
        <f>+'6'!P35</f>
        <v>673.87504162499977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115</v>
      </c>
      <c r="I20" s="1">
        <f t="shared" si="1"/>
        <v>8353.6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292.37600000000003</v>
      </c>
      <c r="L20" s="173">
        <f>+'1'!L20+'2'!L20+'4'!L20+'3'!L20+'5'!L20+'6'!L20+'7'!L20+'8'!L20+'9'!L20+'10'!L20</f>
        <v>668.28800000000001</v>
      </c>
      <c r="M20" s="118">
        <f t="shared" si="2"/>
        <v>7392.9359999999997</v>
      </c>
      <c r="N20" s="101">
        <f>+'1'!N20+'2'!N20+'4'!N20+'3'!N20+'5'!N20+'6'!N20+'7'!N20+'8'!N20+'9'!N20+'10'!N20</f>
        <v>1330.72848</v>
      </c>
      <c r="O20" s="101">
        <f>+'1'!O20+'2'!O20+'4'!O20+'3'!O20+'5'!O20+'6'!O20+'7'!O20+'8'!O20+'9'!O20+'10'!O20</f>
        <v>58.789912799999996</v>
      </c>
      <c r="P20" s="120">
        <f t="shared" si="0"/>
        <v>8782.4543928000003</v>
      </c>
      <c r="T20" s="163" t="str">
        <f>+'7'!A5</f>
        <v>Customer Name : 786 GS</v>
      </c>
      <c r="U20" s="164">
        <f>+'7'!P35</f>
        <v>1639.8265536000001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130</v>
      </c>
      <c r="I21" s="1">
        <f t="shared" si="1"/>
        <v>9443.2000000000007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330.51200000000006</v>
      </c>
      <c r="L21" s="173">
        <f>+'1'!L21+'2'!L21+'4'!L21+'3'!L21+'5'!L21+'6'!L21+'7'!L21+'8'!L21+'9'!L21+'10'!L21</f>
        <v>755.45600000000002</v>
      </c>
      <c r="M21" s="118">
        <f t="shared" si="2"/>
        <v>8357.232</v>
      </c>
      <c r="N21" s="101">
        <f>+'1'!N21+'2'!N21+'4'!N21+'3'!N21+'5'!N21+'6'!N21+'7'!N21+'8'!N21+'9'!N21+'10'!N21</f>
        <v>1504.3017600000001</v>
      </c>
      <c r="O21" s="101">
        <f>+'1'!O21+'2'!O21+'4'!O21+'3'!O21+'5'!O21+'6'!O21+'7'!O21+'8'!O21+'9'!O21+'10'!O21</f>
        <v>79.650849600000001</v>
      </c>
      <c r="P21" s="120">
        <f t="shared" si="0"/>
        <v>9941.1846096000008</v>
      </c>
      <c r="T21" s="163" t="str">
        <f>+'8'!A5</f>
        <v xml:space="preserve">Customer Name : Chaudry Cash &amp; Carry </v>
      </c>
      <c r="U21" s="164">
        <f>+'8'!P35</f>
        <v>10756.298949120001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182</v>
      </c>
      <c r="I22" s="1">
        <f t="shared" si="1"/>
        <v>7139.8600000000006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614.02795999999989</v>
      </c>
      <c r="L22" s="173">
        <f>+'1'!L22+'2'!L22+'4'!L22+'3'!L22+'5'!L22+'6'!L22+'7'!L22+'8'!L22+'9'!L22+'10'!L22</f>
        <v>356.99300000000011</v>
      </c>
      <c r="M22" s="118">
        <f t="shared" si="2"/>
        <v>6168.8390400000008</v>
      </c>
      <c r="N22" s="101">
        <f>+'1'!N22+'2'!N22+'4'!N22+'3'!N22+'5'!N22+'6'!N22+'7'!N22+'8'!N22+'9'!N22+'10'!N22</f>
        <v>1110.3910272000003</v>
      </c>
      <c r="O22" s="101">
        <f>+'1'!O22+'2'!O22+'4'!O22+'3'!O22+'5'!O22+'6'!O22+'7'!O22+'8'!O22+'9'!O22+'10'!O22</f>
        <v>141.98498208000004</v>
      </c>
      <c r="P22" s="120">
        <f t="shared" si="0"/>
        <v>7421.215049280001</v>
      </c>
      <c r="T22" s="163" t="str">
        <f>+'9'!A5</f>
        <v>Customer Name : Roshan Store</v>
      </c>
      <c r="U22" s="164">
        <f>+'9'!P35</f>
        <v>3451.4471548800002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7" t="s">
        <v>84</v>
      </c>
      <c r="B25" s="218"/>
      <c r="C25" s="219">
        <f>H25/40</f>
        <v>15.85</v>
      </c>
      <c r="D25" s="213"/>
      <c r="E25" s="213"/>
      <c r="F25" s="213"/>
      <c r="G25" s="174">
        <f t="shared" ref="G25:M25" si="3">SUM(G16:G24)</f>
        <v>0</v>
      </c>
      <c r="H25" s="175">
        <f t="shared" si="3"/>
        <v>634</v>
      </c>
      <c r="I25" s="176">
        <f t="shared" si="3"/>
        <v>38116.81</v>
      </c>
      <c r="J25" s="175">
        <f t="shared" si="3"/>
        <v>0</v>
      </c>
      <c r="K25" s="176">
        <f t="shared" si="3"/>
        <v>1698.2212100000002</v>
      </c>
      <c r="L25" s="177">
        <f t="shared" si="3"/>
        <v>2835.1489999999999</v>
      </c>
      <c r="M25" s="141">
        <f t="shared" si="3"/>
        <v>33583.439790000004</v>
      </c>
      <c r="N25" s="142">
        <f>SUM(N16:N24)</f>
        <v>6045.0191622000002</v>
      </c>
      <c r="O25" s="143">
        <f>SUM(O16:O24)</f>
        <v>377.56626940500007</v>
      </c>
      <c r="P25" s="144">
        <f>SUM(P16:P24)</f>
        <v>40006.025221604999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79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8" t="str">
        <f>+'16'!A5</f>
        <v xml:space="preserve">Customer Name : </v>
      </c>
      <c r="U29" s="179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8" t="str">
        <f>+'17'!A5</f>
        <v xml:space="preserve">Customer Name : </v>
      </c>
      <c r="U30" s="179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8" t="str">
        <f>+'18'!A5</f>
        <v xml:space="preserve">Customer Name : </v>
      </c>
      <c r="U31" s="179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8" t="str">
        <f>+'19'!A5</f>
        <v xml:space="preserve">Customer Name : </v>
      </c>
      <c r="U32" s="179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8" t="str">
        <f>+'20'!A5</f>
        <v xml:space="preserve">Customer Name : </v>
      </c>
      <c r="U33" s="179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40006.025221604999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0" t="s">
        <v>85</v>
      </c>
      <c r="C36" s="221"/>
      <c r="D36" s="221"/>
      <c r="E36" s="221"/>
      <c r="F36" s="221"/>
      <c r="G36" s="221"/>
      <c r="H36" s="221"/>
      <c r="I36" s="221"/>
      <c r="J36" s="221"/>
      <c r="K36" s="221"/>
      <c r="L36" s="222"/>
      <c r="N36" s="229" t="s">
        <v>86</v>
      </c>
      <c r="O36" s="230"/>
      <c r="P36" s="152">
        <f>I25</f>
        <v>38116.81</v>
      </c>
    </row>
    <row r="37" spans="1:21" ht="15" customHeight="1" x14ac:dyDescent="0.35">
      <c r="B37" s="223"/>
      <c r="C37" s="224"/>
      <c r="D37" s="224"/>
      <c r="E37" s="224"/>
      <c r="F37" s="224"/>
      <c r="G37" s="224"/>
      <c r="H37" s="224"/>
      <c r="I37" s="224"/>
      <c r="J37" s="224"/>
      <c r="K37" s="224"/>
      <c r="L37" s="225"/>
      <c r="N37" s="231" t="s">
        <v>87</v>
      </c>
      <c r="O37" s="232"/>
      <c r="P37" s="153">
        <f>L25</f>
        <v>2835.1489999999999</v>
      </c>
    </row>
    <row r="38" spans="1:21" ht="15" customHeight="1" x14ac:dyDescent="0.35">
      <c r="B38" s="223"/>
      <c r="C38" s="224"/>
      <c r="D38" s="224"/>
      <c r="E38" s="224"/>
      <c r="F38" s="224"/>
      <c r="G38" s="224"/>
      <c r="H38" s="224"/>
      <c r="I38" s="224"/>
      <c r="J38" s="224"/>
      <c r="K38" s="224"/>
      <c r="L38" s="225"/>
      <c r="N38" s="231" t="s">
        <v>4</v>
      </c>
      <c r="O38" s="232"/>
      <c r="P38" s="154">
        <f>K25</f>
        <v>1698.2212100000002</v>
      </c>
    </row>
    <row r="39" spans="1:21" ht="15" customHeight="1" x14ac:dyDescent="0.35"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5"/>
      <c r="M39" s="2"/>
      <c r="N39" s="231" t="s">
        <v>88</v>
      </c>
      <c r="O39" s="232"/>
      <c r="P39" s="153">
        <f>P36-P37-P38</f>
        <v>33583.439789999997</v>
      </c>
    </row>
    <row r="40" spans="1:21" ht="15" customHeight="1" x14ac:dyDescent="0.35">
      <c r="B40" s="223"/>
      <c r="C40" s="224"/>
      <c r="D40" s="224"/>
      <c r="E40" s="224"/>
      <c r="F40" s="224"/>
      <c r="G40" s="224"/>
      <c r="H40" s="224"/>
      <c r="I40" s="224"/>
      <c r="J40" s="224"/>
      <c r="K40" s="224"/>
      <c r="L40" s="225"/>
      <c r="M40" s="2"/>
      <c r="N40" s="155" t="s">
        <v>89</v>
      </c>
      <c r="O40" s="156">
        <f>IF(B12="Registered",18%,22%)</f>
        <v>0.22</v>
      </c>
      <c r="P40" s="153">
        <f>N25</f>
        <v>6045.0191622000002</v>
      </c>
    </row>
    <row r="41" spans="1:21" ht="15" customHeight="1" x14ac:dyDescent="0.35">
      <c r="B41" s="223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"/>
      <c r="N41" s="233" t="s">
        <v>90</v>
      </c>
      <c r="O41" s="234"/>
      <c r="P41" s="153">
        <f>P39+P40</f>
        <v>39628.458952199995</v>
      </c>
    </row>
    <row r="42" spans="1:21" ht="15" customHeight="1" thickBot="1" x14ac:dyDescent="0.4">
      <c r="B42" s="226"/>
      <c r="C42" s="227"/>
      <c r="D42" s="227"/>
      <c r="E42" s="227"/>
      <c r="F42" s="227"/>
      <c r="G42" s="227"/>
      <c r="H42" s="227"/>
      <c r="I42" s="227"/>
      <c r="J42" s="227"/>
      <c r="K42" s="227"/>
      <c r="L42" s="228"/>
      <c r="M42" s="157"/>
      <c r="N42" s="158" t="s">
        <v>91</v>
      </c>
      <c r="O42" s="159">
        <f>IF(B11="Filer",0.5%,2.5%)</f>
        <v>2.5000000000000001E-2</v>
      </c>
      <c r="P42" s="153">
        <f>O42*P41</f>
        <v>990.71147380499997</v>
      </c>
    </row>
    <row r="43" spans="1:21" ht="15.75" customHeight="1" thickBot="1" x14ac:dyDescent="0.4">
      <c r="N43" s="211" t="s">
        <v>92</v>
      </c>
      <c r="O43" s="212"/>
      <c r="P43" s="160">
        <f>P41+P42</f>
        <v>40619.170426004996</v>
      </c>
    </row>
    <row r="44" spans="1:21" ht="15" thickBot="1" x14ac:dyDescent="0.4">
      <c r="B44" s="161" t="s">
        <v>93</v>
      </c>
      <c r="C44" s="213"/>
      <c r="D44" s="213"/>
      <c r="E44" s="213"/>
      <c r="F44" s="213"/>
      <c r="G44" s="213"/>
      <c r="H44" s="213"/>
      <c r="I44" s="214"/>
      <c r="J44" s="215"/>
      <c r="K44" s="216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3" t="s">
        <v>45</v>
      </c>
      <c r="B2" s="253"/>
      <c r="C2" s="253"/>
    </row>
    <row r="3" spans="1:26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4" t="s">
        <v>122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26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26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26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26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26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26 16383:16384" ht="15" thickBot="1" x14ac:dyDescent="0.4">
      <c r="A13" s="236"/>
      <c r="B13" s="167">
        <v>3660116191857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S14" s="254" t="s">
        <v>117</v>
      </c>
      <c r="T14" s="254"/>
      <c r="U14" s="254"/>
      <c r="V14" s="254"/>
      <c r="W14" s="255" t="s">
        <v>119</v>
      </c>
      <c r="X14" s="255"/>
      <c r="Y14" s="255"/>
      <c r="Z14" s="255"/>
      <c r="XFD14" t="s">
        <v>75</v>
      </c>
    </row>
    <row r="15" spans="1:26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2" t="s">
        <v>109</v>
      </c>
      <c r="T15" s="182" t="s">
        <v>110</v>
      </c>
      <c r="U15" s="182" t="s">
        <v>114</v>
      </c>
      <c r="V15" s="182" t="s">
        <v>115</v>
      </c>
      <c r="W15" s="183" t="s">
        <v>109</v>
      </c>
      <c r="X15" s="183" t="s">
        <v>110</v>
      </c>
      <c r="Y15" s="183" t="s">
        <v>114</v>
      </c>
      <c r="Z15" s="183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0" t="s">
        <v>106</v>
      </c>
      <c r="T16" s="180">
        <v>1697</v>
      </c>
      <c r="U16" s="180" t="s">
        <v>111</v>
      </c>
      <c r="V16" s="180">
        <f>T16/40</f>
        <v>42.424999999999997</v>
      </c>
      <c r="W16" s="184" t="s">
        <v>106</v>
      </c>
      <c r="X16" s="184">
        <v>1664</v>
      </c>
      <c r="Y16" s="184" t="s">
        <v>111</v>
      </c>
      <c r="Z16" s="184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1" t="s">
        <v>108</v>
      </c>
      <c r="T17" s="180">
        <v>2322</v>
      </c>
      <c r="U17" s="180" t="s">
        <v>112</v>
      </c>
      <c r="V17" s="180">
        <f t="shared" ref="V17:V18" si="7">T17/40</f>
        <v>58.05</v>
      </c>
      <c r="W17" s="185" t="s">
        <v>108</v>
      </c>
      <c r="X17" s="184">
        <v>2277</v>
      </c>
      <c r="Y17" s="184" t="s">
        <v>112</v>
      </c>
      <c r="Z17" s="184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0" t="s">
        <v>107</v>
      </c>
      <c r="T18" s="180">
        <v>3216</v>
      </c>
      <c r="U18" s="180" t="s">
        <v>113</v>
      </c>
      <c r="V18" s="180">
        <f t="shared" si="7"/>
        <v>80.400000000000006</v>
      </c>
      <c r="W18" s="184" t="s">
        <v>107</v>
      </c>
      <c r="X18" s="184">
        <v>3153</v>
      </c>
      <c r="Y18" s="184" t="s">
        <v>113</v>
      </c>
      <c r="Z18" s="184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/>
      <c r="K19" s="104">
        <f t="shared" si="4"/>
        <v>25.424000000000003</v>
      </c>
      <c r="L19" s="105">
        <f t="shared" si="5"/>
        <v>58.112000000000002</v>
      </c>
      <c r="M19" s="118">
        <f t="shared" si="6"/>
        <v>642.86400000000003</v>
      </c>
      <c r="N19" s="118">
        <f t="shared" si="0"/>
        <v>115.71552</v>
      </c>
      <c r="O19" s="119">
        <f t="shared" si="1"/>
        <v>18.964487999999999</v>
      </c>
      <c r="P19" s="120">
        <f t="shared" si="2"/>
        <v>777.54400799999996</v>
      </c>
      <c r="S19" s="256" t="s">
        <v>118</v>
      </c>
      <c r="T19" s="256"/>
      <c r="U19" s="256"/>
      <c r="V19" s="256"/>
      <c r="W19" s="257" t="s">
        <v>116</v>
      </c>
      <c r="X19" s="257"/>
      <c r="Y19" s="257"/>
      <c r="Z19" s="257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18.964487999999999</v>
      </c>
      <c r="P20" s="120">
        <f t="shared" si="2"/>
        <v>777.54400799999996</v>
      </c>
      <c r="S20" s="182" t="s">
        <v>109</v>
      </c>
      <c r="T20" s="182" t="s">
        <v>110</v>
      </c>
      <c r="U20" s="182" t="s">
        <v>114</v>
      </c>
      <c r="V20" s="182" t="s">
        <v>115</v>
      </c>
      <c r="W20" s="182" t="s">
        <v>109</v>
      </c>
      <c r="X20" s="182" t="s">
        <v>110</v>
      </c>
      <c r="Y20" s="182" t="s">
        <v>114</v>
      </c>
      <c r="Z20" s="182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37.928975999999999</v>
      </c>
      <c r="P21" s="120">
        <f t="shared" si="2"/>
        <v>1555.0880159999999</v>
      </c>
      <c r="S21" s="186" t="s">
        <v>106</v>
      </c>
      <c r="T21" s="186">
        <v>1610</v>
      </c>
      <c r="U21" s="186" t="s">
        <v>111</v>
      </c>
      <c r="V21" s="186">
        <f>T21/40</f>
        <v>40.25</v>
      </c>
      <c r="W21" s="188" t="s">
        <v>106</v>
      </c>
      <c r="X21" s="188">
        <v>1642</v>
      </c>
      <c r="Y21" s="188" t="s">
        <v>111</v>
      </c>
      <c r="Z21" s="188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39.99576960000001</v>
      </c>
      <c r="P22" s="120">
        <f t="shared" si="2"/>
        <v>1639.8265536000001</v>
      </c>
      <c r="S22" s="187" t="s">
        <v>108</v>
      </c>
      <c r="T22" s="186">
        <v>2202</v>
      </c>
      <c r="U22" s="186" t="s">
        <v>112</v>
      </c>
      <c r="V22" s="186">
        <f t="shared" ref="V22:V25" si="9">T22/40</f>
        <v>55.05</v>
      </c>
      <c r="W22" s="189" t="s">
        <v>108</v>
      </c>
      <c r="X22" s="188">
        <v>2246</v>
      </c>
      <c r="Y22" s="188" t="s">
        <v>112</v>
      </c>
      <c r="Z22" s="188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6" t="s">
        <v>107</v>
      </c>
      <c r="T23" s="186">
        <v>3216</v>
      </c>
      <c r="U23" s="186" t="s">
        <v>113</v>
      </c>
      <c r="V23" s="186">
        <f t="shared" si="9"/>
        <v>80.400000000000006</v>
      </c>
      <c r="W23" s="188" t="s">
        <v>107</v>
      </c>
      <c r="X23" s="188">
        <v>3216</v>
      </c>
      <c r="Y23" s="188" t="s">
        <v>112</v>
      </c>
      <c r="Z23" s="188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6" t="s">
        <v>107</v>
      </c>
      <c r="T24" s="186">
        <v>3216</v>
      </c>
      <c r="U24" s="186" t="s">
        <v>113</v>
      </c>
      <c r="V24" s="186">
        <f t="shared" si="9"/>
        <v>80.400000000000006</v>
      </c>
      <c r="W24" s="188"/>
      <c r="X24" s="188"/>
      <c r="Y24" s="188" t="s">
        <v>112</v>
      </c>
      <c r="Z24" s="188">
        <f t="shared" si="10"/>
        <v>0</v>
      </c>
    </row>
    <row r="25" spans="1:26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115.8537216</v>
      </c>
      <c r="P25" s="144">
        <f>SUM(P16:P24)</f>
        <v>4750.0025856000002</v>
      </c>
      <c r="S25" s="186" t="s">
        <v>107</v>
      </c>
      <c r="T25" s="186">
        <v>3216</v>
      </c>
      <c r="U25" s="186" t="s">
        <v>113</v>
      </c>
      <c r="V25" s="186">
        <f t="shared" si="9"/>
        <v>80.400000000000006</v>
      </c>
      <c r="W25" s="188" t="s">
        <v>107</v>
      </c>
      <c r="X25" s="188">
        <v>3110</v>
      </c>
      <c r="Y25" s="188" t="s">
        <v>113</v>
      </c>
      <c r="Z25" s="188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4474.8</v>
      </c>
    </row>
    <row r="29" spans="1:26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310.90800000000002</v>
      </c>
    </row>
    <row r="30" spans="1:26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236.6472</v>
      </c>
    </row>
    <row r="31" spans="1:26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3927.2447999999999</v>
      </c>
    </row>
    <row r="32" spans="1:26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4634.1488639999998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115.8537216</v>
      </c>
    </row>
    <row r="35" spans="2:16" ht="15.75" customHeight="1" thickBot="1" x14ac:dyDescent="0.4">
      <c r="N35" s="211" t="s">
        <v>92</v>
      </c>
      <c r="O35" s="212"/>
      <c r="P35" s="160">
        <f>P33+P34</f>
        <v>4750.0025856000002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2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123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124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470.76000000000005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23.538000000000004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40.48536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406.73664000000002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479.94923520000003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1" t="s">
        <v>92</v>
      </c>
      <c r="O35" s="212"/>
      <c r="P35" s="160">
        <f>P33+P34</f>
        <v>491.94796608000001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A25" sqref="A25:B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4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125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126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7">
        <v>165156156165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5.6893463999999998</v>
      </c>
      <c r="P20" s="120">
        <f t="shared" si="1"/>
        <v>1143.5586263999999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2905.6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232.44799999999998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101.696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2571.4560000000001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3034.31808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1" t="s">
        <v>92</v>
      </c>
      <c r="O35" s="212"/>
      <c r="P35" s="160">
        <f>P33+P34</f>
        <v>3049.4896703999998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3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127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128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>
        <v>156168516545564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451.98300000000006</v>
      </c>
      <c r="L25" s="140">
        <f t="shared" si="9"/>
        <v>1033.104</v>
      </c>
      <c r="M25" s="141">
        <f t="shared" si="9"/>
        <v>11428.713000000002</v>
      </c>
      <c r="N25" s="142">
        <f>SUM(N16:N24)</f>
        <v>2057.1683399999997</v>
      </c>
      <c r="O25" s="143">
        <f>SUM(O16:O24)</f>
        <v>67.429406700000001</v>
      </c>
      <c r="P25" s="144">
        <f>SUM(P16:P24)</f>
        <v>13553.310746700001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12913.800000000001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1033.104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451.98300000000006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11428.713000000002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2057.1683399999997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13485.881340000002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67.429406700000015</v>
      </c>
    </row>
    <row r="35" spans="2:16" ht="15.75" customHeight="1" thickBot="1" x14ac:dyDescent="0.4">
      <c r="N35" s="211" t="s">
        <v>92</v>
      </c>
      <c r="O35" s="212"/>
      <c r="P35" s="160">
        <f>P33+P34</f>
        <v>13553.310746700001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5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129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126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1569.2000000000003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78.460000000000022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134.9512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1355.7888000000003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1599.8307840000002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1" t="s">
        <v>92</v>
      </c>
      <c r="O35" s="212"/>
      <c r="P35" s="160">
        <f>P33+P34</f>
        <v>1639.8265536000001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6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130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128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8.2179883124999975</v>
      </c>
      <c r="P16" s="105">
        <f t="shared" ref="P16:P24" si="1">M16+N16+O16</f>
        <v>336.93752081249988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8.2179883124999975</v>
      </c>
      <c r="P17" s="120">
        <f t="shared" si="1"/>
        <v>336.93752081249988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12</v>
      </c>
      <c r="I25" s="137">
        <f t="shared" si="9"/>
        <v>629.54999999999995</v>
      </c>
      <c r="J25" s="138"/>
      <c r="K25" s="139">
        <f t="shared" si="9"/>
        <v>22.03425</v>
      </c>
      <c r="L25" s="140">
        <f t="shared" si="9"/>
        <v>50.363999999999997</v>
      </c>
      <c r="M25" s="141">
        <f t="shared" si="9"/>
        <v>557.15174999999988</v>
      </c>
      <c r="N25" s="142">
        <f>SUM(N16:N24)</f>
        <v>100.28731499999998</v>
      </c>
      <c r="O25" s="143">
        <f>SUM(O16:O24)</f>
        <v>16.435976624999995</v>
      </c>
      <c r="P25" s="144">
        <f>SUM(P16:P24)</f>
        <v>673.87504162499977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629.54999999999995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50.363999999999997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22.03425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557.15174999999988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100.28731499999998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657.4390649999998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16.435976624999995</v>
      </c>
    </row>
    <row r="35" spans="2:16" ht="15.75" customHeight="1" thickBot="1" x14ac:dyDescent="0.4">
      <c r="N35" s="211" t="s">
        <v>92</v>
      </c>
      <c r="O35" s="212"/>
      <c r="P35" s="160">
        <f>P33+P34</f>
        <v>673.87504162499977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7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131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128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8" thickBot="1" x14ac:dyDescent="0.4">
      <c r="A13" s="236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1569.2000000000003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78.460000000000022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134.9512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1355.7888000000003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1599.8307840000002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1" t="s">
        <v>92</v>
      </c>
      <c r="O35" s="212"/>
      <c r="P35" s="160">
        <f>P33+P34</f>
        <v>1639.8265536000001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4" sqref="H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8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133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 t="s">
        <v>134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440.03920000000005</v>
      </c>
      <c r="L25" s="140">
        <f t="shared" si="9"/>
        <v>775.80400000000009</v>
      </c>
      <c r="M25" s="141">
        <f t="shared" si="9"/>
        <v>9070.1568000000007</v>
      </c>
      <c r="N25" s="142">
        <f>SUM(N16:N24)</f>
        <v>1632.628224</v>
      </c>
      <c r="O25" s="143">
        <f>SUM(O16:O24)</f>
        <v>53.513925119999996</v>
      </c>
      <c r="P25" s="144">
        <f>SUM(P16:P24)</f>
        <v>10756.298949119999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10286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775.80400000000009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440.03920000000005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9070.1568000000007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1632.628224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10702.785024000001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53.513925120000003</v>
      </c>
    </row>
    <row r="35" spans="2:16" ht="15.75" customHeight="1" thickBot="1" x14ac:dyDescent="0.4">
      <c r="N35" s="211" t="s">
        <v>92</v>
      </c>
      <c r="O35" s="212"/>
      <c r="P35" s="160">
        <f>P33+P34</f>
        <v>10756.298949120001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8" workbookViewId="0">
      <selection activeCell="B27" sqref="B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9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135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136</v>
      </c>
      <c r="B6" s="237"/>
      <c r="C6" s="237"/>
      <c r="F6" s="70"/>
      <c r="G6" s="74"/>
      <c r="K6" s="237" t="s">
        <v>52</v>
      </c>
      <c r="L6" s="237"/>
      <c r="M6" s="237"/>
      <c r="N6" s="250" t="s">
        <v>104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 t="s">
        <v>137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135.43379999999999</v>
      </c>
      <c r="L25" s="140">
        <f t="shared" si="9"/>
        <v>252.06299999999999</v>
      </c>
      <c r="M25" s="141">
        <f t="shared" si="9"/>
        <v>2910.4031999999997</v>
      </c>
      <c r="N25" s="142">
        <f>SUM(N16:N24)</f>
        <v>523.87257599999998</v>
      </c>
      <c r="O25" s="143">
        <f>SUM(O16:O24)</f>
        <v>17.171378879999999</v>
      </c>
      <c r="P25" s="144">
        <f>SUM(P16:P24)</f>
        <v>3451.4471548799997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3297.9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252.06299999999999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135.43379999999999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2910.4032000000002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523.87257599999998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3434.2757760000004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17.171378880000002</v>
      </c>
    </row>
    <row r="35" spans="2:16" ht="15.75" customHeight="1" thickBot="1" x14ac:dyDescent="0.4">
      <c r="N35" s="211" t="s">
        <v>92</v>
      </c>
      <c r="O35" s="212"/>
      <c r="P35" s="160">
        <f>P33+P34</f>
        <v>3451.4471548800002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8" thickBot="1" x14ac:dyDescent="0.4">
      <c r="A13" s="236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97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46218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46217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97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2026-07-15T05:57:36Z</dcterms:modified>
</cp:coreProperties>
</file>