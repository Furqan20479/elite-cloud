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69B010D7-8C5A-45AE-8773-61B2AF73B094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22" i="17" l="1"/>
  <c r="L22" i="19"/>
  <c r="L22" i="18"/>
  <c r="L22" i="20"/>
  <c r="L22" i="21"/>
  <c r="L22" i="22"/>
  <c r="L22" i="23"/>
  <c r="L22" i="24"/>
  <c r="L22" i="25"/>
  <c r="L22" i="26"/>
  <c r="L22" i="27"/>
  <c r="L22" i="28"/>
  <c r="L22" i="29"/>
  <c r="L22" i="30"/>
  <c r="L22" i="31"/>
  <c r="L22" i="32"/>
  <c r="L22" i="33"/>
  <c r="L22" i="34"/>
  <c r="L22" i="35"/>
  <c r="L22" i="16"/>
  <c r="K17" i="17"/>
  <c r="K18" i="17"/>
  <c r="K19" i="17"/>
  <c r="K20" i="17"/>
  <c r="K21" i="17"/>
  <c r="K18" i="19"/>
  <c r="K19" i="19"/>
  <c r="K20" i="19"/>
  <c r="K21" i="19"/>
  <c r="K17" i="18"/>
  <c r="K18" i="18"/>
  <c r="K19" i="18"/>
  <c r="K20" i="18"/>
  <c r="K21" i="18"/>
  <c r="K17" i="20"/>
  <c r="K18" i="20"/>
  <c r="K19" i="20"/>
  <c r="K20" i="20"/>
  <c r="K21" i="20"/>
  <c r="K17" i="21"/>
  <c r="K18" i="21"/>
  <c r="K19" i="21"/>
  <c r="K20" i="21"/>
  <c r="K21" i="21"/>
  <c r="K17" i="22"/>
  <c r="K18" i="22"/>
  <c r="K19" i="22"/>
  <c r="K20" i="22"/>
  <c r="K21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7" i="16"/>
  <c r="K18" i="16"/>
  <c r="K19" i="16"/>
  <c r="K20" i="16"/>
  <c r="K21" i="16"/>
  <c r="K16" i="17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K16" i="16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I19" i="28"/>
  <c r="I20" i="28"/>
  <c r="I21" i="28"/>
  <c r="I22" i="28"/>
  <c r="K22" i="28" s="1"/>
  <c r="I23" i="28"/>
  <c r="L23" i="28" s="1"/>
  <c r="I24" i="28"/>
  <c r="I22" i="32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K22" i="31" s="1"/>
  <c r="I23" i="31"/>
  <c r="K23" i="31" s="1"/>
  <c r="I24" i="31"/>
  <c r="I23" i="32"/>
  <c r="I22" i="33"/>
  <c r="K22" i="33" s="1"/>
  <c r="M22" i="33" s="1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2" i="35"/>
  <c r="M22" i="35"/>
  <c r="K23" i="35"/>
  <c r="L23" i="35"/>
  <c r="K24" i="35"/>
  <c r="L24" i="35"/>
  <c r="L16" i="34"/>
  <c r="L17" i="34"/>
  <c r="L18" i="34"/>
  <c r="L21" i="34"/>
  <c r="K22" i="34"/>
  <c r="K23" i="34"/>
  <c r="L21" i="33"/>
  <c r="L20" i="33"/>
  <c r="K24" i="33"/>
  <c r="L24" i="33"/>
  <c r="M17" i="33"/>
  <c r="K24" i="32"/>
  <c r="L24" i="32"/>
  <c r="I25" i="32"/>
  <c r="P28" i="32" s="1"/>
  <c r="L16" i="32"/>
  <c r="L17" i="32"/>
  <c r="L19" i="32"/>
  <c r="L20" i="32"/>
  <c r="L21" i="32"/>
  <c r="K23" i="32"/>
  <c r="L23" i="32"/>
  <c r="M23" i="32" s="1"/>
  <c r="K22" i="32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2" i="30"/>
  <c r="K24" i="30"/>
  <c r="L24" i="30"/>
  <c r="L16" i="29"/>
  <c r="L21" i="29"/>
  <c r="K24" i="29"/>
  <c r="M24" i="29" s="1"/>
  <c r="L24" i="29"/>
  <c r="L17" i="29"/>
  <c r="L20" i="29"/>
  <c r="K22" i="29"/>
  <c r="I25" i="28"/>
  <c r="P28" i="28" s="1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K22" i="26" s="1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2" i="27"/>
  <c r="K23" i="27"/>
  <c r="L23" i="27"/>
  <c r="K24" i="27"/>
  <c r="L24" i="27"/>
  <c r="L19" i="27"/>
  <c r="L18" i="27"/>
  <c r="L17" i="26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N24" i="34" l="1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K22" i="25" s="1"/>
  <c r="I23" i="25"/>
  <c r="I24" i="25"/>
  <c r="L24" i="25" s="1"/>
  <c r="I21" i="18"/>
  <c r="L21" i="18" s="1"/>
  <c r="I22" i="18"/>
  <c r="I24" i="18"/>
  <c r="L24" i="18" s="1"/>
  <c r="I19" i="19"/>
  <c r="L19" i="19" s="1"/>
  <c r="I20" i="19"/>
  <c r="I21" i="19"/>
  <c r="L21" i="19" s="1"/>
  <c r="I22" i="19"/>
  <c r="K22" i="19" s="1"/>
  <c r="I23" i="19"/>
  <c r="L23" i="19" s="1"/>
  <c r="I24" i="19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I17" i="19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I23" i="17"/>
  <c r="K23" i="17" s="1"/>
  <c r="I24" i="17"/>
  <c r="K24" i="17" s="1"/>
  <c r="I19" i="18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K22" i="22"/>
  <c r="L17" i="22"/>
  <c r="L19" i="22"/>
  <c r="L21" i="22"/>
  <c r="L24" i="20"/>
  <c r="K23" i="20"/>
  <c r="K24" i="19"/>
  <c r="L24" i="19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7" i="19" l="1"/>
  <c r="K17" i="19"/>
  <c r="L16" i="19"/>
  <c r="K16" i="19"/>
  <c r="L20" i="19"/>
  <c r="L24" i="17"/>
  <c r="M21" i="19"/>
  <c r="K23" i="24"/>
  <c r="I25" i="25"/>
  <c r="P28" i="25" s="1"/>
  <c r="K22" i="18"/>
  <c r="M22" i="18" s="1"/>
  <c r="N22" i="18" s="1"/>
  <c r="O22" i="18" s="1"/>
  <c r="L18" i="17"/>
  <c r="K23" i="19"/>
  <c r="M23" i="19" s="1"/>
  <c r="N23" i="19" s="1"/>
  <c r="O23" i="19" s="1"/>
  <c r="M19" i="19"/>
  <c r="N19" i="19" s="1"/>
  <c r="O19" i="19" s="1"/>
  <c r="L23" i="22"/>
  <c r="L25" i="22" s="1"/>
  <c r="P29" i="22" s="1"/>
  <c r="L19" i="25"/>
  <c r="L25" i="25" s="1"/>
  <c r="P29" i="25" s="1"/>
  <c r="M16" i="24"/>
  <c r="N16" i="24" s="1"/>
  <c r="M18" i="18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M17" i="19"/>
  <c r="N17" i="19" s="1"/>
  <c r="O17" i="19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M22" i="21"/>
  <c r="N22" i="21" s="1"/>
  <c r="O22" i="21" s="1"/>
  <c r="L18" i="21"/>
  <c r="M18" i="21" s="1"/>
  <c r="N18" i="21" s="1"/>
  <c r="O18" i="21" s="1"/>
  <c r="M16" i="20"/>
  <c r="N16" i="20" s="1"/>
  <c r="K22" i="17"/>
  <c r="M22" i="17" s="1"/>
  <c r="N22" i="17" s="1"/>
  <c r="O22" i="17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M22" i="24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I25" i="21"/>
  <c r="P28" i="21" s="1"/>
  <c r="M16" i="21"/>
  <c r="N16" i="21" s="1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I20" i="16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4" i="24"/>
  <c r="O24" i="24" s="1"/>
  <c r="K25" i="24"/>
  <c r="P30" i="24" s="1"/>
  <c r="N18" i="22"/>
  <c r="O18" i="22" s="1"/>
  <c r="M16" i="22"/>
  <c r="M21" i="21"/>
  <c r="N21" i="21" s="1"/>
  <c r="N24" i="19"/>
  <c r="O24" i="19" s="1"/>
  <c r="L25" i="19"/>
  <c r="P29" i="19" s="1"/>
  <c r="N24" i="18"/>
  <c r="O24" i="18" s="1"/>
  <c r="N18" i="18"/>
  <c r="O18" i="18" s="1"/>
  <c r="I23" i="15"/>
  <c r="L17" i="16" l="1"/>
  <c r="M23" i="22"/>
  <c r="N23" i="22" s="1"/>
  <c r="O23" i="22" s="1"/>
  <c r="L21" i="16"/>
  <c r="L21" i="15" s="1"/>
  <c r="K25" i="19"/>
  <c r="P30" i="19" s="1"/>
  <c r="P31" i="19" s="1"/>
  <c r="K22" i="16"/>
  <c r="L22" i="15"/>
  <c r="L19" i="16"/>
  <c r="K22" i="15"/>
  <c r="M19" i="18"/>
  <c r="N19" i="18" s="1"/>
  <c r="O19" i="18" s="1"/>
  <c r="P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0" l="1"/>
  <c r="M25" i="20"/>
  <c r="M25" i="19"/>
  <c r="M16" i="16"/>
  <c r="N16" i="16" s="1"/>
  <c r="O16" i="16" s="1"/>
  <c r="M21" i="15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7"/>
  <c r="O25" i="17" s="1"/>
  <c r="N25" i="17"/>
  <c r="P32" i="17" s="1"/>
  <c r="P25" i="20" l="1"/>
  <c r="P33" i="20"/>
  <c r="P34" i="20" s="1"/>
  <c r="P35" i="20" s="1"/>
  <c r="U18" i="15" s="1"/>
  <c r="N16" i="15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<sst xmlns="http://schemas.openxmlformats.org/spreadsheetml/2006/main" count="1634" uniqueCount="132">
  <si>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</si>
  <si>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</si>
  <si>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</si>
  <si>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</si>
  <si>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</si>
  <si>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</si>
  <si>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</si>
  <si>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</si>
  <si>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</si>
  <si>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</si>
  <si>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</si>
  <si>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</si>
  <si>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</si>
  <si>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</si>
  <si>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</si>
  <si>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</si>
  <si>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</si>
  <si>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</si>
  <si>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</si>
  <si>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</si>
  <si>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</si>
  <si>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</si>
  <si>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</si>
  <si>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</si>
  <si>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</si>
  <si>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</si>
  <si>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</si>
  <si>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</si>
  <si>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</si>
  <si>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</si>
  <si>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</si>
  <si>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</si>
  <si>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</si>
  <si>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</si>
  <si>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</si>
  <si>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</si>
  <si>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</si>
  <si>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</si>
  <si>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</si>
  <si>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</si>
  <si>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</si>
  <si>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</si>
  <si>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</si>
  <si>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</si>
  <si>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</si>
  <si>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</si>
  <si>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</si>
  <si>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</si>
  <si>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</si>
  <si>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</si>
  <si>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</si>
  <si>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</si>
  <si>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</si>
  <si>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</si>
  <si>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</si>
  <si>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</si>
  <si>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</si>
  <si>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</si>
  <si>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</si>
  <si>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</si>
  <si>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</si>
  <si>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</si>
  <si>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</si>
  <si>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</si>
  <si>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</si>
  <si>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</si>
  <si>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</si>
  <si>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</si>
  <si>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</si>
  <si>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</si>
  <si>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</si>
  <si>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</si>
  <si>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</si>
  <si>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</si>
  <si>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</si>
  <si>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</si>
  <si>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</si>
  <si>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</si>
  <si>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</si>
  <si>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</si>
  <si>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</si>
  <si>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</si>
  <si>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</si>
  <si>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</si>
  <si>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</si>
  <si>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</si>
  <si>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</si>
  <si>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</si>
  <si>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</si>
  <si>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</si>
  <si>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</si>
  <si>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</si>
  <si>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</si>
  <si>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</si>
  <si>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</si>
  <si>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</si>
  <si>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</si>
  <si>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</si>
  <si>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</si>
  <si>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</si>
  <si>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</si>
  <si>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</si>
  <si>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</si>
  <si>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</si>
  <si>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</si>
  <si>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</si>
  <si>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</si>
  <si>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</si>
  <si>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</si>
  <si>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</si>
  <si>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</si>
  <si>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</si>
  <si>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</si>
  <si>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</si>
  <si>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</si>
  <si>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</si>
  <si>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</si>
  <si>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</si>
  <si>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</si>
  <si>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</si>
  <si>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Salman</t>
  </si>
  <si>
    <t>Shop Bill Summary (Salman)</t>
  </si>
  <si>
    <t>Customer Name : Mirch Mahal</t>
  </si>
  <si>
    <t>Address: Rifal Range Road</t>
  </si>
  <si>
    <t>Customer Name : Daim Store</t>
  </si>
  <si>
    <t>Customer Name : Bread &amp; Butter</t>
  </si>
  <si>
    <t>Customer Name : Ahmed Pharmacy Mart</t>
  </si>
  <si>
    <t>Customer Name : Imtiaz Mart</t>
  </si>
  <si>
    <t>Customer Name : Al Makkah General Store</t>
  </si>
  <si>
    <t>Customer Name : Shamza Bakers</t>
  </si>
  <si>
    <t>2321652-2</t>
  </si>
  <si>
    <t>f9473668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</si>
</sst>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7" sqref="A7:C7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7" sqref="A7:C7"/>
      <selection pane="topRight" activeCell="A7" sqref="A7:C7"/>
      <selection pane="bottomLeft" activeCell="A7" sqref="A7:C7"/>
      <selection pane="bottomRight" activeCell="A7" sqref="A7:C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26" zoomScale="70" zoomScaleNormal="70" workbookViewId="0">
      <selection activeCell="T38" sqref="T3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5" t="s">
        <v>45</v>
      </c>
      <c r="B2" s="255"/>
      <c r="C2" s="255"/>
    </row>
    <row r="3" spans="1:21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4" t="s">
        <v>120</v>
      </c>
      <c r="B5" s="254"/>
      <c r="C5" s="254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21 16383:16384" ht="15" customHeight="1" x14ac:dyDescent="0.35">
      <c r="A6" s="254"/>
      <c r="B6" s="254"/>
      <c r="C6" s="254"/>
      <c r="F6" s="70"/>
      <c r="G6" s="74"/>
      <c r="K6" s="239" t="s">
        <v>52</v>
      </c>
      <c r="L6" s="239"/>
      <c r="M6" s="239"/>
      <c r="N6" s="252" t="s">
        <v>42</v>
      </c>
      <c r="O6" s="252"/>
      <c r="P6" s="25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1 16383:16384" hidden="1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1 16383:16384" x14ac:dyDescent="0.35">
      <c r="A10" s="237"/>
      <c r="B10" s="75"/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1 16383:16384" ht="15" thickBot="1" x14ac:dyDescent="0.4">
      <c r="A11" s="237"/>
      <c r="B11" s="76"/>
      <c r="C11" s="77"/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1 16383:16384" ht="14.65" customHeight="1" x14ac:dyDescent="0.35">
      <c r="A12" s="237"/>
      <c r="B12" s="76"/>
      <c r="C12" s="77"/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T12" s="209" t="s">
        <v>121</v>
      </c>
      <c r="U12" s="210"/>
      <c r="XFD12" t="s">
        <v>62</v>
      </c>
    </row>
    <row r="13" spans="1:21 16383:16384" ht="15" thickBot="1" x14ac:dyDescent="0.4">
      <c r="A13" s="238"/>
      <c r="J13" s="78"/>
      <c r="K13" s="78"/>
      <c r="L13" s="79">
        <v>0.05</v>
      </c>
      <c r="T13" s="211"/>
      <c r="U13" s="212"/>
      <c r="XFD13" t="s">
        <v>63</v>
      </c>
    </row>
    <row r="14" spans="1:21 16383:16384" ht="29.25" customHeight="1" x14ac:dyDescent="0.6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8" t="s">
        <v>69</v>
      </c>
      <c r="J14" s="248" t="s">
        <v>70</v>
      </c>
      <c r="K14" s="248"/>
      <c r="L14" s="250"/>
      <c r="M14" s="24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Mirch Mahal</v>
      </c>
      <c r="U14" s="164">
        <f>+'1'!P35</f>
        <v>2143.7408409750001</v>
      </c>
      <c r="XFD14" t="s">
        <v>75</v>
      </c>
    </row>
    <row r="15" spans="1:21 16383:16384" ht="29.25" customHeight="1" thickBot="1" x14ac:dyDescent="0.65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9"/>
      <c r="J15" s="171" t="s">
        <v>78</v>
      </c>
      <c r="K15" s="171" t="s">
        <v>79</v>
      </c>
      <c r="L15" s="174" t="s">
        <v>80</v>
      </c>
      <c r="M15" s="24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Daim Store</v>
      </c>
      <c r="U15" s="164">
        <f>+'2'!P35</f>
        <v>1637.8165942649998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62</v>
      </c>
      <c r="I16" s="1">
        <f>(G16*D16)*F16+H16*F16</f>
        <v>3252.6749999999997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113.843625</v>
      </c>
      <c r="L16" s="175">
        <f>+'1'!L16+'2'!L16+'4'!L16+'3'!L16+'5'!L16+'6'!L16+'7'!L16+'8'!L16+'9'!L16+'10'!L16</f>
        <v>260.214</v>
      </c>
      <c r="M16" s="106">
        <f>I16-K16-L16</f>
        <v>2878.6173749999998</v>
      </c>
      <c r="N16" s="101">
        <f>+'1'!N16+'2'!N16+'4'!N16+'3'!N16+'5'!N16+'6'!N16+'7'!N16+'8'!N16+'9'!N16+'10'!N16</f>
        <v>614.72409749999997</v>
      </c>
      <c r="O16" s="101">
        <f>+'1'!O16+'2'!O16+'4'!O16+'3'!O16+'5'!O16+'6'!O16+'7'!O16+'8'!O16+'9'!O16+'10'!O16</f>
        <v>60.144531412500001</v>
      </c>
      <c r="P16" s="105">
        <f t="shared" ref="P16:P24" si="0">M16+N16+O16</f>
        <v>3553.4860039124997</v>
      </c>
      <c r="Q16" s="108"/>
      <c r="T16" s="163" t="str">
        <f>+'3'!A5</f>
        <v>Customer Name : Bread &amp; Butter</v>
      </c>
      <c r="U16" s="164">
        <f>+'3'!P35</f>
        <v>5875.0256023750007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52</v>
      </c>
      <c r="I17" s="1">
        <f t="shared" ref="I17:I23" si="1">(G17*D17)*F17+H17*F17</f>
        <v>2728.0499999999997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95.481750000000005</v>
      </c>
      <c r="L17" s="175">
        <f>+'1'!L17+'2'!L17+'4'!L17+'3'!L17+'5'!L17+'6'!L17+'7'!L17+'8'!L17+'9'!L17+'10'!L17</f>
        <v>218.244</v>
      </c>
      <c r="M17" s="118">
        <f t="shared" ref="M17:M23" si="2">I17-K17-L17</f>
        <v>2414.3242499999997</v>
      </c>
      <c r="N17" s="101">
        <f>+'1'!N17+'2'!N17+'4'!N17+'3'!N17+'5'!N17+'6'!N17+'7'!N17+'8'!N17+'9'!N17+'10'!N17</f>
        <v>512.57961</v>
      </c>
      <c r="O17" s="101">
        <f>+'1'!O17+'2'!O17+'4'!O17+'3'!O17+'5'!O17+'6'!O17+'7'!O17+'8'!O17+'9'!O17+'10'!O17</f>
        <v>45.983591099999998</v>
      </c>
      <c r="P17" s="120">
        <f t="shared" si="0"/>
        <v>2972.8874510999995</v>
      </c>
      <c r="S17" s="64"/>
      <c r="T17" s="163" t="str">
        <f>+'4'!A5</f>
        <v>Customer Name : Ahmed Pharmacy Mart</v>
      </c>
      <c r="U17" s="164">
        <f>+'4'!P35</f>
        <v>4817.1188454000012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Imtiaz Mart</v>
      </c>
      <c r="U18" s="164">
        <f>+'5'!P35</f>
        <v>3246.9092756625005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81</v>
      </c>
      <c r="I19" s="1">
        <f t="shared" si="1"/>
        <v>5883.84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205.93440000000004</v>
      </c>
      <c r="L19" s="175">
        <f>+'1'!L19+'2'!L19+'4'!L19+'3'!L19+'5'!L19+'6'!L19+'7'!L19+'8'!L19+'9'!L19+'10'!L19</f>
        <v>470.7072</v>
      </c>
      <c r="M19" s="118">
        <f t="shared" si="2"/>
        <v>5207.1984000000002</v>
      </c>
      <c r="N19" s="101">
        <f>+'1'!N19+'2'!N19+'4'!N19+'3'!N19+'5'!N19+'6'!N19+'7'!N19+'8'!N19+'9'!N19+'10'!N19</f>
        <v>1119.8690879999999</v>
      </c>
      <c r="O19" s="101">
        <f>+'1'!O19+'2'!O19+'4'!O19+'3'!O19+'5'!O19+'6'!O19+'7'!O19+'8'!O19+'9'!O19+'10'!O19</f>
        <v>103.27610159999999</v>
      </c>
      <c r="P19" s="120">
        <f t="shared" si="0"/>
        <v>6430.343589600001</v>
      </c>
      <c r="T19" s="163" t="str">
        <f>+'6'!A5</f>
        <v>Customer Name : Al Makkah General Store</v>
      </c>
      <c r="U19" s="164">
        <f>+'6'!P35</f>
        <v>5627.4679621499999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61</v>
      </c>
      <c r="I20" s="1">
        <f t="shared" si="1"/>
        <v>4431.04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155.08640000000003</v>
      </c>
      <c r="L20" s="175">
        <f>+'1'!L20+'2'!L20+'4'!L20+'3'!L20+'5'!L20+'6'!L20+'7'!L20+'8'!L20+'9'!L20+'10'!L20</f>
        <v>354.48320000000007</v>
      </c>
      <c r="M20" s="118">
        <f t="shared" si="2"/>
        <v>3921.4703999999997</v>
      </c>
      <c r="N20" s="101">
        <f>+'1'!N20+'2'!N20+'4'!N20+'3'!N20+'5'!N20+'6'!N20+'7'!N20+'8'!N20+'9'!N20+'10'!N20</f>
        <v>837.00892799999997</v>
      </c>
      <c r="O20" s="101">
        <f>+'1'!O20+'2'!O20+'4'!O20+'3'!O20+'5'!O20+'6'!O20+'7'!O20+'8'!O20+'9'!O20+'10'!O20</f>
        <v>79.747279200000008</v>
      </c>
      <c r="P20" s="120">
        <f t="shared" si="0"/>
        <v>4838.2266071999993</v>
      </c>
      <c r="T20" s="163" t="str">
        <f>+'7'!A5</f>
        <v>Customer Name : Shamza Bakers</v>
      </c>
      <c r="U20" s="164">
        <f>+'7'!P35</f>
        <v>950.27574703499988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72</v>
      </c>
      <c r="I21" s="1">
        <f t="shared" si="1"/>
        <v>5230.08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183.05280000000002</v>
      </c>
      <c r="L21" s="175">
        <f>+'1'!L21+'2'!L21+'4'!L21+'3'!L21+'5'!L21+'6'!L21+'7'!L21+'8'!L21+'9'!L21+'10'!L21</f>
        <v>418.40640000000013</v>
      </c>
      <c r="M21" s="118">
        <f t="shared" si="2"/>
        <v>4628.6207999999997</v>
      </c>
      <c r="N21" s="101">
        <f>+'1'!N21+'2'!N21+'4'!N21+'3'!N21+'5'!N21+'6'!N21+'7'!N21+'8'!N21+'9'!N21+'10'!N21</f>
        <v>966.86745599999995</v>
      </c>
      <c r="O21" s="101">
        <f>+'1'!O21+'2'!O21+'4'!O21+'3'!O21+'5'!O21+'6'!O21+'7'!O21+'8'!O21+'9'!O21+'10'!O21</f>
        <v>99.103914240000009</v>
      </c>
      <c r="P21" s="120">
        <f t="shared" si="0"/>
        <v>5694.5921702400001</v>
      </c>
      <c r="T21" s="163" t="str">
        <f>+'8'!A5</f>
        <v>Customer Name : Al Makkah General Store</v>
      </c>
      <c r="U21" s="164">
        <f>+'8'!P35</f>
        <v>5517.6637092299998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152</v>
      </c>
      <c r="I22" s="1">
        <f t="shared" si="1"/>
        <v>5962.9600000000009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208.70360000000005</v>
      </c>
      <c r="L22" s="175">
        <f>+'1'!L22+'2'!L22+'4'!L22+'3'!L22+'5'!L22+'6'!L22+'7'!L22+'8'!L22+'9'!L22+'10'!L22</f>
        <v>596.29600000000016</v>
      </c>
      <c r="M22" s="118">
        <f t="shared" si="2"/>
        <v>5157.9604000000008</v>
      </c>
      <c r="N22" s="101">
        <f>+'1'!N22+'2'!N22+'4'!N22+'3'!N22+'5'!N22+'6'!N22+'7'!N22+'8'!N22+'9'!N22+'10'!N22</f>
        <v>1080.4569680000002</v>
      </c>
      <c r="O22" s="101">
        <f>+'1'!O22+'2'!O22+'4'!O22+'3'!O22+'5'!O22+'6'!O22+'7'!O22+'8'!O22+'9'!O22+'10'!O22</f>
        <v>88.065387040000033</v>
      </c>
      <c r="P22" s="120">
        <f t="shared" si="0"/>
        <v>6326.4827550400014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9" t="s">
        <v>84</v>
      </c>
      <c r="B25" s="220"/>
      <c r="C25" s="221">
        <f>H25/40</f>
        <v>12</v>
      </c>
      <c r="D25" s="215"/>
      <c r="E25" s="215"/>
      <c r="F25" s="215"/>
      <c r="G25" s="176">
        <f t="shared" ref="G25:M25" si="3">SUM(G16:G24)</f>
        <v>0</v>
      </c>
      <c r="H25" s="177">
        <f t="shared" si="3"/>
        <v>480</v>
      </c>
      <c r="I25" s="178">
        <f t="shared" si="3"/>
        <v>27488.644999999997</v>
      </c>
      <c r="J25" s="177">
        <f t="shared" si="3"/>
        <v>0</v>
      </c>
      <c r="K25" s="178">
        <f t="shared" si="3"/>
        <v>962.10257500000023</v>
      </c>
      <c r="L25" s="179">
        <f t="shared" si="3"/>
        <v>2318.3508000000002</v>
      </c>
      <c r="M25" s="141">
        <f t="shared" si="3"/>
        <v>24208.191624999999</v>
      </c>
      <c r="N25" s="142">
        <f>SUM(N16:N24)</f>
        <v>5131.5061475000002</v>
      </c>
      <c r="O25" s="143">
        <f>SUM(O16:O24)</f>
        <v>476.32080459250005</v>
      </c>
      <c r="P25" s="144">
        <f>SUM(P16:P24)</f>
        <v>29816.018577092502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29816.018577092502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2" t="s">
        <v>85</v>
      </c>
      <c r="C36" s="223"/>
      <c r="D36" s="223"/>
      <c r="E36" s="223"/>
      <c r="F36" s="223"/>
      <c r="G36" s="223"/>
      <c r="H36" s="223"/>
      <c r="I36" s="223"/>
      <c r="J36" s="223"/>
      <c r="K36" s="223"/>
      <c r="L36" s="224"/>
      <c r="N36" s="231" t="s">
        <v>86</v>
      </c>
      <c r="O36" s="232"/>
      <c r="P36" s="152">
        <f>I25</f>
        <v>27488.644999999997</v>
      </c>
    </row>
    <row r="37" spans="1:21" ht="15" customHeight="1" x14ac:dyDescent="0.35">
      <c r="B37" s="225"/>
      <c r="C37" s="226"/>
      <c r="D37" s="226"/>
      <c r="E37" s="226"/>
      <c r="F37" s="226"/>
      <c r="G37" s="226"/>
      <c r="H37" s="226"/>
      <c r="I37" s="226"/>
      <c r="J37" s="226"/>
      <c r="K37" s="226"/>
      <c r="L37" s="227"/>
      <c r="N37" s="233" t="s">
        <v>87</v>
      </c>
      <c r="O37" s="234"/>
      <c r="P37" s="153">
        <f>L25</f>
        <v>2318.3508000000002</v>
      </c>
    </row>
    <row r="38" spans="1:21" ht="15" customHeight="1" x14ac:dyDescent="0.35">
      <c r="B38" s="225"/>
      <c r="C38" s="226"/>
      <c r="D38" s="226"/>
      <c r="E38" s="226"/>
      <c r="F38" s="226"/>
      <c r="G38" s="226"/>
      <c r="H38" s="226"/>
      <c r="I38" s="226"/>
      <c r="J38" s="226"/>
      <c r="K38" s="226"/>
      <c r="L38" s="227"/>
      <c r="N38" s="233" t="s">
        <v>4</v>
      </c>
      <c r="O38" s="234"/>
      <c r="P38" s="154">
        <f>K25</f>
        <v>962.10257500000023</v>
      </c>
    </row>
    <row r="39" spans="1:21" ht="15" customHeight="1" x14ac:dyDescent="0.35">
      <c r="B39" s="225"/>
      <c r="C39" s="226"/>
      <c r="D39" s="226"/>
      <c r="E39" s="226"/>
      <c r="F39" s="226"/>
      <c r="G39" s="226"/>
      <c r="H39" s="226"/>
      <c r="I39" s="226"/>
      <c r="J39" s="226"/>
      <c r="K39" s="226"/>
      <c r="L39" s="227"/>
      <c r="M39" s="2"/>
      <c r="N39" s="233" t="s">
        <v>88</v>
      </c>
      <c r="O39" s="234"/>
      <c r="P39" s="153">
        <f>P36-P37-P38</f>
        <v>24208.191624999996</v>
      </c>
    </row>
    <row r="40" spans="1:21" ht="15" customHeight="1" x14ac:dyDescent="0.35">
      <c r="B40" s="225"/>
      <c r="C40" s="226"/>
      <c r="D40" s="226"/>
      <c r="E40" s="226"/>
      <c r="F40" s="226"/>
      <c r="G40" s="226"/>
      <c r="H40" s="226"/>
      <c r="I40" s="226"/>
      <c r="J40" s="226"/>
      <c r="K40" s="226"/>
      <c r="L40" s="227"/>
      <c r="M40" s="2"/>
      <c r="N40" s="155" t="s">
        <v>89</v>
      </c>
      <c r="O40" s="156">
        <f>IF(B12="Registered",18%,22%)</f>
        <v>0.22</v>
      </c>
      <c r="P40" s="153">
        <f>N25</f>
        <v>5131.5061475000002</v>
      </c>
    </row>
    <row r="41" spans="1:21" ht="15" customHeight="1" x14ac:dyDescent="0.35">
      <c r="B41" s="225"/>
      <c r="C41" s="226"/>
      <c r="D41" s="226"/>
      <c r="E41" s="226"/>
      <c r="F41" s="226"/>
      <c r="G41" s="226"/>
      <c r="H41" s="226"/>
      <c r="I41" s="226"/>
      <c r="J41" s="226"/>
      <c r="K41" s="226"/>
      <c r="L41" s="227"/>
      <c r="M41" s="2"/>
      <c r="N41" s="235" t="s">
        <v>90</v>
      </c>
      <c r="O41" s="236"/>
      <c r="P41" s="153">
        <f>P39+P40</f>
        <v>29339.697772499996</v>
      </c>
    </row>
    <row r="42" spans="1:21" ht="15" customHeight="1" thickBot="1" x14ac:dyDescent="0.4">
      <c r="B42" s="228"/>
      <c r="C42" s="229"/>
      <c r="D42" s="229"/>
      <c r="E42" s="229"/>
      <c r="F42" s="229"/>
      <c r="G42" s="229"/>
      <c r="H42" s="229"/>
      <c r="I42" s="229"/>
      <c r="J42" s="229"/>
      <c r="K42" s="229"/>
      <c r="L42" s="230"/>
      <c r="M42" s="157"/>
      <c r="N42" s="158" t="s">
        <v>91</v>
      </c>
      <c r="O42" s="159">
        <f>IF(B11="Filer",0.5%,2.5%)</f>
        <v>2.5000000000000001E-2</v>
      </c>
      <c r="P42" s="153">
        <f>O42*P41</f>
        <v>733.49244431249997</v>
      </c>
    </row>
    <row r="43" spans="1:21" ht="15.75" customHeight="1" thickBot="1" x14ac:dyDescent="0.4">
      <c r="N43" s="213" t="s">
        <v>92</v>
      </c>
      <c r="O43" s="214"/>
      <c r="P43" s="160">
        <f>P41+P42</f>
        <v>30073.190216812494</v>
      </c>
    </row>
    <row r="44" spans="1:21" ht="15" thickBot="1" x14ac:dyDescent="0.4">
      <c r="B44" s="161" t="s">
        <v>93</v>
      </c>
      <c r="C44" s="215"/>
      <c r="D44" s="215"/>
      <c r="E44" s="215"/>
      <c r="F44" s="215"/>
      <c r="G44" s="215"/>
      <c r="H44" s="215"/>
      <c r="I44" s="216"/>
      <c r="J44" s="217"/>
      <c r="K44" s="218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5" t="s">
        <v>45</v>
      </c>
      <c r="B2" s="255"/>
      <c r="C2" s="255"/>
    </row>
    <row r="3" spans="1:26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6" t="s">
        <v>122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26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98</v>
      </c>
      <c r="O6" s="252"/>
      <c r="P6" s="25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6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6 16383:16384" x14ac:dyDescent="0.35">
      <c r="A10" s="237" t="s">
        <v>95</v>
      </c>
      <c r="B10" s="75"/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6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6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26 16383:16384" ht="15" thickBot="1" x14ac:dyDescent="0.4">
      <c r="A13" s="238"/>
      <c r="B13" s="168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S14" s="256" t="s">
        <v>117</v>
      </c>
      <c r="T14" s="256"/>
      <c r="U14" s="256"/>
      <c r="V14" s="256"/>
      <c r="W14" s="257" t="s">
        <v>119</v>
      </c>
      <c r="X14" s="257"/>
      <c r="Y14" s="257"/>
      <c r="Z14" s="257"/>
      <c r="XFD14" t="s">
        <v>75</v>
      </c>
    </row>
    <row r="15" spans="1:26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6</v>
      </c>
      <c r="I16" s="102">
        <f>(G16*D16)*F16+H16*F16</f>
        <v>314.77499999999998</v>
      </c>
      <c r="J16" s="103"/>
      <c r="K16" s="104">
        <f>I16*3.5%</f>
        <v>11.017125</v>
      </c>
      <c r="L16" s="105">
        <f>I16*8%</f>
        <v>25.181999999999999</v>
      </c>
      <c r="M16" s="106">
        <f>I16-K16-L16</f>
        <v>278.57587499999994</v>
      </c>
      <c r="N16" s="106">
        <f t="shared" ref="N16:N24" si="0">(M16*$N$15)+(J16*F16)*$N$15</f>
        <v>61.286692499999987</v>
      </c>
      <c r="O16" s="107">
        <f t="shared" ref="O16:O24" si="1">(N16+M16)*$O$15</f>
        <v>8.4965641874999989</v>
      </c>
      <c r="P16" s="105">
        <f t="shared" ref="P16:P24" si="2">M16+N16+O16</f>
        <v>348.35913168749994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6</v>
      </c>
      <c r="I17" s="116">
        <f t="shared" ref="I17:I23" si="3">(G17*D17)*F17+H17*F17</f>
        <v>314.77499999999998</v>
      </c>
      <c r="J17" s="117"/>
      <c r="K17" s="104">
        <f t="shared" ref="K17:K21" si="4">I17*3.5%</f>
        <v>11.017125</v>
      </c>
      <c r="L17" s="105">
        <f t="shared" ref="L17:L21" si="5">I17*8%</f>
        <v>25.181999999999999</v>
      </c>
      <c r="M17" s="118">
        <f t="shared" ref="M17:M23" si="6">I17-K17-L17</f>
        <v>278.57587499999994</v>
      </c>
      <c r="N17" s="118">
        <f t="shared" si="0"/>
        <v>61.286692499999987</v>
      </c>
      <c r="O17" s="119">
        <f t="shared" si="1"/>
        <v>8.4965641874999989</v>
      </c>
      <c r="P17" s="120">
        <f t="shared" si="2"/>
        <v>348.35913168749994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3"/>
        <v>435.84000000000003</v>
      </c>
      <c r="J19" s="117"/>
      <c r="K19" s="104">
        <f t="shared" si="4"/>
        <v>15.254400000000002</v>
      </c>
      <c r="L19" s="105">
        <f t="shared" si="5"/>
        <v>34.867200000000004</v>
      </c>
      <c r="M19" s="118">
        <f t="shared" si="6"/>
        <v>385.71840000000003</v>
      </c>
      <c r="N19" s="118">
        <f t="shared" si="0"/>
        <v>84.858048000000011</v>
      </c>
      <c r="O19" s="119">
        <f t="shared" si="1"/>
        <v>11.764411200000001</v>
      </c>
      <c r="P19" s="120">
        <f t="shared" si="2"/>
        <v>482.34085920000001</v>
      </c>
      <c r="S19" s="258" t="s">
        <v>118</v>
      </c>
      <c r="T19" s="258"/>
      <c r="U19" s="258"/>
      <c r="V19" s="258"/>
      <c r="W19" s="259" t="s">
        <v>116</v>
      </c>
      <c r="X19" s="259"/>
      <c r="Y19" s="259"/>
      <c r="Z19" s="259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3"/>
        <v>435.84000000000003</v>
      </c>
      <c r="J20" s="117"/>
      <c r="K20" s="104">
        <f t="shared" si="4"/>
        <v>15.254400000000002</v>
      </c>
      <c r="L20" s="105">
        <f t="shared" si="5"/>
        <v>34.867200000000004</v>
      </c>
      <c r="M20" s="118">
        <f t="shared" si="6"/>
        <v>385.71840000000003</v>
      </c>
      <c r="N20" s="118">
        <f t="shared" si="0"/>
        <v>84.858048000000011</v>
      </c>
      <c r="O20" s="119">
        <f t="shared" si="1"/>
        <v>11.764411200000001</v>
      </c>
      <c r="P20" s="120">
        <f t="shared" si="2"/>
        <v>482.34085920000001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3"/>
        <v>435.84000000000003</v>
      </c>
      <c r="J21" s="117"/>
      <c r="K21" s="104">
        <f t="shared" si="4"/>
        <v>15.254400000000002</v>
      </c>
      <c r="L21" s="105">
        <f t="shared" si="5"/>
        <v>34.867200000000004</v>
      </c>
      <c r="M21" s="118">
        <f t="shared" si="6"/>
        <v>385.71840000000003</v>
      </c>
      <c r="N21" s="118">
        <f t="shared" si="0"/>
        <v>84.858048000000011</v>
      </c>
      <c r="O21" s="119">
        <f t="shared" si="1"/>
        <v>11.764411200000001</v>
      </c>
      <c r="P21" s="120">
        <f t="shared" si="2"/>
        <v>482.34085920000001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I22*10%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13">SUM(G16:G24)</f>
        <v>0</v>
      </c>
      <c r="H25" s="136">
        <f t="shared" si="13"/>
        <v>30</v>
      </c>
      <c r="I25" s="137">
        <f t="shared" si="13"/>
        <v>1937.0700000000002</v>
      </c>
      <c r="J25" s="138"/>
      <c r="K25" s="139">
        <f t="shared" si="13"/>
        <v>67.797450000000012</v>
      </c>
      <c r="L25" s="140">
        <f t="shared" si="13"/>
        <v>154.96559999999999</v>
      </c>
      <c r="M25" s="141">
        <f t="shared" si="13"/>
        <v>1714.3069499999999</v>
      </c>
      <c r="N25" s="142">
        <f>SUM(N16:N24)</f>
        <v>377.14752899999996</v>
      </c>
      <c r="O25" s="143">
        <f>SUM(O16:O24)</f>
        <v>52.286361975000005</v>
      </c>
      <c r="P25" s="144">
        <f>SUM(P16:P24)</f>
        <v>2143.7408409750001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1937.0700000000002</v>
      </c>
    </row>
    <row r="29" spans="1:26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154.96559999999999</v>
      </c>
    </row>
    <row r="30" spans="1:26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67.797450000000012</v>
      </c>
    </row>
    <row r="31" spans="1:26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1714.3069500000001</v>
      </c>
    </row>
    <row r="32" spans="1:26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377.14752899999996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2091.454479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52.286361975000005</v>
      </c>
    </row>
    <row r="35" spans="2:16" ht="15.75" customHeight="1" thickBot="1" x14ac:dyDescent="0.4">
      <c r="N35" s="213" t="s">
        <v>92</v>
      </c>
      <c r="O35" s="214"/>
      <c r="P35" s="160">
        <f>P33+P34</f>
        <v>2143.7408409750001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7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2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124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3520187956533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I16*3.5%</f>
        <v>18.361875000000001</v>
      </c>
      <c r="L16" s="105">
        <f>I16*8%</f>
        <v>41.97</v>
      </c>
      <c r="M16" s="106">
        <f>I16-K16-L16</f>
        <v>464.29312500000003</v>
      </c>
      <c r="N16" s="106">
        <f t="shared" ref="N16:N24" si="0">(M16*$N$15)+(J16*F16)*$N$15</f>
        <v>102.14448750000001</v>
      </c>
      <c r="O16" s="107">
        <f>(N16+M16)*$O$15</f>
        <v>2.8321880625000002</v>
      </c>
      <c r="P16" s="105">
        <f t="shared" ref="P16:P24" si="1">M16+N16+O16</f>
        <v>569.2698005625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04">
        <f t="shared" ref="K17:K21" si="3">I17*3.5%</f>
        <v>18.361875000000001</v>
      </c>
      <c r="L17" s="105">
        <f t="shared" ref="L17:L21" si="4">I17*8%</f>
        <v>41.97</v>
      </c>
      <c r="M17" s="118">
        <f t="shared" ref="M17:M23" si="5">I17-K17-L17</f>
        <v>464.29312500000003</v>
      </c>
      <c r="N17" s="118">
        <f t="shared" si="0"/>
        <v>102.14448750000001</v>
      </c>
      <c r="O17" s="119">
        <f t="shared" ref="O17:O24" si="6">(N17+M17)*$O$15</f>
        <v>2.8321880625000002</v>
      </c>
      <c r="P17" s="120">
        <f t="shared" si="1"/>
        <v>569.2698005625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I22*10%</f>
        <v>47.076000000000008</v>
      </c>
      <c r="M22" s="118">
        <f t="shared" si="5"/>
        <v>407.20740000000001</v>
      </c>
      <c r="N22" s="118">
        <f t="shared" si="0"/>
        <v>89.585628</v>
      </c>
      <c r="O22" s="119">
        <f t="shared" si="6"/>
        <v>2.48396514</v>
      </c>
      <c r="P22" s="120">
        <f t="shared" si="1"/>
        <v>499.27699314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32</v>
      </c>
      <c r="I25" s="137">
        <f t="shared" si="9"/>
        <v>1520.01</v>
      </c>
      <c r="J25" s="138"/>
      <c r="K25" s="139">
        <f t="shared" si="9"/>
        <v>53.200350000000007</v>
      </c>
      <c r="L25" s="140">
        <f t="shared" si="9"/>
        <v>131.01600000000002</v>
      </c>
      <c r="M25" s="141">
        <f t="shared" si="9"/>
        <v>1335.7936500000001</v>
      </c>
      <c r="N25" s="142">
        <f>SUM(N16:N24)</f>
        <v>293.87460300000004</v>
      </c>
      <c r="O25" s="143">
        <f>SUM(O16:O24)</f>
        <v>8.1483412650000009</v>
      </c>
      <c r="P25" s="144">
        <f>SUM(P16:P24)</f>
        <v>1637.816594265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1520.01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131.01600000000002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53.200350000000007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1335.7936499999998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293.87460300000004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1629.6682529999998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8.1483412649999991</v>
      </c>
    </row>
    <row r="35" spans="2:16" ht="15.75" customHeight="1" thickBot="1" x14ac:dyDescent="0.4">
      <c r="N35" s="213" t="s">
        <v>92</v>
      </c>
      <c r="O35" s="214"/>
      <c r="P35" s="160">
        <f>P33+P34</f>
        <v>1637.8165942649998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20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4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125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56">
        <v>89792212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I16*3.5%</f>
        <v>18.361875000000001</v>
      </c>
      <c r="L16" s="105">
        <f>I16*8%</f>
        <v>41.97</v>
      </c>
      <c r="M16" s="106">
        <f>I16-K16-L16</f>
        <v>464.29312500000003</v>
      </c>
      <c r="N16" s="106">
        <f t="shared" ref="N16:N24" si="0">(M16*$N$15)+(J16*F16)*$N$15</f>
        <v>83.572762499999996</v>
      </c>
      <c r="O16" s="107">
        <f>(N16+M16)*$O$15</f>
        <v>13.6966471875</v>
      </c>
      <c r="P16" s="105">
        <f t="shared" ref="P16:P24" si="1">M16+N16+O16</f>
        <v>561.56253468750003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04">
        <f t="shared" ref="K17:K21" si="3">I17*3.5%</f>
        <v>18.361875000000001</v>
      </c>
      <c r="L17" s="105">
        <f t="shared" ref="L17:L21" si="4">I17*8%</f>
        <v>41.97</v>
      </c>
      <c r="M17" s="118">
        <f t="shared" ref="M17:M23" si="5">I17-K17-L17</f>
        <v>464.29312500000003</v>
      </c>
      <c r="N17" s="118">
        <f t="shared" si="0"/>
        <v>83.572762499999996</v>
      </c>
      <c r="O17" s="119">
        <f t="shared" ref="O17:O24" si="6">(N17+M17)*$O$15</f>
        <v>13.6966471875</v>
      </c>
      <c r="P17" s="120">
        <f t="shared" si="1"/>
        <v>561.56253468750003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115.71552</v>
      </c>
      <c r="O19" s="119">
        <f t="shared" si="6"/>
        <v>18.964487999999999</v>
      </c>
      <c r="P19" s="120">
        <f t="shared" si="1"/>
        <v>777.54400799999996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115.71552</v>
      </c>
      <c r="O20" s="119">
        <f t="shared" si="6"/>
        <v>18.964487999999999</v>
      </c>
      <c r="P20" s="120">
        <f t="shared" si="1"/>
        <v>777.54400799999996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231.43104</v>
      </c>
      <c r="O21" s="119">
        <f t="shared" si="6"/>
        <v>37.928975999999999</v>
      </c>
      <c r="P21" s="120">
        <f t="shared" si="1"/>
        <v>1555.0880159999999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I22*10%</f>
        <v>156.92000000000004</v>
      </c>
      <c r="M22" s="118">
        <f t="shared" si="5"/>
        <v>1357.3580000000002</v>
      </c>
      <c r="N22" s="118">
        <f t="shared" si="0"/>
        <v>244.32444000000001</v>
      </c>
      <c r="O22" s="119">
        <f t="shared" si="6"/>
        <v>40.042061000000011</v>
      </c>
      <c r="P22" s="120">
        <f t="shared" si="1"/>
        <v>1641.7245010000004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100</v>
      </c>
      <c r="I25" s="137">
        <f t="shared" si="9"/>
        <v>5524.0500000000011</v>
      </c>
      <c r="J25" s="138"/>
      <c r="K25" s="139">
        <f t="shared" si="9"/>
        <v>193.34175000000005</v>
      </c>
      <c r="L25" s="140">
        <f t="shared" si="9"/>
        <v>473.30799999999999</v>
      </c>
      <c r="M25" s="141">
        <f t="shared" si="9"/>
        <v>4857.4002500000006</v>
      </c>
      <c r="N25" s="142">
        <f>SUM(N16:N24)</f>
        <v>874.33204499999999</v>
      </c>
      <c r="O25" s="143">
        <f>SUM(O16:O24)</f>
        <v>143.29330737500001</v>
      </c>
      <c r="P25" s="144">
        <f>SUM(P16:P24)</f>
        <v>5875.0256023750007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5524.0500000000011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473.30799999999999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193.34175000000005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4857.4002500000006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874.33204499999999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5731.7322950000007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143.29330737500001</v>
      </c>
    </row>
    <row r="35" spans="2:16" ht="15.75" customHeight="1" thickBot="1" x14ac:dyDescent="0.4">
      <c r="N35" s="213" t="s">
        <v>92</v>
      </c>
      <c r="O35" s="214"/>
      <c r="P35" s="160">
        <f>P33+P34</f>
        <v>5875.0256023750007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7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3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126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28413527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13</v>
      </c>
      <c r="I19" s="116">
        <f t="shared" si="2"/>
        <v>944.32</v>
      </c>
      <c r="J19" s="117"/>
      <c r="K19" s="104">
        <f t="shared" si="3"/>
        <v>33.051200000000001</v>
      </c>
      <c r="L19" s="105">
        <f t="shared" si="4"/>
        <v>75.545600000000007</v>
      </c>
      <c r="M19" s="118">
        <f t="shared" si="5"/>
        <v>835.72320000000002</v>
      </c>
      <c r="N19" s="118">
        <f t="shared" si="0"/>
        <v>183.859104</v>
      </c>
      <c r="O19" s="119">
        <f t="shared" si="6"/>
        <v>5.0979115200000003</v>
      </c>
      <c r="P19" s="120">
        <f t="shared" si="1"/>
        <v>1024.68021552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13</v>
      </c>
      <c r="I20" s="116">
        <f t="shared" si="2"/>
        <v>944.32</v>
      </c>
      <c r="J20" s="117"/>
      <c r="K20" s="104">
        <f t="shared" si="3"/>
        <v>33.051200000000001</v>
      </c>
      <c r="L20" s="105">
        <f t="shared" si="4"/>
        <v>75.545600000000007</v>
      </c>
      <c r="M20" s="118">
        <f t="shared" si="5"/>
        <v>835.72320000000002</v>
      </c>
      <c r="N20" s="118">
        <f t="shared" si="0"/>
        <v>183.859104</v>
      </c>
      <c r="O20" s="119">
        <f t="shared" si="6"/>
        <v>5.0979115200000003</v>
      </c>
      <c r="P20" s="120">
        <f t="shared" si="1"/>
        <v>1024.68021552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14</v>
      </c>
      <c r="I21" s="116">
        <f t="shared" si="2"/>
        <v>1016.96</v>
      </c>
      <c r="J21" s="117"/>
      <c r="K21" s="104">
        <f t="shared" si="3"/>
        <v>35.593600000000002</v>
      </c>
      <c r="L21" s="105">
        <f t="shared" si="4"/>
        <v>81.356800000000007</v>
      </c>
      <c r="M21" s="118">
        <f t="shared" si="5"/>
        <v>900.00959999999998</v>
      </c>
      <c r="N21" s="118">
        <f t="shared" si="0"/>
        <v>198.00211199999998</v>
      </c>
      <c r="O21" s="119">
        <f t="shared" si="6"/>
        <v>5.4900585600000005</v>
      </c>
      <c r="P21" s="120">
        <f t="shared" si="1"/>
        <v>1103.5017705600001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I22*10%</f>
        <v>156.92000000000004</v>
      </c>
      <c r="M22" s="118">
        <f t="shared" si="5"/>
        <v>1357.3580000000002</v>
      </c>
      <c r="N22" s="118">
        <f t="shared" si="0"/>
        <v>298.61876000000007</v>
      </c>
      <c r="O22" s="119">
        <f t="shared" si="6"/>
        <v>8.2798838000000021</v>
      </c>
      <c r="P22" s="120">
        <f t="shared" si="1"/>
        <v>1664.2566438000003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80</v>
      </c>
      <c r="I25" s="137">
        <f t="shared" si="9"/>
        <v>4474.8000000000011</v>
      </c>
      <c r="J25" s="138"/>
      <c r="K25" s="139">
        <f t="shared" si="9"/>
        <v>156.61799999999999</v>
      </c>
      <c r="L25" s="140">
        <f t="shared" si="9"/>
        <v>389.36800000000005</v>
      </c>
      <c r="M25" s="141">
        <f t="shared" si="9"/>
        <v>3928.8140000000003</v>
      </c>
      <c r="N25" s="142">
        <f>SUM(N16:N24)</f>
        <v>864.33908000000008</v>
      </c>
      <c r="O25" s="143">
        <f>SUM(O16:O24)</f>
        <v>23.965765400000002</v>
      </c>
      <c r="P25" s="144">
        <f>SUM(P16:P24)</f>
        <v>4817.1188454000003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4474.8000000000011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389.36800000000005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156.61799999999999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3928.8140000000012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864.33908000000008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4793.153080000001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23.965765400000006</v>
      </c>
    </row>
    <row r="35" spans="2:16" ht="15.75" customHeight="1" thickBot="1" x14ac:dyDescent="0.4">
      <c r="N35" s="213" t="s">
        <v>92</v>
      </c>
      <c r="O35" s="214"/>
      <c r="P35" s="160">
        <f>P33+P34</f>
        <v>4817.1188454000012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5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127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I16*3.5%</f>
        <v>18.361875000000001</v>
      </c>
      <c r="L16" s="105">
        <f>I16*8%</f>
        <v>41.97</v>
      </c>
      <c r="M16" s="106">
        <f>I16-K16-L16</f>
        <v>464.29312500000003</v>
      </c>
      <c r="N16" s="106">
        <f t="shared" ref="N16:N24" si="0">(M16*$N$15)+(J16*F16)*$N$15</f>
        <v>102.14448750000001</v>
      </c>
      <c r="O16" s="107">
        <f>(N16+M16)*$O$15</f>
        <v>14.160940312500001</v>
      </c>
      <c r="P16" s="105">
        <f t="shared" ref="P16:P24" si="1">M16+N16+O16</f>
        <v>580.59855281249997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141.43008</v>
      </c>
      <c r="O19" s="119">
        <f t="shared" si="6"/>
        <v>19.607352000000002</v>
      </c>
      <c r="P19" s="120">
        <f t="shared" si="1"/>
        <v>803.901432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141.43008</v>
      </c>
      <c r="O20" s="119">
        <f t="shared" si="6"/>
        <v>19.607352000000002</v>
      </c>
      <c r="P20" s="120">
        <f t="shared" si="1"/>
        <v>803.901432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141.43008</v>
      </c>
      <c r="O21" s="119">
        <f t="shared" si="6"/>
        <v>19.607352000000002</v>
      </c>
      <c r="P21" s="120">
        <f t="shared" si="1"/>
        <v>803.901432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2"/>
        <v>235.38000000000002</v>
      </c>
      <c r="J22" s="117"/>
      <c r="K22" s="1">
        <f>I22*3.5%</f>
        <v>8.2383000000000024</v>
      </c>
      <c r="L22" s="120">
        <f>I22*10%</f>
        <v>23.538000000000004</v>
      </c>
      <c r="M22" s="118">
        <f t="shared" si="5"/>
        <v>203.6037</v>
      </c>
      <c r="N22" s="118">
        <f t="shared" si="0"/>
        <v>44.792814</v>
      </c>
      <c r="O22" s="119">
        <f t="shared" si="6"/>
        <v>6.2099128500000003</v>
      </c>
      <c r="P22" s="120">
        <f t="shared" si="1"/>
        <v>254.60642684999999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46</v>
      </c>
      <c r="I25" s="137">
        <f t="shared" si="9"/>
        <v>2939.2050000000004</v>
      </c>
      <c r="J25" s="138"/>
      <c r="K25" s="139">
        <f t="shared" si="9"/>
        <v>102.87217500000003</v>
      </c>
      <c r="L25" s="140">
        <f t="shared" si="9"/>
        <v>239.84399999999999</v>
      </c>
      <c r="M25" s="141">
        <f t="shared" si="9"/>
        <v>2596.4888250000004</v>
      </c>
      <c r="N25" s="142">
        <f>SUM(N16:N24)</f>
        <v>571.22754150000003</v>
      </c>
      <c r="O25" s="143">
        <f>SUM(O16:O24)</f>
        <v>79.192909162500001</v>
      </c>
      <c r="P25" s="144">
        <f>SUM(P16:P24)</f>
        <v>3246.9092756625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2939.2050000000004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239.84399999999999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102.87217500000003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2596.4888250000004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571.22754150000003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3167.7163665000003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79.192909162500015</v>
      </c>
    </row>
    <row r="35" spans="2:16" ht="15.75" customHeight="1" thickBot="1" x14ac:dyDescent="0.4">
      <c r="N35" s="213" t="s">
        <v>92</v>
      </c>
      <c r="O35" s="214"/>
      <c r="P35" s="160">
        <f>P33+P34</f>
        <v>3246.9092756625005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9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6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128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</v>
      </c>
      <c r="I16" s="102">
        <f>(G16*D16)*F16+H16*F16</f>
        <v>629.54999999999995</v>
      </c>
      <c r="J16" s="103"/>
      <c r="K16" s="104">
        <f>I16*3.5%</f>
        <v>22.03425</v>
      </c>
      <c r="L16" s="105">
        <f>I16*8%</f>
        <v>50.363999999999997</v>
      </c>
      <c r="M16" s="106">
        <f>I16-K16-L16</f>
        <v>557.15174999999988</v>
      </c>
      <c r="N16" s="106">
        <f t="shared" ref="N16:N24" si="0">(M16*$N$15)+(J16*F16)*$N$15</f>
        <v>122.57338499999997</v>
      </c>
      <c r="O16" s="107">
        <f>(N16+M16)*$O$15</f>
        <v>16.993128374999998</v>
      </c>
      <c r="P16" s="105">
        <f t="shared" ref="P16:P24" si="1">M16+N16+O16</f>
        <v>696.71826337499988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12</v>
      </c>
      <c r="I17" s="116">
        <f t="shared" ref="I17:I23" si="2">(G17*D17)*F17+H17*F17</f>
        <v>629.54999999999995</v>
      </c>
      <c r="J17" s="117"/>
      <c r="K17" s="104">
        <f t="shared" ref="K17:K21" si="3">I17*3.5%</f>
        <v>22.03425</v>
      </c>
      <c r="L17" s="105">
        <f t="shared" ref="L17:L21" si="4">I17*8%</f>
        <v>50.363999999999997</v>
      </c>
      <c r="M17" s="118">
        <f t="shared" ref="M17:M23" si="5">I17-K17-L17</f>
        <v>557.15174999999988</v>
      </c>
      <c r="N17" s="118">
        <f t="shared" si="0"/>
        <v>122.57338499999997</v>
      </c>
      <c r="O17" s="119">
        <f t="shared" ref="O17:O24" si="6">(N17+M17)*$O$15</f>
        <v>16.993128374999998</v>
      </c>
      <c r="P17" s="120">
        <f t="shared" si="1"/>
        <v>696.71826337499988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/>
      <c r="K19" s="104">
        <f t="shared" si="3"/>
        <v>50.848000000000006</v>
      </c>
      <c r="L19" s="105">
        <f t="shared" si="4"/>
        <v>116.224</v>
      </c>
      <c r="M19" s="118">
        <f t="shared" si="5"/>
        <v>1285.7280000000001</v>
      </c>
      <c r="N19" s="118">
        <f t="shared" si="0"/>
        <v>282.86016000000001</v>
      </c>
      <c r="O19" s="119">
        <f t="shared" si="6"/>
        <v>39.214704000000005</v>
      </c>
      <c r="P19" s="120">
        <f t="shared" si="1"/>
        <v>1607.802864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141.43008</v>
      </c>
      <c r="O20" s="119">
        <f t="shared" si="6"/>
        <v>19.607352000000002</v>
      </c>
      <c r="P20" s="120">
        <f t="shared" si="1"/>
        <v>803.901432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141.43008</v>
      </c>
      <c r="O21" s="119">
        <f t="shared" si="6"/>
        <v>19.607352000000002</v>
      </c>
      <c r="P21" s="120">
        <f t="shared" si="1"/>
        <v>803.901432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24</v>
      </c>
      <c r="I22" s="116">
        <f t="shared" si="2"/>
        <v>941.5200000000001</v>
      </c>
      <c r="J22" s="117"/>
      <c r="K22" s="1">
        <f>I22*3.5%</f>
        <v>32.95320000000001</v>
      </c>
      <c r="L22" s="120">
        <f>I22*10%</f>
        <v>94.152000000000015</v>
      </c>
      <c r="M22" s="118">
        <f t="shared" si="5"/>
        <v>814.41480000000001</v>
      </c>
      <c r="N22" s="118">
        <f t="shared" si="0"/>
        <v>179.171256</v>
      </c>
      <c r="O22" s="119">
        <f t="shared" si="6"/>
        <v>24.839651400000001</v>
      </c>
      <c r="P22" s="120">
        <f t="shared" si="1"/>
        <v>1018.4257074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88</v>
      </c>
      <c r="I25" s="137">
        <f t="shared" si="9"/>
        <v>5106.22</v>
      </c>
      <c r="J25" s="138"/>
      <c r="K25" s="139">
        <f t="shared" si="9"/>
        <v>178.71770000000004</v>
      </c>
      <c r="L25" s="140">
        <f t="shared" si="9"/>
        <v>427.32800000000009</v>
      </c>
      <c r="M25" s="141">
        <f t="shared" si="9"/>
        <v>4500.1743000000006</v>
      </c>
      <c r="N25" s="142">
        <f>SUM(N16:N24)</f>
        <v>990.03834599999993</v>
      </c>
      <c r="O25" s="143">
        <f>SUM(O16:O24)</f>
        <v>137.25531615000003</v>
      </c>
      <c r="P25" s="144">
        <f>SUM(P16:P24)</f>
        <v>5627.4679621499999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5106.22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427.32800000000009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178.71770000000004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4500.1742999999997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990.03834599999993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5490.2126459999999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137.25531615</v>
      </c>
    </row>
    <row r="35" spans="2:16" ht="15.75" customHeight="1" thickBot="1" x14ac:dyDescent="0.4">
      <c r="N35" s="213" t="s">
        <v>92</v>
      </c>
      <c r="O35" s="214"/>
      <c r="P35" s="160">
        <f>P33+P34</f>
        <v>5627.4679621499999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1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7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129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 t="s">
        <v>130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</v>
      </c>
      <c r="I16" s="102">
        <f>(G16*D16)*F16+H16*F16</f>
        <v>104.925</v>
      </c>
      <c r="J16" s="103"/>
      <c r="K16" s="104">
        <f>I16*3.5%</f>
        <v>3.6723750000000002</v>
      </c>
      <c r="L16" s="105">
        <f>I16*8%</f>
        <v>8.3940000000000001</v>
      </c>
      <c r="M16" s="106">
        <f>I16-K16-L16</f>
        <v>92.858624999999989</v>
      </c>
      <c r="N16" s="106">
        <f t="shared" ref="N16:N24" si="0">(M16*$N$15)+(J16*F16)*$N$15</f>
        <v>20.428897499999998</v>
      </c>
      <c r="O16" s="107">
        <f>(N16+M16)*$O$15</f>
        <v>0.56643761250000002</v>
      </c>
      <c r="P16" s="105">
        <f t="shared" ref="P16:P24" si="1">M16+N16+O16</f>
        <v>113.85396011249999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</v>
      </c>
      <c r="I17" s="116">
        <f t="shared" ref="I17:I23" si="2">(G17*D17)*F17+H17*F17</f>
        <v>104.925</v>
      </c>
      <c r="J17" s="117"/>
      <c r="K17" s="104">
        <f t="shared" ref="K17:K21" si="3">I17*3.5%</f>
        <v>3.6723750000000002</v>
      </c>
      <c r="L17" s="105">
        <f t="shared" ref="L17:L21" si="4">I17*8%</f>
        <v>8.3940000000000001</v>
      </c>
      <c r="M17" s="118">
        <f t="shared" ref="M17:M23" si="5">I17-K17-L17</f>
        <v>92.858624999999989</v>
      </c>
      <c r="N17" s="118">
        <f t="shared" si="0"/>
        <v>20.428897499999998</v>
      </c>
      <c r="O17" s="119">
        <f t="shared" ref="O17:O24" si="6">(N17+M17)*$O$15</f>
        <v>0.56643761250000002</v>
      </c>
      <c r="P17" s="120">
        <f t="shared" si="1"/>
        <v>113.85396011249999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</v>
      </c>
      <c r="I19" s="116">
        <f t="shared" si="2"/>
        <v>145.28</v>
      </c>
      <c r="J19" s="117"/>
      <c r="K19" s="104">
        <f t="shared" si="3"/>
        <v>5.0848000000000004</v>
      </c>
      <c r="L19" s="105">
        <f t="shared" si="4"/>
        <v>11.622400000000001</v>
      </c>
      <c r="M19" s="118">
        <f t="shared" si="5"/>
        <v>128.5728</v>
      </c>
      <c r="N19" s="118">
        <f t="shared" si="0"/>
        <v>28.286016</v>
      </c>
      <c r="O19" s="119">
        <f t="shared" si="6"/>
        <v>0.78429408</v>
      </c>
      <c r="P19" s="120">
        <f t="shared" si="1"/>
        <v>157.64311007999999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</v>
      </c>
      <c r="I20" s="116">
        <f t="shared" si="2"/>
        <v>145.28</v>
      </c>
      <c r="J20" s="117"/>
      <c r="K20" s="104">
        <f t="shared" si="3"/>
        <v>5.0848000000000004</v>
      </c>
      <c r="L20" s="105">
        <f t="shared" si="4"/>
        <v>11.622400000000001</v>
      </c>
      <c r="M20" s="118">
        <f t="shared" si="5"/>
        <v>128.5728</v>
      </c>
      <c r="N20" s="118">
        <f t="shared" si="0"/>
        <v>28.286016</v>
      </c>
      <c r="O20" s="119">
        <f t="shared" si="6"/>
        <v>0.78429408</v>
      </c>
      <c r="P20" s="120">
        <f t="shared" si="1"/>
        <v>157.64311007999999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</v>
      </c>
      <c r="I21" s="116">
        <f t="shared" si="2"/>
        <v>145.28</v>
      </c>
      <c r="J21" s="117"/>
      <c r="K21" s="104">
        <f t="shared" si="3"/>
        <v>5.0848000000000004</v>
      </c>
      <c r="L21" s="105">
        <f t="shared" si="4"/>
        <v>11.622400000000001</v>
      </c>
      <c r="M21" s="118">
        <f t="shared" si="5"/>
        <v>128.5728</v>
      </c>
      <c r="N21" s="118">
        <f t="shared" si="0"/>
        <v>28.286016</v>
      </c>
      <c r="O21" s="119">
        <f t="shared" si="6"/>
        <v>0.78429408</v>
      </c>
      <c r="P21" s="120">
        <f t="shared" si="1"/>
        <v>157.64311007999999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2"/>
        <v>235.38000000000002</v>
      </c>
      <c r="J22" s="117"/>
      <c r="K22" s="1">
        <f>I22*3.5%</f>
        <v>8.2383000000000024</v>
      </c>
      <c r="L22" s="120">
        <f>I22*10%</f>
        <v>23.538000000000004</v>
      </c>
      <c r="M22" s="118">
        <f t="shared" si="5"/>
        <v>203.6037</v>
      </c>
      <c r="N22" s="118">
        <f t="shared" si="0"/>
        <v>44.792814</v>
      </c>
      <c r="O22" s="119">
        <f t="shared" si="6"/>
        <v>1.24198257</v>
      </c>
      <c r="P22" s="120">
        <f t="shared" si="1"/>
        <v>249.63849657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16</v>
      </c>
      <c r="I25" s="137">
        <f t="shared" si="9"/>
        <v>881.06999999999994</v>
      </c>
      <c r="J25" s="138"/>
      <c r="K25" s="139">
        <f t="shared" si="9"/>
        <v>30.837450000000004</v>
      </c>
      <c r="L25" s="140">
        <f t="shared" si="9"/>
        <v>75.193200000000004</v>
      </c>
      <c r="M25" s="141">
        <f t="shared" si="9"/>
        <v>775.03935000000001</v>
      </c>
      <c r="N25" s="142">
        <f>SUM(N16:N24)</f>
        <v>170.508657</v>
      </c>
      <c r="O25" s="143">
        <f>SUM(O16:O24)</f>
        <v>4.7277400350000001</v>
      </c>
      <c r="P25" s="144">
        <f>SUM(P16:P24)</f>
        <v>950.27574703500011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881.06999999999994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75.193200000000004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30.837450000000004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775.0393499999999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170.508657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945.54800699999987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4.7277400349999992</v>
      </c>
    </row>
    <row r="35" spans="2:16" ht="15.75" customHeight="1" thickBot="1" x14ac:dyDescent="0.4">
      <c r="N35" s="213" t="s">
        <v>92</v>
      </c>
      <c r="O35" s="214"/>
      <c r="P35" s="160">
        <f>P33+P34</f>
        <v>950.27574703499988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3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8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128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131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</v>
      </c>
      <c r="I16" s="102">
        <f>(G16*D16)*F16+H16*F16</f>
        <v>629.54999999999995</v>
      </c>
      <c r="J16" s="103"/>
      <c r="K16" s="104">
        <f>I16*3.5%</f>
        <v>22.03425</v>
      </c>
      <c r="L16" s="105">
        <f>I16*8%</f>
        <v>50.363999999999997</v>
      </c>
      <c r="M16" s="106">
        <f>I16-K16-L16</f>
        <v>557.15174999999988</v>
      </c>
      <c r="N16" s="106">
        <f t="shared" ref="N16:N24" si="0">(M16*$N$15)+(J16*F16)*$N$15</f>
        <v>122.57338499999997</v>
      </c>
      <c r="O16" s="107">
        <f>(N16+M16)*$O$15</f>
        <v>3.3986256749999995</v>
      </c>
      <c r="P16" s="105">
        <f t="shared" ref="P16:P24" si="1">M16+N16+O16</f>
        <v>683.12376067499986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12</v>
      </c>
      <c r="I17" s="116">
        <f t="shared" ref="I17:I23" si="2">(G17*D17)*F17+H17*F17</f>
        <v>629.54999999999995</v>
      </c>
      <c r="J17" s="117"/>
      <c r="K17" s="104">
        <f t="shared" ref="K17:K21" si="3">I17*3.5%</f>
        <v>22.03425</v>
      </c>
      <c r="L17" s="105">
        <f t="shared" ref="L17:L21" si="4">I17*8%</f>
        <v>50.363999999999997</v>
      </c>
      <c r="M17" s="118">
        <f t="shared" ref="M17:M23" si="5">I17-K17-L17</f>
        <v>557.15174999999988</v>
      </c>
      <c r="N17" s="118">
        <f t="shared" si="0"/>
        <v>122.57338499999997</v>
      </c>
      <c r="O17" s="119">
        <f t="shared" ref="O17:O24" si="6">(N17+M17)*$O$15</f>
        <v>3.3986256749999995</v>
      </c>
      <c r="P17" s="120">
        <f t="shared" si="1"/>
        <v>683.12376067499986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/>
      <c r="K19" s="104">
        <f t="shared" si="3"/>
        <v>50.848000000000006</v>
      </c>
      <c r="L19" s="105">
        <f t="shared" si="4"/>
        <v>116.224</v>
      </c>
      <c r="M19" s="118">
        <f t="shared" si="5"/>
        <v>1285.7280000000001</v>
      </c>
      <c r="N19" s="118">
        <f t="shared" si="0"/>
        <v>282.86016000000001</v>
      </c>
      <c r="O19" s="119">
        <f t="shared" si="6"/>
        <v>7.8429408</v>
      </c>
      <c r="P19" s="120">
        <f t="shared" si="1"/>
        <v>1576.4311008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141.43008</v>
      </c>
      <c r="O20" s="119">
        <f t="shared" si="6"/>
        <v>3.9214704</v>
      </c>
      <c r="P20" s="120">
        <f t="shared" si="1"/>
        <v>788.21555039999998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141.43008</v>
      </c>
      <c r="O21" s="119">
        <f t="shared" si="6"/>
        <v>3.9214704</v>
      </c>
      <c r="P21" s="120">
        <f t="shared" si="1"/>
        <v>788.21555039999998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24</v>
      </c>
      <c r="I22" s="116">
        <f t="shared" si="2"/>
        <v>941.5200000000001</v>
      </c>
      <c r="J22" s="117"/>
      <c r="K22" s="1">
        <f>I22*3.5%</f>
        <v>32.95320000000001</v>
      </c>
      <c r="L22" s="120">
        <f>I22*10%</f>
        <v>94.152000000000015</v>
      </c>
      <c r="M22" s="118">
        <f t="shared" si="5"/>
        <v>814.41480000000001</v>
      </c>
      <c r="N22" s="118">
        <f t="shared" si="0"/>
        <v>179.171256</v>
      </c>
      <c r="O22" s="119">
        <f t="shared" si="6"/>
        <v>4.96793028</v>
      </c>
      <c r="P22" s="120">
        <f t="shared" si="1"/>
        <v>998.55398628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88</v>
      </c>
      <c r="I25" s="137">
        <f t="shared" si="9"/>
        <v>5106.22</v>
      </c>
      <c r="J25" s="138"/>
      <c r="K25" s="139">
        <f t="shared" si="9"/>
        <v>178.71770000000004</v>
      </c>
      <c r="L25" s="140">
        <f t="shared" si="9"/>
        <v>427.32800000000009</v>
      </c>
      <c r="M25" s="141">
        <f t="shared" si="9"/>
        <v>4500.1743000000006</v>
      </c>
      <c r="N25" s="142">
        <f>SUM(N16:N24)</f>
        <v>990.03834599999993</v>
      </c>
      <c r="O25" s="143">
        <f>SUM(O16:O24)</f>
        <v>27.451063229999999</v>
      </c>
      <c r="P25" s="144">
        <f>SUM(P16:P24)</f>
        <v>5517.6637092299998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5106.22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427.32800000000009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178.71770000000004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4500.1742999999997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990.03834599999993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5490.2126459999999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27.451063229999999</v>
      </c>
    </row>
    <row r="35" spans="2:16" ht="15.75" customHeight="1" thickBot="1" x14ac:dyDescent="0.4">
      <c r="N35" s="213" t="s">
        <v>92</v>
      </c>
      <c r="O35" s="214"/>
      <c r="P35" s="160">
        <f>P33+P34</f>
        <v>5517.6637092299998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9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7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80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2026-07-02T05:50:04Z</dcterms:modified>
</cp:coreProperties>
</file>