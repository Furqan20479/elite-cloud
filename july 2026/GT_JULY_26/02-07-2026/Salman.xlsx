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3FF1777E-560E-4184-AB82-B6A55E3C84C3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K18" i="28" s="1"/>
  <c r="I19" i="28"/>
  <c r="K19" i="28" s="1"/>
  <c r="I20" i="28"/>
  <c r="I21" i="28"/>
  <c r="I22" i="28"/>
  <c r="K22" i="28" s="1"/>
  <c r="I23" i="28"/>
  <c r="L23" i="28" s="1"/>
  <c r="I24" i="28"/>
  <c r="I22" i="32"/>
  <c r="I18" i="33"/>
  <c r="K18" i="33" s="1"/>
  <c r="I20" i="33"/>
  <c r="K20" i="33" s="1"/>
  <c r="I16" i="30"/>
  <c r="I17" i="30"/>
  <c r="I18" i="30"/>
  <c r="K18" i="30" s="1"/>
  <c r="I19" i="30"/>
  <c r="K19" i="30" s="1"/>
  <c r="I20" i="30"/>
  <c r="I21" i="30"/>
  <c r="I22" i="30"/>
  <c r="L22" i="30" s="1"/>
  <c r="I23" i="30"/>
  <c r="K23" i="30" s="1"/>
  <c r="M23" i="30" s="1"/>
  <c r="I24" i="30"/>
  <c r="I16" i="32"/>
  <c r="I17" i="32"/>
  <c r="I18" i="32"/>
  <c r="K18" i="32" s="1"/>
  <c r="I19" i="32"/>
  <c r="I20" i="32"/>
  <c r="I21" i="32"/>
  <c r="I16" i="33"/>
  <c r="L16" i="33" s="1"/>
  <c r="I16" i="31"/>
  <c r="I17" i="31"/>
  <c r="I18" i="31"/>
  <c r="L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K22" i="33" s="1"/>
  <c r="M22" i="33" s="1"/>
  <c r="I16" i="34"/>
  <c r="I17" i="34"/>
  <c r="I18" i="34"/>
  <c r="I19" i="34"/>
  <c r="K19" i="34" s="1"/>
  <c r="I20" i="34"/>
  <c r="K20" i="34" s="1"/>
  <c r="I21" i="34"/>
  <c r="I22" i="34"/>
  <c r="I23" i="34"/>
  <c r="I24" i="34"/>
  <c r="L24" i="34" s="1"/>
  <c r="I16" i="29"/>
  <c r="I17" i="29"/>
  <c r="I18" i="29"/>
  <c r="K18" i="29" s="1"/>
  <c r="I19" i="29"/>
  <c r="K19" i="29" s="1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K16" i="35"/>
  <c r="L16" i="35"/>
  <c r="K17" i="35"/>
  <c r="L17" i="35"/>
  <c r="M17" i="35" s="1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K24" i="35"/>
  <c r="L24" i="35"/>
  <c r="L16" i="34"/>
  <c r="K17" i="34"/>
  <c r="L17" i="34"/>
  <c r="K18" i="34"/>
  <c r="L18" i="34"/>
  <c r="K21" i="34"/>
  <c r="L21" i="34"/>
  <c r="K22" i="34"/>
  <c r="L22" i="34"/>
  <c r="K23" i="34"/>
  <c r="K21" i="33"/>
  <c r="L21" i="33"/>
  <c r="L22" i="33"/>
  <c r="K19" i="33"/>
  <c r="L20" i="33"/>
  <c r="K24" i="33"/>
  <c r="L24" i="33"/>
  <c r="M17" i="33"/>
  <c r="K24" i="32"/>
  <c r="L24" i="32"/>
  <c r="I25" i="32"/>
  <c r="P28" i="32" s="1"/>
  <c r="K16" i="32"/>
  <c r="L16" i="32"/>
  <c r="K17" i="32"/>
  <c r="L17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K21" i="31"/>
  <c r="L21" i="31"/>
  <c r="L22" i="31"/>
  <c r="K24" i="31"/>
  <c r="L24" i="31"/>
  <c r="K16" i="31"/>
  <c r="L16" i="31"/>
  <c r="K18" i="31"/>
  <c r="K20" i="31"/>
  <c r="L20" i="31"/>
  <c r="L23" i="31"/>
  <c r="K20" i="30"/>
  <c r="L20" i="30"/>
  <c r="K21" i="30"/>
  <c r="L21" i="30"/>
  <c r="M21" i="30" s="1"/>
  <c r="L23" i="30"/>
  <c r="K16" i="30"/>
  <c r="L16" i="30"/>
  <c r="K17" i="30"/>
  <c r="L17" i="30"/>
  <c r="K22" i="30"/>
  <c r="K24" i="30"/>
  <c r="L24" i="30"/>
  <c r="K16" i="29"/>
  <c r="L16" i="29"/>
  <c r="K21" i="29"/>
  <c r="L21" i="29"/>
  <c r="K24" i="29"/>
  <c r="M24" i="29" s="1"/>
  <c r="L24" i="29"/>
  <c r="K17" i="29"/>
  <c r="L17" i="29"/>
  <c r="K20" i="29"/>
  <c r="L20" i="29"/>
  <c r="K22" i="29"/>
  <c r="L22" i="29"/>
  <c r="I25" i="28"/>
  <c r="P28" i="28" s="1"/>
  <c r="K16" i="28"/>
  <c r="L16" i="28"/>
  <c r="K17" i="28"/>
  <c r="L17" i="28"/>
  <c r="M17" i="28" s="1"/>
  <c r="L19" i="28"/>
  <c r="K20" i="28"/>
  <c r="L20" i="28"/>
  <c r="K21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3" i="28" l="1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22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16" i="33"/>
  <c r="K25" i="33" s="1"/>
  <c r="P30" i="33" s="1"/>
  <c r="M24" i="33"/>
  <c r="M23" i="35"/>
  <c r="M23" i="33"/>
  <c r="I16" i="26"/>
  <c r="K16" i="26" s="1"/>
  <c r="I17" i="26"/>
  <c r="I18" i="26"/>
  <c r="K18" i="26" s="1"/>
  <c r="I19" i="26"/>
  <c r="I20" i="26"/>
  <c r="L20" i="26" s="1"/>
  <c r="I21" i="26"/>
  <c r="I22" i="26"/>
  <c r="K22" i="26" s="1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K21" i="26"/>
  <c r="L21" i="26"/>
  <c r="K24" i="26"/>
  <c r="L16" i="26"/>
  <c r="T23" i="15"/>
  <c r="T22" i="15"/>
  <c r="T21" i="15"/>
  <c r="T20" i="15"/>
  <c r="T19" i="15"/>
  <c r="T18" i="15"/>
  <c r="T15" i="15"/>
  <c r="T14" i="15"/>
  <c r="N24" i="34" l="1"/>
  <c r="O24" i="34" s="1"/>
  <c r="K25" i="34"/>
  <c r="P30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4" l="1"/>
  <c r="P32" i="34" s="1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K20" i="19" s="1"/>
  <c r="I21" i="19"/>
  <c r="L21" i="19" s="1"/>
  <c r="I22" i="19"/>
  <c r="K22" i="19" s="1"/>
  <c r="I23" i="19"/>
  <c r="L23" i="19" s="1"/>
  <c r="I24" i="19"/>
  <c r="P33" i="34"/>
  <c r="P34" i="34" s="1"/>
  <c r="P35" i="34" s="1"/>
  <c r="U32" i="15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17" i="25"/>
  <c r="K17" i="25"/>
  <c r="L23" i="25"/>
  <c r="K23" i="25"/>
  <c r="K21" i="24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18" i="19"/>
  <c r="K24" i="19"/>
  <c r="L24" i="19"/>
  <c r="L22" i="19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L20" i="19"/>
  <c r="L24" i="17"/>
  <c r="K17" i="23"/>
  <c r="K17" i="24"/>
  <c r="K21" i="19"/>
  <c r="M21" i="19" s="1"/>
  <c r="K23" i="24"/>
  <c r="L22" i="25"/>
  <c r="I25" i="25"/>
  <c r="P28" i="25" s="1"/>
  <c r="K22" i="18"/>
  <c r="M22" i="18" s="1"/>
  <c r="N22" i="18" s="1"/>
  <c r="O22" i="18" s="1"/>
  <c r="L18" i="17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M16" i="24" s="1"/>
  <c r="N16" i="24" s="1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M17" i="19" s="1"/>
  <c r="N17" i="19" s="1"/>
  <c r="O17" i="19" s="1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4" i="24"/>
  <c r="O24" i="24" s="1"/>
  <c r="K25" i="24"/>
  <c r="P30" i="24" s="1"/>
  <c r="N18" i="22"/>
  <c r="O18" i="22" s="1"/>
  <c r="M16" i="22"/>
  <c r="M21" i="21"/>
  <c r="N21" i="21" s="1"/>
  <c r="N24" i="19"/>
  <c r="O24" i="19" s="1"/>
  <c r="L25" i="19"/>
  <c r="P29" i="19" s="1"/>
  <c r="N24" i="18"/>
  <c r="O24" i="18" s="1"/>
  <c r="N18" i="18"/>
  <c r="O18" i="18" s="1"/>
  <c r="I23" i="15"/>
  <c r="L17" i="16" l="1"/>
  <c r="K17" i="16"/>
  <c r="M23" i="22"/>
  <c r="N23" i="22" s="1"/>
  <c r="O23" i="22" s="1"/>
  <c r="L21" i="16"/>
  <c r="L21" i="15" s="1"/>
  <c r="K21" i="16"/>
  <c r="K25" i="19"/>
  <c r="P30" i="19" s="1"/>
  <c r="P31" i="19" s="1"/>
  <c r="K22" i="16"/>
  <c r="L22" i="16"/>
  <c r="L22" i="15" s="1"/>
  <c r="L19" i="16"/>
  <c r="K19" i="16"/>
  <c r="K22" i="15"/>
  <c r="M19" i="18"/>
  <c r="N19" i="18" s="1"/>
  <c r="O19" i="18" s="1"/>
  <c r="P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O16" i="16" s="1"/>
  <c r="M21" i="15"/>
  <c r="M25" i="18"/>
  <c r="M16" i="15"/>
  <c r="M22" i="15"/>
  <c r="M18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6" i="15" l="1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16" i="15" l="1"/>
  <c r="P33" i="16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<sst xmlns="http://schemas.openxmlformats.org/spreadsheetml/2006/main" count="1634" uniqueCount="132">
  <si>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</si>
  <si>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</si>
  <si>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</si>
  <si>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</si>
  <si>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</si>
  <si>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</si>
  <si>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</si>
  <si>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</si>
  <si>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</si>
  <si>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</si>
  <si>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</si>
  <si>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</si>
  <si>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</si>
  <si>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</si>
  <si>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</si>
  <si>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</si>
  <si>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</si>
  <si>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</si>
  <si>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</si>
  <si>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</si>
  <si>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</si>
  <si>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</si>
  <si>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</si>
  <si>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</si>
  <si>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</si>
  <si>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</si>
  <si>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</si>
  <si>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</si>
  <si>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</si>
  <si>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</si>
  <si>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</si>
  <si>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</si>
  <si>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</si>
  <si>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</si>
  <si>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</si>
  <si>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</si>
  <si>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</si>
  <si>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</si>
  <si>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</si>
  <si>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</si>
  <si>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</si>
  <si>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</si>
  <si>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</si>
  <si>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</si>
  <si>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</si>
  <si>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</si>
  <si>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</si>
  <si>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</si>
  <si>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</si>
  <si>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</si>
  <si>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</si>
  <si>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</si>
  <si>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</si>
  <si>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</si>
  <si>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</si>
  <si>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</si>
  <si>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</si>
  <si>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</si>
  <si>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</si>
  <si>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</si>
  <si>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</si>
  <si>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</si>
  <si>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</si>
  <si>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</si>
  <si>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</si>
  <si>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</si>
  <si>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</si>
  <si>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</si>
  <si>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</si>
  <si>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</si>
  <si>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</si>
  <si>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</si>
  <si>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</si>
  <si>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</si>
  <si>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</si>
  <si>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</si>
  <si>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</si>
  <si>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</si>
  <si>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</si>
  <si>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</si>
  <si>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</si>
  <si>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</si>
  <si>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</si>
  <si>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</si>
  <si>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</si>
  <si>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</si>
  <si>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</si>
  <si>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</si>
  <si>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</si>
  <si>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</si>
  <si>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</si>
  <si>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</si>
  <si>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</si>
  <si>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</si>
  <si>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</si>
  <si>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</si>
  <si>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</si>
  <si>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</si>
  <si>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</si>
  <si>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</si>
  <si>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</si>
  <si>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</si>
  <si>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</si>
  <si>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</si>
  <si>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</si>
  <si>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</si>
  <si>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</si>
  <si>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</si>
  <si>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</si>
  <si>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</si>
  <si>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</si>
  <si>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</si>
  <si>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</si>
  <si>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</si>
  <si>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</si>
  <si>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</si>
  <si>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</si>
  <si>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</si>
  <si>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</si>
  <si>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</si>
  <si>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Salman</t>
  </si>
  <si>
    <t>Shop Bill Summary (Salman)</t>
  </si>
  <si>
    <t>Customer Name : Mirch Mahal</t>
  </si>
  <si>
    <t>Address: Rifal Range Road</t>
  </si>
  <si>
    <t>Customer Name : Daim Store</t>
  </si>
  <si>
    <t>Customer Name : Bread &amp; Butter</t>
  </si>
  <si>
    <t>Customer Name : Ahmed Pharmacy Mart</t>
  </si>
  <si>
    <t>Customer Name : Imtiaz Mart</t>
  </si>
  <si>
    <t>Customer Name : Al Makkah General Store</t>
  </si>
  <si>
    <t>Customer Name : Shamza Bakers</t>
  </si>
  <si>
    <t>2321652-2</t>
  </si>
  <si>
    <t>f9473668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</si>
</sst>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10" zoomScale="70" zoomScaleNormal="7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09" t="s">
        <v>45</v>
      </c>
      <c r="B2" s="209"/>
      <c r="C2" s="209"/>
    </row>
    <row r="3" spans="1:21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4" t="s">
        <v>120</v>
      </c>
      <c r="B5" s="214"/>
      <c r="C5" s="214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21 16383:16384" ht="15" customHeight="1" x14ac:dyDescent="0.35">
      <c r="A6" s="214"/>
      <c r="B6" s="214"/>
      <c r="C6" s="214"/>
      <c r="F6" s="70"/>
      <c r="G6" s="74"/>
      <c r="K6" s="211" t="s">
        <v>52</v>
      </c>
      <c r="L6" s="211"/>
      <c r="M6" s="211"/>
      <c r="N6" s="213" t="s">
        <v>42</v>
      </c>
      <c r="O6" s="213"/>
      <c r="P6" s="21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1 16383:16384" hidden="1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1 16383:16384" x14ac:dyDescent="0.35">
      <c r="A10" s="216"/>
      <c r="B10" s="75"/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1 16383:16384" ht="15" thickBot="1" x14ac:dyDescent="0.4">
      <c r="A11" s="216"/>
      <c r="B11" s="76"/>
      <c r="C11" s="77"/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1 16383:16384" ht="14.65" customHeight="1" x14ac:dyDescent="0.35">
      <c r="A12" s="216"/>
      <c r="B12" s="76"/>
      <c r="C12" s="77"/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T12" s="225" t="s">
        <v>121</v>
      </c>
      <c r="U12" s="226"/>
      <c r="XFD12" t="s">
        <v>62</v>
      </c>
    </row>
    <row r="13" spans="1:21 16383:16384" ht="15" thickBot="1" x14ac:dyDescent="0.4">
      <c r="A13" s="253"/>
      <c r="J13" s="78"/>
      <c r="K13" s="78"/>
      <c r="L13" s="79">
        <v>0.05</v>
      </c>
      <c r="T13" s="227"/>
      <c r="U13" s="228"/>
      <c r="XFD13" t="s">
        <v>63</v>
      </c>
    </row>
    <row r="14" spans="1:21 16383:16384" ht="29.25" customHeight="1" x14ac:dyDescent="0.6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19" t="s">
        <v>68</v>
      </c>
      <c r="H14" s="220"/>
      <c r="I14" s="220" t="s">
        <v>69</v>
      </c>
      <c r="J14" s="220" t="s">
        <v>70</v>
      </c>
      <c r="K14" s="220"/>
      <c r="L14" s="222"/>
      <c r="M14" s="22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Mirch Mahal</v>
      </c>
      <c r="U14" s="164">
        <f>+'1'!P35</f>
        <v>2143.7408409750001</v>
      </c>
      <c r="XFD14" t="s">
        <v>75</v>
      </c>
    </row>
    <row r="15" spans="1:21 16383:16384" ht="29.25" customHeight="1" thickBot="1" x14ac:dyDescent="0.65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21"/>
      <c r="J15" s="171" t="s">
        <v>78</v>
      </c>
      <c r="K15" s="171" t="s">
        <v>79</v>
      </c>
      <c r="L15" s="174" t="s">
        <v>80</v>
      </c>
      <c r="M15" s="22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Daim Store</v>
      </c>
      <c r="U15" s="164">
        <f>+'2'!P35</f>
        <v>1711.70352594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52</v>
      </c>
      <c r="I16" s="1">
        <f>(G16*D16)*F16+H16*F16</f>
        <v>2728.0499999999997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11.017125</v>
      </c>
      <c r="L16" s="175">
        <f>+'1'!L16+'2'!L16+'4'!L16+'3'!L16+'5'!L16+'6'!L16+'7'!L16+'8'!L16+'9'!L16+'10'!L16</f>
        <v>218.244</v>
      </c>
      <c r="M16" s="106">
        <f>I16-K16-L16</f>
        <v>2498.7888749999997</v>
      </c>
      <c r="N16" s="101">
        <f>+'1'!N16+'2'!N16+'4'!N16+'3'!N16+'5'!N16+'6'!N16+'7'!N16+'8'!N16+'9'!N16+'10'!N16</f>
        <v>549.73355249999997</v>
      </c>
      <c r="O16" s="101">
        <f>+'1'!O16+'2'!O16+'4'!O16+'3'!O16+'5'!O16+'6'!O16+'7'!O16+'8'!O16+'9'!O16+'10'!O16</f>
        <v>47.948783887499992</v>
      </c>
      <c r="P16" s="105">
        <f t="shared" ref="P16:P24" si="0">M16+N16+O16</f>
        <v>3096.4712113874998</v>
      </c>
      <c r="Q16" s="108"/>
      <c r="T16" s="163" t="str">
        <f>+'3'!A5</f>
        <v>Customer Name : Bread &amp; Butter</v>
      </c>
      <c r="U16" s="164">
        <f>+'3'!P35</f>
        <v>6137.341660000001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62</v>
      </c>
      <c r="I17" s="1">
        <f t="shared" ref="I17:I23" si="1">(G17*D17)*F17+H17*F17</f>
        <v>3252.6749999999997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11.017125</v>
      </c>
      <c r="L17" s="175">
        <f>+'1'!L17+'2'!L17+'4'!L17+'3'!L17+'5'!L17+'6'!L17+'7'!L17+'8'!L17+'9'!L17+'10'!L17</f>
        <v>260.214</v>
      </c>
      <c r="M17" s="118">
        <f t="shared" ref="M17:M23" si="2">I17-K17-L17</f>
        <v>2981.4438749999999</v>
      </c>
      <c r="N17" s="101">
        <f>+'1'!N17+'2'!N17+'4'!N17+'3'!N17+'5'!N17+'6'!N17+'7'!N17+'8'!N17+'9'!N17+'10'!N17</f>
        <v>617.30525249999994</v>
      </c>
      <c r="O17" s="101">
        <f>+'1'!O17+'2'!O17+'4'!O17+'3'!O17+'5'!O17+'6'!O17+'7'!O17+'8'!O17+'9'!O17+'10'!O17</f>
        <v>61.704451387499994</v>
      </c>
      <c r="P17" s="120">
        <f t="shared" si="0"/>
        <v>3660.4535788874996</v>
      </c>
      <c r="S17" s="64"/>
      <c r="T17" s="163" t="str">
        <f>+'4'!A5</f>
        <v>Customer Name : Ahmed Pharmacy Mart</v>
      </c>
      <c r="U17" s="164">
        <f>+'4'!P35</f>
        <v>5038.0081170000012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Imtiaz Mart</v>
      </c>
      <c r="U18" s="164">
        <f>+'5'!P35</f>
        <v>3379.9660708500005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81</v>
      </c>
      <c r="I19" s="1">
        <f t="shared" si="1"/>
        <v>5883.84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15.254400000000002</v>
      </c>
      <c r="L19" s="175">
        <f>+'1'!L19+'2'!L19+'4'!L19+'3'!L19+'5'!L19+'6'!L19+'7'!L19+'8'!L19+'9'!L19+'10'!L19</f>
        <v>470.7072</v>
      </c>
      <c r="M19" s="118">
        <f t="shared" si="2"/>
        <v>5397.8784000000005</v>
      </c>
      <c r="N19" s="101">
        <f>+'1'!N19+'2'!N19+'4'!N19+'3'!N19+'5'!N19+'6'!N19+'7'!N19+'8'!N19+'9'!N19+'10'!N19</f>
        <v>1160.8017279999999</v>
      </c>
      <c r="O19" s="101">
        <f>+'1'!O19+'2'!O19+'4'!O19+'3'!O19+'5'!O19+'6'!O19+'7'!O19+'8'!O19+'9'!O19+'10'!O19</f>
        <v>106.895208</v>
      </c>
      <c r="P19" s="120">
        <f t="shared" si="0"/>
        <v>6665.5753359999999</v>
      </c>
      <c r="T19" s="163" t="str">
        <f>+'6'!A5</f>
        <v>Customer Name : Al Makkah General Store</v>
      </c>
      <c r="U19" s="164">
        <f>+'6'!P35</f>
        <v>5868.6150073999997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61</v>
      </c>
      <c r="I20" s="1">
        <f t="shared" si="1"/>
        <v>4431.04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15.254400000000002</v>
      </c>
      <c r="L20" s="175">
        <f>+'1'!L20+'2'!L20+'4'!L20+'3'!L20+'5'!L20+'6'!L20+'7'!L20+'8'!L20+'9'!L20+'10'!L20</f>
        <v>354.48320000000007</v>
      </c>
      <c r="M20" s="118">
        <f t="shared" si="2"/>
        <v>4061.3024</v>
      </c>
      <c r="N20" s="101">
        <f>+'1'!N20+'2'!N20+'4'!N20+'3'!N20+'5'!N20+'6'!N20+'7'!N20+'8'!N20+'9'!N20+'10'!N20</f>
        <v>866.75500800000009</v>
      </c>
      <c r="O20" s="101">
        <f>+'1'!O20+'2'!O20+'4'!O20+'3'!O20+'5'!O20+'6'!O20+'7'!O20+'8'!O20+'9'!O20+'10'!O20</f>
        <v>82.435867200000004</v>
      </c>
      <c r="P20" s="120">
        <f t="shared" si="0"/>
        <v>5010.4932752000004</v>
      </c>
      <c r="T20" s="163" t="str">
        <f>+'7'!A5</f>
        <v>Customer Name : Shamza Bakers</v>
      </c>
      <c r="U20" s="164">
        <f>+'7'!P35</f>
        <v>992.41453574999991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72</v>
      </c>
      <c r="I21" s="1">
        <f t="shared" si="1"/>
        <v>5230.08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15.254400000000002</v>
      </c>
      <c r="L21" s="175">
        <f>+'1'!L21+'2'!L21+'4'!L21+'3'!L21+'5'!L21+'6'!L21+'7'!L21+'8'!L21+'9'!L21+'10'!L21</f>
        <v>418.40640000000013</v>
      </c>
      <c r="M21" s="118">
        <f t="shared" si="2"/>
        <v>4796.4192000000003</v>
      </c>
      <c r="N21" s="101">
        <f>+'1'!N21+'2'!N21+'4'!N21+'3'!N21+'5'!N21+'6'!N21+'7'!N21+'8'!N21+'9'!N21+'10'!N21</f>
        <v>1001.7491840000001</v>
      </c>
      <c r="O21" s="101">
        <f>+'1'!O21+'2'!O21+'4'!O21+'3'!O21+'5'!O21+'6'!O21+'7'!O21+'8'!O21+'9'!O21+'10'!O21</f>
        <v>102.55801888000001</v>
      </c>
      <c r="P21" s="120">
        <f t="shared" si="0"/>
        <v>5900.7264028800009</v>
      </c>
      <c r="T21" s="163" t="str">
        <f>+'8'!A5</f>
        <v>Customer Name : Al Makkah General Store</v>
      </c>
      <c r="U21" s="164">
        <f>+'8'!P35</f>
        <v>5754.1054462800003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152</v>
      </c>
      <c r="I22" s="1">
        <f t="shared" si="1"/>
        <v>5962.9600000000009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208.70360000000005</v>
      </c>
      <c r="L22" s="175">
        <f>+'1'!L22+'2'!L22+'4'!L22+'3'!L22+'5'!L22+'6'!L22+'7'!L22+'8'!L22+'9'!L22+'10'!L22</f>
        <v>298.14800000000008</v>
      </c>
      <c r="M22" s="118">
        <f t="shared" si="2"/>
        <v>5456.108400000001</v>
      </c>
      <c r="N22" s="101">
        <f>+'1'!N22+'2'!N22+'4'!N22+'3'!N22+'5'!N22+'6'!N22+'7'!N22+'8'!N22+'9'!N22+'10'!N22</f>
        <v>1142.911128</v>
      </c>
      <c r="O22" s="101">
        <f>+'1'!O22+'2'!O22+'4'!O22+'3'!O22+'5'!O22+'6'!O22+'7'!O22+'8'!O22+'9'!O22+'10'!O22</f>
        <v>93.155871840000017</v>
      </c>
      <c r="P22" s="120">
        <f t="shared" si="0"/>
        <v>6692.1753998400009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35" t="s">
        <v>84</v>
      </c>
      <c r="B25" s="236"/>
      <c r="C25" s="237">
        <f>H25/40</f>
        <v>12</v>
      </c>
      <c r="D25" s="231"/>
      <c r="E25" s="231"/>
      <c r="F25" s="231"/>
      <c r="G25" s="176">
        <f t="shared" ref="G25:M25" si="3">SUM(G16:G24)</f>
        <v>0</v>
      </c>
      <c r="H25" s="177">
        <f t="shared" si="3"/>
        <v>480</v>
      </c>
      <c r="I25" s="178">
        <f t="shared" si="3"/>
        <v>27488.644999999997</v>
      </c>
      <c r="J25" s="177">
        <f t="shared" si="3"/>
        <v>0</v>
      </c>
      <c r="K25" s="178">
        <f t="shared" si="3"/>
        <v>276.50105000000008</v>
      </c>
      <c r="L25" s="179">
        <f t="shared" si="3"/>
        <v>2020.2028000000003</v>
      </c>
      <c r="M25" s="141">
        <f t="shared" si="3"/>
        <v>25191.941150000002</v>
      </c>
      <c r="N25" s="142">
        <f>SUM(N16:N24)</f>
        <v>5339.2558529999997</v>
      </c>
      <c r="O25" s="143">
        <f>SUM(O16:O24)</f>
        <v>494.69820119500002</v>
      </c>
      <c r="P25" s="144">
        <f>SUM(P16:P24)</f>
        <v>31025.895204195003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31025.895204195003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38" t="s">
        <v>85</v>
      </c>
      <c r="C36" s="239"/>
      <c r="D36" s="239"/>
      <c r="E36" s="239"/>
      <c r="F36" s="239"/>
      <c r="G36" s="239"/>
      <c r="H36" s="239"/>
      <c r="I36" s="239"/>
      <c r="J36" s="239"/>
      <c r="K36" s="239"/>
      <c r="L36" s="240"/>
      <c r="N36" s="247" t="s">
        <v>86</v>
      </c>
      <c r="O36" s="248"/>
      <c r="P36" s="152">
        <f>I25</f>
        <v>27488.644999999997</v>
      </c>
    </row>
    <row r="37" spans="1:21" ht="15" customHeight="1" x14ac:dyDescent="0.35">
      <c r="B37" s="241"/>
      <c r="C37" s="242"/>
      <c r="D37" s="242"/>
      <c r="E37" s="242"/>
      <c r="F37" s="242"/>
      <c r="G37" s="242"/>
      <c r="H37" s="242"/>
      <c r="I37" s="242"/>
      <c r="J37" s="242"/>
      <c r="K37" s="242"/>
      <c r="L37" s="243"/>
      <c r="N37" s="249" t="s">
        <v>87</v>
      </c>
      <c r="O37" s="250"/>
      <c r="P37" s="153">
        <f>L25</f>
        <v>2020.2028000000003</v>
      </c>
    </row>
    <row r="38" spans="1:21" ht="15" customHeight="1" x14ac:dyDescent="0.35">
      <c r="B38" s="241"/>
      <c r="C38" s="242"/>
      <c r="D38" s="242"/>
      <c r="E38" s="242"/>
      <c r="F38" s="242"/>
      <c r="G38" s="242"/>
      <c r="H38" s="242"/>
      <c r="I38" s="242"/>
      <c r="J38" s="242"/>
      <c r="K38" s="242"/>
      <c r="L38" s="243"/>
      <c r="N38" s="249" t="s">
        <v>4</v>
      </c>
      <c r="O38" s="250"/>
      <c r="P38" s="154">
        <f>K25</f>
        <v>276.50105000000008</v>
      </c>
    </row>
    <row r="39" spans="1:21" ht="15" customHeight="1" x14ac:dyDescent="0.35">
      <c r="B39" s="241"/>
      <c r="C39" s="242"/>
      <c r="D39" s="242"/>
      <c r="E39" s="242"/>
      <c r="F39" s="242"/>
      <c r="G39" s="242"/>
      <c r="H39" s="242"/>
      <c r="I39" s="242"/>
      <c r="J39" s="242"/>
      <c r="K39" s="242"/>
      <c r="L39" s="243"/>
      <c r="M39" s="2"/>
      <c r="N39" s="249" t="s">
        <v>88</v>
      </c>
      <c r="O39" s="250"/>
      <c r="P39" s="153">
        <f>P36-P37-P38</f>
        <v>25191.941149999999</v>
      </c>
    </row>
    <row r="40" spans="1:21" ht="15" customHeight="1" x14ac:dyDescent="0.35">
      <c r="B40" s="241"/>
      <c r="C40" s="242"/>
      <c r="D40" s="242"/>
      <c r="E40" s="242"/>
      <c r="F40" s="242"/>
      <c r="G40" s="242"/>
      <c r="H40" s="242"/>
      <c r="I40" s="242"/>
      <c r="J40" s="242"/>
      <c r="K40" s="242"/>
      <c r="L40" s="243"/>
      <c r="M40" s="2"/>
      <c r="N40" s="155" t="s">
        <v>89</v>
      </c>
      <c r="O40" s="156">
        <f>IF(B12="Registered",18%,22%)</f>
        <v>0.22</v>
      </c>
      <c r="P40" s="153">
        <f>N25</f>
        <v>5339.2558529999997</v>
      </c>
    </row>
    <row r="41" spans="1:21" ht="15" customHeight="1" x14ac:dyDescent="0.35">
      <c r="B41" s="241"/>
      <c r="C41" s="242"/>
      <c r="D41" s="242"/>
      <c r="E41" s="242"/>
      <c r="F41" s="242"/>
      <c r="G41" s="242"/>
      <c r="H41" s="242"/>
      <c r="I41" s="242"/>
      <c r="J41" s="242"/>
      <c r="K41" s="242"/>
      <c r="L41" s="243"/>
      <c r="M41" s="2"/>
      <c r="N41" s="251" t="s">
        <v>90</v>
      </c>
      <c r="O41" s="252"/>
      <c r="P41" s="153">
        <f>P39+P40</f>
        <v>30531.197002999997</v>
      </c>
    </row>
    <row r="42" spans="1:21" ht="15" customHeight="1" thickBot="1" x14ac:dyDescent="0.4">
      <c r="B42" s="244"/>
      <c r="C42" s="245"/>
      <c r="D42" s="245"/>
      <c r="E42" s="245"/>
      <c r="F42" s="245"/>
      <c r="G42" s="245"/>
      <c r="H42" s="245"/>
      <c r="I42" s="245"/>
      <c r="J42" s="245"/>
      <c r="K42" s="245"/>
      <c r="L42" s="246"/>
      <c r="M42" s="157"/>
      <c r="N42" s="158" t="s">
        <v>91</v>
      </c>
      <c r="O42" s="159">
        <f>IF(B11="Filer",0.5%,2.5%)</f>
        <v>2.5000000000000001E-2</v>
      </c>
      <c r="P42" s="153">
        <f>O42*P41</f>
        <v>763.27992507499994</v>
      </c>
    </row>
    <row r="43" spans="1:21" ht="15.75" customHeight="1" thickBot="1" x14ac:dyDescent="0.4">
      <c r="N43" s="229" t="s">
        <v>92</v>
      </c>
      <c r="O43" s="230"/>
      <c r="P43" s="160">
        <f>P41+P42</f>
        <v>31294.476928074997</v>
      </c>
    </row>
    <row r="44" spans="1:21" ht="15" thickBot="1" x14ac:dyDescent="0.4">
      <c r="B44" s="161" t="s">
        <v>93</v>
      </c>
      <c r="C44" s="231"/>
      <c r="D44" s="231"/>
      <c r="E44" s="231"/>
      <c r="F44" s="231"/>
      <c r="G44" s="231"/>
      <c r="H44" s="231"/>
      <c r="I44" s="232"/>
      <c r="J44" s="233"/>
      <c r="K44" s="234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09" t="s">
        <v>45</v>
      </c>
      <c r="B2" s="209"/>
      <c r="C2" s="209"/>
    </row>
    <row r="3" spans="1:26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6" t="s">
        <v>122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26 16383:16384" ht="15" customHeight="1" x14ac:dyDescent="0.35">
      <c r="A6" s="211" t="s">
        <v>123</v>
      </c>
      <c r="B6" s="211"/>
      <c r="C6" s="211"/>
      <c r="F6" s="70"/>
      <c r="G6" s="74"/>
      <c r="K6" s="211" t="s">
        <v>52</v>
      </c>
      <c r="L6" s="211"/>
      <c r="M6" s="211"/>
      <c r="N6" s="213" t="s">
        <v>98</v>
      </c>
      <c r="O6" s="213"/>
      <c r="P6" s="213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6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6 16383:16384" x14ac:dyDescent="0.35">
      <c r="A10" s="216" t="s">
        <v>95</v>
      </c>
      <c r="B10" s="75"/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6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6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26 16383:16384" ht="15" thickBot="1" x14ac:dyDescent="0.4">
      <c r="A13" s="253"/>
      <c r="B13" s="168">
        <v>0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S14" s="263" t="s">
        <v>117</v>
      </c>
      <c r="T14" s="263"/>
      <c r="U14" s="263"/>
      <c r="V14" s="263"/>
      <c r="W14" s="264" t="s">
        <v>119</v>
      </c>
      <c r="X14" s="264"/>
      <c r="Y14" s="264"/>
      <c r="Z14" s="264"/>
      <c r="XFD14" t="s">
        <v>75</v>
      </c>
    </row>
    <row r="15" spans="1:26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I16*3.5%</f>
        <v>11.017125</v>
      </c>
      <c r="L16" s="105">
        <f>I16*8%</f>
        <v>25.181999999999999</v>
      </c>
      <c r="M16" s="106">
        <f>I16-K16-L16</f>
        <v>278.57587499999994</v>
      </c>
      <c r="N16" s="106">
        <f t="shared" ref="N16:N24" si="0">(M16*$N$15)+(J16*F16)*$N$15</f>
        <v>61.286692499999987</v>
      </c>
      <c r="O16" s="107">
        <f t="shared" ref="O16:O24" si="1">(N16+M16)*$O$15</f>
        <v>8.4965641874999989</v>
      </c>
      <c r="P16" s="105">
        <f t="shared" ref="P16:P24" si="2">M16+N16+O16</f>
        <v>348.35913168749994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</v>
      </c>
      <c r="I17" s="116">
        <f t="shared" ref="I17:I23" si="3">(G17*D17)*F17+H17*F17</f>
        <v>314.77499999999998</v>
      </c>
      <c r="J17" s="117"/>
      <c r="K17" s="104">
        <f t="shared" ref="K17:K21" si="4">I17*3.5%</f>
        <v>11.017125</v>
      </c>
      <c r="L17" s="105">
        <f t="shared" ref="L17:L21" si="5">I17*8%</f>
        <v>25.181999999999999</v>
      </c>
      <c r="M17" s="118">
        <f t="shared" ref="M17:M23" si="6">I17-K17-L17</f>
        <v>278.57587499999994</v>
      </c>
      <c r="N17" s="118">
        <f t="shared" si="0"/>
        <v>61.286692499999987</v>
      </c>
      <c r="O17" s="119">
        <f t="shared" si="1"/>
        <v>8.4965641874999989</v>
      </c>
      <c r="P17" s="120">
        <f t="shared" si="2"/>
        <v>348.35913168749994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6</v>
      </c>
      <c r="I19" s="116">
        <f t="shared" si="3"/>
        <v>435.84000000000003</v>
      </c>
      <c r="J19" s="117"/>
      <c r="K19" s="104">
        <f t="shared" si="4"/>
        <v>15.254400000000002</v>
      </c>
      <c r="L19" s="105">
        <f t="shared" si="5"/>
        <v>34.867200000000004</v>
      </c>
      <c r="M19" s="118">
        <f t="shared" si="6"/>
        <v>385.71840000000003</v>
      </c>
      <c r="N19" s="118">
        <f t="shared" si="0"/>
        <v>84.858048000000011</v>
      </c>
      <c r="O19" s="119">
        <f t="shared" si="1"/>
        <v>11.764411200000001</v>
      </c>
      <c r="P19" s="120">
        <f t="shared" si="2"/>
        <v>482.34085920000001</v>
      </c>
      <c r="S19" s="265" t="s">
        <v>118</v>
      </c>
      <c r="T19" s="265"/>
      <c r="U19" s="265"/>
      <c r="V19" s="265"/>
      <c r="W19" s="266" t="s">
        <v>116</v>
      </c>
      <c r="X19" s="266"/>
      <c r="Y19" s="266"/>
      <c r="Z19" s="266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3"/>
        <v>435.84000000000003</v>
      </c>
      <c r="J20" s="117"/>
      <c r="K20" s="104">
        <f t="shared" si="4"/>
        <v>15.254400000000002</v>
      </c>
      <c r="L20" s="105">
        <f t="shared" si="5"/>
        <v>34.867200000000004</v>
      </c>
      <c r="M20" s="118">
        <f t="shared" si="6"/>
        <v>385.71840000000003</v>
      </c>
      <c r="N20" s="118">
        <f t="shared" si="0"/>
        <v>84.858048000000011</v>
      </c>
      <c r="O20" s="119">
        <f t="shared" si="1"/>
        <v>11.764411200000001</v>
      </c>
      <c r="P20" s="120">
        <f t="shared" si="2"/>
        <v>482.34085920000001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3"/>
        <v>435.84000000000003</v>
      </c>
      <c r="J21" s="117"/>
      <c r="K21" s="104">
        <f t="shared" si="4"/>
        <v>15.254400000000002</v>
      </c>
      <c r="L21" s="105">
        <f t="shared" si="5"/>
        <v>34.867200000000004</v>
      </c>
      <c r="M21" s="118">
        <f t="shared" si="6"/>
        <v>385.71840000000003</v>
      </c>
      <c r="N21" s="118">
        <f t="shared" si="0"/>
        <v>84.858048000000011</v>
      </c>
      <c r="O21" s="119">
        <f t="shared" si="1"/>
        <v>11.764411200000001</v>
      </c>
      <c r="P21" s="120">
        <f t="shared" si="2"/>
        <v>482.34085920000001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I22*10%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13">SUM(G16:G24)</f>
        <v>0</v>
      </c>
      <c r="H25" s="136">
        <f t="shared" si="13"/>
        <v>30</v>
      </c>
      <c r="I25" s="137">
        <f t="shared" si="13"/>
        <v>1937.0700000000002</v>
      </c>
      <c r="J25" s="138"/>
      <c r="K25" s="139">
        <f t="shared" si="13"/>
        <v>67.797450000000012</v>
      </c>
      <c r="L25" s="140">
        <f t="shared" si="13"/>
        <v>154.96559999999999</v>
      </c>
      <c r="M25" s="141">
        <f t="shared" si="13"/>
        <v>1714.3069499999999</v>
      </c>
      <c r="N25" s="142">
        <f>SUM(N16:N24)</f>
        <v>377.14752899999996</v>
      </c>
      <c r="O25" s="143">
        <f>SUM(O16:O24)</f>
        <v>52.286361975000005</v>
      </c>
      <c r="P25" s="144">
        <f>SUM(P16:P24)</f>
        <v>2143.7408409750001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1937.0700000000002</v>
      </c>
    </row>
    <row r="29" spans="1:26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154.96559999999999</v>
      </c>
    </row>
    <row r="30" spans="1:26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67.797450000000012</v>
      </c>
    </row>
    <row r="31" spans="1:26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1714.3069500000001</v>
      </c>
    </row>
    <row r="32" spans="1:26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377.14752899999996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2091.454479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52.286361975000005</v>
      </c>
    </row>
    <row r="35" spans="2:16" ht="15.75" customHeight="1" thickBot="1" x14ac:dyDescent="0.4">
      <c r="N35" s="229" t="s">
        <v>92</v>
      </c>
      <c r="O35" s="230"/>
      <c r="P35" s="160">
        <f>P33+P34</f>
        <v>2143.7408409750001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7" workbookViewId="0">
      <selection activeCell="H23" sqref="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2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124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123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3520187956533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106.1841</v>
      </c>
      <c r="O16" s="107">
        <f>(N16+M16)*$O$15</f>
        <v>2.9441954999999997</v>
      </c>
      <c r="P16" s="105">
        <f t="shared" ref="P16:P24" si="1">M16+N16+O16</f>
        <v>591.78329549999989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/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106.1841</v>
      </c>
      <c r="O17" s="119">
        <f t="shared" ref="O17:O24" si="6">(N17+M17)*$O$15</f>
        <v>2.9441954999999997</v>
      </c>
      <c r="P17" s="120">
        <f t="shared" si="1"/>
        <v>591.78329549999989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2.6275469400000002</v>
      </c>
      <c r="P22" s="120">
        <f t="shared" si="1"/>
        <v>528.13693494000006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32</v>
      </c>
      <c r="I25" s="137">
        <f t="shared" si="9"/>
        <v>1520.01</v>
      </c>
      <c r="J25" s="138"/>
      <c r="K25" s="139">
        <f t="shared" si="9"/>
        <v>16.476600000000005</v>
      </c>
      <c r="L25" s="140">
        <f t="shared" si="9"/>
        <v>107.47800000000001</v>
      </c>
      <c r="M25" s="141">
        <f t="shared" si="9"/>
        <v>1396.0554</v>
      </c>
      <c r="N25" s="142">
        <f>SUM(N16:N24)</f>
        <v>307.13218799999999</v>
      </c>
      <c r="O25" s="143">
        <f>SUM(O16:O24)</f>
        <v>8.5159379400000006</v>
      </c>
      <c r="P25" s="144">
        <f>SUM(P16:P24)</f>
        <v>1711.70352594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1520.01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107.47800000000001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16.476600000000005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1396.0554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307.13218799999999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1703.187588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8.5159379400000006</v>
      </c>
    </row>
    <row r="35" spans="2:16" ht="15.75" customHeight="1" thickBot="1" x14ac:dyDescent="0.4">
      <c r="N35" s="229" t="s">
        <v>92</v>
      </c>
      <c r="O35" s="230"/>
      <c r="P35" s="160">
        <f>P33+P34</f>
        <v>1711.70352594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A14" sqref="A14:B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4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125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123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56">
        <v>89792212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173.75579999999999</v>
      </c>
      <c r="O17" s="119">
        <f t="shared" ref="O17:O24" si="6">(N17+M17)*$O$15</f>
        <v>28.476644999999998</v>
      </c>
      <c r="P17" s="120">
        <f t="shared" si="1"/>
        <v>1167.5424449999998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120.29183999999999</v>
      </c>
      <c r="O19" s="119">
        <f t="shared" si="6"/>
        <v>19.714496</v>
      </c>
      <c r="P19" s="120">
        <f t="shared" si="1"/>
        <v>808.29433600000004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120.29183999999999</v>
      </c>
      <c r="O20" s="119">
        <f t="shared" si="6"/>
        <v>19.714496</v>
      </c>
      <c r="P20" s="120">
        <f t="shared" si="1"/>
        <v>808.29433600000004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">
        <f t="shared" si="3"/>
        <v>0</v>
      </c>
      <c r="L21" s="105">
        <f t="shared" si="4"/>
        <v>116.224</v>
      </c>
      <c r="M21" s="118">
        <f t="shared" si="5"/>
        <v>1336.576</v>
      </c>
      <c r="N21" s="118">
        <f t="shared" si="0"/>
        <v>240.58367999999999</v>
      </c>
      <c r="O21" s="119">
        <f t="shared" si="6"/>
        <v>39.428992000000001</v>
      </c>
      <c r="P21" s="120">
        <f t="shared" si="1"/>
        <v>1616.5886720000001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258.44724000000002</v>
      </c>
      <c r="O22" s="119">
        <f t="shared" si="6"/>
        <v>42.356631000000007</v>
      </c>
      <c r="P22" s="120">
        <f t="shared" si="1"/>
        <v>1736.6218710000003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100</v>
      </c>
      <c r="I25" s="137">
        <f t="shared" si="9"/>
        <v>5524.0500000000011</v>
      </c>
      <c r="J25" s="138"/>
      <c r="K25" s="139">
        <f t="shared" si="9"/>
        <v>54.922000000000011</v>
      </c>
      <c r="L25" s="140">
        <f t="shared" si="9"/>
        <v>394.84800000000001</v>
      </c>
      <c r="M25" s="141">
        <f t="shared" si="9"/>
        <v>5074.2800000000007</v>
      </c>
      <c r="N25" s="142">
        <f>SUM(N16:N24)</f>
        <v>913.37040000000002</v>
      </c>
      <c r="O25" s="143">
        <f>SUM(O16:O24)</f>
        <v>149.69126</v>
      </c>
      <c r="P25" s="144">
        <f>SUM(P16:P24)</f>
        <v>6137.34166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5524.0500000000011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394.84800000000001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54.922000000000011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5074.2800000000016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913.37040000000002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5987.6504000000014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149.69126000000003</v>
      </c>
    </row>
    <row r="35" spans="2:16" ht="15.75" customHeight="1" thickBot="1" x14ac:dyDescent="0.4">
      <c r="N35" s="229" t="s">
        <v>92</v>
      </c>
      <c r="O35" s="230"/>
      <c r="P35" s="160">
        <f>P33+P34</f>
        <v>6137.341660000001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3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126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123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28413527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13</v>
      </c>
      <c r="I19" s="116">
        <f t="shared" si="2"/>
        <v>944.32</v>
      </c>
      <c r="J19" s="117"/>
      <c r="K19" s="1">
        <f t="shared" si="3"/>
        <v>0</v>
      </c>
      <c r="L19" s="105">
        <f t="shared" si="4"/>
        <v>75.545600000000007</v>
      </c>
      <c r="M19" s="118">
        <f t="shared" si="5"/>
        <v>868.77440000000001</v>
      </c>
      <c r="N19" s="118">
        <f t="shared" si="0"/>
        <v>191.130368</v>
      </c>
      <c r="O19" s="119">
        <f t="shared" si="6"/>
        <v>5.2995238400000009</v>
      </c>
      <c r="P19" s="120">
        <f t="shared" si="1"/>
        <v>1065.20429184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13</v>
      </c>
      <c r="I20" s="116">
        <f t="shared" si="2"/>
        <v>944.32</v>
      </c>
      <c r="J20" s="117"/>
      <c r="K20" s="1">
        <f t="shared" si="3"/>
        <v>0</v>
      </c>
      <c r="L20" s="105">
        <f t="shared" si="4"/>
        <v>75.545600000000007</v>
      </c>
      <c r="M20" s="118">
        <f t="shared" si="5"/>
        <v>868.77440000000001</v>
      </c>
      <c r="N20" s="118">
        <f t="shared" si="0"/>
        <v>191.130368</v>
      </c>
      <c r="O20" s="119">
        <f t="shared" si="6"/>
        <v>5.2995238400000009</v>
      </c>
      <c r="P20" s="120">
        <f t="shared" si="1"/>
        <v>1065.20429184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14</v>
      </c>
      <c r="I21" s="116">
        <f t="shared" si="2"/>
        <v>1016.96</v>
      </c>
      <c r="J21" s="117"/>
      <c r="K21" s="1">
        <f t="shared" si="3"/>
        <v>0</v>
      </c>
      <c r="L21" s="105">
        <f t="shared" si="4"/>
        <v>81.356800000000007</v>
      </c>
      <c r="M21" s="118">
        <f t="shared" si="5"/>
        <v>935.60320000000002</v>
      </c>
      <c r="N21" s="118">
        <f t="shared" si="0"/>
        <v>205.83270400000001</v>
      </c>
      <c r="O21" s="119">
        <f t="shared" si="6"/>
        <v>5.7071795199999995</v>
      </c>
      <c r="P21" s="120">
        <f t="shared" si="1"/>
        <v>1147.1430835199999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8.7584898000000013</v>
      </c>
      <c r="P22" s="120">
        <f t="shared" si="1"/>
        <v>1760.4564498000002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80</v>
      </c>
      <c r="I25" s="137">
        <f t="shared" si="9"/>
        <v>4474.8000000000011</v>
      </c>
      <c r="J25" s="138"/>
      <c r="K25" s="139">
        <f t="shared" si="9"/>
        <v>54.922000000000011</v>
      </c>
      <c r="L25" s="140">
        <f t="shared" si="9"/>
        <v>310.90800000000007</v>
      </c>
      <c r="M25" s="141">
        <f t="shared" si="9"/>
        <v>4108.97</v>
      </c>
      <c r="N25" s="142">
        <f>SUM(N16:N24)</f>
        <v>903.97340000000008</v>
      </c>
      <c r="O25" s="143">
        <f>SUM(O16:O24)</f>
        <v>25.064717000000002</v>
      </c>
      <c r="P25" s="144">
        <f>SUM(P16:P24)</f>
        <v>5038.0081170000003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4474.8000000000011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310.90800000000007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54.922000000000011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4108.9700000000012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903.97340000000008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5012.943400000001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25.064717000000005</v>
      </c>
    </row>
    <row r="35" spans="2:16" ht="15.75" customHeight="1" thickBot="1" x14ac:dyDescent="0.4">
      <c r="N35" s="229" t="s">
        <v>92</v>
      </c>
      <c r="O35" s="230"/>
      <c r="P35" s="160">
        <f>P33+P34</f>
        <v>5038.0081170000012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5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127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123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106.1841</v>
      </c>
      <c r="O16" s="107">
        <f>(N16+M16)*$O$15</f>
        <v>14.720977499999998</v>
      </c>
      <c r="P16" s="105">
        <f t="shared" ref="P16:P24" si="1">M16+N16+O16</f>
        <v>603.56007749999992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147.02336</v>
      </c>
      <c r="O19" s="119">
        <f t="shared" si="6"/>
        <v>20.382784000000001</v>
      </c>
      <c r="P19" s="120">
        <f t="shared" si="1"/>
        <v>835.69414400000005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147.02336</v>
      </c>
      <c r="O20" s="119">
        <f t="shared" si="6"/>
        <v>20.382784000000001</v>
      </c>
      <c r="P20" s="120">
        <f t="shared" si="1"/>
        <v>835.69414400000005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147.02336</v>
      </c>
      <c r="O21" s="119">
        <f t="shared" si="6"/>
        <v>20.382784000000001</v>
      </c>
      <c r="P21" s="120">
        <f t="shared" si="1"/>
        <v>835.69414400000005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47.381993999999999</v>
      </c>
      <c r="O22" s="119">
        <f t="shared" si="6"/>
        <v>6.5688673500000014</v>
      </c>
      <c r="P22" s="120">
        <f t="shared" si="1"/>
        <v>269.32356135000003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46</v>
      </c>
      <c r="I25" s="137">
        <f t="shared" si="9"/>
        <v>2939.2050000000004</v>
      </c>
      <c r="J25" s="138"/>
      <c r="K25" s="139">
        <f t="shared" si="9"/>
        <v>8.2383000000000024</v>
      </c>
      <c r="L25" s="140">
        <f t="shared" si="9"/>
        <v>228.07499999999999</v>
      </c>
      <c r="M25" s="141">
        <f t="shared" si="9"/>
        <v>2702.8917000000001</v>
      </c>
      <c r="N25" s="142">
        <f>SUM(N16:N24)</f>
        <v>594.63617399999998</v>
      </c>
      <c r="O25" s="143">
        <f>SUM(O16:O24)</f>
        <v>82.438196849999997</v>
      </c>
      <c r="P25" s="144">
        <f>SUM(P16:P24)</f>
        <v>3379.9660708500001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2939.2050000000004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228.07499999999999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8.2383000000000024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2702.8917000000006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594.63617399999998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3297.5278740000003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82.438196850000011</v>
      </c>
    </row>
    <row r="35" spans="2:16" ht="15.75" customHeight="1" thickBot="1" x14ac:dyDescent="0.4">
      <c r="N35" s="229" t="s">
        <v>92</v>
      </c>
      <c r="O35" s="230"/>
      <c r="P35" s="160">
        <f>P33+P34</f>
        <v>3379.9660708500005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9" workbookViewId="0">
      <selection activeCell="H24" sqref="H2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6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128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123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</v>
      </c>
      <c r="I16" s="102">
        <f>(G16*D16)*F16+H16*F16</f>
        <v>629.54999999999995</v>
      </c>
      <c r="J16" s="103"/>
      <c r="K16" s="104">
        <f>I16*$K$13</f>
        <v>0</v>
      </c>
      <c r="L16" s="105">
        <f>I16*8%</f>
        <v>50.363999999999997</v>
      </c>
      <c r="M16" s="106">
        <f>I16-K16-L16</f>
        <v>579.18599999999992</v>
      </c>
      <c r="N16" s="106">
        <f t="shared" ref="N16:N24" si="0">(M16*$N$15)+(J16*F16)*$N$15</f>
        <v>127.42091999999998</v>
      </c>
      <c r="O16" s="107">
        <f>(N16+M16)*$O$15</f>
        <v>17.665172999999999</v>
      </c>
      <c r="P16" s="105">
        <f t="shared" ref="P16:P24" si="1">M16+N16+O16</f>
        <v>724.27209299999993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</v>
      </c>
      <c r="I17" s="116">
        <f t="shared" ref="I17:I23" si="2">(G17*D17)*F17+H17*F17</f>
        <v>629.54999999999995</v>
      </c>
      <c r="J17" s="117"/>
      <c r="K17" s="1">
        <f t="shared" ref="K17:K21" si="3">I17*$K$13</f>
        <v>0</v>
      </c>
      <c r="L17" s="105">
        <f t="shared" ref="L17:L21" si="4">I17*8%</f>
        <v>50.363999999999997</v>
      </c>
      <c r="M17" s="118">
        <f t="shared" ref="M17:M23" si="5">I17-K17-L17</f>
        <v>579.18599999999992</v>
      </c>
      <c r="N17" s="118">
        <f t="shared" si="0"/>
        <v>127.42091999999998</v>
      </c>
      <c r="O17" s="119">
        <f t="shared" ref="O17:O24" si="6">(N17+M17)*$O$15</f>
        <v>17.665172999999999</v>
      </c>
      <c r="P17" s="120">
        <f t="shared" si="1"/>
        <v>724.27209299999993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/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294.04671999999999</v>
      </c>
      <c r="O19" s="119">
        <f t="shared" si="6"/>
        <v>40.765568000000002</v>
      </c>
      <c r="P19" s="120">
        <f t="shared" si="1"/>
        <v>1671.3882880000001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147.02336</v>
      </c>
      <c r="O20" s="119">
        <f t="shared" si="6"/>
        <v>20.382784000000001</v>
      </c>
      <c r="P20" s="120">
        <f t="shared" si="1"/>
        <v>835.69414400000005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147.02336</v>
      </c>
      <c r="O21" s="119">
        <f t="shared" si="6"/>
        <v>20.382784000000001</v>
      </c>
      <c r="P21" s="120">
        <f t="shared" si="1"/>
        <v>835.69414400000005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24</v>
      </c>
      <c r="I22" s="116">
        <f t="shared" si="2"/>
        <v>941.5200000000001</v>
      </c>
      <c r="J22" s="117"/>
      <c r="K22" s="1">
        <f>I22*3.5%</f>
        <v>32.95320000000001</v>
      </c>
      <c r="L22" s="120">
        <f>I22*5%</f>
        <v>47.076000000000008</v>
      </c>
      <c r="M22" s="118">
        <f t="shared" si="5"/>
        <v>861.49080000000004</v>
      </c>
      <c r="N22" s="118">
        <f t="shared" si="0"/>
        <v>189.527976</v>
      </c>
      <c r="O22" s="119">
        <f t="shared" si="6"/>
        <v>26.275469400000006</v>
      </c>
      <c r="P22" s="120">
        <f t="shared" si="1"/>
        <v>1077.2942454000001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88</v>
      </c>
      <c r="I25" s="137">
        <f t="shared" si="9"/>
        <v>5106.22</v>
      </c>
      <c r="J25" s="138"/>
      <c r="K25" s="139">
        <f t="shared" si="9"/>
        <v>32.95320000000001</v>
      </c>
      <c r="L25" s="140">
        <f t="shared" si="9"/>
        <v>380.25200000000007</v>
      </c>
      <c r="M25" s="141">
        <f t="shared" si="9"/>
        <v>4693.0147999999999</v>
      </c>
      <c r="N25" s="142">
        <f>SUM(N16:N24)</f>
        <v>1032.463256</v>
      </c>
      <c r="O25" s="143">
        <f>SUM(O16:O24)</f>
        <v>143.13695139999999</v>
      </c>
      <c r="P25" s="144">
        <f>SUM(P16:P24)</f>
        <v>5868.6150074000006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5106.22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380.25200000000007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32.95320000000001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4693.0147999999999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1032.463256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5725.4780559999999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143.13695140000002</v>
      </c>
    </row>
    <row r="35" spans="2:16" ht="15.75" customHeight="1" thickBot="1" x14ac:dyDescent="0.4">
      <c r="N35" s="229" t="s">
        <v>92</v>
      </c>
      <c r="O35" s="230"/>
      <c r="P35" s="160">
        <f>P33+P34</f>
        <v>5868.6150073999997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1" workbookViewId="0">
      <selection activeCell="H23" sqref="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7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129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123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 t="s">
        <v>130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</v>
      </c>
      <c r="I16" s="102">
        <f>(G16*D16)*F16+H16*F16</f>
        <v>104.925</v>
      </c>
      <c r="J16" s="103"/>
      <c r="K16" s="104">
        <f>I16*$K$13</f>
        <v>0</v>
      </c>
      <c r="L16" s="105">
        <f>I16*8%</f>
        <v>8.3940000000000001</v>
      </c>
      <c r="M16" s="106">
        <f>I16-K16-L16</f>
        <v>96.530999999999992</v>
      </c>
      <c r="N16" s="106">
        <f t="shared" ref="N16:N24" si="0">(M16*$N$15)+(J16*F16)*$N$15</f>
        <v>21.236819999999998</v>
      </c>
      <c r="O16" s="107">
        <f>(N16+M16)*$O$15</f>
        <v>0.58883909999999995</v>
      </c>
      <c r="P16" s="105">
        <f t="shared" ref="P16:P24" si="1">M16+N16+O16</f>
        <v>118.35665909999999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</v>
      </c>
      <c r="I17" s="116">
        <f t="shared" ref="I17:I23" si="2">(G17*D17)*F17+H17*F17</f>
        <v>104.925</v>
      </c>
      <c r="J17" s="117"/>
      <c r="K17" s="1">
        <f t="shared" ref="K17:K21" si="3">I17*$K$13</f>
        <v>0</v>
      </c>
      <c r="L17" s="105">
        <f t="shared" ref="L17:L21" si="4">I17*8%</f>
        <v>8.3940000000000001</v>
      </c>
      <c r="M17" s="118">
        <f t="shared" ref="M17:M23" si="5">I17-K17-L17</f>
        <v>96.530999999999992</v>
      </c>
      <c r="N17" s="118">
        <f t="shared" si="0"/>
        <v>21.236819999999998</v>
      </c>
      <c r="O17" s="119">
        <f t="shared" ref="O17:O24" si="6">(N17+M17)*$O$15</f>
        <v>0.58883909999999995</v>
      </c>
      <c r="P17" s="120">
        <f t="shared" si="1"/>
        <v>118.35665909999999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</v>
      </c>
      <c r="I19" s="116">
        <f t="shared" si="2"/>
        <v>145.28</v>
      </c>
      <c r="J19" s="117"/>
      <c r="K19" s="1">
        <f t="shared" si="3"/>
        <v>0</v>
      </c>
      <c r="L19" s="105">
        <f t="shared" si="4"/>
        <v>11.622400000000001</v>
      </c>
      <c r="M19" s="118">
        <f t="shared" si="5"/>
        <v>133.6576</v>
      </c>
      <c r="N19" s="118">
        <f t="shared" si="0"/>
        <v>29.404672000000001</v>
      </c>
      <c r="O19" s="119">
        <f t="shared" si="6"/>
        <v>0.81531136000000004</v>
      </c>
      <c r="P19" s="120">
        <f t="shared" si="1"/>
        <v>163.87758336000002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</v>
      </c>
      <c r="I20" s="116">
        <f t="shared" si="2"/>
        <v>145.28</v>
      </c>
      <c r="J20" s="117"/>
      <c r="K20" s="1">
        <f t="shared" si="3"/>
        <v>0</v>
      </c>
      <c r="L20" s="105">
        <f t="shared" si="4"/>
        <v>11.622400000000001</v>
      </c>
      <c r="M20" s="118">
        <f t="shared" si="5"/>
        <v>133.6576</v>
      </c>
      <c r="N20" s="118">
        <f t="shared" si="0"/>
        <v>29.404672000000001</v>
      </c>
      <c r="O20" s="119">
        <f t="shared" si="6"/>
        <v>0.81531136000000004</v>
      </c>
      <c r="P20" s="120">
        <f t="shared" si="1"/>
        <v>163.87758336000002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</v>
      </c>
      <c r="I21" s="116">
        <f t="shared" si="2"/>
        <v>145.28</v>
      </c>
      <c r="J21" s="117"/>
      <c r="K21" s="1">
        <f t="shared" si="3"/>
        <v>0</v>
      </c>
      <c r="L21" s="105">
        <f t="shared" si="4"/>
        <v>11.622400000000001</v>
      </c>
      <c r="M21" s="118">
        <f t="shared" si="5"/>
        <v>133.6576</v>
      </c>
      <c r="N21" s="118">
        <f t="shared" si="0"/>
        <v>29.404672000000001</v>
      </c>
      <c r="O21" s="119">
        <f t="shared" si="6"/>
        <v>0.81531136000000004</v>
      </c>
      <c r="P21" s="120">
        <f t="shared" si="1"/>
        <v>163.87758336000002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47.381993999999999</v>
      </c>
      <c r="O22" s="119">
        <f t="shared" si="6"/>
        <v>1.3137734700000001</v>
      </c>
      <c r="P22" s="120">
        <f t="shared" si="1"/>
        <v>264.06846747000003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16</v>
      </c>
      <c r="I25" s="137">
        <f t="shared" si="9"/>
        <v>881.06999999999994</v>
      </c>
      <c r="J25" s="138"/>
      <c r="K25" s="139">
        <f t="shared" si="9"/>
        <v>8.2383000000000024</v>
      </c>
      <c r="L25" s="140">
        <f t="shared" si="9"/>
        <v>63.424199999999999</v>
      </c>
      <c r="M25" s="141">
        <f t="shared" si="9"/>
        <v>809.40750000000003</v>
      </c>
      <c r="N25" s="142">
        <f>SUM(N16:N24)</f>
        <v>178.06965</v>
      </c>
      <c r="O25" s="143">
        <f>SUM(O16:O24)</f>
        <v>4.9373857499999998</v>
      </c>
      <c r="P25" s="144">
        <f>SUM(P16:P24)</f>
        <v>992.41453575000014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881.06999999999994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63.424199999999999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8.2383000000000024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809.40749999999991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178.06965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987.47714999999994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4.9373857499999998</v>
      </c>
    </row>
    <row r="35" spans="2:16" ht="15.75" customHeight="1" thickBot="1" x14ac:dyDescent="0.4">
      <c r="N35" s="229" t="s">
        <v>92</v>
      </c>
      <c r="O35" s="230"/>
      <c r="P35" s="160">
        <f>P33+P34</f>
        <v>992.41453574999991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3" workbookViewId="0">
      <selection activeCell="F18" sqref="F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8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128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123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 t="s">
        <v>131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</v>
      </c>
      <c r="I16" s="102">
        <f>(G16*D16)*F16+H16*F16</f>
        <v>629.54999999999995</v>
      </c>
      <c r="J16" s="103"/>
      <c r="K16" s="104">
        <f>I16*$K$13</f>
        <v>0</v>
      </c>
      <c r="L16" s="105">
        <f>I16*8%</f>
        <v>50.363999999999997</v>
      </c>
      <c r="M16" s="106">
        <f>I16-K16-L16</f>
        <v>579.18599999999992</v>
      </c>
      <c r="N16" s="106">
        <f t="shared" ref="N16:N24" si="0">(M16*$N$15)+(J16*F16)*$N$15</f>
        <v>127.42091999999998</v>
      </c>
      <c r="O16" s="107">
        <f>(N16+M16)*$O$15</f>
        <v>3.5330345999999997</v>
      </c>
      <c r="P16" s="105">
        <f t="shared" ref="P16:P24" si="1">M16+N16+O16</f>
        <v>710.1399545999999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</v>
      </c>
      <c r="I17" s="116">
        <f t="shared" ref="I17:I23" si="2">(G17*D17)*F17+H17*F17</f>
        <v>629.54999999999995</v>
      </c>
      <c r="J17" s="117"/>
      <c r="K17" s="1">
        <f t="shared" ref="K17:K21" si="3">I17*$K$13</f>
        <v>0</v>
      </c>
      <c r="L17" s="105">
        <f t="shared" ref="L17:L21" si="4">I17*8%</f>
        <v>50.363999999999997</v>
      </c>
      <c r="M17" s="118">
        <f t="shared" ref="M17:M23" si="5">I17-K17-L17</f>
        <v>579.18599999999992</v>
      </c>
      <c r="N17" s="118">
        <f t="shared" si="0"/>
        <v>127.42091999999998</v>
      </c>
      <c r="O17" s="119">
        <f t="shared" ref="O17:O24" si="6">(N17+M17)*$O$15</f>
        <v>3.5330345999999997</v>
      </c>
      <c r="P17" s="120">
        <f t="shared" si="1"/>
        <v>710.1399545999999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/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294.04671999999999</v>
      </c>
      <c r="O19" s="119">
        <f t="shared" si="6"/>
        <v>8.1531136000000011</v>
      </c>
      <c r="P19" s="120">
        <f t="shared" si="1"/>
        <v>1638.7758336000002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147.02336</v>
      </c>
      <c r="O20" s="119">
        <f t="shared" si="6"/>
        <v>4.0765568000000005</v>
      </c>
      <c r="P20" s="120">
        <f t="shared" si="1"/>
        <v>819.38791680000008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147.02336</v>
      </c>
      <c r="O21" s="119">
        <f t="shared" si="6"/>
        <v>4.0765568000000005</v>
      </c>
      <c r="P21" s="120">
        <f t="shared" si="1"/>
        <v>819.38791680000008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24</v>
      </c>
      <c r="I22" s="116">
        <f t="shared" si="2"/>
        <v>941.5200000000001</v>
      </c>
      <c r="J22" s="117"/>
      <c r="K22" s="1">
        <f>I22*3.5%</f>
        <v>32.95320000000001</v>
      </c>
      <c r="L22" s="120">
        <f>I22*5%</f>
        <v>47.076000000000008</v>
      </c>
      <c r="M22" s="118">
        <f t="shared" si="5"/>
        <v>861.49080000000004</v>
      </c>
      <c r="N22" s="118">
        <f t="shared" si="0"/>
        <v>189.527976</v>
      </c>
      <c r="O22" s="119">
        <f t="shared" si="6"/>
        <v>5.2550938800000004</v>
      </c>
      <c r="P22" s="120">
        <f t="shared" si="1"/>
        <v>1056.2738698800001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88</v>
      </c>
      <c r="I25" s="137">
        <f t="shared" si="9"/>
        <v>5106.22</v>
      </c>
      <c r="J25" s="138"/>
      <c r="K25" s="139">
        <f t="shared" si="9"/>
        <v>32.95320000000001</v>
      </c>
      <c r="L25" s="140">
        <f t="shared" si="9"/>
        <v>380.25200000000007</v>
      </c>
      <c r="M25" s="141">
        <f t="shared" si="9"/>
        <v>4693.0147999999999</v>
      </c>
      <c r="N25" s="142">
        <f>SUM(N16:N24)</f>
        <v>1032.463256</v>
      </c>
      <c r="O25" s="143">
        <f>SUM(O16:O24)</f>
        <v>28.627390280000004</v>
      </c>
      <c r="P25" s="144">
        <f>SUM(P16:P24)</f>
        <v>5754.1054462800012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5106.22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380.25200000000007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32.95320000000001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4693.0147999999999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1032.463256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5725.4780559999999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28.62739028</v>
      </c>
    </row>
    <row r="35" spans="2:16" ht="15.75" customHeight="1" thickBot="1" x14ac:dyDescent="0.4">
      <c r="N35" s="229" t="s">
        <v>92</v>
      </c>
      <c r="O35" s="230"/>
      <c r="P35" s="160">
        <f>P33+P34</f>
        <v>5754.1054462800003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9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7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80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2026-07-01T13:34:34Z</dcterms:modified>
</cp:coreProperties>
</file>