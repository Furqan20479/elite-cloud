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2F68091-EDB4-48F9-94CA-6533DF71D02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K20" i="19" s="1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18" i="19"/>
  <c r="K24" i="19"/>
  <c r="L24" i="19"/>
  <c r="K22" i="19"/>
  <c r="L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L20" i="19"/>
  <c r="M20" i="19" s="1"/>
  <c r="N20" i="19" s="1"/>
  <c r="O20" i="19" s="1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N18" i="18"/>
  <c r="O18" i="18" s="1"/>
  <c r="I23" i="15"/>
  <c r="L25" i="19" l="1"/>
  <c r="P29" i="19" s="1"/>
  <c r="L17" i="16"/>
  <c r="K17" i="16"/>
  <c r="M23" i="22"/>
  <c r="N23" i="22" s="1"/>
  <c r="O23" i="22" s="1"/>
  <c r="L21" i="16"/>
  <c r="L21" i="15" s="1"/>
  <c r="K21" i="16"/>
  <c r="K25" i="19"/>
  <c r="P30" i="19" s="1"/>
  <c r="K22" i="16"/>
  <c r="L22" i="16"/>
  <c r="L22" i="15" s="1"/>
  <c r="L19" i="16"/>
  <c r="K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P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5" i="18" l="1"/>
  <c r="P32" i="18" s="1"/>
  <c r="P33" i="18" s="1"/>
  <c r="O16" i="18"/>
  <c r="O25" i="18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7" i="15" s="1"/>
  <c r="P16" i="17"/>
  <c r="P25" i="17" s="1"/>
  <c r="P16" i="16"/>
  <c r="P16" i="18" l="1"/>
  <c r="P25" i="18" s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<sst xmlns="http://schemas.openxmlformats.org/spreadsheetml/2006/main" count="1636" uniqueCount="137">
  <si>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</si>
  <si>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</si>
  <si>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</si>
  <si>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</si>
  <si>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</si>
  <si>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</si>
  <si>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</si>
  <si>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</si>
  <si>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</si>
  <si>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</si>
  <si>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</si>
  <si>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</si>
  <si>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</si>
  <si>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</si>
  <si>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</si>
  <si>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</si>
  <si>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</si>
  <si>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</si>
  <si>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</si>
  <si>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</si>
  <si>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</si>
  <si>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</si>
  <si>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</si>
  <si>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</si>
  <si>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</si>
  <si>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</si>
  <si>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</si>
  <si>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</si>
  <si>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</si>
  <si>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</si>
  <si>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</si>
  <si>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</si>
  <si>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</si>
  <si>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</si>
  <si>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</si>
  <si>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</si>
  <si>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</si>
  <si>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</si>
  <si>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</si>
  <si>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</si>
  <si>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</si>
  <si>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</si>
  <si>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</si>
  <si>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</si>
  <si>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</si>
  <si>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</si>
  <si>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</si>
  <si>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</si>
  <si>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</si>
  <si>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</si>
  <si>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</si>
  <si>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</si>
  <si>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</si>
  <si>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</si>
  <si>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</si>
  <si>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</si>
  <si>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</si>
  <si>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</si>
  <si>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</si>
  <si>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</si>
  <si>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</si>
  <si>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</si>
  <si>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</si>
  <si>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</si>
  <si>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</si>
  <si>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</si>
  <si>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</si>
  <si>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</si>
  <si>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</si>
  <si>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</si>
  <si>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</si>
  <si>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</si>
  <si>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</si>
  <si>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</si>
  <si>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</si>
  <si>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</si>
  <si>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</si>
  <si>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</si>
  <si>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</si>
  <si>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</si>
  <si>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</si>
  <si>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</si>
  <si>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</si>
  <si>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</si>
  <si>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</si>
  <si>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</si>
  <si>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</si>
  <si>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</si>
  <si>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</si>
  <si>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</si>
  <si>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</si>
  <si>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</si>
  <si>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</si>
  <si>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</si>
  <si>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</si>
  <si>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</si>
  <si>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</si>
  <si>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</si>
  <si>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</si>
  <si>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</si>
  <si>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</si>
  <si>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</si>
  <si>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</si>
  <si>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</si>
  <si>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</si>
  <si>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</si>
  <si>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</si>
  <si>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</si>
  <si>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</si>
  <si>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</si>
  <si>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</si>
  <si>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</si>
  <si>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</si>
  <si>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</si>
  <si>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</si>
  <si>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</si>
  <si>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</si>
  <si>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</si>
  <si>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</si>
  <si>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</si>
  <si>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(Zeeshan)</t>
  </si>
  <si>
    <t>Zeeshan</t>
  </si>
  <si>
    <t>Customer Name : Ali Store</t>
  </si>
  <si>
    <t>Address: Ali Park</t>
  </si>
  <si>
    <t>0207759-7</t>
  </si>
  <si>
    <t>Customer Name : Organic Store</t>
  </si>
  <si>
    <t xml:space="preserve">Address: Eden </t>
  </si>
  <si>
    <t>543278-4</t>
  </si>
  <si>
    <t>Customer Name : Moon Mart</t>
  </si>
  <si>
    <t>Address: Gulshan Colony</t>
  </si>
  <si>
    <t>Customer Name : Raza Mart</t>
  </si>
  <si>
    <t>2188211-8</t>
  </si>
  <si>
    <t>Customer Name : Hr Mart</t>
  </si>
  <si>
    <t>Customer Name : Bilal Store</t>
  </si>
  <si>
    <t>Customer Name : Khan Store</t>
  </si>
  <si>
    <t>Customer Name : Awan Store</t>
  </si>
  <si>
    <t>Customer Name : Sheri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</si>
</sst>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S18" sqref="S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121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Ali Store</v>
      </c>
      <c r="U14" s="164">
        <f>+'1'!P35</f>
        <v>3049.4896703999998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Organic Store</v>
      </c>
      <c r="U15" s="164">
        <f>+'2'!P35</f>
        <v>3170.0909568000002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386.12400000000002</v>
      </c>
      <c r="O16" s="101">
        <f>+'1'!O16+'2'!O16+'4'!O16+'3'!O16+'5'!O16+'6'!O16+'7'!O16+'8'!O16+'9'!O16+'10'!O16</f>
        <v>11.58372</v>
      </c>
      <c r="P16" s="105">
        <f t="shared" ref="P16:P24" si="0">M16+N16+O16</f>
        <v>2328.3277199999998</v>
      </c>
      <c r="Q16" s="108"/>
      <c r="T16" s="163" t="str">
        <f>+'3'!A5</f>
        <v>Customer Name : Moon Mart</v>
      </c>
      <c r="U16" s="164">
        <f>+'3'!P35</f>
        <v>4096.9395840000007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386.12400000000002</v>
      </c>
      <c r="O17" s="101">
        <f>+'1'!O17+'2'!O17+'4'!O17+'3'!O17+'5'!O17+'6'!O17+'7'!O17+'8'!O17+'9'!O17+'10'!O17</f>
        <v>11.58372</v>
      </c>
      <c r="P17" s="120">
        <f t="shared" si="0"/>
        <v>2328.3277199999998</v>
      </c>
      <c r="S17" s="64"/>
      <c r="T17" s="163" t="str">
        <f>+'4'!A5</f>
        <v>Customer Name : Raza Mart</v>
      </c>
      <c r="U17" s="164">
        <f>+'4'!P35</f>
        <v>7162.349780999999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Hr Mart</v>
      </c>
      <c r="U18" s="164">
        <f>+'5'!P35</f>
        <v>5644.684849199999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60</v>
      </c>
      <c r="I19" s="1">
        <f t="shared" si="1"/>
        <v>4358.3999999999996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348.67199999999997</v>
      </c>
      <c r="M19" s="118">
        <f t="shared" si="2"/>
        <v>4009.7279999999996</v>
      </c>
      <c r="N19" s="101">
        <f>+'1'!N19+'2'!N19+'4'!N19+'3'!N19+'5'!N19+'6'!N19+'7'!N19+'8'!N19+'9'!N19+'10'!N19</f>
        <v>801.9455999999999</v>
      </c>
      <c r="O19" s="101">
        <f>+'1'!O19+'2'!O19+'4'!O19+'3'!O19+'5'!O19+'6'!O19+'7'!O19+'8'!O19+'9'!O19+'10'!O19</f>
        <v>24.058368000000002</v>
      </c>
      <c r="P19" s="120">
        <f t="shared" si="0"/>
        <v>4835.7319679999991</v>
      </c>
      <c r="T19" s="163" t="str">
        <f>+'6'!A5</f>
        <v>Customer Name : Bilal Store</v>
      </c>
      <c r="U19" s="164">
        <f>+'6'!P35</f>
        <v>835.69414400000005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464.89600000000002</v>
      </c>
      <c r="M20" s="118">
        <f t="shared" si="2"/>
        <v>5295.4560000000001</v>
      </c>
      <c r="N20" s="101">
        <f>+'1'!N20+'2'!N20+'4'!N20+'3'!N20+'5'!N20+'6'!N20+'7'!N20+'8'!N20+'9'!N20+'10'!N20</f>
        <v>1033.37664</v>
      </c>
      <c r="O20" s="101">
        <f>+'1'!O20+'2'!O20+'4'!O20+'3'!O20+'5'!O20+'6'!O20+'7'!O20+'8'!O20+'9'!O20+'10'!O20</f>
        <v>31.644163200000001</v>
      </c>
      <c r="P20" s="120">
        <f t="shared" si="0"/>
        <v>6360.4768032000002</v>
      </c>
      <c r="T20" s="163" t="str">
        <f>+'7'!A5</f>
        <v>Customer Name : Khan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50.848000000000006</v>
      </c>
      <c r="L21" s="175">
        <f>+'1'!L21+'2'!L21+'4'!L21+'3'!L21+'5'!L21+'6'!L21+'7'!L21+'8'!L21+'9'!L21+'10'!L21</f>
        <v>464.89600000000007</v>
      </c>
      <c r="M21" s="118">
        <f t="shared" si="2"/>
        <v>5295.4560000000001</v>
      </c>
      <c r="N21" s="101">
        <f>+'1'!N21+'2'!N21+'4'!N21+'3'!N21+'5'!N21+'6'!N21+'7'!N21+'8'!N21+'9'!N21+'10'!N21</f>
        <v>1060.10816</v>
      </c>
      <c r="O21" s="101">
        <f>+'1'!O21+'2'!O21+'4'!O21+'3'!O21+'5'!O21+'6'!O21+'7'!O21+'8'!O21+'9'!O21+'10'!O21</f>
        <v>48.084048000000003</v>
      </c>
      <c r="P21" s="120">
        <f t="shared" si="0"/>
        <v>6403.6482079999996</v>
      </c>
      <c r="T21" s="163" t="str">
        <f>+'8'!A5</f>
        <v>Customer Name : Awan Store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70</v>
      </c>
      <c r="I22" s="1">
        <f t="shared" si="1"/>
        <v>2746.1000000000004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96.11350000000003</v>
      </c>
      <c r="L22" s="175">
        <f>+'1'!L22+'2'!L22+'4'!L22+'3'!L22+'5'!L22+'6'!L22+'7'!L22+'8'!L22+'9'!L22+'10'!L22</f>
        <v>137.30500000000004</v>
      </c>
      <c r="M22" s="118">
        <f t="shared" si="2"/>
        <v>2512.6815000000006</v>
      </c>
      <c r="N22" s="101">
        <f>+'1'!N22+'2'!N22+'4'!N22+'3'!N22+'5'!N22+'6'!N22+'7'!N22+'8'!N22+'9'!N22+'10'!N22</f>
        <v>495.35721000000001</v>
      </c>
      <c r="O22" s="101">
        <f>+'1'!O22+'2'!O22+'4'!O22+'3'!O22+'5'!O22+'6'!O22+'7'!O22+'8'!O22+'9'!O22+'10'!O22</f>
        <v>41.315662950000004</v>
      </c>
      <c r="P22" s="120">
        <f t="shared" si="0"/>
        <v>3049.3543729500007</v>
      </c>
      <c r="T22" s="163" t="str">
        <f>+'9'!A5</f>
        <v>Customer Name : Sheri Mart</v>
      </c>
      <c r="U22" s="164">
        <f>+'9'!P35</f>
        <v>448.87260225000006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9.25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370</v>
      </c>
      <c r="I25" s="178">
        <f t="shared" si="3"/>
        <v>22923.9</v>
      </c>
      <c r="J25" s="177">
        <f t="shared" si="3"/>
        <v>0</v>
      </c>
      <c r="K25" s="178">
        <f t="shared" si="3"/>
        <v>197.80950000000004</v>
      </c>
      <c r="L25" s="179">
        <f t="shared" si="3"/>
        <v>1751.5290000000002</v>
      </c>
      <c r="M25" s="141">
        <f t="shared" si="3"/>
        <v>20974.561499999996</v>
      </c>
      <c r="N25" s="142">
        <f>SUM(N16:N24)</f>
        <v>4163.0356099999999</v>
      </c>
      <c r="O25" s="143">
        <f>SUM(O16:O24)</f>
        <v>168.26968214999999</v>
      </c>
      <c r="P25" s="144">
        <f>SUM(P16:P24)</f>
        <v>25305.866792149998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25305.866792150005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22923.9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1751.5290000000002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197.80950000000004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20974.561500000003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4163.0356099999999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25137.597110000002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628.43992775000015</v>
      </c>
    </row>
    <row r="43" spans="1:21" ht="15.75" customHeight="1" thickBot="1" x14ac:dyDescent="0.4">
      <c r="N43" s="229" t="s">
        <v>92</v>
      </c>
      <c r="O43" s="230"/>
      <c r="P43" s="160">
        <f>P41+P42</f>
        <v>25766.037037750004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9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3520078332863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/>
      <c r="K20" s="104">
        <f t="shared" si="4"/>
        <v>50.848000000000006</v>
      </c>
      <c r="L20" s="105">
        <f t="shared" si="5"/>
        <v>116.224</v>
      </c>
      <c r="M20" s="118">
        <f t="shared" si="6"/>
        <v>1285.7280000000001</v>
      </c>
      <c r="N20" s="118">
        <f t="shared" si="0"/>
        <v>231.43104</v>
      </c>
      <c r="O20" s="119">
        <f t="shared" si="1"/>
        <v>7.5857951999999997</v>
      </c>
      <c r="P20" s="120">
        <f t="shared" si="2"/>
        <v>1524.7448351999999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231.43104</v>
      </c>
      <c r="O21" s="119">
        <f t="shared" si="1"/>
        <v>7.5857951999999997</v>
      </c>
      <c r="P21" s="120">
        <f t="shared" si="2"/>
        <v>1524.7448351999999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101.69600000000001</v>
      </c>
      <c r="L25" s="140">
        <f t="shared" si="13"/>
        <v>232.44800000000001</v>
      </c>
      <c r="M25" s="141">
        <f t="shared" si="13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3034.31808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9" t="s">
        <v>92</v>
      </c>
      <c r="O35" s="230"/>
      <c r="P35" s="160">
        <f>P33+P34</f>
        <v>3049.4896703999998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 t="s">
        <v>127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180.43775999999997</v>
      </c>
      <c r="O19" s="119">
        <f t="shared" si="6"/>
        <v>5.9143487999999991</v>
      </c>
      <c r="P19" s="120">
        <f t="shared" si="1"/>
        <v>1188.7841087999998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180.43775999999997</v>
      </c>
      <c r="O20" s="119">
        <f t="shared" si="6"/>
        <v>5.9143487999999991</v>
      </c>
      <c r="P20" s="120">
        <f t="shared" si="1"/>
        <v>1188.7841087999998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120.29183999999999</v>
      </c>
      <c r="O21" s="119">
        <f t="shared" si="6"/>
        <v>3.9428991999999998</v>
      </c>
      <c r="P21" s="120">
        <f t="shared" si="1"/>
        <v>792.52273920000005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481.16735999999992</v>
      </c>
      <c r="O25" s="143">
        <f>SUM(O16:O24)</f>
        <v>15.771596799999998</v>
      </c>
      <c r="P25" s="144">
        <f>SUM(P16:P24)</f>
        <v>3170.0909567999997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2673.152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481.16735999999992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3154.31936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15.771596799999999</v>
      </c>
    </row>
    <row r="35" spans="2:16" ht="15.75" customHeight="1" thickBot="1" x14ac:dyDescent="0.4">
      <c r="N35" s="229" t="s">
        <v>92</v>
      </c>
      <c r="O35" s="230"/>
      <c r="P35" s="160">
        <f>P33+P34</f>
        <v>3170.0909568000002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9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4680762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220.53503999999998</v>
      </c>
      <c r="O20" s="119">
        <f t="shared" si="6"/>
        <v>6.1148351999999999</v>
      </c>
      <c r="P20" s="120">
        <f t="shared" si="1"/>
        <v>1229.0818752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8.1531136000000011</v>
      </c>
      <c r="P21" s="120">
        <f t="shared" si="1"/>
        <v>1638.7758336000002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50</v>
      </c>
      <c r="I25" s="137">
        <f t="shared" si="9"/>
        <v>3632</v>
      </c>
      <c r="J25" s="138"/>
      <c r="K25" s="139">
        <f t="shared" si="9"/>
        <v>0</v>
      </c>
      <c r="L25" s="140">
        <f t="shared" si="9"/>
        <v>290.56</v>
      </c>
      <c r="M25" s="141">
        <f t="shared" si="9"/>
        <v>3341.4399999999996</v>
      </c>
      <c r="N25" s="142">
        <f>SUM(N16:N24)</f>
        <v>735.11680000000001</v>
      </c>
      <c r="O25" s="143">
        <f>SUM(O16:O24)</f>
        <v>20.382784000000001</v>
      </c>
      <c r="P25" s="144">
        <f>SUM(P16:P24)</f>
        <v>4096.9395839999997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3632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290.56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3341.44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735.11680000000001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4076.5568000000003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20.382784000000001</v>
      </c>
    </row>
    <row r="35" spans="2:16" ht="15.75" customHeight="1" thickBot="1" x14ac:dyDescent="0.4">
      <c r="N35" s="229" t="s">
        <v>92</v>
      </c>
      <c r="O35" s="230"/>
      <c r="P35" s="160">
        <f>P33+P34</f>
        <v>4096.9395840000007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173.75579999999999</v>
      </c>
      <c r="O16" s="107">
        <f>(N16+M16)*$O$15</f>
        <v>5.6953289999999992</v>
      </c>
      <c r="P16" s="105">
        <f t="shared" ref="P16:P24" si="1">M16+N16+O16</f>
        <v>1144.7611289999998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173.75579999999999</v>
      </c>
      <c r="O17" s="119">
        <f t="shared" ref="O17:O24" si="6">(N17+M17)*$O$15</f>
        <v>5.6953289999999992</v>
      </c>
      <c r="P17" s="120">
        <f t="shared" si="1"/>
        <v>1144.7611289999998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180.43775999999997</v>
      </c>
      <c r="O19" s="119">
        <f t="shared" si="6"/>
        <v>5.9143487999999991</v>
      </c>
      <c r="P19" s="120">
        <f t="shared" si="1"/>
        <v>1188.7841087999998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180.43775999999997</v>
      </c>
      <c r="O20" s="119">
        <f t="shared" si="6"/>
        <v>5.9143487999999991</v>
      </c>
      <c r="P20" s="120">
        <f t="shared" si="1"/>
        <v>1188.7841087999998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120.29183999999999</v>
      </c>
      <c r="O21" s="119">
        <f t="shared" si="6"/>
        <v>3.9428991999999998</v>
      </c>
      <c r="P21" s="120">
        <f t="shared" si="1"/>
        <v>792.52273920000005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6573.2999999999993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6039.5899999999992</v>
      </c>
      <c r="N25" s="142">
        <f>SUM(N16:N24)</f>
        <v>1087.1261999999999</v>
      </c>
      <c r="O25" s="143">
        <f>SUM(O16:O24)</f>
        <v>35.633581</v>
      </c>
      <c r="P25" s="144">
        <f>SUM(P16:P24)</f>
        <v>7162.349780999999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6573.2999999999993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478.78800000000007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6039.5899999999992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1087.1261999999999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7126.7161999999989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35.633580999999992</v>
      </c>
    </row>
    <row r="35" spans="2:16" ht="15.75" customHeight="1" thickBot="1" x14ac:dyDescent="0.4">
      <c r="N35" s="229" t="s">
        <v>92</v>
      </c>
      <c r="O35" s="230"/>
      <c r="P35" s="160">
        <f>P33+P34</f>
        <v>7162.349780999999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6542689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212.3682</v>
      </c>
      <c r="O16" s="107">
        <f>(N16+M16)*$O$15</f>
        <v>5.8883909999999995</v>
      </c>
      <c r="P16" s="105">
        <f t="shared" ref="P16:P24" si="1">M16+N16+O16</f>
        <v>1183.5665909999998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212.3682</v>
      </c>
      <c r="O17" s="119">
        <f t="shared" ref="O17:O24" si="6">(N17+M17)*$O$15</f>
        <v>5.8883909999999995</v>
      </c>
      <c r="P17" s="120">
        <f t="shared" si="1"/>
        <v>1183.5665909999998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220.53503999999998</v>
      </c>
      <c r="O20" s="119">
        <f t="shared" si="6"/>
        <v>6.1148351999999999</v>
      </c>
      <c r="P20" s="120">
        <f t="shared" si="1"/>
        <v>1229.0818752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5004.0999999999995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</v>
      </c>
      <c r="N25" s="142">
        <f>SUM(N16:N24)</f>
        <v>1012.82984</v>
      </c>
      <c r="O25" s="143">
        <f>SUM(O16:O24)</f>
        <v>28.083009199999999</v>
      </c>
      <c r="P25" s="144">
        <f>SUM(P16:P24)</f>
        <v>5644.6848491999999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5004.0999999999995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400.32800000000003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4603.771999999999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1012.82984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5616.6018399999994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28.083009199999996</v>
      </c>
    </row>
    <row r="35" spans="2:16" ht="15.75" customHeight="1" thickBot="1" x14ac:dyDescent="0.4">
      <c r="N35" s="229" t="s">
        <v>92</v>
      </c>
      <c r="O35" s="230"/>
      <c r="P35" s="160">
        <f>P33+P34</f>
        <v>5644.684849199999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20.382784000000001</v>
      </c>
      <c r="P25" s="144">
        <f>SUM(P16:P24)</f>
        <v>835.69414400000005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668.28800000000001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815.31136000000004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20.382784000000001</v>
      </c>
    </row>
    <row r="35" spans="2:16" ht="15.75" customHeight="1" thickBot="1" x14ac:dyDescent="0.4">
      <c r="N35" s="229" t="s">
        <v>92</v>
      </c>
      <c r="O35" s="230"/>
      <c r="P35" s="160">
        <f>P33+P34</f>
        <v>835.69414400000005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358.95450000000005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437.92449000000005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9" t="s">
        <v>92</v>
      </c>
      <c r="O35" s="230"/>
      <c r="P35" s="160">
        <f>P33+P34</f>
        <v>448.87260225000006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358.95450000000005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437.92449000000005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9" t="s">
        <v>92</v>
      </c>
      <c r="O35" s="230"/>
      <c r="P35" s="160">
        <f>P33+P34</f>
        <v>448.87260225000006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358.95450000000005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437.92449000000005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9" t="s">
        <v>92</v>
      </c>
      <c r="O35" s="230"/>
      <c r="P35" s="160">
        <f>P33+P34</f>
        <v>448.87260225000006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2026-07-01T13:36:33Z</dcterms:modified>
</cp:coreProperties>
</file>