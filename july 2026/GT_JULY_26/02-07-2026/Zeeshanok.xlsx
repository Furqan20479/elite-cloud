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722E0EB7-09E3-48CE-BB1A-17A96BFAAE0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18"/>
  <c r="L22" i="20"/>
  <c r="L22" i="21"/>
  <c r="L22" i="23"/>
  <c r="L22" i="24"/>
  <c r="L22" i="25"/>
  <c r="L22" i="26"/>
  <c r="L22" i="27"/>
  <c r="L22" i="29"/>
  <c r="L22" i="30"/>
  <c r="L22" i="31"/>
  <c r="L22" i="32"/>
  <c r="L22" i="33"/>
  <c r="L22" i="34"/>
  <c r="L22" i="35"/>
  <c r="L22" i="16"/>
  <c r="K17" i="17"/>
  <c r="K18" i="17"/>
  <c r="K19" i="17"/>
  <c r="K20" i="17"/>
  <c r="K21" i="17"/>
  <c r="K22" i="17"/>
  <c r="K17" i="19"/>
  <c r="K18" i="19"/>
  <c r="K19" i="19"/>
  <c r="K20" i="19"/>
  <c r="K22" i="19"/>
  <c r="K17" i="18"/>
  <c r="K18" i="18"/>
  <c r="K19" i="18"/>
  <c r="K20" i="18"/>
  <c r="K21" i="18"/>
  <c r="K22" i="18"/>
  <c r="K17" i="20"/>
  <c r="K18" i="20"/>
  <c r="K19" i="20"/>
  <c r="K20" i="20"/>
  <c r="K21" i="20"/>
  <c r="K22" i="20"/>
  <c r="K17" i="21"/>
  <c r="K18" i="21"/>
  <c r="K19" i="21"/>
  <c r="K20" i="21"/>
  <c r="K22" i="21"/>
  <c r="K17" i="22"/>
  <c r="K18" i="22"/>
  <c r="K19" i="22"/>
  <c r="K20" i="22"/>
  <c r="K21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22" i="16"/>
  <c r="K16" i="17"/>
  <c r="K16" i="19"/>
  <c r="K16" i="18"/>
  <c r="K16" i="20"/>
  <c r="K16" i="21"/>
  <c r="K16" i="22"/>
  <c r="K16" i="23"/>
  <c r="K16" i="24"/>
  <c r="K16" i="25"/>
  <c r="K16" i="26"/>
  <c r="K16" i="27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2" i="28" l="1"/>
  <c r="K25" i="28" s="1"/>
  <c r="P30" i="28" s="1"/>
  <c r="L22" i="28"/>
  <c r="I25" i="28"/>
  <c r="P28" i="28" s="1"/>
  <c r="K23" i="28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0" i="29"/>
  <c r="O20" i="29" s="1"/>
  <c r="N24" i="29"/>
  <c r="O24" i="29" s="1"/>
  <c r="P24" i="29" s="1"/>
  <c r="K25" i="29"/>
  <c r="P30" i="29" s="1"/>
  <c r="N24" i="28"/>
  <c r="O24" i="28" s="1"/>
  <c r="P24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2" i="22" l="1"/>
  <c r="K22" i="2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L21" i="18" s="1"/>
  <c r="I22" i="18"/>
  <c r="I24" i="18"/>
  <c r="L24" i="18" s="1"/>
  <c r="I19" i="19"/>
  <c r="L19" i="19" s="1"/>
  <c r="I20" i="19"/>
  <c r="I21" i="19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9" l="1"/>
  <c r="K21" i="19"/>
  <c r="M21" i="19" s="1"/>
  <c r="L20" i="19"/>
  <c r="M20" i="19" s="1"/>
  <c r="N20" i="19" s="1"/>
  <c r="O20" i="19" s="1"/>
  <c r="L24" i="17"/>
  <c r="K23" i="24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N24" i="18"/>
  <c r="O24" i="18" s="1"/>
  <c r="N18" i="18"/>
  <c r="O18" i="18" s="1"/>
  <c r="I23" i="15"/>
  <c r="L25" i="19" l="1"/>
  <c r="P29" i="19" s="1"/>
  <c r="L17" i="16"/>
  <c r="M23" i="22"/>
  <c r="N23" i="22" s="1"/>
  <c r="O23" i="22" s="1"/>
  <c r="L21" i="16"/>
  <c r="L21" i="15" s="1"/>
  <c r="K25" i="19"/>
  <c r="P30" i="19" s="1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P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0" l="1"/>
  <c r="M21" i="15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N18" i="15" l="1"/>
  <c r="N25" i="18"/>
  <c r="P32" i="18" s="1"/>
  <c r="P33" i="18" s="1"/>
  <c r="O16" i="18"/>
  <c r="O25" i="18" s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7" i="15" s="1"/>
  <c r="P16" i="17"/>
  <c r="P25" i="17" s="1"/>
  <c r="P16" i="16"/>
  <c r="P16" i="18" l="1"/>
  <c r="P25" i="18" s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<sst xmlns="http://schemas.openxmlformats.org/spreadsheetml/2006/main" count="1636" uniqueCount="137">
  <si>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</si>
  <si>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</si>
  <si>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</si>
  <si>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</si>
  <si>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</si>
  <si>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</si>
  <si>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</si>
  <si>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</si>
  <si>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</si>
  <si>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</si>
  <si>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</si>
  <si>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</si>
  <si>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</si>
  <si>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</si>
  <si>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</si>
  <si>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</si>
  <si>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</si>
  <si>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</si>
  <si>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</si>
  <si>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</si>
  <si>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</si>
  <si>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</si>
  <si>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</si>
  <si>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</si>
  <si>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</si>
  <si>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</si>
  <si>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</si>
  <si>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</si>
  <si>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</si>
  <si>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</si>
  <si>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</si>
  <si>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</si>
  <si>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</si>
  <si>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</si>
  <si>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</si>
  <si>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</si>
  <si>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</si>
  <si>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</si>
  <si>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</si>
  <si>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</si>
  <si>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</si>
  <si>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</si>
  <si>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</si>
  <si>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</si>
  <si>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</si>
  <si>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</si>
  <si>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</si>
  <si>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</si>
  <si>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</si>
  <si>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</si>
  <si>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</si>
  <si>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</si>
  <si>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</si>
  <si>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</si>
  <si>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</si>
  <si>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</si>
  <si>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</si>
  <si>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</si>
  <si>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</si>
  <si>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</si>
  <si>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</si>
  <si>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</si>
  <si>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</si>
  <si>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</si>
  <si>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</si>
  <si>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</si>
  <si>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</si>
  <si>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</si>
  <si>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</si>
  <si>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</si>
  <si>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</si>
  <si>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</si>
  <si>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</si>
  <si>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</si>
  <si>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</si>
  <si>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</si>
  <si>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</si>
  <si>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</si>
  <si>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</si>
  <si>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</si>
  <si>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</si>
  <si>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</si>
  <si>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</si>
  <si>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</si>
  <si>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</si>
  <si>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</si>
  <si>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</si>
  <si>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</si>
  <si>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</si>
  <si>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</si>
  <si>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</si>
  <si>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</si>
  <si>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</si>
  <si>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</si>
  <si>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</si>
  <si>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</si>
  <si>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</si>
  <si>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</si>
  <si>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</si>
  <si>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</si>
  <si>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</si>
  <si>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</si>
  <si>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</si>
  <si>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</si>
  <si>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</si>
  <si>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</si>
  <si>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</si>
  <si>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</si>
  <si>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</si>
  <si>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</si>
  <si>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</si>
  <si>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</si>
  <si>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</si>
  <si>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</si>
  <si>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</si>
  <si>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</si>
  <si>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</si>
  <si>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</si>
  <si>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</si>
  <si>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</si>
  <si>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(Zeeshan)</t>
  </si>
  <si>
    <t>Zeeshan</t>
  </si>
  <si>
    <t>Customer Name : Ali Store</t>
  </si>
  <si>
    <t>Address: Ali Park</t>
  </si>
  <si>
    <t>0207759-7</t>
  </si>
  <si>
    <t>Customer Name : Organic Store</t>
  </si>
  <si>
    <t xml:space="preserve">Address: Eden </t>
  </si>
  <si>
    <t>543278-4</t>
  </si>
  <si>
    <t>Customer Name : Moon Mart</t>
  </si>
  <si>
    <t>Address: Gulshan Colony</t>
  </si>
  <si>
    <t>Customer Name : Raza Mart</t>
  </si>
  <si>
    <t>2188211-8</t>
  </si>
  <si>
    <t>Customer Name : Hr Mart</t>
  </si>
  <si>
    <t>Customer Name : Bilal Store</t>
  </si>
  <si>
    <t>Customer Name : Khan Store</t>
  </si>
  <si>
    <t>Customer Name : Awan Store</t>
  </si>
  <si>
    <t>Customer Name : Sheri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</si>
</sst>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/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/>
      <selection pane="bottomLeft"/>
      <selection pane="bottomRight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T14" sqref="T14:T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121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120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Ali Store</v>
      </c>
      <c r="U14" s="164">
        <f>+'1'!P35</f>
        <v>3049.4896703999998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Organic Store</v>
      </c>
      <c r="U15" s="164">
        <f>+'2'!P35</f>
        <v>3049.4896703999998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371.43450000000001</v>
      </c>
      <c r="O16" s="101">
        <f>+'1'!O16+'2'!O16+'4'!O16+'3'!O16+'5'!O16+'6'!O16+'7'!O16+'8'!O16+'9'!O16+'10'!O16</f>
        <v>11.143035000000001</v>
      </c>
      <c r="P16" s="105">
        <f t="shared" ref="P16:P24" si="0">M16+N16+O16</f>
        <v>2239.750035</v>
      </c>
      <c r="Q16" s="108"/>
      <c r="T16" s="163" t="str">
        <f>+'3'!A5</f>
        <v>Customer Name : Moon Mart</v>
      </c>
      <c r="U16" s="164">
        <f>+'3'!P35</f>
        <v>3049.4896703999998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73.447500000000005</v>
      </c>
      <c r="L17" s="175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371.43450000000001</v>
      </c>
      <c r="O17" s="101">
        <f>+'1'!O17+'2'!O17+'4'!O17+'3'!O17+'5'!O17+'6'!O17+'7'!O17+'8'!O17+'9'!O17+'10'!O17</f>
        <v>11.143035000000001</v>
      </c>
      <c r="P17" s="120">
        <f t="shared" si="0"/>
        <v>2239.750035</v>
      </c>
      <c r="S17" s="64"/>
      <c r="T17" s="163" t="str">
        <f>+'4'!A5</f>
        <v>Customer Name : Raza Mart</v>
      </c>
      <c r="U17" s="164">
        <f>+'4'!P35</f>
        <v>6861.6013903499997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Hr Mart</v>
      </c>
      <c r="U18" s="164">
        <f>+'5'!P35</f>
        <v>5429.941403849999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60</v>
      </c>
      <c r="I19" s="1">
        <f t="shared" si="1"/>
        <v>4358.3999999999996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152.54400000000001</v>
      </c>
      <c r="L19" s="175">
        <f>+'1'!L19+'2'!L19+'4'!L19+'3'!L19+'5'!L19+'6'!L19+'7'!L19+'8'!L19+'9'!L19+'10'!L19</f>
        <v>348.67199999999997</v>
      </c>
      <c r="M19" s="118">
        <f t="shared" si="2"/>
        <v>3857.1839999999997</v>
      </c>
      <c r="N19" s="101">
        <f>+'1'!N19+'2'!N19+'4'!N19+'3'!N19+'5'!N19+'6'!N19+'7'!N19+'8'!N19+'9'!N19+'10'!N19</f>
        <v>732.86496</v>
      </c>
      <c r="O19" s="101">
        <f>+'1'!O19+'2'!O19+'4'!O19+'3'!O19+'5'!O19+'6'!O19+'7'!O19+'8'!O19+'9'!O19+'10'!O19</f>
        <v>22.9502448</v>
      </c>
      <c r="P19" s="120">
        <f t="shared" si="0"/>
        <v>4612.9992048000004</v>
      </c>
      <c r="T19" s="163" t="str">
        <f>+'6'!A5</f>
        <v>Customer Name : Bilal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203.392</v>
      </c>
      <c r="L20" s="175">
        <f>+'1'!L20+'2'!L20+'4'!L20+'3'!L20+'5'!L20+'6'!L20+'7'!L20+'8'!L20+'9'!L20+'10'!L20</f>
        <v>464.89600000000002</v>
      </c>
      <c r="M20" s="118">
        <f t="shared" si="2"/>
        <v>5142.9120000000003</v>
      </c>
      <c r="N20" s="101">
        <f>+'1'!N20+'2'!N20+'4'!N20+'3'!N20+'5'!N20+'6'!N20+'7'!N20+'8'!N20+'9'!N20+'10'!N20</f>
        <v>964.29599999999994</v>
      </c>
      <c r="O20" s="101">
        <f>+'1'!O20+'2'!O20+'4'!O20+'3'!O20+'5'!O20+'6'!O20+'7'!O20+'8'!O20+'9'!O20+'10'!O20</f>
        <v>30.53604</v>
      </c>
      <c r="P20" s="120">
        <f t="shared" si="0"/>
        <v>6137.7440400000005</v>
      </c>
      <c r="T20" s="163" t="str">
        <f>+'7'!A5</f>
        <v>Customer Name : Khan Store</v>
      </c>
      <c r="U20" s="164">
        <f>+'7'!P35</f>
        <v>424.34404475000008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60</v>
      </c>
      <c r="I21" s="1">
        <f t="shared" si="1"/>
        <v>4358.3999999999996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152.54400000000001</v>
      </c>
      <c r="L21" s="175">
        <f>+'1'!L21+'2'!L21+'4'!L21+'3'!L21+'5'!L21+'6'!L21+'7'!L21+'8'!L21+'9'!L21+'10'!L21</f>
        <v>348.67200000000003</v>
      </c>
      <c r="M21" s="118">
        <f t="shared" si="2"/>
        <v>3857.1839999999997</v>
      </c>
      <c r="N21" s="101">
        <f>+'1'!N21+'2'!N21+'4'!N21+'3'!N21+'5'!N21+'6'!N21+'7'!N21+'8'!N21+'9'!N21+'10'!N21</f>
        <v>720.00767999999994</v>
      </c>
      <c r="O21" s="101">
        <f>+'1'!O21+'2'!O21+'4'!O21+'3'!O21+'5'!O21+'6'!O21+'7'!O21+'8'!O21+'9'!O21+'10'!O21</f>
        <v>22.8859584</v>
      </c>
      <c r="P21" s="120">
        <f t="shared" si="0"/>
        <v>4600.0776384000001</v>
      </c>
      <c r="T21" s="163" t="str">
        <f>+'8'!A5</f>
        <v>Customer Name : Awan Store</v>
      </c>
      <c r="U21" s="164">
        <f>+'8'!P35</f>
        <v>424.34404475000008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70</v>
      </c>
      <c r="I22" s="1">
        <f t="shared" si="1"/>
        <v>2746.1000000000004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96.11350000000003</v>
      </c>
      <c r="L22" s="175">
        <f>+'1'!L22+'2'!L22+'4'!L22+'3'!L22+'5'!L22+'6'!L22+'7'!L22+'8'!L22+'9'!L22+'10'!L22</f>
        <v>274.61000000000007</v>
      </c>
      <c r="M22" s="118">
        <f t="shared" si="2"/>
        <v>2375.3765000000003</v>
      </c>
      <c r="N22" s="101">
        <f>+'1'!N22+'2'!N22+'4'!N22+'3'!N22+'5'!N22+'6'!N22+'7'!N22+'8'!N22+'9'!N22+'10'!N22</f>
        <v>468.28851000000009</v>
      </c>
      <c r="O22" s="101">
        <f>+'1'!O22+'2'!O22+'4'!O22+'3'!O22+'5'!O22+'6'!O22+'7'!O22+'8'!O22+'9'!O22+'10'!O22</f>
        <v>39.057976450000012</v>
      </c>
      <c r="P22" s="120">
        <f t="shared" si="0"/>
        <v>2882.7229864500005</v>
      </c>
      <c r="T22" s="163" t="str">
        <f>+'9'!A5</f>
        <v>Customer Name : Sheri Mart</v>
      </c>
      <c r="U22" s="164">
        <f>+'9'!P35</f>
        <v>424.34404475000008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8.75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350</v>
      </c>
      <c r="I25" s="178">
        <f t="shared" si="3"/>
        <v>21471.1</v>
      </c>
      <c r="J25" s="177">
        <f t="shared" si="3"/>
        <v>0</v>
      </c>
      <c r="K25" s="178">
        <f t="shared" si="3"/>
        <v>751.48850000000004</v>
      </c>
      <c r="L25" s="179">
        <f t="shared" si="3"/>
        <v>1772.6100000000001</v>
      </c>
      <c r="M25" s="141">
        <f t="shared" si="3"/>
        <v>18947.001499999998</v>
      </c>
      <c r="N25" s="142">
        <f>SUM(N16:N24)</f>
        <v>3628.3261499999999</v>
      </c>
      <c r="O25" s="143">
        <f>SUM(O16:O24)</f>
        <v>137.71628965000002</v>
      </c>
      <c r="P25" s="144">
        <f>SUM(P16:P24)</f>
        <v>22713.043939650004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22713.043939649997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21471.1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1772.6100000000001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751.48850000000004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18947.001499999998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3628.3261499999999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22575.327649999999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564.38319124999998</v>
      </c>
    </row>
    <row r="43" spans="1:21" ht="15.75" customHeight="1" thickBot="1" x14ac:dyDescent="0.4">
      <c r="N43" s="213" t="s">
        <v>92</v>
      </c>
      <c r="O43" s="214"/>
      <c r="P43" s="160">
        <f>P41+P42</f>
        <v>23139.710841249998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3520078332863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/>
      <c r="K20" s="104">
        <f t="shared" si="4"/>
        <v>50.848000000000006</v>
      </c>
      <c r="L20" s="105">
        <f t="shared" si="5"/>
        <v>116.224</v>
      </c>
      <c r="M20" s="118">
        <f t="shared" si="6"/>
        <v>1285.7280000000001</v>
      </c>
      <c r="N20" s="118">
        <f t="shared" si="0"/>
        <v>231.43104</v>
      </c>
      <c r="O20" s="119">
        <f t="shared" si="1"/>
        <v>7.5857951999999997</v>
      </c>
      <c r="P20" s="120">
        <f t="shared" si="2"/>
        <v>1524.7448351999999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116.224</v>
      </c>
      <c r="M21" s="118">
        <f t="shared" si="6"/>
        <v>1285.7280000000001</v>
      </c>
      <c r="N21" s="118">
        <f t="shared" si="0"/>
        <v>231.43104</v>
      </c>
      <c r="O21" s="119">
        <f t="shared" si="1"/>
        <v>7.5857951999999997</v>
      </c>
      <c r="P21" s="120">
        <f t="shared" si="2"/>
        <v>1524.7448351999999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 t="shared" si="4"/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101.69600000000001</v>
      </c>
      <c r="L25" s="140">
        <f t="shared" si="13"/>
        <v>232.44800000000001</v>
      </c>
      <c r="M25" s="141">
        <f t="shared" si="13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232.44800000000001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101.69600000000001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3034.31808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3" t="s">
        <v>92</v>
      </c>
      <c r="O35" s="214"/>
      <c r="P35" s="160">
        <f>P33+P34</f>
        <v>3049.4896703999998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 t="s">
        <v>127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173.57327999999998</v>
      </c>
      <c r="O20" s="119">
        <f t="shared" si="6"/>
        <v>5.6893463999999998</v>
      </c>
      <c r="P20" s="120">
        <f t="shared" si="1"/>
        <v>1143.5586263999999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232.44799999999998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232.44799999999998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101.69600000000001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3034.31808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3" t="s">
        <v>92</v>
      </c>
      <c r="O35" s="214"/>
      <c r="P35" s="160">
        <f>P33+P34</f>
        <v>3049.4896703999998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129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4680762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9">
        <v>4680762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173.57327999999998</v>
      </c>
      <c r="O20" s="119">
        <f t="shared" si="6"/>
        <v>5.6893463999999998</v>
      </c>
      <c r="P20" s="120">
        <f t="shared" si="1"/>
        <v>1143.5586263999999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232.44799999999998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232.44799999999998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101.69600000000001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3034.31808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3" t="s">
        <v>92</v>
      </c>
      <c r="O35" s="214"/>
      <c r="P35" s="160">
        <f>P33+P34</f>
        <v>3049.4896703999998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129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2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173.57327999999998</v>
      </c>
      <c r="O20" s="119">
        <f t="shared" si="6"/>
        <v>5.6893463999999998</v>
      </c>
      <c r="P20" s="120">
        <f t="shared" si="1"/>
        <v>1143.5586263999999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244.32444000000001</v>
      </c>
      <c r="O22" s="119">
        <f t="shared" si="6"/>
        <v>8.0084122000000022</v>
      </c>
      <c r="P22" s="120">
        <f t="shared" si="1"/>
        <v>1609.6908522000003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6573.2999999999993</v>
      </c>
      <c r="J25" s="138"/>
      <c r="K25" s="139">
        <f t="shared" si="9"/>
        <v>230.06550000000004</v>
      </c>
      <c r="L25" s="140">
        <f t="shared" si="9"/>
        <v>557.24800000000005</v>
      </c>
      <c r="M25" s="141">
        <f t="shared" si="9"/>
        <v>5785.9865</v>
      </c>
      <c r="N25" s="142">
        <f>SUM(N16:N24)</f>
        <v>1041.47757</v>
      </c>
      <c r="O25" s="143">
        <f>SUM(O16:O24)</f>
        <v>34.137320349999996</v>
      </c>
      <c r="P25" s="144">
        <f>SUM(P16:P24)</f>
        <v>6861.6013903499997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6573.2999999999993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557.24800000000005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230.06550000000004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5785.9865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1041.47757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6827.46407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34.137320350000003</v>
      </c>
    </row>
    <row r="35" spans="2:16" ht="15.75" customHeight="1" thickBot="1" x14ac:dyDescent="0.4">
      <c r="N35" s="213" t="s">
        <v>92</v>
      </c>
      <c r="O35" s="214"/>
      <c r="P35" s="160">
        <f>P33+P34</f>
        <v>6861.6013903499997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6542689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2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212.14511999999999</v>
      </c>
      <c r="O20" s="119">
        <f t="shared" si="6"/>
        <v>5.8822055999999998</v>
      </c>
      <c r="P20" s="120">
        <f t="shared" si="1"/>
        <v>1182.3233255999999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5004.0999999999995</v>
      </c>
      <c r="J25" s="138"/>
      <c r="K25" s="139">
        <f t="shared" si="9"/>
        <v>175.14350000000002</v>
      </c>
      <c r="L25" s="140">
        <f t="shared" si="9"/>
        <v>400.32800000000003</v>
      </c>
      <c r="M25" s="141">
        <f t="shared" si="9"/>
        <v>4428.6284999999998</v>
      </c>
      <c r="N25" s="142">
        <f>SUM(N16:N24)</f>
        <v>974.29827</v>
      </c>
      <c r="O25" s="143">
        <f>SUM(O16:O24)</f>
        <v>27.014633849999999</v>
      </c>
      <c r="P25" s="144">
        <f>SUM(P16:P24)</f>
        <v>5429.9414038499999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5004.0999999999995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400.32800000000003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175.14350000000002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4428.6284999999989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974.29827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5402.9267699999991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27.014633849999996</v>
      </c>
    </row>
    <row r="35" spans="2:16" ht="15.75" customHeight="1" thickBot="1" x14ac:dyDescent="0.4">
      <c r="N35" s="213" t="s">
        <v>92</v>
      </c>
      <c r="O35" s="214"/>
      <c r="P35" s="160">
        <f>P33+P34</f>
        <v>5429.941403849999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1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2026-07-02T10:33:47Z</dcterms:modified>
</cp:coreProperties>
</file>