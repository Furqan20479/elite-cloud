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88BC2936-5958-46D1-BDB9-5FE84CBB4244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K18" i="28" s="1"/>
  <c r="I19" i="28"/>
  <c r="K19" i="28" s="1"/>
  <c r="I20" i="28"/>
  <c r="I21" i="28"/>
  <c r="I22" i="28"/>
  <c r="K22" i="28" s="1"/>
  <c r="I23" i="28"/>
  <c r="L23" i="28" s="1"/>
  <c r="I24" i="28"/>
  <c r="I22" i="32"/>
  <c r="I18" i="33"/>
  <c r="K18" i="33" s="1"/>
  <c r="I20" i="33"/>
  <c r="K20" i="33" s="1"/>
  <c r="I16" i="30"/>
  <c r="I17" i="30"/>
  <c r="I18" i="30"/>
  <c r="K18" i="30" s="1"/>
  <c r="I19" i="30"/>
  <c r="K19" i="30" s="1"/>
  <c r="I20" i="30"/>
  <c r="I21" i="30"/>
  <c r="I22" i="30"/>
  <c r="L22" i="30" s="1"/>
  <c r="I23" i="30"/>
  <c r="K23" i="30" s="1"/>
  <c r="M23" i="30" s="1"/>
  <c r="I24" i="30"/>
  <c r="I16" i="32"/>
  <c r="I17" i="32"/>
  <c r="I18" i="32"/>
  <c r="K18" i="32" s="1"/>
  <c r="I19" i="32"/>
  <c r="I20" i="32"/>
  <c r="I21" i="32"/>
  <c r="I16" i="33"/>
  <c r="L16" i="33" s="1"/>
  <c r="I16" i="31"/>
  <c r="I17" i="31"/>
  <c r="I18" i="31"/>
  <c r="L18" i="31" s="1"/>
  <c r="I19" i="31"/>
  <c r="K19" i="31" s="1"/>
  <c r="I20" i="31"/>
  <c r="I21" i="31"/>
  <c r="I22" i="31"/>
  <c r="K22" i="31" s="1"/>
  <c r="I23" i="31"/>
  <c r="K23" i="31" s="1"/>
  <c r="I24" i="31"/>
  <c r="I23" i="32"/>
  <c r="I22" i="33"/>
  <c r="K22" i="33" s="1"/>
  <c r="M22" i="33" s="1"/>
  <c r="I16" i="34"/>
  <c r="I17" i="34"/>
  <c r="I18" i="34"/>
  <c r="I19" i="34"/>
  <c r="K19" i="34" s="1"/>
  <c r="I20" i="34"/>
  <c r="K20" i="34" s="1"/>
  <c r="I21" i="34"/>
  <c r="I22" i="34"/>
  <c r="I23" i="34"/>
  <c r="I24" i="34"/>
  <c r="L24" i="34" s="1"/>
  <c r="I16" i="29"/>
  <c r="I17" i="29"/>
  <c r="I18" i="29"/>
  <c r="K18" i="29" s="1"/>
  <c r="I19" i="29"/>
  <c r="K19" i="29" s="1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K16" i="35"/>
  <c r="L16" i="35"/>
  <c r="K17" i="35"/>
  <c r="L17" i="35"/>
  <c r="M17" i="35" s="1"/>
  <c r="K18" i="35"/>
  <c r="L18" i="35"/>
  <c r="M18" i="35" s="1"/>
  <c r="K19" i="35"/>
  <c r="L19" i="35"/>
  <c r="K20" i="35"/>
  <c r="L20" i="35"/>
  <c r="K21" i="35"/>
  <c r="L21" i="35"/>
  <c r="K22" i="35"/>
  <c r="L22" i="35"/>
  <c r="M22" i="35"/>
  <c r="K23" i="35"/>
  <c r="L23" i="35"/>
  <c r="K24" i="35"/>
  <c r="L24" i="35"/>
  <c r="L16" i="34"/>
  <c r="K17" i="34"/>
  <c r="L17" i="34"/>
  <c r="K18" i="34"/>
  <c r="L18" i="34"/>
  <c r="K21" i="34"/>
  <c r="L21" i="34"/>
  <c r="K22" i="34"/>
  <c r="L22" i="34"/>
  <c r="K23" i="34"/>
  <c r="K21" i="33"/>
  <c r="L21" i="33"/>
  <c r="L22" i="33"/>
  <c r="K19" i="33"/>
  <c r="L20" i="33"/>
  <c r="K24" i="33"/>
  <c r="L24" i="33"/>
  <c r="M17" i="33"/>
  <c r="K24" i="32"/>
  <c r="L24" i="32"/>
  <c r="I25" i="32"/>
  <c r="P28" i="32" s="1"/>
  <c r="K16" i="32"/>
  <c r="L16" i="32"/>
  <c r="K17" i="32"/>
  <c r="L17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K21" i="31"/>
  <c r="L21" i="31"/>
  <c r="L22" i="31"/>
  <c r="K24" i="31"/>
  <c r="L24" i="31"/>
  <c r="K16" i="31"/>
  <c r="L16" i="31"/>
  <c r="K18" i="31"/>
  <c r="K20" i="31"/>
  <c r="L20" i="31"/>
  <c r="L23" i="31"/>
  <c r="K20" i="30"/>
  <c r="L20" i="30"/>
  <c r="K21" i="30"/>
  <c r="L21" i="30"/>
  <c r="M21" i="30" s="1"/>
  <c r="L23" i="30"/>
  <c r="K16" i="30"/>
  <c r="L16" i="30"/>
  <c r="K17" i="30"/>
  <c r="L17" i="30"/>
  <c r="K22" i="30"/>
  <c r="K24" i="30"/>
  <c r="L24" i="30"/>
  <c r="K16" i="29"/>
  <c r="L16" i="29"/>
  <c r="K21" i="29"/>
  <c r="L21" i="29"/>
  <c r="K24" i="29"/>
  <c r="M24" i="29" s="1"/>
  <c r="L24" i="29"/>
  <c r="K17" i="29"/>
  <c r="L17" i="29"/>
  <c r="K20" i="29"/>
  <c r="L20" i="29"/>
  <c r="K22" i="29"/>
  <c r="L22" i="29"/>
  <c r="I25" i="28"/>
  <c r="P28" i="28" s="1"/>
  <c r="K16" i="28"/>
  <c r="L16" i="28"/>
  <c r="K17" i="28"/>
  <c r="L17" i="28"/>
  <c r="M17" i="28" s="1"/>
  <c r="L19" i="28"/>
  <c r="K20" i="28"/>
  <c r="L20" i="28"/>
  <c r="K21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22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16" i="33"/>
  <c r="K25" i="33" s="1"/>
  <c r="P30" i="33" s="1"/>
  <c r="M24" i="33"/>
  <c r="M23" i="35"/>
  <c r="M23" i="33"/>
  <c r="I16" i="26"/>
  <c r="K16" i="26" s="1"/>
  <c r="I17" i="26"/>
  <c r="I18" i="26"/>
  <c r="K18" i="26" s="1"/>
  <c r="I19" i="26"/>
  <c r="I20" i="26"/>
  <c r="L20" i="26" s="1"/>
  <c r="I21" i="26"/>
  <c r="I22" i="26"/>
  <c r="K22" i="26" s="1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K21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34" l="1"/>
  <c r="P32" i="34" s="1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L21" i="19" s="1"/>
  <c r="I22" i="19"/>
  <c r="I23" i="19"/>
  <c r="L23" i="19" s="1"/>
  <c r="I24" i="19"/>
  <c r="P33" i="34"/>
  <c r="P34" i="34" s="1"/>
  <c r="P35" i="34" s="1"/>
  <c r="U32" i="15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17" i="25"/>
  <c r="K17" i="25"/>
  <c r="L23" i="25"/>
  <c r="K23" i="25"/>
  <c r="K21" i="24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8"/>
  <c r="K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4" i="17" l="1"/>
  <c r="K17" i="23"/>
  <c r="K17" i="24"/>
  <c r="K21" i="19"/>
  <c r="M21" i="19" s="1"/>
  <c r="K23" i="24"/>
  <c r="L22" i="25"/>
  <c r="I25" i="25"/>
  <c r="P28" i="25" s="1"/>
  <c r="K22" i="18"/>
  <c r="M22" i="18" s="1"/>
  <c r="N22" i="18" s="1"/>
  <c r="O22" i="18" s="1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M16" i="24" s="1"/>
  <c r="N16" i="24" s="1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K18" i="16" s="1"/>
  <c r="I19" i="16"/>
  <c r="I20" i="16"/>
  <c r="K20" i="16" s="1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N24" i="19"/>
  <c r="O24" i="19" s="1"/>
  <c r="L25" i="19"/>
  <c r="P29" i="19" s="1"/>
  <c r="N24" i="18"/>
  <c r="O24" i="18" s="1"/>
  <c r="N18" i="18"/>
  <c r="O18" i="18" s="1"/>
  <c r="I23" i="15"/>
  <c r="L17" i="16" l="1"/>
  <c r="K17" i="16"/>
  <c r="M23" i="22"/>
  <c r="N23" i="22" s="1"/>
  <c r="O23" i="22" s="1"/>
  <c r="L21" i="16"/>
  <c r="L21" i="15" s="1"/>
  <c r="K21" i="16"/>
  <c r="K25" i="19"/>
  <c r="P30" i="19" s="1"/>
  <c r="K22" i="16"/>
  <c r="L22" i="16"/>
  <c r="L22" i="15" s="1"/>
  <c r="L19" i="16"/>
  <c r="K19" i="16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M25" i="18"/>
  <c r="M16" i="15"/>
  <c r="M22" i="15"/>
  <c r="M18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O22" i="16" l="1"/>
  <c r="O22" i="15" s="1"/>
  <c r="N20" i="15"/>
  <c r="P20" i="15" s="1"/>
  <c r="P33" i="17"/>
  <c r="P25" i="23"/>
  <c r="P31" i="16"/>
  <c r="P24" i="16"/>
  <c r="N17" i="15"/>
  <c r="P17" i="15" s="1"/>
  <c r="N21" i="15"/>
  <c r="P21" i="15" s="1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34" i="17"/>
  <c r="P35" i="17" s="1"/>
  <c r="U15" i="15" s="1"/>
  <c r="P22" i="15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19" i="15" l="1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<sst xmlns="http://schemas.openxmlformats.org/spreadsheetml/2006/main" count="1640" uniqueCount="125">
  <si>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</si>
  <si>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</si>
  <si>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</si>
  <si>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</si>
  <si>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</si>
  <si>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</si>
  <si>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</si>
  <si>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</si>
  <si>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</si>
  <si>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</si>
  <si>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</si>
  <si>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</si>
  <si>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</si>
  <si>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</si>
  <si>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</si>
  <si>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</si>
  <si>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</si>
  <si>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</si>
  <si>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</si>
  <si>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</si>
  <si>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</si>
  <si>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</si>
  <si>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</si>
  <si>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</si>
  <si>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</si>
  <si>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</si>
  <si>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</si>
  <si>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</si>
  <si>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</si>
  <si>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</si>
  <si>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</si>
  <si>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</si>
  <si>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</si>
  <si>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</si>
  <si>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</si>
  <si>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</si>
  <si>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</si>
  <si>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</si>
  <si>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</si>
  <si>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</si>
  <si>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</si>
  <si>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</si>
  <si>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</si>
  <si>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</si>
  <si>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</si>
  <si>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</si>
  <si>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</si>
  <si>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</si>
  <si>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</si>
  <si>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</si>
  <si>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</si>
  <si>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</si>
  <si>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</si>
  <si>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</si>
  <si>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</si>
  <si>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</si>
  <si>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</si>
  <si>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</si>
  <si>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</si>
  <si>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</si>
  <si>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</si>
  <si>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</si>
  <si>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</si>
  <si>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</si>
  <si>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</si>
  <si>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</si>
  <si>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</si>
  <si>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</si>
  <si>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</si>
  <si>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</si>
  <si>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</si>
  <si>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</si>
  <si>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</si>
  <si>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</si>
  <si>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</si>
  <si>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</si>
  <si>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</si>
  <si>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</si>
  <si>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</si>
  <si>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</si>
  <si>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</si>
  <si>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</si>
  <si>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</si>
  <si>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</si>
  <si>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</si>
  <si>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</si>
  <si>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</si>
  <si>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</si>
  <si>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</si>
  <si>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</si>
  <si>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</si>
  <si>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</si>
  <si>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</si>
  <si>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</si>
  <si>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</si>
  <si>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</si>
  <si>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</si>
  <si>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</si>
  <si>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</si>
  <si>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</si>
  <si>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</si>
  <si>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</si>
  <si>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</si>
  <si>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</si>
  <si>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Shop Bill Summary (Vacant_01)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</si>
  <si>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</si>
  <si>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</si>
  <si>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</si>
  <si>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</si>
  <si>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</si>
  <si>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</si>
  <si>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</si>
  <si>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</si>
  <si>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</si>
  <si>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</si>
  <si>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</si>
  <si>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</si>
  <si>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</si>
  <si>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</si>
  <si>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</si>
  <si>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</si>
  <si>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Asif</t>
  </si>
  <si>
    <t>Customer Name : Asif SB (Free Invoice)</t>
  </si>
  <si>
    <t>Address: Native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</si>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</sst>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105</v>
      </c>
    </row>
    <row r="15" spans="1:2" x14ac:dyDescent="0.35">
      <c r="A15">
        <v>10</v>
      </c>
      <c r="B15" t="s">
        <v>106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zoomScale="70" zoomScaleNormal="70" workbookViewId="0">
      <selection activeCell="A10" sqref="A10:A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5" t="s">
        <v>45</v>
      </c>
      <c r="B2" s="255"/>
      <c r="C2" s="255"/>
    </row>
    <row r="3" spans="1:21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4" t="s">
        <v>121</v>
      </c>
      <c r="B5" s="254"/>
      <c r="C5" s="254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21 16383:16384" ht="15" customHeight="1" x14ac:dyDescent="0.35">
      <c r="A6" s="254"/>
      <c r="B6" s="254"/>
      <c r="C6" s="254"/>
      <c r="F6" s="70"/>
      <c r="G6" s="74"/>
      <c r="K6" s="239" t="s">
        <v>52</v>
      </c>
      <c r="L6" s="239"/>
      <c r="M6" s="239"/>
      <c r="N6" s="252" t="s">
        <v>42</v>
      </c>
      <c r="O6" s="252"/>
      <c r="P6" s="25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1 16383:16384" hidden="1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1 16383:16384" x14ac:dyDescent="0.35">
      <c r="A10" s="237"/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1 16383:16384" ht="15" thickBot="1" x14ac:dyDescent="0.4">
      <c r="A11" s="237"/>
      <c r="B11" s="76"/>
      <c r="C11" s="77"/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1 16383:16384" ht="14.65" customHeight="1" x14ac:dyDescent="0.35">
      <c r="A12" s="237"/>
      <c r="B12" s="76"/>
      <c r="C12" s="77"/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T12" s="209" t="s">
        <v>104</v>
      </c>
      <c r="U12" s="210"/>
      <c r="XFD12" t="s">
        <v>62</v>
      </c>
    </row>
    <row r="13" spans="1:21 16383:16384" ht="15" thickBot="1" x14ac:dyDescent="0.4">
      <c r="A13" s="238"/>
      <c r="J13" s="78"/>
      <c r="K13" s="78"/>
      <c r="L13" s="79">
        <v>0.05</v>
      </c>
      <c r="T13" s="211"/>
      <c r="U13" s="212"/>
      <c r="XFD13" t="s">
        <v>63</v>
      </c>
    </row>
    <row r="14" spans="1:21 16383:16384" ht="29.25" customHeight="1" x14ac:dyDescent="0.6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8" t="s">
        <v>69</v>
      </c>
      <c r="J14" s="248" t="s">
        <v>70</v>
      </c>
      <c r="K14" s="248"/>
      <c r="L14" s="250"/>
      <c r="M14" s="24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Asif SB (Free Invoice)</v>
      </c>
      <c r="U14" s="164">
        <f>+'1'!P35</f>
        <v>6998.1506717500015</v>
      </c>
      <c r="XFD14" t="s">
        <v>75</v>
      </c>
    </row>
    <row r="15" spans="1:21 16383:16384" ht="29.25" customHeight="1" thickBot="1" x14ac:dyDescent="0.65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9"/>
      <c r="J15" s="171" t="s">
        <v>78</v>
      </c>
      <c r="K15" s="171" t="s">
        <v>79</v>
      </c>
      <c r="L15" s="174" t="s">
        <v>80</v>
      </c>
      <c r="M15" s="24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20</v>
      </c>
      <c r="I16" s="1">
        <f>(G16*D16)*F16+H16*F16</f>
        <v>1049.25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36.723750000000003</v>
      </c>
      <c r="L16" s="175">
        <f>+'1'!L16+'2'!L16+'4'!L16+'3'!L16+'5'!L16+'6'!L16+'7'!L16+'8'!L16+'9'!L16+'10'!L16</f>
        <v>83.94</v>
      </c>
      <c r="M16" s="106">
        <f>I16-K16-L16</f>
        <v>928.58625000000006</v>
      </c>
      <c r="N16" s="101">
        <f>+'1'!N16+'2'!N16+'4'!N16+'3'!N16+'5'!N16+'6'!N16+'7'!N16+'8'!N16+'9'!N16+'10'!N16</f>
        <v>167.14552499999999</v>
      </c>
      <c r="O16" s="101">
        <f>+'1'!O16+'2'!O16+'4'!O16+'3'!O16+'5'!O16+'6'!O16+'7'!O16+'8'!O16+'9'!O16+'10'!O16</f>
        <v>27.393294375</v>
      </c>
      <c r="P16" s="105">
        <f t="shared" ref="P16:P24" si="0">M16+N16+O16</f>
        <v>1123.1250693750001</v>
      </c>
      <c r="Q16" s="108"/>
      <c r="T16" s="163" t="str">
        <f>+'3'!A5</f>
        <v xml:space="preserve">Customer Name : 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20</v>
      </c>
      <c r="I17" s="1">
        <f t="shared" ref="I17:I23" si="1">(G17*D17)*F17+H17*F17</f>
        <v>1049.25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36.723750000000003</v>
      </c>
      <c r="L17" s="175">
        <f>+'1'!L17+'2'!L17+'4'!L17+'3'!L17+'5'!L17+'6'!L17+'7'!L17+'8'!L17+'9'!L17+'10'!L17</f>
        <v>83.94</v>
      </c>
      <c r="M17" s="118">
        <f t="shared" ref="M17:M23" si="2">I17-K17-L17</f>
        <v>928.58625000000006</v>
      </c>
      <c r="N17" s="101">
        <f>+'1'!N17+'2'!N17+'4'!N17+'3'!N17+'5'!N17+'6'!N17+'7'!N17+'8'!N17+'9'!N17+'10'!N17</f>
        <v>167.14552499999999</v>
      </c>
      <c r="O17" s="101">
        <f>+'1'!O17+'2'!O17+'4'!O17+'3'!O17+'5'!O17+'6'!O17+'7'!O17+'8'!O17+'9'!O17+'10'!O17</f>
        <v>27.393294375</v>
      </c>
      <c r="P17" s="120">
        <f t="shared" si="0"/>
        <v>1123.1250693750001</v>
      </c>
      <c r="S17" s="64"/>
      <c r="T17" s="163" t="str">
        <f>+'4'!A5</f>
        <v xml:space="preserve">Customer Name : 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13</v>
      </c>
      <c r="I19" s="1">
        <f t="shared" si="1"/>
        <v>944.32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33.051200000000001</v>
      </c>
      <c r="L19" s="175">
        <f>+'1'!L19+'2'!L19+'4'!L19+'3'!L19+'5'!L19+'6'!L19+'7'!L19+'8'!L19+'9'!L19+'10'!L19</f>
        <v>75.545600000000007</v>
      </c>
      <c r="M19" s="118">
        <f t="shared" si="2"/>
        <v>835.72320000000002</v>
      </c>
      <c r="N19" s="101">
        <f>+'1'!N19+'2'!N19+'4'!N19+'3'!N19+'5'!N19+'6'!N19+'7'!N19+'8'!N19+'9'!N19+'10'!N19</f>
        <v>150.43017599999999</v>
      </c>
      <c r="O19" s="101">
        <f>+'1'!O19+'2'!O19+'4'!O19+'3'!O19+'5'!O19+'6'!O19+'7'!O19+'8'!O19+'9'!O19+'10'!O19</f>
        <v>24.653834400000001</v>
      </c>
      <c r="P19" s="120">
        <f t="shared" si="0"/>
        <v>1010.8072104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13</v>
      </c>
      <c r="I20" s="1">
        <f t="shared" si="1"/>
        <v>944.32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33.051200000000001</v>
      </c>
      <c r="L20" s="175">
        <f>+'1'!L20+'2'!L20+'4'!L20+'3'!L20+'5'!L20+'6'!L20+'7'!L20+'8'!L20+'9'!L20+'10'!L20</f>
        <v>75.545600000000007</v>
      </c>
      <c r="M20" s="118">
        <f t="shared" si="2"/>
        <v>835.72320000000002</v>
      </c>
      <c r="N20" s="101">
        <f>+'1'!N20+'2'!N20+'4'!N20+'3'!N20+'5'!N20+'6'!N20+'7'!N20+'8'!N20+'9'!N20+'10'!N20</f>
        <v>150.43017599999999</v>
      </c>
      <c r="O20" s="101">
        <f>+'1'!O20+'2'!O20+'4'!O20+'3'!O20+'5'!O20+'6'!O20+'7'!O20+'8'!O20+'9'!O20+'10'!O20</f>
        <v>24.653834400000001</v>
      </c>
      <c r="P20" s="120">
        <f t="shared" si="0"/>
        <v>1010.8072104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14</v>
      </c>
      <c r="I21" s="1">
        <f t="shared" si="1"/>
        <v>1016.96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35.593600000000002</v>
      </c>
      <c r="L21" s="175">
        <f>+'1'!L21+'2'!L21+'4'!L21+'3'!L21+'5'!L21+'6'!L21+'7'!L21+'8'!L21+'9'!L21+'10'!L21</f>
        <v>81.356800000000007</v>
      </c>
      <c r="M21" s="118">
        <f t="shared" si="2"/>
        <v>900.00959999999998</v>
      </c>
      <c r="N21" s="101">
        <f>+'1'!N21+'2'!N21+'4'!N21+'3'!N21+'5'!N21+'6'!N21+'7'!N21+'8'!N21+'9'!N21+'10'!N21</f>
        <v>162.00172799999999</v>
      </c>
      <c r="O21" s="101">
        <f>+'1'!O21+'2'!O21+'4'!O21+'3'!O21+'5'!O21+'6'!O21+'7'!O21+'8'!O21+'9'!O21+'10'!O21</f>
        <v>26.550283200000003</v>
      </c>
      <c r="P21" s="120">
        <f t="shared" si="0"/>
        <v>1088.5616112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40</v>
      </c>
      <c r="I22" s="1">
        <f t="shared" si="1"/>
        <v>1569.2000000000003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54.922000000000011</v>
      </c>
      <c r="L22" s="175">
        <f>+'1'!L22+'2'!L22+'4'!L22+'3'!L22+'5'!L22+'6'!L22+'7'!L22+'8'!L22+'9'!L22+'10'!L22</f>
        <v>156.92000000000004</v>
      </c>
      <c r="M22" s="118">
        <f t="shared" si="2"/>
        <v>1357.3580000000002</v>
      </c>
      <c r="N22" s="101">
        <f>+'1'!N22+'2'!N22+'4'!N22+'3'!N22+'5'!N22+'6'!N22+'7'!N22+'8'!N22+'9'!N22+'10'!N22</f>
        <v>244.32444000000001</v>
      </c>
      <c r="O22" s="101">
        <f>+'1'!O22+'2'!O22+'4'!O22+'3'!O22+'5'!O22+'6'!O22+'7'!O22+'8'!O22+'9'!O22+'10'!O22</f>
        <v>40.042061000000011</v>
      </c>
      <c r="P22" s="120">
        <f t="shared" si="0"/>
        <v>1641.7245010000004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9" t="s">
        <v>84</v>
      </c>
      <c r="B25" s="220"/>
      <c r="C25" s="221">
        <f>H25/40</f>
        <v>3</v>
      </c>
      <c r="D25" s="215"/>
      <c r="E25" s="215"/>
      <c r="F25" s="215"/>
      <c r="G25" s="176">
        <f t="shared" ref="G25:M25" si="3">SUM(G16:G24)</f>
        <v>0</v>
      </c>
      <c r="H25" s="177">
        <f t="shared" si="3"/>
        <v>120</v>
      </c>
      <c r="I25" s="178">
        <f t="shared" si="3"/>
        <v>6573.3000000000011</v>
      </c>
      <c r="J25" s="177">
        <f t="shared" si="3"/>
        <v>0</v>
      </c>
      <c r="K25" s="178">
        <f t="shared" si="3"/>
        <v>230.06550000000004</v>
      </c>
      <c r="L25" s="179">
        <f t="shared" si="3"/>
        <v>557.24800000000005</v>
      </c>
      <c r="M25" s="141">
        <f t="shared" si="3"/>
        <v>5785.9865</v>
      </c>
      <c r="N25" s="142">
        <f>SUM(N16:N24)</f>
        <v>1041.47757</v>
      </c>
      <c r="O25" s="143">
        <f>SUM(O16:O24)</f>
        <v>170.68660175000002</v>
      </c>
      <c r="P25" s="144">
        <f>SUM(P16:P24)</f>
        <v>6998.1506717500006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6998.1506717500015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2" t="s">
        <v>85</v>
      </c>
      <c r="C36" s="223"/>
      <c r="D36" s="223"/>
      <c r="E36" s="223"/>
      <c r="F36" s="223"/>
      <c r="G36" s="223"/>
      <c r="H36" s="223"/>
      <c r="I36" s="223"/>
      <c r="J36" s="223"/>
      <c r="K36" s="223"/>
      <c r="L36" s="224"/>
      <c r="N36" s="231" t="s">
        <v>86</v>
      </c>
      <c r="O36" s="232"/>
      <c r="P36" s="152">
        <f>I25</f>
        <v>6573.3000000000011</v>
      </c>
    </row>
    <row r="37" spans="1:21" ht="15" customHeight="1" x14ac:dyDescent="0.35">
      <c r="B37" s="225"/>
      <c r="C37" s="226"/>
      <c r="D37" s="226"/>
      <c r="E37" s="226"/>
      <c r="F37" s="226"/>
      <c r="G37" s="226"/>
      <c r="H37" s="226"/>
      <c r="I37" s="226"/>
      <c r="J37" s="226"/>
      <c r="K37" s="226"/>
      <c r="L37" s="227"/>
      <c r="N37" s="233" t="s">
        <v>87</v>
      </c>
      <c r="O37" s="234"/>
      <c r="P37" s="153">
        <f>L25</f>
        <v>557.24800000000005</v>
      </c>
    </row>
    <row r="38" spans="1:21" ht="15" customHeight="1" x14ac:dyDescent="0.35">
      <c r="B38" s="225"/>
      <c r="C38" s="226"/>
      <c r="D38" s="226"/>
      <c r="E38" s="226"/>
      <c r="F38" s="226"/>
      <c r="G38" s="226"/>
      <c r="H38" s="226"/>
      <c r="I38" s="226"/>
      <c r="J38" s="226"/>
      <c r="K38" s="226"/>
      <c r="L38" s="227"/>
      <c r="N38" s="233" t="s">
        <v>4</v>
      </c>
      <c r="O38" s="234"/>
      <c r="P38" s="154">
        <f>K25</f>
        <v>230.06550000000004</v>
      </c>
    </row>
    <row r="39" spans="1:21" ht="15" customHeight="1" x14ac:dyDescent="0.35">
      <c r="B39" s="225"/>
      <c r="C39" s="226"/>
      <c r="D39" s="226"/>
      <c r="E39" s="226"/>
      <c r="F39" s="226"/>
      <c r="G39" s="226"/>
      <c r="H39" s="226"/>
      <c r="I39" s="226"/>
      <c r="J39" s="226"/>
      <c r="K39" s="226"/>
      <c r="L39" s="227"/>
      <c r="M39" s="2"/>
      <c r="N39" s="233" t="s">
        <v>88</v>
      </c>
      <c r="O39" s="234"/>
      <c r="P39" s="153">
        <f>P36-P37-P38</f>
        <v>5785.9865000000018</v>
      </c>
    </row>
    <row r="40" spans="1:21" ht="15" customHeight="1" x14ac:dyDescent="0.35">
      <c r="B40" s="225"/>
      <c r="C40" s="226"/>
      <c r="D40" s="226"/>
      <c r="E40" s="226"/>
      <c r="F40" s="226"/>
      <c r="G40" s="226"/>
      <c r="H40" s="226"/>
      <c r="I40" s="226"/>
      <c r="J40" s="226"/>
      <c r="K40" s="226"/>
      <c r="L40" s="227"/>
      <c r="M40" s="2"/>
      <c r="N40" s="155" t="s">
        <v>89</v>
      </c>
      <c r="O40" s="156">
        <f>IF(B12="Registered",18%,22%)</f>
        <v>0.22</v>
      </c>
      <c r="P40" s="153">
        <f>N25</f>
        <v>1041.47757</v>
      </c>
    </row>
    <row r="41" spans="1:21" ht="15" customHeight="1" x14ac:dyDescent="0.35">
      <c r="B41" s="225"/>
      <c r="C41" s="226"/>
      <c r="D41" s="226"/>
      <c r="E41" s="226"/>
      <c r="F41" s="226"/>
      <c r="G41" s="226"/>
      <c r="H41" s="226"/>
      <c r="I41" s="226"/>
      <c r="J41" s="226"/>
      <c r="K41" s="226"/>
      <c r="L41" s="227"/>
      <c r="M41" s="2"/>
      <c r="N41" s="235" t="s">
        <v>90</v>
      </c>
      <c r="O41" s="236"/>
      <c r="P41" s="153">
        <f>P39+P40</f>
        <v>6827.4640700000018</v>
      </c>
    </row>
    <row r="42" spans="1:21" ht="15" customHeight="1" thickBot="1" x14ac:dyDescent="0.4">
      <c r="B42" s="228"/>
      <c r="C42" s="229"/>
      <c r="D42" s="229"/>
      <c r="E42" s="229"/>
      <c r="F42" s="229"/>
      <c r="G42" s="229"/>
      <c r="H42" s="229"/>
      <c r="I42" s="229"/>
      <c r="J42" s="229"/>
      <c r="K42" s="229"/>
      <c r="L42" s="230"/>
      <c r="M42" s="157"/>
      <c r="N42" s="158" t="s">
        <v>91</v>
      </c>
      <c r="O42" s="159">
        <f>IF(B11="Filer",0.5%,2.5%)</f>
        <v>2.5000000000000001E-2</v>
      </c>
      <c r="P42" s="153">
        <f>O42*P41</f>
        <v>170.68660175000005</v>
      </c>
    </row>
    <row r="43" spans="1:21" ht="15.75" customHeight="1" thickBot="1" x14ac:dyDescent="0.4">
      <c r="N43" s="213" t="s">
        <v>92</v>
      </c>
      <c r="O43" s="214"/>
      <c r="P43" s="160">
        <f>P41+P42</f>
        <v>6998.1506717500015</v>
      </c>
    </row>
    <row r="44" spans="1:21" ht="15" thickBot="1" x14ac:dyDescent="0.4">
      <c r="B44" s="161" t="s">
        <v>93</v>
      </c>
      <c r="C44" s="215"/>
      <c r="D44" s="215"/>
      <c r="E44" s="215"/>
      <c r="F44" s="215"/>
      <c r="G44" s="215"/>
      <c r="H44" s="215"/>
      <c r="I44" s="216"/>
      <c r="J44" s="217"/>
      <c r="K44" s="21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I3" sqref="I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5" t="s">
        <v>45</v>
      </c>
      <c r="B2" s="255"/>
      <c r="C2" s="255"/>
    </row>
    <row r="3" spans="1:26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6" t="s">
        <v>122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26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101</v>
      </c>
      <c r="O6" s="252"/>
      <c r="P6" s="25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6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6 16383:16384" x14ac:dyDescent="0.35">
      <c r="A10" s="237" t="s">
        <v>95</v>
      </c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6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6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26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S14" s="256" t="s">
        <v>118</v>
      </c>
      <c r="T14" s="256"/>
      <c r="U14" s="256"/>
      <c r="V14" s="256"/>
      <c r="W14" s="257" t="s">
        <v>120</v>
      </c>
      <c r="X14" s="257"/>
      <c r="Y14" s="257"/>
      <c r="Z14" s="257"/>
      <c r="XFD14" t="s">
        <v>75</v>
      </c>
    </row>
    <row r="15" spans="1:26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S15" s="185" t="s">
        <v>110</v>
      </c>
      <c r="T15" s="185" t="s">
        <v>111</v>
      </c>
      <c r="U15" s="185" t="s">
        <v>115</v>
      </c>
      <c r="V15" s="185" t="s">
        <v>116</v>
      </c>
      <c r="W15" s="186" t="s">
        <v>110</v>
      </c>
      <c r="X15" s="186" t="s">
        <v>111</v>
      </c>
      <c r="Y15" s="186" t="s">
        <v>115</v>
      </c>
      <c r="Z15" s="186" t="s">
        <v>116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167.14552499999999</v>
      </c>
      <c r="O16" s="107">
        <f t="shared" ref="O16:O24" si="1">(N16+M16)*$O$15</f>
        <v>27.393294375</v>
      </c>
      <c r="P16" s="105" t="s">
        <v>124</v>
      </c>
      <c r="Q16" s="108"/>
      <c r="S16" s="183" t="s">
        <v>107</v>
      </c>
      <c r="T16" s="183">
        <v>1697</v>
      </c>
      <c r="U16" s="183" t="s">
        <v>112</v>
      </c>
      <c r="V16" s="183">
        <f>T16/40</f>
        <v>42.424999999999997</v>
      </c>
      <c r="W16" s="187" t="s">
        <v>107</v>
      </c>
      <c r="X16" s="187">
        <v>1664</v>
      </c>
      <c r="Y16" s="187" t="s">
        <v>112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167.14552499999999</v>
      </c>
      <c r="O17" s="119">
        <f t="shared" si="1"/>
        <v>27.393294375</v>
      </c>
      <c r="P17" s="105" t="s">
        <v>124</v>
      </c>
      <c r="S17" s="184" t="s">
        <v>109</v>
      </c>
      <c r="T17" s="183">
        <v>2322</v>
      </c>
      <c r="U17" s="183" t="s">
        <v>113</v>
      </c>
      <c r="V17" s="183">
        <f t="shared" ref="V17:V18" si="6">T17/40</f>
        <v>58.05</v>
      </c>
      <c r="W17" s="188" t="s">
        <v>109</v>
      </c>
      <c r="X17" s="187">
        <v>2277</v>
      </c>
      <c r="Y17" s="187" t="s">
        <v>113</v>
      </c>
      <c r="Z17" s="187">
        <f t="shared" ref="Z17:Z18" si="7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1"/>
        <v>0</v>
      </c>
      <c r="P18" s="105" t="s">
        <v>124</v>
      </c>
      <c r="S18" s="183" t="s">
        <v>108</v>
      </c>
      <c r="T18" s="183">
        <v>3216</v>
      </c>
      <c r="U18" s="183" t="s">
        <v>114</v>
      </c>
      <c r="V18" s="183">
        <f t="shared" si="6"/>
        <v>80.400000000000006</v>
      </c>
      <c r="W18" s="187" t="s">
        <v>108</v>
      </c>
      <c r="X18" s="187">
        <v>3153</v>
      </c>
      <c r="Y18" s="187" t="s">
        <v>114</v>
      </c>
      <c r="Z18" s="187">
        <f t="shared" si="7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13</v>
      </c>
      <c r="I19" s="116">
        <f t="shared" si="2"/>
        <v>944.32</v>
      </c>
      <c r="J19" s="117"/>
      <c r="K19" s="104">
        <f t="shared" si="3"/>
        <v>33.051200000000001</v>
      </c>
      <c r="L19" s="105">
        <f t="shared" si="4"/>
        <v>75.545600000000007</v>
      </c>
      <c r="M19" s="118">
        <f t="shared" si="5"/>
        <v>835.72320000000002</v>
      </c>
      <c r="N19" s="118">
        <f t="shared" si="0"/>
        <v>150.43017599999999</v>
      </c>
      <c r="O19" s="119">
        <f t="shared" si="1"/>
        <v>24.653834400000001</v>
      </c>
      <c r="P19" s="105" t="s">
        <v>124</v>
      </c>
      <c r="S19" s="258" t="s">
        <v>119</v>
      </c>
      <c r="T19" s="258"/>
      <c r="U19" s="258"/>
      <c r="V19" s="258"/>
      <c r="W19" s="259" t="s">
        <v>117</v>
      </c>
      <c r="X19" s="259"/>
      <c r="Y19" s="259"/>
      <c r="Z19" s="259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13</v>
      </c>
      <c r="I20" s="116">
        <f t="shared" si="2"/>
        <v>944.32</v>
      </c>
      <c r="J20" s="117"/>
      <c r="K20" s="104">
        <f t="shared" si="3"/>
        <v>33.051200000000001</v>
      </c>
      <c r="L20" s="105">
        <f t="shared" si="4"/>
        <v>75.545600000000007</v>
      </c>
      <c r="M20" s="118">
        <f t="shared" si="5"/>
        <v>835.72320000000002</v>
      </c>
      <c r="N20" s="118">
        <f t="shared" si="0"/>
        <v>150.43017599999999</v>
      </c>
      <c r="O20" s="119">
        <f t="shared" si="1"/>
        <v>24.653834400000001</v>
      </c>
      <c r="P20" s="105" t="s">
        <v>124</v>
      </c>
      <c r="S20" s="185" t="s">
        <v>110</v>
      </c>
      <c r="T20" s="185" t="s">
        <v>111</v>
      </c>
      <c r="U20" s="185" t="s">
        <v>115</v>
      </c>
      <c r="V20" s="185" t="s">
        <v>116</v>
      </c>
      <c r="W20" s="185" t="s">
        <v>110</v>
      </c>
      <c r="X20" s="185" t="s">
        <v>111</v>
      </c>
      <c r="Y20" s="185" t="s">
        <v>115</v>
      </c>
      <c r="Z20" s="185" t="s">
        <v>116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14</v>
      </c>
      <c r="I21" s="116">
        <f t="shared" si="2"/>
        <v>1016.96</v>
      </c>
      <c r="J21" s="117"/>
      <c r="K21" s="104">
        <f t="shared" si="3"/>
        <v>35.593600000000002</v>
      </c>
      <c r="L21" s="105">
        <f t="shared" si="4"/>
        <v>81.356800000000007</v>
      </c>
      <c r="M21" s="118">
        <f t="shared" si="5"/>
        <v>900.00959999999998</v>
      </c>
      <c r="N21" s="118">
        <f t="shared" si="0"/>
        <v>162.00172799999999</v>
      </c>
      <c r="O21" s="119">
        <f t="shared" si="1"/>
        <v>26.550283200000003</v>
      </c>
      <c r="P21" s="105" t="s">
        <v>124</v>
      </c>
      <c r="S21" s="189" t="s">
        <v>107</v>
      </c>
      <c r="T21" s="189">
        <v>1610</v>
      </c>
      <c r="U21" s="189" t="s">
        <v>112</v>
      </c>
      <c r="V21" s="189">
        <f>T21/40</f>
        <v>40.25</v>
      </c>
      <c r="W21" s="191" t="s">
        <v>107</v>
      </c>
      <c r="X21" s="191">
        <v>1642</v>
      </c>
      <c r="Y21" s="191" t="s">
        <v>112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I22*10%</f>
        <v>156.92000000000004</v>
      </c>
      <c r="M22" s="118">
        <f t="shared" si="5"/>
        <v>1357.3580000000002</v>
      </c>
      <c r="N22" s="118">
        <f t="shared" si="0"/>
        <v>244.32444000000001</v>
      </c>
      <c r="O22" s="119">
        <f t="shared" si="1"/>
        <v>40.042061000000011</v>
      </c>
      <c r="P22" s="105" t="s">
        <v>124</v>
      </c>
      <c r="S22" s="190" t="s">
        <v>109</v>
      </c>
      <c r="T22" s="189">
        <v>2202</v>
      </c>
      <c r="U22" s="189" t="s">
        <v>113</v>
      </c>
      <c r="V22" s="189">
        <f t="shared" ref="V22:V25" si="8">T22/40</f>
        <v>55.05</v>
      </c>
      <c r="W22" s="192" t="s">
        <v>109</v>
      </c>
      <c r="X22" s="191">
        <v>2246</v>
      </c>
      <c r="Y22" s="191" t="s">
        <v>113</v>
      </c>
      <c r="Z22" s="191">
        <f t="shared" ref="Z22:Z25" si="9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10">I23*3.5%</f>
        <v>0</v>
      </c>
      <c r="L23" s="120">
        <f t="shared" ref="L23:L24" si="11">I23*$L$13</f>
        <v>0</v>
      </c>
      <c r="M23" s="118">
        <f t="shared" si="5"/>
        <v>0</v>
      </c>
      <c r="N23" s="118">
        <f t="shared" si="0"/>
        <v>0</v>
      </c>
      <c r="O23" s="119">
        <f t="shared" si="1"/>
        <v>0</v>
      </c>
      <c r="P23" s="120">
        <f t="shared" ref="P16:P24" si="12">M23+N23+O23</f>
        <v>0</v>
      </c>
      <c r="S23" s="189" t="s">
        <v>108</v>
      </c>
      <c r="T23" s="189">
        <v>3216</v>
      </c>
      <c r="U23" s="189" t="s">
        <v>114</v>
      </c>
      <c r="V23" s="189">
        <f t="shared" si="8"/>
        <v>80.400000000000006</v>
      </c>
      <c r="W23" s="191" t="s">
        <v>108</v>
      </c>
      <c r="X23" s="191">
        <v>3216</v>
      </c>
      <c r="Y23" s="191" t="s">
        <v>113</v>
      </c>
      <c r="Z23" s="191">
        <f t="shared" si="9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0"/>
        <v>0</v>
      </c>
      <c r="L24" s="132">
        <f t="shared" si="11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12"/>
        <v>0</v>
      </c>
      <c r="S24" s="189" t="s">
        <v>108</v>
      </c>
      <c r="T24" s="189">
        <v>3216</v>
      </c>
      <c r="U24" s="189" t="s">
        <v>114</v>
      </c>
      <c r="V24" s="189">
        <f t="shared" si="8"/>
        <v>80.400000000000006</v>
      </c>
      <c r="W24" s="191"/>
      <c r="X24" s="191"/>
      <c r="Y24" s="191" t="s">
        <v>113</v>
      </c>
      <c r="Z24" s="191">
        <f t="shared" si="9"/>
        <v>0</v>
      </c>
    </row>
    <row r="25" spans="1:26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13">SUM(G16:G24)</f>
        <v>0</v>
      </c>
      <c r="H25" s="136">
        <f t="shared" si="13"/>
        <v>120</v>
      </c>
      <c r="I25" s="137">
        <f t="shared" si="13"/>
        <v>6573.3000000000011</v>
      </c>
      <c r="J25" s="138"/>
      <c r="K25" s="139">
        <f t="shared" si="13"/>
        <v>230.06550000000004</v>
      </c>
      <c r="L25" s="140">
        <f t="shared" si="13"/>
        <v>557.24800000000005</v>
      </c>
      <c r="M25" s="141">
        <f t="shared" si="13"/>
        <v>5785.9865</v>
      </c>
      <c r="N25" s="142">
        <f>SUM(N16:N24)</f>
        <v>1041.47757</v>
      </c>
      <c r="O25" s="143">
        <f>SUM(O16:O24)</f>
        <v>170.68660175000002</v>
      </c>
      <c r="P25" s="144" t="s">
        <v>124</v>
      </c>
      <c r="S25" s="189" t="s">
        <v>108</v>
      </c>
      <c r="T25" s="189">
        <v>3216</v>
      </c>
      <c r="U25" s="189" t="s">
        <v>114</v>
      </c>
      <c r="V25" s="189">
        <f t="shared" si="8"/>
        <v>80.400000000000006</v>
      </c>
      <c r="W25" s="191" t="s">
        <v>108</v>
      </c>
      <c r="X25" s="191">
        <v>3110</v>
      </c>
      <c r="Y25" s="191" t="s">
        <v>114</v>
      </c>
      <c r="Z25" s="191">
        <f t="shared" si="9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6573.3000000000011</v>
      </c>
    </row>
    <row r="29" spans="1:26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557.24800000000005</v>
      </c>
    </row>
    <row r="30" spans="1:26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230.06550000000004</v>
      </c>
    </row>
    <row r="31" spans="1:26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5785.9865000000018</v>
      </c>
    </row>
    <row r="32" spans="1:26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1041.47757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6827.4640700000018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170.68660175000005</v>
      </c>
    </row>
    <row r="35" spans="2:16" ht="15.75" customHeight="1" thickBot="1" x14ac:dyDescent="0.4">
      <c r="N35" s="213" t="s">
        <v>92</v>
      </c>
      <c r="O35" s="214"/>
      <c r="P35" s="160">
        <f>P33+P34</f>
        <v>6998.1506717500015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2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4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K8" sqref="K8:M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3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5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6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7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8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9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7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80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2026-07-02T08:12:43Z</dcterms:modified>
</cp:coreProperties>
</file>