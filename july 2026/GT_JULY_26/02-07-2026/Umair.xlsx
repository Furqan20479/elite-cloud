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EA91D3AD-A5CF-4A1D-A9E7-643B86B77073}" xr6:coauthVersionLast="47" xr6:coauthVersionMax="47" xr10:uidLastSave="{00000000-0000-0000-0000-000000000000}"/>
  <bookViews>
    <workbookView xWindow="-110" yWindow="-110" windowWidth="19420" windowHeight="10420" tabRatio="949" activeTab="1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2" i="17" l="1"/>
  <c r="L22" i="19"/>
  <c r="L22" i="18"/>
  <c r="L22" i="20"/>
  <c r="L22" i="21"/>
  <c r="L22" i="22"/>
  <c r="L22" i="23"/>
  <c r="L22" i="24"/>
  <c r="L22" i="25"/>
  <c r="L22" i="26"/>
  <c r="L22" i="27"/>
  <c r="L22" i="28"/>
  <c r="L22" i="29"/>
  <c r="L22" i="30"/>
  <c r="L22" i="31"/>
  <c r="L22" i="32"/>
  <c r="L22" i="33"/>
  <c r="L22" i="34"/>
  <c r="L22" i="35"/>
  <c r="L22" i="16"/>
  <c r="K17" i="17"/>
  <c r="K18" i="17"/>
  <c r="K19" i="17"/>
  <c r="K20" i="17"/>
  <c r="K21" i="17"/>
  <c r="K22" i="17"/>
  <c r="K17" i="19"/>
  <c r="K18" i="19"/>
  <c r="K19" i="19"/>
  <c r="K20" i="19"/>
  <c r="K21" i="19"/>
  <c r="K22" i="19"/>
  <c r="K17" i="18"/>
  <c r="K18" i="18"/>
  <c r="K19" i="18"/>
  <c r="K20" i="18"/>
  <c r="K21" i="18"/>
  <c r="K22" i="18"/>
  <c r="K17" i="20"/>
  <c r="K18" i="20"/>
  <c r="K19" i="20"/>
  <c r="K20" i="20"/>
  <c r="K21" i="20"/>
  <c r="K22" i="20"/>
  <c r="K17" i="21"/>
  <c r="K18" i="21"/>
  <c r="K19" i="21"/>
  <c r="K20" i="21"/>
  <c r="K21" i="21"/>
  <c r="K22" i="21"/>
  <c r="K17" i="22"/>
  <c r="K18" i="22"/>
  <c r="K19" i="22"/>
  <c r="K20" i="22"/>
  <c r="K21" i="22"/>
  <c r="K22" i="22"/>
  <c r="K17" i="23"/>
  <c r="K18" i="23"/>
  <c r="K19" i="23"/>
  <c r="K20" i="23"/>
  <c r="K21" i="23"/>
  <c r="K22" i="23"/>
  <c r="K17" i="24"/>
  <c r="K18" i="24"/>
  <c r="K19" i="24"/>
  <c r="K20" i="24"/>
  <c r="K21" i="24"/>
  <c r="K22" i="24"/>
  <c r="K17" i="25"/>
  <c r="K18" i="25"/>
  <c r="K19" i="25"/>
  <c r="K20" i="25"/>
  <c r="K21" i="25"/>
  <c r="K22" i="25"/>
  <c r="K17" i="26"/>
  <c r="K18" i="26"/>
  <c r="K19" i="26"/>
  <c r="K20" i="26"/>
  <c r="K21" i="26"/>
  <c r="K22" i="26"/>
  <c r="K17" i="27"/>
  <c r="K18" i="27"/>
  <c r="K19" i="27"/>
  <c r="K20" i="27"/>
  <c r="K21" i="27"/>
  <c r="K22" i="27"/>
  <c r="K17" i="28"/>
  <c r="K18" i="28"/>
  <c r="K19" i="28"/>
  <c r="K20" i="28"/>
  <c r="K21" i="28"/>
  <c r="K22" i="28"/>
  <c r="K17" i="29"/>
  <c r="K18" i="29"/>
  <c r="K19" i="29"/>
  <c r="K20" i="29"/>
  <c r="K21" i="29"/>
  <c r="K22" i="29"/>
  <c r="K17" i="30"/>
  <c r="K18" i="30"/>
  <c r="K19" i="30"/>
  <c r="K20" i="30"/>
  <c r="K21" i="30"/>
  <c r="K22" i="30"/>
  <c r="K17" i="31"/>
  <c r="K18" i="31"/>
  <c r="K19" i="31"/>
  <c r="K20" i="31"/>
  <c r="K21" i="31"/>
  <c r="K22" i="31"/>
  <c r="K17" i="32"/>
  <c r="K18" i="32"/>
  <c r="K19" i="32"/>
  <c r="K20" i="32"/>
  <c r="K21" i="32"/>
  <c r="K22" i="32"/>
  <c r="K17" i="33"/>
  <c r="K18" i="33"/>
  <c r="K19" i="33"/>
  <c r="K20" i="33"/>
  <c r="K21" i="33"/>
  <c r="K22" i="33"/>
  <c r="K17" i="34"/>
  <c r="K18" i="34"/>
  <c r="K19" i="34"/>
  <c r="K20" i="34"/>
  <c r="K21" i="34"/>
  <c r="K22" i="34"/>
  <c r="K17" i="35"/>
  <c r="K18" i="35"/>
  <c r="K19" i="35"/>
  <c r="K20" i="35"/>
  <c r="K21" i="35"/>
  <c r="K22" i="35"/>
  <c r="K17" i="16"/>
  <c r="K18" i="16"/>
  <c r="K19" i="16"/>
  <c r="K20" i="16"/>
  <c r="K21" i="16"/>
  <c r="K22" i="16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K16" i="16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M22" i="35"/>
  <c r="K23" i="35"/>
  <c r="L23" i="35"/>
  <c r="K24" i="35"/>
  <c r="L24" i="35"/>
  <c r="L16" i="34"/>
  <c r="L17" i="34"/>
  <c r="L18" i="34"/>
  <c r="L21" i="34"/>
  <c r="K23" i="34"/>
  <c r="L21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N16" i="29" s="1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4" l="1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I24" i="23"/>
  <c r="L24" i="23" s="1"/>
  <c r="I16" i="20"/>
  <c r="L16" i="20" s="1"/>
  <c r="I18" i="20"/>
  <c r="I20" i="20"/>
  <c r="L20" i="20" s="1"/>
  <c r="I22" i="20"/>
  <c r="I24" i="20"/>
  <c r="K24" i="20" s="1"/>
  <c r="I16" i="21"/>
  <c r="L16" i="21" s="1"/>
  <c r="I18" i="21"/>
  <c r="I20" i="21"/>
  <c r="I22" i="21"/>
  <c r="I24" i="21"/>
  <c r="K24" i="21" s="1"/>
  <c r="I16" i="17"/>
  <c r="I17" i="17"/>
  <c r="I18" i="17"/>
  <c r="I19" i="17"/>
  <c r="I20" i="17"/>
  <c r="I21" i="17"/>
  <c r="L21" i="17" s="1"/>
  <c r="I22" i="17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L20" i="19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4" i="17" l="1"/>
  <c r="M21" i="19"/>
  <c r="K23" i="24"/>
  <c r="I25" i="25"/>
  <c r="P28" i="25" s="1"/>
  <c r="M22" i="18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M22" i="21"/>
  <c r="N22" i="21" s="1"/>
  <c r="O22" i="21" s="1"/>
  <c r="L18" i="21"/>
  <c r="M18" i="21" s="1"/>
  <c r="N18" i="21" s="1"/>
  <c r="O18" i="21" s="1"/>
  <c r="M16" i="20"/>
  <c r="N16" i="20" s="1"/>
  <c r="M22" i="17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M22" i="24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N24" i="19"/>
  <c r="O24" i="19" s="1"/>
  <c r="L25" i="19"/>
  <c r="P29" i="19" s="1"/>
  <c r="N24" i="18"/>
  <c r="O24" i="18" s="1"/>
  <c r="I23" i="15"/>
  <c r="L17" i="16" l="1"/>
  <c r="M23" i="22"/>
  <c r="N23" i="22" s="1"/>
  <c r="O23" i="22" s="1"/>
  <c r="L21" i="16"/>
  <c r="L21" i="15" s="1"/>
  <c r="K25" i="19"/>
  <c r="P30" i="19" s="1"/>
  <c r="P31" i="19" s="1"/>
  <c r="K22" i="15"/>
  <c r="L22" i="15"/>
  <c r="L19" i="16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N21" i="19"/>
  <c r="O21" i="19" s="1"/>
  <c r="P17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5" i="19" l="1"/>
  <c r="M16" i="16"/>
  <c r="N16" i="16" s="1"/>
  <c r="M25" i="18"/>
  <c r="M16" i="15"/>
  <c r="M22" i="15"/>
  <c r="M18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18" i="15" l="1"/>
  <c r="P18" i="15" s="1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<sst xmlns="http://schemas.openxmlformats.org/spreadsheetml/2006/main" count="1633" uniqueCount="138">
  <si>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</si>
  <si>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</si>
  <si>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</si>
  <si>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</si>
  <si>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</si>
  <si>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</si>
  <si>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</si>
  <si>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</si>
  <si>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</si>
  <si>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</si>
  <si>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</si>
  <si>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</si>
  <si>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</si>
  <si>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</si>
  <si>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</si>
  <si>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</si>
  <si>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</si>
  <si>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</si>
  <si>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</si>
  <si>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</si>
  <si>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</si>
  <si>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</si>
  <si>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</si>
  <si>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</si>
  <si>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</si>
  <si>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</si>
  <si>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</si>
  <si>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</si>
  <si>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</si>
  <si>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</si>
  <si>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</si>
  <si>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</si>
  <si>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</si>
  <si>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</si>
  <si>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</si>
  <si>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</si>
  <si>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</si>
  <si>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</si>
  <si>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</si>
  <si>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</si>
  <si>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</si>
  <si>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</si>
  <si>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</si>
  <si>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</si>
  <si>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</si>
  <si>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</si>
  <si>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</si>
  <si>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</si>
  <si>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</si>
  <si>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</si>
  <si>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</si>
  <si>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</si>
  <si>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</si>
  <si>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</si>
  <si>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</si>
  <si>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</si>
  <si>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</si>
  <si>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</si>
  <si>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</si>
  <si>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</si>
  <si>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</si>
  <si>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</si>
  <si>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</si>
  <si>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</si>
  <si>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</si>
  <si>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</si>
  <si>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</si>
  <si>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</si>
  <si>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</si>
  <si>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</si>
  <si>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</si>
  <si>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</si>
  <si>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</si>
  <si>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</si>
  <si>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</si>
  <si>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</si>
  <si>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</si>
  <si>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</si>
  <si>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</si>
  <si>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</si>
  <si>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</si>
  <si>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</si>
  <si>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</si>
  <si>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</si>
  <si>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</si>
  <si>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</si>
  <si>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</si>
  <si>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</si>
  <si>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</si>
  <si>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</si>
  <si>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</si>
  <si>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</si>
  <si>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</si>
  <si>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</si>
  <si>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</si>
  <si>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</si>
  <si>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</si>
  <si>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</si>
  <si>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</si>
  <si>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</si>
  <si>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</si>
  <si>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</si>
  <si>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</si>
  <si>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</si>
  <si>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</si>
  <si>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</si>
  <si>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</si>
  <si>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</si>
  <si>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</si>
  <si>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</si>
  <si>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</si>
  <si>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</si>
  <si>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</si>
  <si>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</si>
  <si>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</si>
  <si>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</si>
  <si>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</si>
  <si>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</si>
  <si>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</si>
  <si>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</si>
  <si>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Umair</t>
  </si>
  <si>
    <t>Shop Bill Summary (Umair)</t>
  </si>
  <si>
    <t>Customer Name : Mozan Mart</t>
  </si>
  <si>
    <t>Address: Youna Abad</t>
  </si>
  <si>
    <t>D4770778</t>
  </si>
  <si>
    <t xml:space="preserve">Customer Name : Azan Traders </t>
  </si>
  <si>
    <t>Address: Youna abad</t>
  </si>
  <si>
    <t xml:space="preserve">Customer Name : Grace land Mart </t>
  </si>
  <si>
    <t xml:space="preserve">Address: Younaabd </t>
  </si>
  <si>
    <t>Customer Name : Bhai Bhai GS</t>
  </si>
  <si>
    <t xml:space="preserve">Customer Name : Tayab Khan </t>
  </si>
  <si>
    <t>Customer Name : Shehriyar Khatak Store</t>
  </si>
  <si>
    <t>Customer Name : Bhati GS</t>
  </si>
  <si>
    <t>Customer Name : Malik Ijaz</t>
  </si>
  <si>
    <t xml:space="preserve">Customer Name : Nadeem Bakers </t>
  </si>
  <si>
    <t>Address: Main Gajumata</t>
  </si>
  <si>
    <t xml:space="preserve">Customer Name : MA Bakers </t>
  </si>
  <si>
    <t>Address: 22 fit Road Nishter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</si>
</sst>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L25" sqref="L2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L25" sqref="L25"/>
      <selection pane="topRight" activeCell="L25" sqref="L25"/>
      <selection pane="bottomLeft" activeCell="L25" sqref="L25"/>
      <selection pane="bottomRight" activeCell="L25" sqref="L2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opLeftCell="A19" zoomScale="70" zoomScaleNormal="70" workbookViewId="0">
      <selection activeCell="L25" sqref="L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5" t="s">
        <v>45</v>
      </c>
      <c r="B2" s="255"/>
      <c r="C2" s="255"/>
    </row>
    <row r="3" spans="1:21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4" t="s">
        <v>120</v>
      </c>
      <c r="B5" s="254"/>
      <c r="C5" s="254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21 16383:16384" ht="15" customHeight="1" x14ac:dyDescent="0.35">
      <c r="A6" s="254"/>
      <c r="B6" s="254"/>
      <c r="C6" s="254"/>
      <c r="F6" s="70"/>
      <c r="G6" s="74"/>
      <c r="K6" s="239" t="s">
        <v>52</v>
      </c>
      <c r="L6" s="239"/>
      <c r="M6" s="239"/>
      <c r="N6" s="252" t="s">
        <v>42</v>
      </c>
      <c r="O6" s="252"/>
      <c r="P6" s="25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1 16383:16384" hidden="1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1 16383:16384" x14ac:dyDescent="0.35">
      <c r="A10" s="237"/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1 16383:16384" ht="15" thickBot="1" x14ac:dyDescent="0.4">
      <c r="A11" s="237"/>
      <c r="B11" s="76"/>
      <c r="C11" s="77"/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1 16383:16384" ht="14.65" customHeight="1" x14ac:dyDescent="0.35">
      <c r="A12" s="237"/>
      <c r="B12" s="76"/>
      <c r="C12" s="77"/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T12" s="209" t="s">
        <v>121</v>
      </c>
      <c r="U12" s="210"/>
      <c r="XFD12" t="s">
        <v>62</v>
      </c>
    </row>
    <row r="13" spans="1:21 16383:16384" ht="15" thickBot="1" x14ac:dyDescent="0.4">
      <c r="A13" s="238"/>
      <c r="J13" s="78"/>
      <c r="K13" s="78"/>
      <c r="L13" s="79">
        <v>0.05</v>
      </c>
      <c r="T13" s="211"/>
      <c r="U13" s="212"/>
      <c r="XFD13" t="s">
        <v>63</v>
      </c>
    </row>
    <row r="14" spans="1:21 16383:16384" ht="29.25" customHeight="1" x14ac:dyDescent="0.6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8" t="s">
        <v>69</v>
      </c>
      <c r="J14" s="248" t="s">
        <v>70</v>
      </c>
      <c r="K14" s="248"/>
      <c r="L14" s="250"/>
      <c r="M14" s="24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Mozan Mart</v>
      </c>
      <c r="U14" s="164">
        <f>+'1'!P35</f>
        <v>15677.001653100002</v>
      </c>
      <c r="XFD14" t="s">
        <v>75</v>
      </c>
    </row>
    <row r="15" spans="1:21 16383:16384" ht="29.25" customHeight="1" thickBot="1" x14ac:dyDescent="0.65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9"/>
      <c r="J15" s="171" t="s">
        <v>78</v>
      </c>
      <c r="K15" s="171" t="s">
        <v>79</v>
      </c>
      <c r="L15" s="174" t="s">
        <v>80</v>
      </c>
      <c r="M15" s="24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Azan Traders </v>
      </c>
      <c r="U15" s="164">
        <f>+'2'!P35</f>
        <v>1664.2566438000003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40</v>
      </c>
      <c r="I16" s="1">
        <f>(G16*D16)*F16+H16*F16</f>
        <v>2098.5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73.447500000000005</v>
      </c>
      <c r="L16" s="175">
        <f>+'1'!L16+'2'!L16+'4'!L16+'3'!L16+'5'!L16+'6'!L16+'7'!L16+'8'!L16+'9'!L16+'10'!L16</f>
        <v>167.88</v>
      </c>
      <c r="M16" s="106">
        <f>I16-K16-L16</f>
        <v>1857.1725000000001</v>
      </c>
      <c r="N16" s="101">
        <f>+'1'!N16+'2'!N16+'4'!N16+'3'!N16+'5'!N16+'6'!N16+'7'!N16+'8'!N16+'9'!N16+'10'!N16</f>
        <v>408.57795000000004</v>
      </c>
      <c r="O16" s="101">
        <f>+'1'!O16+'2'!O16+'4'!O16+'3'!O16+'5'!O16+'6'!O16+'7'!O16+'8'!O16+'9'!O16+'10'!O16</f>
        <v>11.328752250000001</v>
      </c>
      <c r="P16" s="105">
        <f t="shared" ref="P16:P24" si="0">M16+N16+O16</f>
        <v>2277.07920225</v>
      </c>
      <c r="Q16" s="108"/>
      <c r="T16" s="163" t="str">
        <f>+'3'!A5</f>
        <v xml:space="preserve">Customer Name : Grace land Mart </v>
      </c>
      <c r="U16" s="164">
        <f>+'3'!P35</f>
        <v>4817.1188454000003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40</v>
      </c>
      <c r="I17" s="1">
        <f t="shared" ref="I17:I23" si="1">(G17*D17)*F17+H17*F17</f>
        <v>2098.5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73.447500000000005</v>
      </c>
      <c r="L17" s="175">
        <f>+'1'!L17+'2'!L17+'4'!L17+'3'!L17+'5'!L17+'6'!L17+'7'!L17+'8'!L17+'9'!L17+'10'!L17</f>
        <v>167.88</v>
      </c>
      <c r="M17" s="118">
        <f t="shared" ref="M17:M23" si="2">I17-K17-L17</f>
        <v>1857.1725000000001</v>
      </c>
      <c r="N17" s="101">
        <f>+'1'!N17+'2'!N17+'4'!N17+'3'!N17+'5'!N17+'6'!N17+'7'!N17+'8'!N17+'9'!N17+'10'!N17</f>
        <v>408.57795000000004</v>
      </c>
      <c r="O17" s="101">
        <f>+'1'!O17+'2'!O17+'4'!O17+'3'!O17+'5'!O17+'6'!O17+'7'!O17+'8'!O17+'9'!O17+'10'!O17</f>
        <v>11.328752250000001</v>
      </c>
      <c r="P17" s="120">
        <f t="shared" si="0"/>
        <v>2277.07920225</v>
      </c>
      <c r="S17" s="64"/>
      <c r="T17" s="163" t="str">
        <f>+'4'!A5</f>
        <v>Customer Name : Bhai Bhai GS</v>
      </c>
      <c r="U17" s="164">
        <f>+'4'!P35</f>
        <v>1697.3761790000003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Tayab Khan </v>
      </c>
      <c r="U18" s="164">
        <f>+'5'!P35</f>
        <v>1697.3761790000003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80</v>
      </c>
      <c r="I19" s="1">
        <f t="shared" si="1"/>
        <v>5811.2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203.39200000000002</v>
      </c>
      <c r="L19" s="175">
        <f>+'1'!L19+'2'!L19+'4'!L19+'3'!L19+'5'!L19+'6'!L19+'7'!L19+'8'!L19+'9'!L19+'10'!L19</f>
        <v>464.89600000000002</v>
      </c>
      <c r="M19" s="118">
        <f t="shared" si="2"/>
        <v>5142.9120000000003</v>
      </c>
      <c r="N19" s="101">
        <f>+'1'!N19+'2'!N19+'4'!N19+'3'!N19+'5'!N19+'6'!N19+'7'!N19+'8'!N19+'9'!N19+'10'!N19</f>
        <v>1131.44064</v>
      </c>
      <c r="O19" s="101">
        <f>+'1'!O19+'2'!O19+'4'!O19+'3'!O19+'5'!O19+'6'!O19+'7'!O19+'8'!O19+'9'!O19+'10'!O19</f>
        <v>31.3717632</v>
      </c>
      <c r="P19" s="120">
        <f t="shared" si="0"/>
        <v>6305.7244031999999</v>
      </c>
      <c r="T19" s="163" t="str">
        <f>+'6'!A5</f>
        <v>Customer Name : Shehriyar Khatak Store</v>
      </c>
      <c r="U19" s="164">
        <f>+'6'!P35</f>
        <v>254.60642684999999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40</v>
      </c>
      <c r="I20" s="1">
        <f t="shared" si="1"/>
        <v>2905.6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101.69600000000001</v>
      </c>
      <c r="L20" s="175">
        <f>+'1'!L20+'2'!L20+'4'!L20+'3'!L20+'5'!L20+'6'!L20+'7'!L20+'8'!L20+'9'!L20+'10'!L20</f>
        <v>232.44800000000001</v>
      </c>
      <c r="M20" s="118">
        <f t="shared" si="2"/>
        <v>2571.4560000000001</v>
      </c>
      <c r="N20" s="101">
        <f>+'1'!N20+'2'!N20+'4'!N20+'3'!N20+'5'!N20+'6'!N20+'7'!N20+'8'!N20+'9'!N20+'10'!N20</f>
        <v>565.72032000000002</v>
      </c>
      <c r="O20" s="101">
        <f>+'1'!O20+'2'!O20+'4'!O20+'3'!O20+'5'!O20+'6'!O20+'7'!O20+'8'!O20+'9'!O20+'10'!O20</f>
        <v>15.6858816</v>
      </c>
      <c r="P20" s="120">
        <f t="shared" si="0"/>
        <v>3152.8622015999999</v>
      </c>
      <c r="T20" s="163" t="str">
        <f>+'7'!A5</f>
        <v>Customer Name : Bhati GS</v>
      </c>
      <c r="U20" s="164">
        <f>+'7'!P35</f>
        <v>424.34404475000008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40</v>
      </c>
      <c r="I21" s="1">
        <f t="shared" si="1"/>
        <v>2905.6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101.69600000000001</v>
      </c>
      <c r="L21" s="175">
        <f>+'1'!L21+'2'!L21+'4'!L21+'3'!L21+'5'!L21+'6'!L21+'7'!L21+'8'!L21+'9'!L21+'10'!L21</f>
        <v>232.44800000000001</v>
      </c>
      <c r="M21" s="118">
        <f t="shared" si="2"/>
        <v>2571.4560000000001</v>
      </c>
      <c r="N21" s="101">
        <f>+'1'!N21+'2'!N21+'4'!N21+'3'!N21+'5'!N21+'6'!N21+'7'!N21+'8'!N21+'9'!N21+'10'!N21</f>
        <v>565.72032000000002</v>
      </c>
      <c r="O21" s="101">
        <f>+'1'!O21+'2'!O21+'4'!O21+'3'!O21+'5'!O21+'6'!O21+'7'!O21+'8'!O21+'9'!O21+'10'!O21</f>
        <v>15.6858816</v>
      </c>
      <c r="P21" s="120">
        <f t="shared" si="0"/>
        <v>3152.8622015999999</v>
      </c>
      <c r="T21" s="163" t="str">
        <f>+'8'!A5</f>
        <v>Customer Name : Malik Ijaz</v>
      </c>
      <c r="U21" s="164">
        <f>+'8'!P35</f>
        <v>424.34404475000008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276</v>
      </c>
      <c r="I22" s="1">
        <f t="shared" si="1"/>
        <v>10827.480000000001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378.9618000000001</v>
      </c>
      <c r="L22" s="175">
        <f>+'1'!L22+'2'!L22+'4'!L22+'3'!L22+'5'!L22+'6'!L22+'7'!L22+'8'!L22+'9'!L22+'10'!L22</f>
        <v>1082.7480000000003</v>
      </c>
      <c r="M22" s="118">
        <f t="shared" si="2"/>
        <v>9365.7702000000008</v>
      </c>
      <c r="N22" s="101">
        <f>+'1'!N22+'2'!N22+'4'!N22+'3'!N22+'5'!N22+'6'!N22+'7'!N22+'8'!N22+'9'!N22+'10'!N22</f>
        <v>2060.4694440000003</v>
      </c>
      <c r="O22" s="101">
        <f>+'1'!O22+'2'!O22+'4'!O22+'3'!O22+'5'!O22+'6'!O22+'7'!O22+'8'!O22+'9'!O22+'10'!O22</f>
        <v>186.29738550000002</v>
      </c>
      <c r="P22" s="120">
        <f t="shared" si="0"/>
        <v>11612.537029500001</v>
      </c>
      <c r="T22" s="163" t="str">
        <f>+'9'!A5</f>
        <v xml:space="preserve">Customer Name : Nadeem Bakers </v>
      </c>
      <c r="U22" s="164">
        <f>+'9'!P35</f>
        <v>424.34404475000008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MA Bakers </v>
      </c>
      <c r="U23" s="164">
        <f>+'10'!P35</f>
        <v>1697.3761790000003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9" t="s">
        <v>84</v>
      </c>
      <c r="B25" s="220"/>
      <c r="C25" s="221">
        <f>H25/40</f>
        <v>12.9</v>
      </c>
      <c r="D25" s="215"/>
      <c r="E25" s="215"/>
      <c r="F25" s="215"/>
      <c r="G25" s="176">
        <f t="shared" ref="G25:M25" si="3">SUM(G16:G24)</f>
        <v>0</v>
      </c>
      <c r="H25" s="177">
        <f t="shared" si="3"/>
        <v>516</v>
      </c>
      <c r="I25" s="178">
        <f t="shared" si="3"/>
        <v>26646.880000000005</v>
      </c>
      <c r="J25" s="177">
        <f t="shared" si="3"/>
        <v>0</v>
      </c>
      <c r="K25" s="178">
        <f t="shared" si="3"/>
        <v>932.64080000000013</v>
      </c>
      <c r="L25" s="179">
        <f t="shared" si="3"/>
        <v>2348.3000000000002</v>
      </c>
      <c r="M25" s="141">
        <f t="shared" si="3"/>
        <v>23365.939200000001</v>
      </c>
      <c r="N25" s="142">
        <f>SUM(N16:N24)</f>
        <v>5140.5066239999996</v>
      </c>
      <c r="O25" s="143">
        <f>SUM(O16:O24)</f>
        <v>271.69841640000004</v>
      </c>
      <c r="P25" s="144">
        <f>SUM(P16:P24)</f>
        <v>28778.144240400004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28778.144240400001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2" t="s">
        <v>85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4"/>
      <c r="N36" s="231" t="s">
        <v>86</v>
      </c>
      <c r="O36" s="232"/>
      <c r="P36" s="152">
        <f>I25</f>
        <v>26646.880000000005</v>
      </c>
    </row>
    <row r="37" spans="1:21" ht="15" customHeight="1" x14ac:dyDescent="0.35">
      <c r="B37" s="225"/>
      <c r="C37" s="226"/>
      <c r="D37" s="226"/>
      <c r="E37" s="226"/>
      <c r="F37" s="226"/>
      <c r="G37" s="226"/>
      <c r="H37" s="226"/>
      <c r="I37" s="226"/>
      <c r="J37" s="226"/>
      <c r="K37" s="226"/>
      <c r="L37" s="227"/>
      <c r="N37" s="233" t="s">
        <v>87</v>
      </c>
      <c r="O37" s="234"/>
      <c r="P37" s="153">
        <f>L25</f>
        <v>2348.3000000000002</v>
      </c>
    </row>
    <row r="38" spans="1:21" ht="15" customHeight="1" x14ac:dyDescent="0.35">
      <c r="B38" s="225"/>
      <c r="C38" s="226"/>
      <c r="D38" s="226"/>
      <c r="E38" s="226"/>
      <c r="F38" s="226"/>
      <c r="G38" s="226"/>
      <c r="H38" s="226"/>
      <c r="I38" s="226"/>
      <c r="J38" s="226"/>
      <c r="K38" s="226"/>
      <c r="L38" s="227"/>
      <c r="N38" s="233" t="s">
        <v>4</v>
      </c>
      <c r="O38" s="234"/>
      <c r="P38" s="154">
        <f>K25</f>
        <v>932.64080000000013</v>
      </c>
    </row>
    <row r="39" spans="1:21" ht="15" customHeight="1" x14ac:dyDescent="0.35">
      <c r="B39" s="225"/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M39" s="2"/>
      <c r="N39" s="233" t="s">
        <v>88</v>
      </c>
      <c r="O39" s="234"/>
      <c r="P39" s="153">
        <f>P36-P37-P38</f>
        <v>23365.939200000004</v>
      </c>
    </row>
    <row r="40" spans="1:21" ht="15" customHeight="1" x14ac:dyDescent="0.35">
      <c r="B40" s="225"/>
      <c r="C40" s="226"/>
      <c r="D40" s="226"/>
      <c r="E40" s="226"/>
      <c r="F40" s="226"/>
      <c r="G40" s="226"/>
      <c r="H40" s="226"/>
      <c r="I40" s="226"/>
      <c r="J40" s="226"/>
      <c r="K40" s="226"/>
      <c r="L40" s="227"/>
      <c r="M40" s="2"/>
      <c r="N40" s="155" t="s">
        <v>89</v>
      </c>
      <c r="O40" s="156">
        <f>IF(B12="Registered",18%,22%)</f>
        <v>0.22</v>
      </c>
      <c r="P40" s="153">
        <f>N25</f>
        <v>5140.5066239999996</v>
      </c>
    </row>
    <row r="41" spans="1:21" ht="15" customHeight="1" x14ac:dyDescent="0.35">
      <c r="B41" s="225"/>
      <c r="C41" s="226"/>
      <c r="D41" s="226"/>
      <c r="E41" s="226"/>
      <c r="F41" s="226"/>
      <c r="G41" s="226"/>
      <c r="H41" s="226"/>
      <c r="I41" s="226"/>
      <c r="J41" s="226"/>
      <c r="K41" s="226"/>
      <c r="L41" s="227"/>
      <c r="M41" s="2"/>
      <c r="N41" s="235" t="s">
        <v>90</v>
      </c>
      <c r="O41" s="236"/>
      <c r="P41" s="153">
        <f>P39+P40</f>
        <v>28506.445824000002</v>
      </c>
    </row>
    <row r="42" spans="1:21" ht="15" customHeight="1" thickBot="1" x14ac:dyDescent="0.4"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30"/>
      <c r="M42" s="157"/>
      <c r="N42" s="158" t="s">
        <v>91</v>
      </c>
      <c r="O42" s="159">
        <f>IF(B11="Filer",0.5%,2.5%)</f>
        <v>2.5000000000000001E-2</v>
      </c>
      <c r="P42" s="153">
        <f>O42*P41</f>
        <v>712.66114560000005</v>
      </c>
    </row>
    <row r="43" spans="1:21" ht="15.75" customHeight="1" thickBot="1" x14ac:dyDescent="0.4">
      <c r="N43" s="213" t="s">
        <v>92</v>
      </c>
      <c r="O43" s="214"/>
      <c r="P43" s="160">
        <f>P41+P42</f>
        <v>29219.106969600001</v>
      </c>
    </row>
    <row r="44" spans="1:21" ht="15" thickBot="1" x14ac:dyDescent="0.4">
      <c r="B44" s="161" t="s">
        <v>93</v>
      </c>
      <c r="C44" s="215"/>
      <c r="D44" s="215"/>
      <c r="E44" s="215"/>
      <c r="F44" s="215"/>
      <c r="G44" s="215"/>
      <c r="H44" s="215"/>
      <c r="I44" s="216"/>
      <c r="J44" s="217"/>
      <c r="K44" s="21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5" t="s">
        <v>45</v>
      </c>
      <c r="B2" s="255"/>
      <c r="C2" s="255"/>
    </row>
    <row r="3" spans="1:26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26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6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6 16383:16384" x14ac:dyDescent="0.35">
      <c r="A10" s="237" t="s">
        <v>95</v>
      </c>
      <c r="B10" s="75" t="s">
        <v>124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6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6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26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S14" s="256" t="s">
        <v>117</v>
      </c>
      <c r="T14" s="256"/>
      <c r="U14" s="256"/>
      <c r="V14" s="256"/>
      <c r="W14" s="257" t="s">
        <v>119</v>
      </c>
      <c r="X14" s="257"/>
      <c r="Y14" s="257"/>
      <c r="Z14" s="257"/>
      <c r="XFD14" t="s">
        <v>75</v>
      </c>
    </row>
    <row r="15" spans="1:26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408.57795000000004</v>
      </c>
      <c r="O16" s="107">
        <f t="shared" ref="O16:O24" si="1">(N16+M16)*$O$15</f>
        <v>11.328752250000001</v>
      </c>
      <c r="P16" s="105">
        <f t="shared" ref="P16:P24" si="2">M16+N16+O16</f>
        <v>2277.07920225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3">(G17*D17)*F17+H17*F17</f>
        <v>2098.5</v>
      </c>
      <c r="J17" s="117"/>
      <c r="K17" s="104">
        <f t="shared" ref="K17:K22" si="4">I17*3.5%</f>
        <v>73.447500000000005</v>
      </c>
      <c r="L17" s="105">
        <f t="shared" ref="L17:L21" si="5">I17*8%</f>
        <v>167.88</v>
      </c>
      <c r="M17" s="118">
        <f t="shared" ref="M17:M23" si="6">I17-K17-L17</f>
        <v>1857.1725000000001</v>
      </c>
      <c r="N17" s="118">
        <f t="shared" si="0"/>
        <v>408.57795000000004</v>
      </c>
      <c r="O17" s="119">
        <f t="shared" si="1"/>
        <v>11.328752250000001</v>
      </c>
      <c r="P17" s="120">
        <f t="shared" si="2"/>
        <v>2277.07920225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/>
      <c r="K19" s="104">
        <f t="shared" si="4"/>
        <v>101.69600000000001</v>
      </c>
      <c r="L19" s="105">
        <f t="shared" si="5"/>
        <v>232.44800000000001</v>
      </c>
      <c r="M19" s="118">
        <f t="shared" si="6"/>
        <v>2571.4560000000001</v>
      </c>
      <c r="N19" s="118">
        <f t="shared" si="0"/>
        <v>565.72032000000002</v>
      </c>
      <c r="O19" s="119">
        <f t="shared" si="1"/>
        <v>15.6858816</v>
      </c>
      <c r="P19" s="120">
        <f t="shared" si="2"/>
        <v>3152.8622015999999</v>
      </c>
      <c r="S19" s="258" t="s">
        <v>118</v>
      </c>
      <c r="T19" s="258"/>
      <c r="U19" s="258"/>
      <c r="V19" s="258"/>
      <c r="W19" s="259" t="s">
        <v>116</v>
      </c>
      <c r="X19" s="259"/>
      <c r="Y19" s="259"/>
      <c r="Z19" s="259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3"/>
        <v>2905.6</v>
      </c>
      <c r="J20" s="117"/>
      <c r="K20" s="104">
        <f t="shared" si="4"/>
        <v>101.69600000000001</v>
      </c>
      <c r="L20" s="105">
        <f t="shared" si="5"/>
        <v>232.44800000000001</v>
      </c>
      <c r="M20" s="118">
        <f t="shared" si="6"/>
        <v>2571.4560000000001</v>
      </c>
      <c r="N20" s="118">
        <f t="shared" si="0"/>
        <v>565.72032000000002</v>
      </c>
      <c r="O20" s="119">
        <f t="shared" si="1"/>
        <v>15.6858816</v>
      </c>
      <c r="P20" s="120">
        <f t="shared" si="2"/>
        <v>3152.8622015999999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/>
      <c r="K21" s="104">
        <f t="shared" si="4"/>
        <v>101.69600000000001</v>
      </c>
      <c r="L21" s="105">
        <f t="shared" si="5"/>
        <v>232.44800000000001</v>
      </c>
      <c r="M21" s="118">
        <f t="shared" si="6"/>
        <v>2571.4560000000001</v>
      </c>
      <c r="N21" s="118">
        <f t="shared" si="0"/>
        <v>565.72032000000002</v>
      </c>
      <c r="O21" s="119">
        <f t="shared" si="1"/>
        <v>15.6858816</v>
      </c>
      <c r="P21" s="120">
        <f t="shared" si="2"/>
        <v>3152.8622015999999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04">
        <f t="shared" si="4"/>
        <v>54.922000000000011</v>
      </c>
      <c r="L22" s="120">
        <f>I22*10%</f>
        <v>156.92000000000004</v>
      </c>
      <c r="M22" s="118">
        <f t="shared" si="6"/>
        <v>1357.3580000000002</v>
      </c>
      <c r="N22" s="118">
        <f t="shared" si="0"/>
        <v>298.61876000000007</v>
      </c>
      <c r="O22" s="119">
        <f t="shared" si="1"/>
        <v>8.2798838000000021</v>
      </c>
      <c r="P22" s="120">
        <f t="shared" si="2"/>
        <v>1664.2566438000003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13">SUM(G16:G24)</f>
        <v>0</v>
      </c>
      <c r="H25" s="136">
        <f t="shared" si="13"/>
        <v>240</v>
      </c>
      <c r="I25" s="137">
        <f t="shared" si="13"/>
        <v>14483.000000000002</v>
      </c>
      <c r="J25" s="138"/>
      <c r="K25" s="139">
        <f t="shared" si="13"/>
        <v>506.90500000000009</v>
      </c>
      <c r="L25" s="140">
        <f t="shared" si="13"/>
        <v>1190.0240000000001</v>
      </c>
      <c r="M25" s="141">
        <f t="shared" si="13"/>
        <v>12786.071000000002</v>
      </c>
      <c r="N25" s="142">
        <f>SUM(N16:N24)</f>
        <v>2812.9356200000002</v>
      </c>
      <c r="O25" s="143">
        <f>SUM(O16:O24)</f>
        <v>77.995033100000015</v>
      </c>
      <c r="P25" s="144">
        <f>SUM(P16:P24)</f>
        <v>15677.0016531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14483.000000000002</v>
      </c>
    </row>
    <row r="29" spans="1:26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1190.0240000000001</v>
      </c>
    </row>
    <row r="30" spans="1:26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506.90500000000009</v>
      </c>
    </row>
    <row r="31" spans="1:26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12786.071000000002</v>
      </c>
    </row>
    <row r="32" spans="1:26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2812.9356200000002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15599.006620000002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77.995033100000015</v>
      </c>
    </row>
    <row r="35" spans="2:16" ht="15.75" customHeight="1" thickBot="1" x14ac:dyDescent="0.4">
      <c r="N35" s="213" t="s">
        <v>92</v>
      </c>
      <c r="O35" s="214"/>
      <c r="P35" s="160">
        <f>P33+P34</f>
        <v>15677.001653100002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2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125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126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3510280594855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 t="shared" si="3"/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298.61876000000007</v>
      </c>
      <c r="O22" s="119">
        <f t="shared" si="6"/>
        <v>8.2798838000000021</v>
      </c>
      <c r="P22" s="120">
        <f t="shared" si="1"/>
        <v>1664.2566438000003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156.92000000000004</v>
      </c>
      <c r="M25" s="141">
        <f t="shared" si="9"/>
        <v>1357.3580000000002</v>
      </c>
      <c r="N25" s="142">
        <f>SUM(N16:N24)</f>
        <v>298.61876000000007</v>
      </c>
      <c r="O25" s="143">
        <f>SUM(O16:O24)</f>
        <v>8.2798838000000021</v>
      </c>
      <c r="P25" s="144">
        <f>SUM(P16:P24)</f>
        <v>1664.2566438000003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1569.2000000000003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156.92000000000004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54.922000000000011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1357.3580000000002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298.61876000000007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1655.9767600000002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8.2798838000000021</v>
      </c>
    </row>
    <row r="35" spans="2:16" ht="15.75" customHeight="1" thickBot="1" x14ac:dyDescent="0.4">
      <c r="N35" s="213" t="s">
        <v>92</v>
      </c>
      <c r="O35" s="214"/>
      <c r="P35" s="160">
        <f>P33+P34</f>
        <v>1664.2566438000003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4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127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128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34193677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565.72032000000002</v>
      </c>
      <c r="O19" s="119">
        <f t="shared" si="6"/>
        <v>15.6858816</v>
      </c>
      <c r="P19" s="120">
        <f t="shared" si="1"/>
        <v>3152.8622015999999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 t="shared" si="3"/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298.61876000000007</v>
      </c>
      <c r="O22" s="119">
        <f t="shared" si="6"/>
        <v>8.2798838000000021</v>
      </c>
      <c r="P22" s="120">
        <f t="shared" si="1"/>
        <v>1664.2566438000003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80</v>
      </c>
      <c r="I25" s="137">
        <f t="shared" si="9"/>
        <v>4474.8</v>
      </c>
      <c r="J25" s="138"/>
      <c r="K25" s="139">
        <f t="shared" si="9"/>
        <v>156.61800000000002</v>
      </c>
      <c r="L25" s="140">
        <f t="shared" si="9"/>
        <v>389.36800000000005</v>
      </c>
      <c r="M25" s="141">
        <f t="shared" si="9"/>
        <v>3928.8140000000003</v>
      </c>
      <c r="N25" s="142">
        <f>SUM(N16:N24)</f>
        <v>864.33908000000008</v>
      </c>
      <c r="O25" s="143">
        <f>SUM(O16:O24)</f>
        <v>23.965765400000002</v>
      </c>
      <c r="P25" s="144">
        <f>SUM(P16:P24)</f>
        <v>4817.1188454000003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4474.8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389.36800000000005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156.61800000000002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3928.8140000000003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864.33908000000008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4793.15308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23.965765400000002</v>
      </c>
    </row>
    <row r="35" spans="2:16" ht="15.75" customHeight="1" thickBot="1" x14ac:dyDescent="0.4">
      <c r="N35" s="213" t="s">
        <v>92</v>
      </c>
      <c r="O35" s="214"/>
      <c r="P35" s="160">
        <f>P33+P34</f>
        <v>4817.1188454000003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3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129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126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 t="shared" si="3"/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298.61876000000007</v>
      </c>
      <c r="O22" s="119">
        <f t="shared" si="6"/>
        <v>41.399419000000009</v>
      </c>
      <c r="P22" s="120">
        <f t="shared" si="1"/>
        <v>1697.3761790000003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156.92000000000004</v>
      </c>
      <c r="M25" s="141">
        <f t="shared" si="9"/>
        <v>1357.3580000000002</v>
      </c>
      <c r="N25" s="142">
        <f>SUM(N16:N24)</f>
        <v>298.61876000000007</v>
      </c>
      <c r="O25" s="143">
        <f>SUM(O16:O24)</f>
        <v>41.399419000000009</v>
      </c>
      <c r="P25" s="144">
        <f>SUM(P16:P24)</f>
        <v>1697.3761790000003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1569.2000000000003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156.92000000000004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54.922000000000011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1357.3580000000002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298.61876000000007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1655.9767600000002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41.399419000000009</v>
      </c>
    </row>
    <row r="35" spans="2:16" ht="15.75" customHeight="1" thickBot="1" x14ac:dyDescent="0.4">
      <c r="N35" s="213" t="s">
        <v>92</v>
      </c>
      <c r="O35" s="214"/>
      <c r="P35" s="160">
        <f>P33+P34</f>
        <v>1697.3761790000003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5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130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126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 t="shared" si="3"/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298.61876000000007</v>
      </c>
      <c r="O22" s="119">
        <f t="shared" si="6"/>
        <v>41.399419000000009</v>
      </c>
      <c r="P22" s="120">
        <f t="shared" si="1"/>
        <v>1697.3761790000003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156.92000000000004</v>
      </c>
      <c r="M25" s="141">
        <f t="shared" si="9"/>
        <v>1357.3580000000002</v>
      </c>
      <c r="N25" s="142">
        <f>SUM(N16:N24)</f>
        <v>298.61876000000007</v>
      </c>
      <c r="O25" s="143">
        <f>SUM(O16:O24)</f>
        <v>41.399419000000009</v>
      </c>
      <c r="P25" s="144">
        <f>SUM(P16:P24)</f>
        <v>1697.3761790000003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1569.2000000000003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156.92000000000004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54.922000000000011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1357.3580000000002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298.61876000000007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1655.9767600000002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41.399419000000009</v>
      </c>
    </row>
    <row r="35" spans="2:16" ht="15.75" customHeight="1" thickBot="1" x14ac:dyDescent="0.4">
      <c r="N35" s="213" t="s">
        <v>92</v>
      </c>
      <c r="O35" s="214"/>
      <c r="P35" s="160">
        <f>P33+P34</f>
        <v>1697.3761790000003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6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131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04">
        <f t="shared" si="3"/>
        <v>8.2383000000000024</v>
      </c>
      <c r="L22" s="120">
        <f>I22*10%</f>
        <v>23.538000000000004</v>
      </c>
      <c r="M22" s="118">
        <f t="shared" si="5"/>
        <v>203.6037</v>
      </c>
      <c r="N22" s="118">
        <f t="shared" si="0"/>
        <v>44.792814</v>
      </c>
      <c r="O22" s="119">
        <f t="shared" si="6"/>
        <v>6.2099128500000003</v>
      </c>
      <c r="P22" s="120">
        <f t="shared" si="1"/>
        <v>254.60642684999999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6</v>
      </c>
      <c r="I25" s="137">
        <f t="shared" si="9"/>
        <v>235.38000000000002</v>
      </c>
      <c r="J25" s="138"/>
      <c r="K25" s="139">
        <f t="shared" si="9"/>
        <v>8.2383000000000024</v>
      </c>
      <c r="L25" s="140">
        <f t="shared" si="9"/>
        <v>23.538000000000004</v>
      </c>
      <c r="M25" s="141">
        <f t="shared" si="9"/>
        <v>203.6037</v>
      </c>
      <c r="N25" s="142">
        <f>SUM(N16:N24)</f>
        <v>44.792814</v>
      </c>
      <c r="O25" s="143">
        <f>SUM(O16:O24)</f>
        <v>6.2099128500000003</v>
      </c>
      <c r="P25" s="144">
        <f>SUM(P16:P24)</f>
        <v>254.60642684999999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235.38000000000002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23.538000000000004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8.2383000000000024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203.6037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44.792814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248.396514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6.2099128500000003</v>
      </c>
    </row>
    <row r="35" spans="2:16" ht="15.75" customHeight="1" thickBot="1" x14ac:dyDescent="0.4">
      <c r="N35" s="213" t="s">
        <v>92</v>
      </c>
      <c r="O35" s="214"/>
      <c r="P35" s="160">
        <f>P33+P34</f>
        <v>254.60642684999999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7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126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 t="shared" si="3"/>
        <v>13.730500000000003</v>
      </c>
      <c r="L22" s="120">
        <f>I22*10%</f>
        <v>39.230000000000011</v>
      </c>
      <c r="M22" s="118">
        <f t="shared" si="5"/>
        <v>339.33950000000004</v>
      </c>
      <c r="N22" s="118">
        <f t="shared" si="0"/>
        <v>74.654690000000016</v>
      </c>
      <c r="O22" s="119">
        <f t="shared" si="6"/>
        <v>10.349854750000002</v>
      </c>
      <c r="P22" s="120">
        <f t="shared" si="1"/>
        <v>424.34404475000008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39.230000000000011</v>
      </c>
      <c r="M25" s="141">
        <f t="shared" si="9"/>
        <v>339.33950000000004</v>
      </c>
      <c r="N25" s="142">
        <f>SUM(N16:N24)</f>
        <v>74.654690000000016</v>
      </c>
      <c r="O25" s="143">
        <f>SUM(O16:O24)</f>
        <v>10.349854750000002</v>
      </c>
      <c r="P25" s="144">
        <f>SUM(P16:P24)</f>
        <v>424.34404475000008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392.30000000000007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39.230000000000011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13.730500000000003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339.33950000000004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74.654690000000016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413.99419000000006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10.349854750000002</v>
      </c>
    </row>
    <row r="35" spans="2:16" ht="15.75" customHeight="1" thickBot="1" x14ac:dyDescent="0.4">
      <c r="N35" s="213" t="s">
        <v>92</v>
      </c>
      <c r="O35" s="214"/>
      <c r="P35" s="160">
        <f>P33+P34</f>
        <v>424.34404475000008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8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133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126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 t="shared" si="3"/>
        <v>13.730500000000003</v>
      </c>
      <c r="L22" s="120">
        <f>I22*10%</f>
        <v>39.230000000000011</v>
      </c>
      <c r="M22" s="118">
        <f t="shared" si="5"/>
        <v>339.33950000000004</v>
      </c>
      <c r="N22" s="118">
        <f t="shared" si="0"/>
        <v>74.654690000000016</v>
      </c>
      <c r="O22" s="119">
        <f t="shared" si="6"/>
        <v>10.349854750000002</v>
      </c>
      <c r="P22" s="120">
        <f t="shared" si="1"/>
        <v>424.34404475000008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39.230000000000011</v>
      </c>
      <c r="M25" s="141">
        <f t="shared" si="9"/>
        <v>339.33950000000004</v>
      </c>
      <c r="N25" s="142">
        <f>SUM(N16:N24)</f>
        <v>74.654690000000016</v>
      </c>
      <c r="O25" s="143">
        <f>SUM(O16:O24)</f>
        <v>10.349854750000002</v>
      </c>
      <c r="P25" s="144">
        <f>SUM(P16:P24)</f>
        <v>424.34404475000008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392.30000000000007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39.230000000000011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13.730500000000003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339.33950000000004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74.654690000000016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413.99419000000006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10.349854750000002</v>
      </c>
    </row>
    <row r="35" spans="2:16" ht="15.75" customHeight="1" thickBot="1" x14ac:dyDescent="0.4">
      <c r="N35" s="213" t="s">
        <v>92</v>
      </c>
      <c r="O35" s="214"/>
      <c r="P35" s="160">
        <f>P33+P34</f>
        <v>424.34404475000008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9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134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135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7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 t="shared" si="3"/>
        <v>13.730500000000003</v>
      </c>
      <c r="L22" s="120">
        <f>I22*10%</f>
        <v>39.230000000000011</v>
      </c>
      <c r="M22" s="118">
        <f t="shared" si="5"/>
        <v>339.33950000000004</v>
      </c>
      <c r="N22" s="118">
        <f t="shared" si="0"/>
        <v>74.654690000000016</v>
      </c>
      <c r="O22" s="119">
        <f t="shared" si="6"/>
        <v>10.349854750000002</v>
      </c>
      <c r="P22" s="120">
        <f t="shared" si="1"/>
        <v>424.34404475000008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39.230000000000011</v>
      </c>
      <c r="M25" s="141">
        <f t="shared" si="9"/>
        <v>339.33950000000004</v>
      </c>
      <c r="N25" s="142">
        <f>SUM(N16:N24)</f>
        <v>74.654690000000016</v>
      </c>
      <c r="O25" s="143">
        <f>SUM(O16:O24)</f>
        <v>10.349854750000002</v>
      </c>
      <c r="P25" s="144">
        <f>SUM(P16:P24)</f>
        <v>424.34404475000008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392.30000000000007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39.230000000000011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13.730500000000003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339.33950000000004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74.654690000000016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413.99419000000006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10.349854750000002</v>
      </c>
    </row>
    <row r="35" spans="2:16" ht="15.75" customHeight="1" thickBot="1" x14ac:dyDescent="0.4">
      <c r="N35" s="213" t="s">
        <v>92</v>
      </c>
      <c r="O35" s="214"/>
      <c r="P35" s="160">
        <f>P33+P34</f>
        <v>424.34404475000008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136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137</v>
      </c>
      <c r="B6" s="239"/>
      <c r="C6" s="239"/>
      <c r="F6" s="70"/>
      <c r="G6" s="74"/>
      <c r="K6" s="239" t="s">
        <v>52</v>
      </c>
      <c r="L6" s="239"/>
      <c r="M6" s="239"/>
      <c r="N6" s="252" t="s">
        <v>104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 t="shared" si="3"/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298.61876000000007</v>
      </c>
      <c r="O22" s="119">
        <f t="shared" si="6"/>
        <v>41.399419000000009</v>
      </c>
      <c r="P22" s="120">
        <f t="shared" si="1"/>
        <v>1697.3761790000003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156.92000000000004</v>
      </c>
      <c r="M25" s="141">
        <f t="shared" si="9"/>
        <v>1357.3580000000002</v>
      </c>
      <c r="N25" s="142">
        <f>SUM(N16:N24)</f>
        <v>298.61876000000007</v>
      </c>
      <c r="O25" s="143">
        <f>SUM(O16:O24)</f>
        <v>41.399419000000009</v>
      </c>
      <c r="P25" s="144">
        <f>SUM(P16:P24)</f>
        <v>1697.3761790000003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1569.2000000000003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156.92000000000004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54.922000000000011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1357.3580000000002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298.61876000000007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1655.9767600000002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41.399419000000009</v>
      </c>
    </row>
    <row r="35" spans="2:16" ht="15.75" customHeight="1" thickBot="1" x14ac:dyDescent="0.4">
      <c r="N35" s="213" t="s">
        <v>92</v>
      </c>
      <c r="O35" s="214"/>
      <c r="P35" s="160">
        <f>P33+P34</f>
        <v>1697.3761790000003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abSelected="1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80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46205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46204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2026-07-02T05:28:33Z</dcterms:modified>
</cp:coreProperties>
</file>