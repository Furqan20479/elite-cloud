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680B6061-54C4-49EC-8378-C6EE31E68E7D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22" i="17" l="1"/>
  <c r="L22" i="19"/>
  <c r="L22" i="18"/>
  <c r="L22" i="21"/>
  <c r="L22" i="22"/>
  <c r="L22" i="23"/>
  <c r="L22" i="24"/>
  <c r="L22" i="26"/>
  <c r="L22" i="27"/>
  <c r="L22" i="28"/>
  <c r="L22" i="29"/>
  <c r="L22" i="30"/>
  <c r="L22" i="31"/>
  <c r="L22" i="32"/>
  <c r="L22" i="33"/>
  <c r="L22" i="34"/>
  <c r="L22" i="35"/>
  <c r="L22" i="16"/>
  <c r="K17" i="17"/>
  <c r="K18" i="17"/>
  <c r="K19" i="17"/>
  <c r="K20" i="17"/>
  <c r="K21" i="17"/>
  <c r="K22" i="17"/>
  <c r="K17" i="19"/>
  <c r="K18" i="19"/>
  <c r="K19" i="19"/>
  <c r="K20" i="19"/>
  <c r="K21" i="19"/>
  <c r="K22" i="19"/>
  <c r="K17" i="18"/>
  <c r="K18" i="18"/>
  <c r="K19" i="18"/>
  <c r="K20" i="18"/>
  <c r="K21" i="18"/>
  <c r="K22" i="18"/>
  <c r="K17" i="20"/>
  <c r="K17" i="21"/>
  <c r="K18" i="21"/>
  <c r="K19" i="21"/>
  <c r="K20" i="21"/>
  <c r="K21" i="21"/>
  <c r="K22" i="21"/>
  <c r="K17" i="22"/>
  <c r="K18" i="22"/>
  <c r="K19" i="22"/>
  <c r="K20" i="22"/>
  <c r="K21" i="22"/>
  <c r="K22" i="22"/>
  <c r="K17" i="23"/>
  <c r="K18" i="23"/>
  <c r="K19" i="23"/>
  <c r="K20" i="23"/>
  <c r="K21" i="23"/>
  <c r="K22" i="23"/>
  <c r="K20" i="24"/>
  <c r="K21" i="24"/>
  <c r="K22" i="24"/>
  <c r="K17" i="25"/>
  <c r="K18" i="25"/>
  <c r="K19" i="25"/>
  <c r="K20" i="25"/>
  <c r="K21" i="25"/>
  <c r="K17" i="26"/>
  <c r="K18" i="26"/>
  <c r="K19" i="26"/>
  <c r="K20" i="26"/>
  <c r="K21" i="26"/>
  <c r="K22" i="26"/>
  <c r="K17" i="27"/>
  <c r="K18" i="27"/>
  <c r="K19" i="27"/>
  <c r="K20" i="27"/>
  <c r="K21" i="27"/>
  <c r="K22" i="27"/>
  <c r="K17" i="28"/>
  <c r="K18" i="28"/>
  <c r="K19" i="28"/>
  <c r="K20" i="28"/>
  <c r="K21" i="28"/>
  <c r="K22" i="28"/>
  <c r="K17" i="29"/>
  <c r="K18" i="29"/>
  <c r="K19" i="29"/>
  <c r="K20" i="29"/>
  <c r="K21" i="29"/>
  <c r="K22" i="29"/>
  <c r="K17" i="30"/>
  <c r="K18" i="30"/>
  <c r="K19" i="30"/>
  <c r="K20" i="30"/>
  <c r="K21" i="30"/>
  <c r="K22" i="30"/>
  <c r="K17" i="31"/>
  <c r="K18" i="31"/>
  <c r="K19" i="31"/>
  <c r="K20" i="31"/>
  <c r="K21" i="31"/>
  <c r="K22" i="31"/>
  <c r="K17" i="32"/>
  <c r="K18" i="32"/>
  <c r="K19" i="32"/>
  <c r="K20" i="32"/>
  <c r="K21" i="32"/>
  <c r="K22" i="32"/>
  <c r="K17" i="33"/>
  <c r="K18" i="33"/>
  <c r="K19" i="33"/>
  <c r="K20" i="33"/>
  <c r="K21" i="33"/>
  <c r="K22" i="33"/>
  <c r="K17" i="34"/>
  <c r="K18" i="34"/>
  <c r="K19" i="34"/>
  <c r="K20" i="34"/>
  <c r="K21" i="34"/>
  <c r="K22" i="34"/>
  <c r="K17" i="35"/>
  <c r="K18" i="35"/>
  <c r="K19" i="35"/>
  <c r="K20" i="35"/>
  <c r="K21" i="35"/>
  <c r="K22" i="35"/>
  <c r="K17" i="16"/>
  <c r="K18" i="16"/>
  <c r="K19" i="16"/>
  <c r="K20" i="16"/>
  <c r="K21" i="16"/>
  <c r="K22" i="16"/>
  <c r="K16" i="17"/>
  <c r="K16" i="19"/>
  <c r="K16" i="18"/>
  <c r="K16" i="20"/>
  <c r="K16" i="21"/>
  <c r="K16" i="23"/>
  <c r="K16" i="25"/>
  <c r="K16" i="26"/>
  <c r="K16" i="27"/>
  <c r="K16" i="28"/>
  <c r="K16" i="29"/>
  <c r="K16" i="30"/>
  <c r="K16" i="31"/>
  <c r="K16" i="32"/>
  <c r="K16" i="33"/>
  <c r="K16" i="34"/>
  <c r="K16" i="35"/>
  <c r="K16" i="16"/>
  <c r="Z23" i="16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I19" i="28"/>
  <c r="I20" i="28"/>
  <c r="I21" i="28"/>
  <c r="I22" i="28"/>
  <c r="I23" i="28"/>
  <c r="L23" i="28" s="1"/>
  <c r="I24" i="28"/>
  <c r="I22" i="32"/>
  <c r="I18" i="33"/>
  <c r="I20" i="33"/>
  <c r="I16" i="30"/>
  <c r="I17" i="30"/>
  <c r="I18" i="30"/>
  <c r="I19" i="30"/>
  <c r="I20" i="30"/>
  <c r="I21" i="30"/>
  <c r="I22" i="30"/>
  <c r="I23" i="30"/>
  <c r="K23" i="30" s="1"/>
  <c r="M23" i="30" s="1"/>
  <c r="I24" i="30"/>
  <c r="I16" i="32"/>
  <c r="I17" i="32"/>
  <c r="I18" i="32"/>
  <c r="I19" i="32"/>
  <c r="I20" i="32"/>
  <c r="I21" i="32"/>
  <c r="I16" i="33"/>
  <c r="L16" i="33" s="1"/>
  <c r="I16" i="31"/>
  <c r="I17" i="31"/>
  <c r="I18" i="31"/>
  <c r="L18" i="31" s="1"/>
  <c r="I19" i="31"/>
  <c r="I20" i="31"/>
  <c r="I21" i="31"/>
  <c r="I22" i="31"/>
  <c r="I23" i="31"/>
  <c r="K23" i="31" s="1"/>
  <c r="I24" i="31"/>
  <c r="I23" i="32"/>
  <c r="I22" i="33"/>
  <c r="M22" i="33" s="1"/>
  <c r="I16" i="34"/>
  <c r="I17" i="34"/>
  <c r="I18" i="34"/>
  <c r="I19" i="34"/>
  <c r="I20" i="34"/>
  <c r="I21" i="34"/>
  <c r="I22" i="34"/>
  <c r="I23" i="34"/>
  <c r="I24" i="34"/>
  <c r="L24" i="34" s="1"/>
  <c r="I16" i="29"/>
  <c r="I17" i="29"/>
  <c r="I18" i="29"/>
  <c r="I19" i="29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M22" i="35"/>
  <c r="K23" i="35"/>
  <c r="L23" i="35"/>
  <c r="K24" i="35"/>
  <c r="L24" i="35"/>
  <c r="L16" i="34"/>
  <c r="L17" i="34"/>
  <c r="L18" i="34"/>
  <c r="L21" i="34"/>
  <c r="K23" i="34"/>
  <c r="L21" i="33"/>
  <c r="L20" i="33"/>
  <c r="K24" i="33"/>
  <c r="L24" i="33"/>
  <c r="M17" i="33"/>
  <c r="K24" i="32"/>
  <c r="L24" i="32"/>
  <c r="I25" i="32"/>
  <c r="P28" i="32" s="1"/>
  <c r="L16" i="32"/>
  <c r="L17" i="32"/>
  <c r="L19" i="32"/>
  <c r="L20" i="32"/>
  <c r="L21" i="32"/>
  <c r="K23" i="32"/>
  <c r="L23" i="32"/>
  <c r="M23" i="32" s="1"/>
  <c r="L17" i="31"/>
  <c r="M17" i="31" s="1"/>
  <c r="L21" i="31"/>
  <c r="K24" i="31"/>
  <c r="L24" i="31"/>
  <c r="L16" i="31"/>
  <c r="L20" i="31"/>
  <c r="L23" i="31"/>
  <c r="L20" i="30"/>
  <c r="L21" i="30"/>
  <c r="M21" i="30" s="1"/>
  <c r="L23" i="30"/>
  <c r="L16" i="30"/>
  <c r="L17" i="30"/>
  <c r="K24" i="30"/>
  <c r="L24" i="30"/>
  <c r="L16" i="29"/>
  <c r="L21" i="29"/>
  <c r="K24" i="29"/>
  <c r="M24" i="29" s="1"/>
  <c r="L24" i="29"/>
  <c r="L17" i="29"/>
  <c r="L20" i="29"/>
  <c r="L16" i="28"/>
  <c r="L17" i="28"/>
  <c r="M17" i="28" s="1"/>
  <c r="L19" i="28"/>
  <c r="L20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I25" i="28" l="1"/>
  <c r="P28" i="28" s="1"/>
  <c r="K23" i="28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I17" i="26"/>
  <c r="I18" i="26"/>
  <c r="I19" i="26"/>
  <c r="I20" i="26"/>
  <c r="L20" i="26" s="1"/>
  <c r="I21" i="26"/>
  <c r="I22" i="26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L16" i="27"/>
  <c r="L17" i="27"/>
  <c r="L20" i="27"/>
  <c r="K23" i="27"/>
  <c r="L23" i="27"/>
  <c r="K24" i="27"/>
  <c r="L24" i="27"/>
  <c r="L19" i="27"/>
  <c r="L18" i="27"/>
  <c r="L17" i="26"/>
  <c r="L19" i="26"/>
  <c r="K23" i="26"/>
  <c r="L23" i="26"/>
  <c r="L18" i="26"/>
  <c r="K24" i="26"/>
  <c r="L16" i="26"/>
  <c r="T23" i="15"/>
  <c r="T22" i="15"/>
  <c r="T21" i="15"/>
  <c r="T20" i="15"/>
  <c r="T19" i="15"/>
  <c r="T18" i="15"/>
  <c r="T15" i="15"/>
  <c r="T14" i="15"/>
  <c r="I25" i="27" l="1"/>
  <c r="P28" i="27" s="1"/>
  <c r="L21" i="27"/>
  <c r="L21" i="26"/>
  <c r="M21" i="26" s="1"/>
  <c r="N21" i="26" s="1"/>
  <c r="O21" i="26" s="1"/>
  <c r="N24" i="34"/>
  <c r="O24" i="34" s="1"/>
  <c r="K25" i="34"/>
  <c r="P30" i="34" s="1"/>
  <c r="P31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K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N25" i="34"/>
  <c r="P32" i="34" s="1"/>
  <c r="P33" i="34" s="1"/>
  <c r="P34" i="34" s="1"/>
  <c r="P35" i="34" s="1"/>
  <c r="U32" i="15" s="1"/>
  <c r="P24" i="34"/>
  <c r="I16" i="25"/>
  <c r="I17" i="25"/>
  <c r="I18" i="25"/>
  <c r="I19" i="25"/>
  <c r="I20" i="25"/>
  <c r="I22" i="25"/>
  <c r="I23" i="25"/>
  <c r="I24" i="25"/>
  <c r="L24" i="25" s="1"/>
  <c r="I21" i="18"/>
  <c r="I22" i="18"/>
  <c r="I24" i="18"/>
  <c r="L24" i="18" s="1"/>
  <c r="I19" i="19"/>
  <c r="L19" i="19" s="1"/>
  <c r="I20" i="19"/>
  <c r="I21" i="19"/>
  <c r="L21" i="19" s="1"/>
  <c r="I22" i="19"/>
  <c r="I23" i="19"/>
  <c r="L23" i="19" s="1"/>
  <c r="I24" i="19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I21" i="24"/>
  <c r="L21" i="24" s="1"/>
  <c r="I22" i="24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I24" i="23"/>
  <c r="L24" i="23" s="1"/>
  <c r="I16" i="20"/>
  <c r="L16" i="20" s="1"/>
  <c r="I18" i="20"/>
  <c r="K18" i="20" s="1"/>
  <c r="I20" i="20"/>
  <c r="I22" i="20"/>
  <c r="I24" i="20"/>
  <c r="K24" i="20" s="1"/>
  <c r="I16" i="21"/>
  <c r="L16" i="21" s="1"/>
  <c r="I18" i="21"/>
  <c r="I20" i="21"/>
  <c r="I22" i="21"/>
  <c r="I24" i="21"/>
  <c r="K24" i="21" s="1"/>
  <c r="I16" i="17"/>
  <c r="I17" i="17"/>
  <c r="I18" i="17"/>
  <c r="I19" i="17"/>
  <c r="I20" i="17"/>
  <c r="I21" i="17"/>
  <c r="L21" i="17" s="1"/>
  <c r="I22" i="17"/>
  <c r="I23" i="17"/>
  <c r="K23" i="17" s="1"/>
  <c r="I24" i="17"/>
  <c r="K24" i="17" s="1"/>
  <c r="I19" i="18"/>
  <c r="I23" i="18"/>
  <c r="L23" i="18" s="1"/>
  <c r="L18" i="25"/>
  <c r="L20" i="25"/>
  <c r="L16" i="25"/>
  <c r="K24" i="25"/>
  <c r="L17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L20" i="19"/>
  <c r="K24" i="19"/>
  <c r="L24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25" l="1"/>
  <c r="M22" i="25" s="1"/>
  <c r="N22" i="25" s="1"/>
  <c r="O22" i="25" s="1"/>
  <c r="L22" i="25"/>
  <c r="L16" i="24"/>
  <c r="K16" i="24"/>
  <c r="L17" i="24"/>
  <c r="K17" i="24"/>
  <c r="M17" i="24" s="1"/>
  <c r="N17" i="24" s="1"/>
  <c r="O17" i="24" s="1"/>
  <c r="L19" i="24"/>
  <c r="K19" i="24"/>
  <c r="L20" i="20"/>
  <c r="K20" i="20"/>
  <c r="L21" i="20"/>
  <c r="K21" i="20"/>
  <c r="M21" i="20" s="1"/>
  <c r="N21" i="20" s="1"/>
  <c r="O21" i="20" s="1"/>
  <c r="L22" i="20"/>
  <c r="K22" i="20"/>
  <c r="L24" i="17"/>
  <c r="M21" i="19"/>
  <c r="K23" i="24"/>
  <c r="I25" i="25"/>
  <c r="P28" i="25" s="1"/>
  <c r="M22" i="18"/>
  <c r="N22" i="18" s="1"/>
  <c r="O22" i="18" s="1"/>
  <c r="L18" i="17"/>
  <c r="K23" i="19"/>
  <c r="M23" i="19" s="1"/>
  <c r="N23" i="19" s="1"/>
  <c r="O23" i="19" s="1"/>
  <c r="L23" i="22"/>
  <c r="L25" i="22" s="1"/>
  <c r="P29" i="22" s="1"/>
  <c r="L19" i="25"/>
  <c r="M16" i="24"/>
  <c r="N16" i="24" s="1"/>
  <c r="M18" i="18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M19" i="24"/>
  <c r="N19" i="24" s="1"/>
  <c r="O19" i="24" s="1"/>
  <c r="P19" i="24" s="1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M22" i="21"/>
  <c r="N22" i="21" s="1"/>
  <c r="O22" i="21" s="1"/>
  <c r="L18" i="21"/>
  <c r="M18" i="21" s="1"/>
  <c r="N18" i="21" s="1"/>
  <c r="O18" i="21" s="1"/>
  <c r="M16" i="20"/>
  <c r="N16" i="20" s="1"/>
  <c r="M22" i="17"/>
  <c r="N22" i="17" s="1"/>
  <c r="O22" i="17" s="1"/>
  <c r="L19" i="21"/>
  <c r="M19" i="21" s="1"/>
  <c r="N19" i="21" s="1"/>
  <c r="O19" i="21" s="1"/>
  <c r="M17" i="21"/>
  <c r="N17" i="21" s="1"/>
  <c r="O17" i="21" s="1"/>
  <c r="P17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M22" i="24"/>
  <c r="N22" i="24" s="1"/>
  <c r="O22" i="24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M17" i="18"/>
  <c r="N17" i="18" s="1"/>
  <c r="O17" i="18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M20" i="20"/>
  <c r="N20" i="20" s="1"/>
  <c r="O20" i="20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18" i="25"/>
  <c r="N18" i="25" s="1"/>
  <c r="O18" i="25" s="1"/>
  <c r="M19" i="25"/>
  <c r="M20" i="25"/>
  <c r="N20" i="25" s="1"/>
  <c r="O20" i="25" s="1"/>
  <c r="M24" i="24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M16" i="21"/>
  <c r="N16" i="21" s="1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I18" i="16"/>
  <c r="I19" i="16"/>
  <c r="I20" i="16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4" i="24"/>
  <c r="O24" i="24" s="1"/>
  <c r="K25" i="24"/>
  <c r="P30" i="24" s="1"/>
  <c r="M16" i="22"/>
  <c r="M21" i="21"/>
  <c r="N21" i="21" s="1"/>
  <c r="M17" i="19"/>
  <c r="N17" i="19" s="1"/>
  <c r="O17" i="19" s="1"/>
  <c r="N24" i="19"/>
  <c r="O24" i="19" s="1"/>
  <c r="L25" i="19"/>
  <c r="P29" i="19" s="1"/>
  <c r="N24" i="18"/>
  <c r="O24" i="18" s="1"/>
  <c r="N18" i="18"/>
  <c r="O18" i="18" s="1"/>
  <c r="I23" i="15"/>
  <c r="L25" i="25" l="1"/>
  <c r="P29" i="25" s="1"/>
  <c r="L17" i="16"/>
  <c r="M23" i="22"/>
  <c r="N23" i="22" s="1"/>
  <c r="O23" i="22" s="1"/>
  <c r="L21" i="16"/>
  <c r="L21" i="15" s="1"/>
  <c r="K25" i="19"/>
  <c r="P30" i="19" s="1"/>
  <c r="L22" i="15"/>
  <c r="L19" i="16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N21" i="19"/>
  <c r="O21" i="19" s="1"/>
  <c r="P17" i="19"/>
  <c r="P31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19" i="18" l="1"/>
  <c r="M25" i="20"/>
  <c r="M25" i="19"/>
  <c r="P22" i="20"/>
  <c r="M21" i="15"/>
  <c r="M25" i="18"/>
  <c r="M16" i="15"/>
  <c r="M22" i="15"/>
  <c r="M18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P33" i="18" s="1"/>
  <c r="O16" i="17"/>
  <c r="O25" i="17" s="1"/>
  <c r="N25" i="17"/>
  <c r="P32" i="17" s="1"/>
  <c r="O16" i="16"/>
  <c r="P25" i="20" l="1"/>
  <c r="N18" i="15"/>
  <c r="O16" i="18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<sst xmlns="http://schemas.openxmlformats.org/spreadsheetml/2006/main" count="1636" uniqueCount="147">
  <si>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</si>
  <si>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</si>
  <si>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</si>
  <si>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</si>
  <si>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</si>
  <si>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</si>
  <si>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</si>
  <si>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</si>
  <si>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</si>
  <si>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</si>
  <si>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</si>
  <si>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</si>
  <si>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</si>
  <si>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</si>
  <si>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</si>
  <si>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</si>
  <si>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</si>
  <si>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</si>
  <si>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</si>
  <si>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</si>
  <si>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</si>
  <si>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</si>
  <si>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</si>
  <si>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</si>
  <si>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</si>
  <si>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</si>
  <si>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</si>
  <si>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</si>
  <si>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</si>
  <si>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</si>
  <si>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</si>
  <si>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</si>
  <si>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</si>
  <si>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</si>
  <si>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</si>
  <si>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</si>
  <si>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</si>
  <si>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</si>
  <si>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</si>
  <si>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</si>
  <si>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</si>
  <si>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</si>
  <si>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</si>
  <si>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</si>
  <si>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</si>
  <si>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</si>
  <si>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</si>
  <si>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</si>
  <si>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</si>
  <si>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</si>
  <si>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</si>
  <si>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</si>
  <si>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</si>
  <si>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</si>
  <si>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</si>
  <si>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</si>
  <si>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</si>
  <si>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</si>
  <si>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</si>
  <si>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</si>
  <si>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</si>
  <si>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</si>
  <si>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</si>
  <si>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</si>
  <si>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</si>
  <si>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</si>
  <si>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</si>
  <si>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</si>
  <si>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</si>
  <si>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</si>
  <si>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</si>
  <si>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</si>
  <si>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</si>
  <si>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</si>
  <si>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</si>
  <si>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</si>
  <si>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</si>
  <si>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</si>
  <si>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</si>
  <si>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</si>
  <si>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</si>
  <si>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</si>
  <si>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</si>
  <si>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</si>
  <si>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</si>
  <si>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</si>
  <si>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</si>
  <si>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</si>
  <si>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</si>
  <si>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</si>
  <si>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</si>
  <si>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</si>
  <si>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</si>
  <si>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</si>
  <si>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</si>
  <si>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</si>
  <si>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</si>
  <si>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</si>
  <si>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</si>
  <si>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</si>
  <si>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</si>
  <si>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</si>
  <si>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</si>
  <si>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</si>
  <si>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</si>
  <si>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</si>
  <si>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</si>
  <si>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</si>
  <si>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</si>
  <si>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</si>
  <si>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</si>
  <si>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</si>
  <si>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</si>
  <si>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</si>
  <si>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</si>
  <si>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</si>
  <si>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</si>
  <si>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</si>
  <si>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</si>
  <si>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</si>
  <si>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Shop Bill Summary (Furqan)</t>
  </si>
  <si>
    <t>Customer Name : Bismillah General Store</t>
  </si>
  <si>
    <t>Address: Shadman Market</t>
  </si>
  <si>
    <t>0162016-9</t>
  </si>
  <si>
    <t>Customer Name : Bilal Store</t>
  </si>
  <si>
    <t>Address: Shadman Choti Market</t>
  </si>
  <si>
    <t>Customer Name : New Data Store</t>
  </si>
  <si>
    <t>Address: Ahta Mul Channel Ichra</t>
  </si>
  <si>
    <t>Customer Name : Sohna Departmental Store</t>
  </si>
  <si>
    <t>Address: Brid Wood Road</t>
  </si>
  <si>
    <t>792884-8</t>
  </si>
  <si>
    <t>Customer Name : Khan Nimko</t>
  </si>
  <si>
    <t>Address: Chiragh Din Road</t>
  </si>
  <si>
    <t>Customer Name : Hafiz Store</t>
  </si>
  <si>
    <t>Address: Chirag Din Road</t>
  </si>
  <si>
    <t>1436856-7</t>
  </si>
  <si>
    <t>Customer Name : Shell Petro Mart</t>
  </si>
  <si>
    <t xml:space="preserve">Address: Near PSO </t>
  </si>
  <si>
    <t>Customer Name : Madina Store</t>
  </si>
  <si>
    <t>Address: Saadi Park</t>
  </si>
  <si>
    <t>Customer Name : Rohan Store</t>
  </si>
  <si>
    <t>Customer Name : Super Bakery</t>
  </si>
  <si>
    <t>Address: Mozang Kanak Mandi</t>
  </si>
  <si>
    <t>Address: Kanak Mandi</t>
  </si>
  <si>
    <t>Customer Name : Data Store</t>
  </si>
  <si>
    <t>Address: Kanak Mandi Chowk</t>
  </si>
  <si>
    <t>Address: Ahta Mul Chan Ichra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</si>
</sst>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L22" sqref="L22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L22" sqref="L22"/>
      <selection pane="topRight" activeCell="L22" sqref="L22"/>
      <selection pane="bottomLeft" activeCell="L22" sqref="L22"/>
      <selection pane="bottomRight" activeCell="L22" sqref="L22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abSelected="1" topLeftCell="A22" zoomScale="70" zoomScaleNormal="70" workbookViewId="0">
      <selection activeCell="S19" sqref="S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70.7265625" bestFit="1" customWidth="1"/>
    <col min="21" max="21" width="10.453125" bestFit="1" customWidth="1"/>
  </cols>
  <sheetData>
    <row r="2" spans="1:21 16383:16384" ht="21" x14ac:dyDescent="0.5">
      <c r="A2" s="255" t="s">
        <v>45</v>
      </c>
      <c r="B2" s="255"/>
      <c r="C2" s="255"/>
    </row>
    <row r="3" spans="1:21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4" t="s">
        <v>96</v>
      </c>
      <c r="B5" s="254"/>
      <c r="C5" s="254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21 16383:16384" ht="15" customHeight="1" x14ac:dyDescent="0.35">
      <c r="A6" s="254"/>
      <c r="B6" s="254"/>
      <c r="C6" s="254"/>
      <c r="F6" s="70"/>
      <c r="G6" s="74"/>
      <c r="K6" s="239" t="s">
        <v>52</v>
      </c>
      <c r="L6" s="239"/>
      <c r="M6" s="239"/>
      <c r="N6" s="252" t="s">
        <v>42</v>
      </c>
      <c r="O6" s="252"/>
      <c r="P6" s="25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1 16383:16384" hidden="1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1 16383:16384" x14ac:dyDescent="0.35">
      <c r="A10" s="237"/>
      <c r="B10" s="75"/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1 16383:16384" ht="15" thickBot="1" x14ac:dyDescent="0.4">
      <c r="A11" s="237"/>
      <c r="B11" s="76"/>
      <c r="C11" s="77"/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1 16383:16384" ht="14.65" customHeight="1" x14ac:dyDescent="0.35">
      <c r="A12" s="237"/>
      <c r="B12" s="76"/>
      <c r="C12" s="77"/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T12" s="209" t="s">
        <v>120</v>
      </c>
      <c r="U12" s="210"/>
      <c r="XFD12" t="s">
        <v>62</v>
      </c>
    </row>
    <row r="13" spans="1:21 16383:16384" ht="15" thickBot="1" x14ac:dyDescent="0.4">
      <c r="A13" s="238"/>
      <c r="J13" s="78"/>
      <c r="K13" s="78"/>
      <c r="L13" s="79">
        <v>0.05</v>
      </c>
      <c r="T13" s="211"/>
      <c r="U13" s="212"/>
      <c r="XFD13" t="s">
        <v>63</v>
      </c>
    </row>
    <row r="14" spans="1:21 16383:16384" ht="29.25" customHeight="1" x14ac:dyDescent="0.6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8" t="s">
        <v>69</v>
      </c>
      <c r="J14" s="248" t="s">
        <v>70</v>
      </c>
      <c r="K14" s="248"/>
      <c r="L14" s="250"/>
      <c r="M14" s="24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Bismillah General Store</v>
      </c>
      <c r="U14" s="164">
        <f>+'1'!P35</f>
        <v>2312.6010579000003</v>
      </c>
      <c r="XFD14" t="s">
        <v>75</v>
      </c>
    </row>
    <row r="15" spans="1:21 16383:16384" ht="29.25" customHeight="1" thickBot="1" x14ac:dyDescent="0.65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9"/>
      <c r="J15" s="171" t="s">
        <v>78</v>
      </c>
      <c r="K15" s="171" t="s">
        <v>79</v>
      </c>
      <c r="L15" s="174" t="s">
        <v>80</v>
      </c>
      <c r="M15" s="24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Bilal Store</v>
      </c>
      <c r="U15" s="164">
        <f>+'2'!P35</f>
        <v>1524.7448352000001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6</v>
      </c>
      <c r="I16" s="1">
        <f>(G16*D16)*F16+H16*F16</f>
        <v>314.77499999999998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11.017125</v>
      </c>
      <c r="L16" s="175">
        <f>+'1'!L16+'2'!L16+'4'!L16+'3'!L16+'5'!L16+'6'!L16+'7'!L16+'8'!L16+'9'!L16+'10'!L16</f>
        <v>25.181999999999999</v>
      </c>
      <c r="M16" s="106">
        <f>I16-K16-L16</f>
        <v>278.57587499999994</v>
      </c>
      <c r="N16" s="101">
        <f>+'1'!N16+'2'!N16+'4'!N16+'3'!N16+'5'!N16+'6'!N16+'7'!N16+'8'!N16+'9'!N16+'10'!N16</f>
        <v>61.286692499999987</v>
      </c>
      <c r="O16" s="101">
        <f>+'1'!O16+'2'!O16+'4'!O16+'3'!O16+'5'!O16+'6'!O16+'7'!O16+'8'!O16+'9'!O16+'10'!O16</f>
        <v>1.6993128374999997</v>
      </c>
      <c r="P16" s="105">
        <f t="shared" ref="P16:P24" si="0">M16+N16+O16</f>
        <v>341.56188033749993</v>
      </c>
      <c r="Q16" s="108"/>
      <c r="T16" s="163" t="str">
        <f>+'3'!A5</f>
        <v>Customer Name : New Data Store</v>
      </c>
      <c r="U16" s="164">
        <f>+'3'!P35</f>
        <v>1425.5701598999999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72</v>
      </c>
      <c r="I17" s="1">
        <f t="shared" ref="I17:I23" si="1">(G17*D17)*F17+H17*F17</f>
        <v>3777.2999999999997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132.2055</v>
      </c>
      <c r="L17" s="175">
        <f>+'1'!L17+'2'!L17+'4'!L17+'3'!L17+'5'!L17+'6'!L17+'7'!L17+'8'!L17+'9'!L17+'10'!L17</f>
        <v>302.18399999999997</v>
      </c>
      <c r="M17" s="118">
        <f t="shared" ref="M17:M23" si="2">I17-K17-L17</f>
        <v>3342.9105</v>
      </c>
      <c r="N17" s="101">
        <f>+'1'!N17+'2'!N17+'4'!N17+'3'!N17+'5'!N17+'6'!N17+'7'!N17+'8'!N17+'9'!N17+'10'!N17</f>
        <v>735.44031000000007</v>
      </c>
      <c r="O17" s="101">
        <f>+'1'!O17+'2'!O17+'4'!O17+'3'!O17+'5'!O17+'6'!O17+'7'!O17+'8'!O17+'9'!O17+'10'!O17</f>
        <v>43.049258550000005</v>
      </c>
      <c r="P17" s="120">
        <f t="shared" si="0"/>
        <v>4121.4000685499996</v>
      </c>
      <c r="S17" s="64"/>
      <c r="T17" s="163" t="str">
        <f>+'4'!A5</f>
        <v>Customer Name : Sohna Departmental Store</v>
      </c>
      <c r="U17" s="164">
        <f>+'4'!P35</f>
        <v>2277.07920225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Khan Nimko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54</v>
      </c>
      <c r="I19" s="1">
        <f t="shared" si="1"/>
        <v>3922.56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86.441600000000008</v>
      </c>
      <c r="L19" s="175">
        <f>+'1'!L19+'2'!L19+'4'!L19+'3'!L19+'5'!L19+'6'!L19+'7'!L19+'8'!L19+'9'!L19+'10'!L19</f>
        <v>197.58080000000001</v>
      </c>
      <c r="M19" s="118">
        <f t="shared" si="2"/>
        <v>3638.5375999999997</v>
      </c>
      <c r="N19" s="101">
        <f>+'1'!N19+'2'!N19+'4'!N19+'3'!N19+'5'!N19+'6'!N19+'7'!N19+'8'!N19+'9'!N19+'10'!N19</f>
        <v>432.00460800000008</v>
      </c>
      <c r="O19" s="101">
        <f>+'1'!O19+'2'!O19+'4'!O19+'3'!O19+'5'!O19+'6'!O19+'7'!O19+'8'!O19+'9'!O19+'10'!O19</f>
        <v>31.911768960000003</v>
      </c>
      <c r="P19" s="120">
        <f t="shared" si="0"/>
        <v>4102.4539769599996</v>
      </c>
      <c r="T19" s="163" t="str">
        <f>+'6'!A5</f>
        <v>Customer Name : Hafiz Store</v>
      </c>
      <c r="U19" s="164">
        <f>+'6'!P35</f>
        <v>2929.5767934224996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90</v>
      </c>
      <c r="I20" s="1">
        <f t="shared" si="1"/>
        <v>6537.6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127.12000000000002</v>
      </c>
      <c r="L20" s="175">
        <f>+'1'!L20+'2'!L20+'4'!L20+'3'!L20+'5'!L20+'6'!L20+'7'!L20+'8'!L20+'9'!L20+'10'!L20</f>
        <v>290.56</v>
      </c>
      <c r="M20" s="118">
        <f t="shared" si="2"/>
        <v>6119.92</v>
      </c>
      <c r="N20" s="101">
        <f>+'1'!N20+'2'!N20+'4'!N20+'3'!N20+'5'!N20+'6'!N20+'7'!N20+'8'!N20+'9'!N20+'10'!N20</f>
        <v>691.72166400000003</v>
      </c>
      <c r="O20" s="101">
        <f>+'1'!O20+'2'!O20+'4'!O20+'3'!O20+'5'!O20+'6'!O20+'7'!O20+'8'!O20+'9'!O20+'10'!O20</f>
        <v>69.725029440000014</v>
      </c>
      <c r="P20" s="120">
        <f t="shared" si="0"/>
        <v>6881.3666934399998</v>
      </c>
      <c r="T20" s="163" t="str">
        <f>+'7'!A5</f>
        <v>Customer Name : Shell Petro Mart</v>
      </c>
      <c r="U20" s="164">
        <f>+'7'!P35</f>
        <v>4376.8028336249999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109</v>
      </c>
      <c r="I21" s="1">
        <f t="shared" si="1"/>
        <v>7917.76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175.42560000000003</v>
      </c>
      <c r="L21" s="175">
        <f>+'1'!L21+'2'!L21+'4'!L21+'3'!L21+'5'!L21+'6'!L21+'7'!L21+'8'!L21+'9'!L21+'10'!L21</f>
        <v>400.97280000000001</v>
      </c>
      <c r="M21" s="118">
        <f t="shared" si="2"/>
        <v>7341.3616000000002</v>
      </c>
      <c r="N21" s="101">
        <f>+'1'!N21+'2'!N21+'4'!N21+'3'!N21+'5'!N21+'6'!N21+'7'!N21+'8'!N21+'9'!N21+'10'!N21</f>
        <v>896.15241600000002</v>
      </c>
      <c r="O21" s="101">
        <f>+'1'!O21+'2'!O21+'4'!O21+'3'!O21+'5'!O21+'6'!O21+'7'!O21+'8'!O21+'9'!O21+'10'!O21</f>
        <v>95.060299680000014</v>
      </c>
      <c r="P21" s="120">
        <f t="shared" si="0"/>
        <v>8332.5743156800017</v>
      </c>
      <c r="T21" s="163" t="str">
        <f>+'8'!A5</f>
        <v>Customer Name : Madina Store</v>
      </c>
      <c r="U21" s="164">
        <f>+'8'!P35</f>
        <v>2894.0451551999995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54</v>
      </c>
      <c r="I22" s="1">
        <f t="shared" si="1"/>
        <v>2118.42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41.191500000000012</v>
      </c>
      <c r="L22" s="175">
        <f>+'1'!L22+'2'!L22+'4'!L22+'3'!L22+'5'!L22+'6'!L22+'7'!L22+'8'!L22+'9'!L22+'10'!L22</f>
        <v>117.69000000000003</v>
      </c>
      <c r="M22" s="118">
        <f t="shared" si="2"/>
        <v>1959.5385000000001</v>
      </c>
      <c r="N22" s="101">
        <f>+'1'!N22+'2'!N22+'4'!N22+'3'!N22+'5'!N22+'6'!N22+'7'!N22+'8'!N22+'9'!N22+'10'!N22</f>
        <v>191.38747799999999</v>
      </c>
      <c r="O22" s="101">
        <f>+'1'!O22+'2'!O22+'4'!O22+'3'!O22+'5'!O22+'6'!O22+'7'!O22+'8'!O22+'9'!O22+'10'!O22</f>
        <v>15.657124529999999</v>
      </c>
      <c r="P22" s="120">
        <f t="shared" si="0"/>
        <v>2166.5831025300004</v>
      </c>
      <c r="T22" s="163" t="str">
        <f>+'9'!A5</f>
        <v>Customer Name : Rohan Store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Super Bakery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Hafiz Store</v>
      </c>
      <c r="U24" s="164">
        <f>+'11'!P35</f>
        <v>3152.8622015999999</v>
      </c>
    </row>
    <row r="25" spans="1:21 16384:16384" ht="26.5" thickBot="1" x14ac:dyDescent="0.65">
      <c r="A25" s="219" t="s">
        <v>84</v>
      </c>
      <c r="B25" s="220"/>
      <c r="C25" s="221">
        <f>H25/40</f>
        <v>9.625</v>
      </c>
      <c r="D25" s="215"/>
      <c r="E25" s="215"/>
      <c r="F25" s="215"/>
      <c r="G25" s="176">
        <f t="shared" ref="G25:M25" si="3">SUM(G16:G24)</f>
        <v>0</v>
      </c>
      <c r="H25" s="177">
        <f t="shared" si="3"/>
        <v>385</v>
      </c>
      <c r="I25" s="178">
        <f t="shared" si="3"/>
        <v>24588.415000000001</v>
      </c>
      <c r="J25" s="177">
        <f t="shared" si="3"/>
        <v>0</v>
      </c>
      <c r="K25" s="178">
        <f t="shared" si="3"/>
        <v>573.40132500000004</v>
      </c>
      <c r="L25" s="179">
        <f t="shared" si="3"/>
        <v>1334.1695999999999</v>
      </c>
      <c r="M25" s="141">
        <f t="shared" si="3"/>
        <v>22680.844074999997</v>
      </c>
      <c r="N25" s="142">
        <f>SUM(N16:N24)</f>
        <v>3007.9931685000001</v>
      </c>
      <c r="O25" s="143">
        <f>SUM(O16:O24)</f>
        <v>257.10279399750004</v>
      </c>
      <c r="P25" s="144">
        <f>SUM(P16:P24)</f>
        <v>25945.940037497501</v>
      </c>
      <c r="T25" s="163" t="str">
        <f>+'12'!A5</f>
        <v>Customer Name : Data Store</v>
      </c>
      <c r="U25" s="164">
        <f>+'12'!P35</f>
        <v>4823.4085919999998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>Customer Name : Data Store</v>
      </c>
      <c r="U26" s="164">
        <f>+'13'!P35</f>
        <v>985.03470059999995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26701.725531697499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2" t="s">
        <v>85</v>
      </c>
      <c r="C36" s="223"/>
      <c r="D36" s="223"/>
      <c r="E36" s="223"/>
      <c r="F36" s="223"/>
      <c r="G36" s="223"/>
      <c r="H36" s="223"/>
      <c r="I36" s="223"/>
      <c r="J36" s="223"/>
      <c r="K36" s="223"/>
      <c r="L36" s="224"/>
      <c r="N36" s="231" t="s">
        <v>86</v>
      </c>
      <c r="O36" s="232"/>
      <c r="P36" s="152">
        <f>I25</f>
        <v>24588.415000000001</v>
      </c>
    </row>
    <row r="37" spans="1:21" ht="15" customHeight="1" x14ac:dyDescent="0.35">
      <c r="B37" s="225"/>
      <c r="C37" s="226"/>
      <c r="D37" s="226"/>
      <c r="E37" s="226"/>
      <c r="F37" s="226"/>
      <c r="G37" s="226"/>
      <c r="H37" s="226"/>
      <c r="I37" s="226"/>
      <c r="J37" s="226"/>
      <c r="K37" s="226"/>
      <c r="L37" s="227"/>
      <c r="N37" s="233" t="s">
        <v>87</v>
      </c>
      <c r="O37" s="234"/>
      <c r="P37" s="153">
        <f>L25</f>
        <v>1334.1695999999999</v>
      </c>
    </row>
    <row r="38" spans="1:21" ht="15" customHeight="1" x14ac:dyDescent="0.35">
      <c r="B38" s="225"/>
      <c r="C38" s="226"/>
      <c r="D38" s="226"/>
      <c r="E38" s="226"/>
      <c r="F38" s="226"/>
      <c r="G38" s="226"/>
      <c r="H38" s="226"/>
      <c r="I38" s="226"/>
      <c r="J38" s="226"/>
      <c r="K38" s="226"/>
      <c r="L38" s="227"/>
      <c r="N38" s="233" t="s">
        <v>4</v>
      </c>
      <c r="O38" s="234"/>
      <c r="P38" s="154">
        <f>K25</f>
        <v>573.40132500000004</v>
      </c>
    </row>
    <row r="39" spans="1:21" ht="15" customHeight="1" x14ac:dyDescent="0.35">
      <c r="B39" s="225"/>
      <c r="C39" s="226"/>
      <c r="D39" s="226"/>
      <c r="E39" s="226"/>
      <c r="F39" s="226"/>
      <c r="G39" s="226"/>
      <c r="H39" s="226"/>
      <c r="I39" s="226"/>
      <c r="J39" s="226"/>
      <c r="K39" s="226"/>
      <c r="L39" s="227"/>
      <c r="M39" s="2"/>
      <c r="N39" s="233" t="s">
        <v>88</v>
      </c>
      <c r="O39" s="234"/>
      <c r="P39" s="153">
        <f>P36-P37-P38</f>
        <v>22680.844075000001</v>
      </c>
    </row>
    <row r="40" spans="1:21" ht="15" customHeight="1" x14ac:dyDescent="0.35">
      <c r="B40" s="225"/>
      <c r="C40" s="226"/>
      <c r="D40" s="226"/>
      <c r="E40" s="226"/>
      <c r="F40" s="226"/>
      <c r="G40" s="226"/>
      <c r="H40" s="226"/>
      <c r="I40" s="226"/>
      <c r="J40" s="226"/>
      <c r="K40" s="226"/>
      <c r="L40" s="227"/>
      <c r="M40" s="2"/>
      <c r="N40" s="155" t="s">
        <v>89</v>
      </c>
      <c r="O40" s="156">
        <f>IF(B12="Registered",18%,22%)</f>
        <v>0.22</v>
      </c>
      <c r="P40" s="153">
        <f>N25</f>
        <v>3007.9931685000001</v>
      </c>
    </row>
    <row r="41" spans="1:21" ht="15" customHeight="1" x14ac:dyDescent="0.35">
      <c r="B41" s="225"/>
      <c r="C41" s="226"/>
      <c r="D41" s="226"/>
      <c r="E41" s="226"/>
      <c r="F41" s="226"/>
      <c r="G41" s="226"/>
      <c r="H41" s="226"/>
      <c r="I41" s="226"/>
      <c r="J41" s="226"/>
      <c r="K41" s="226"/>
      <c r="L41" s="227"/>
      <c r="M41" s="2"/>
      <c r="N41" s="235" t="s">
        <v>90</v>
      </c>
      <c r="O41" s="236"/>
      <c r="P41" s="153">
        <f>P39+P40</f>
        <v>25688.837243500002</v>
      </c>
    </row>
    <row r="42" spans="1:21" ht="15" customHeight="1" thickBot="1" x14ac:dyDescent="0.4">
      <c r="B42" s="228"/>
      <c r="C42" s="229"/>
      <c r="D42" s="229"/>
      <c r="E42" s="229"/>
      <c r="F42" s="229"/>
      <c r="G42" s="229"/>
      <c r="H42" s="229"/>
      <c r="I42" s="229"/>
      <c r="J42" s="229"/>
      <c r="K42" s="229"/>
      <c r="L42" s="230"/>
      <c r="M42" s="157"/>
      <c r="N42" s="158" t="s">
        <v>91</v>
      </c>
      <c r="O42" s="159">
        <f>IF(B11="Filer",0.5%,2.5%)</f>
        <v>2.5000000000000001E-2</v>
      </c>
      <c r="P42" s="153">
        <f>O42*P41</f>
        <v>642.22093108750005</v>
      </c>
    </row>
    <row r="43" spans="1:21" ht="15.75" customHeight="1" thickBot="1" x14ac:dyDescent="0.4">
      <c r="N43" s="213" t="s">
        <v>92</v>
      </c>
      <c r="O43" s="214"/>
      <c r="P43" s="160">
        <f>P41+P42</f>
        <v>26331.058174587502</v>
      </c>
    </row>
    <row r="44" spans="1:21" ht="15" thickBot="1" x14ac:dyDescent="0.4">
      <c r="B44" s="161" t="s">
        <v>93</v>
      </c>
      <c r="C44" s="215"/>
      <c r="D44" s="215"/>
      <c r="E44" s="215"/>
      <c r="F44" s="215"/>
      <c r="G44" s="215"/>
      <c r="H44" s="215"/>
      <c r="I44" s="216"/>
      <c r="J44" s="217"/>
      <c r="K44" s="218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workbookViewId="0">
      <selection activeCell="A8" sqref="A8:C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5" t="s">
        <v>45</v>
      </c>
      <c r="B2" s="255"/>
      <c r="C2" s="255"/>
    </row>
    <row r="3" spans="1:26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6" t="s">
        <v>121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26 16383:16384" ht="15" customHeight="1" x14ac:dyDescent="0.35">
      <c r="A6" s="239" t="s">
        <v>122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26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26 16383:16384" x14ac:dyDescent="0.35">
      <c r="A10" s="237" t="s">
        <v>95</v>
      </c>
      <c r="B10" s="75" t="s">
        <v>123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26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26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26 16383:16384" ht="15" thickBot="1" x14ac:dyDescent="0.4">
      <c r="A13" s="238"/>
      <c r="B13" s="168">
        <v>0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S14" s="256" t="s">
        <v>117</v>
      </c>
      <c r="T14" s="256"/>
      <c r="U14" s="256"/>
      <c r="V14" s="256"/>
      <c r="W14" s="257" t="s">
        <v>119</v>
      </c>
      <c r="X14" s="257"/>
      <c r="Y14" s="257"/>
      <c r="Z14" s="257"/>
      <c r="XFD14" t="s">
        <v>75</v>
      </c>
    </row>
    <row r="15" spans="1:26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5" t="s">
        <v>109</v>
      </c>
      <c r="T15" s="185" t="s">
        <v>110</v>
      </c>
      <c r="U15" s="185" t="s">
        <v>114</v>
      </c>
      <c r="V15" s="185" t="s">
        <v>115</v>
      </c>
      <c r="W15" s="186" t="s">
        <v>109</v>
      </c>
      <c r="X15" s="186" t="s">
        <v>110</v>
      </c>
      <c r="Y15" s="186" t="s">
        <v>114</v>
      </c>
      <c r="Z15" s="186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3" t="s">
        <v>106</v>
      </c>
      <c r="T16" s="183">
        <v>1697</v>
      </c>
      <c r="U16" s="183" t="s">
        <v>111</v>
      </c>
      <c r="V16" s="183">
        <f>T16/40</f>
        <v>42.424999999999997</v>
      </c>
      <c r="W16" s="187" t="s">
        <v>106</v>
      </c>
      <c r="X16" s="187">
        <v>1664</v>
      </c>
      <c r="Y16" s="187" t="s">
        <v>111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2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4" t="s">
        <v>108</v>
      </c>
      <c r="T17" s="183">
        <v>2322</v>
      </c>
      <c r="U17" s="183" t="s">
        <v>112</v>
      </c>
      <c r="V17" s="183">
        <f t="shared" ref="V17:V18" si="7">T17/40</f>
        <v>58.05</v>
      </c>
      <c r="W17" s="188" t="s">
        <v>108</v>
      </c>
      <c r="X17" s="187">
        <v>2277</v>
      </c>
      <c r="Y17" s="187" t="s">
        <v>112</v>
      </c>
      <c r="Z17" s="187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3" t="s">
        <v>107</v>
      </c>
      <c r="T18" s="183">
        <v>3216</v>
      </c>
      <c r="U18" s="183" t="s">
        <v>113</v>
      </c>
      <c r="V18" s="183">
        <f t="shared" si="7"/>
        <v>80.400000000000006</v>
      </c>
      <c r="W18" s="187" t="s">
        <v>107</v>
      </c>
      <c r="X18" s="187">
        <v>3153</v>
      </c>
      <c r="Y18" s="187" t="s">
        <v>113</v>
      </c>
      <c r="Z18" s="187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3"/>
        <v>871.68000000000006</v>
      </c>
      <c r="J19" s="117"/>
      <c r="K19" s="104">
        <f t="shared" si="4"/>
        <v>30.508800000000004</v>
      </c>
      <c r="L19" s="105">
        <f t="shared" si="5"/>
        <v>69.734400000000008</v>
      </c>
      <c r="M19" s="118">
        <f t="shared" si="6"/>
        <v>771.43680000000006</v>
      </c>
      <c r="N19" s="118">
        <f t="shared" si="0"/>
        <v>138.85862399999999</v>
      </c>
      <c r="O19" s="119">
        <f t="shared" si="1"/>
        <v>4.5514771200000004</v>
      </c>
      <c r="P19" s="120">
        <f t="shared" si="2"/>
        <v>914.84690111999998</v>
      </c>
      <c r="S19" s="258" t="s">
        <v>118</v>
      </c>
      <c r="T19" s="258"/>
      <c r="U19" s="258"/>
      <c r="V19" s="258"/>
      <c r="W19" s="259" t="s">
        <v>116</v>
      </c>
      <c r="X19" s="259"/>
      <c r="Y19" s="259"/>
      <c r="Z19" s="259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5" t="s">
        <v>109</v>
      </c>
      <c r="T20" s="185" t="s">
        <v>110</v>
      </c>
      <c r="U20" s="185" t="s">
        <v>114</v>
      </c>
      <c r="V20" s="185" t="s">
        <v>115</v>
      </c>
      <c r="W20" s="185" t="s">
        <v>109</v>
      </c>
      <c r="X20" s="185" t="s">
        <v>110</v>
      </c>
      <c r="Y20" s="185" t="s">
        <v>114</v>
      </c>
      <c r="Z20" s="185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3"/>
        <v>871.68000000000006</v>
      </c>
      <c r="J21" s="117"/>
      <c r="K21" s="104">
        <f t="shared" si="4"/>
        <v>30.508800000000004</v>
      </c>
      <c r="L21" s="105">
        <f t="shared" si="5"/>
        <v>69.734400000000008</v>
      </c>
      <c r="M21" s="118">
        <f t="shared" si="6"/>
        <v>771.43680000000006</v>
      </c>
      <c r="N21" s="118">
        <f t="shared" si="0"/>
        <v>138.85862399999999</v>
      </c>
      <c r="O21" s="119">
        <f t="shared" si="1"/>
        <v>4.5514771200000004</v>
      </c>
      <c r="P21" s="120">
        <f t="shared" si="2"/>
        <v>914.84690111999998</v>
      </c>
      <c r="S21" s="189" t="s">
        <v>106</v>
      </c>
      <c r="T21" s="189">
        <v>1610</v>
      </c>
      <c r="U21" s="189" t="s">
        <v>111</v>
      </c>
      <c r="V21" s="189">
        <f>T21/40</f>
        <v>40.25</v>
      </c>
      <c r="W21" s="191" t="s">
        <v>106</v>
      </c>
      <c r="X21" s="191">
        <v>1642</v>
      </c>
      <c r="Y21" s="191" t="s">
        <v>111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3"/>
        <v>470.76000000000005</v>
      </c>
      <c r="J22" s="117"/>
      <c r="K22" s="104">
        <f t="shared" si="4"/>
        <v>16.476600000000005</v>
      </c>
      <c r="L22" s="120">
        <f>I22*10%</f>
        <v>47.076000000000008</v>
      </c>
      <c r="M22" s="118">
        <f t="shared" si="6"/>
        <v>407.20740000000001</v>
      </c>
      <c r="N22" s="118">
        <f t="shared" si="0"/>
        <v>73.297331999999997</v>
      </c>
      <c r="O22" s="119">
        <f t="shared" si="1"/>
        <v>2.4025236599999999</v>
      </c>
      <c r="P22" s="120">
        <f t="shared" si="2"/>
        <v>482.90725565999998</v>
      </c>
      <c r="S22" s="190" t="s">
        <v>108</v>
      </c>
      <c r="T22" s="189">
        <v>2202</v>
      </c>
      <c r="U22" s="189" t="s">
        <v>112</v>
      </c>
      <c r="V22" s="189">
        <f t="shared" ref="V22:V25" si="9">T22/40</f>
        <v>55.05</v>
      </c>
      <c r="W22" s="192" t="s">
        <v>108</v>
      </c>
      <c r="X22" s="191">
        <v>2246</v>
      </c>
      <c r="Y22" s="191" t="s">
        <v>112</v>
      </c>
      <c r="Z22" s="191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9" t="s">
        <v>107</v>
      </c>
      <c r="T23" s="189">
        <v>3216</v>
      </c>
      <c r="U23" s="189" t="s">
        <v>113</v>
      </c>
      <c r="V23" s="189">
        <f t="shared" si="9"/>
        <v>80.400000000000006</v>
      </c>
      <c r="W23" s="191" t="s">
        <v>107</v>
      </c>
      <c r="X23" s="191">
        <v>3216</v>
      </c>
      <c r="Y23" s="191" t="s">
        <v>112</v>
      </c>
      <c r="Z23" s="191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9" t="s">
        <v>107</v>
      </c>
      <c r="T24" s="189">
        <v>3216</v>
      </c>
      <c r="U24" s="189" t="s">
        <v>113</v>
      </c>
      <c r="V24" s="189">
        <f t="shared" si="9"/>
        <v>80.400000000000006</v>
      </c>
      <c r="W24" s="191"/>
      <c r="X24" s="191"/>
      <c r="Y24" s="191" t="s">
        <v>112</v>
      </c>
      <c r="Z24" s="191">
        <f t="shared" si="10"/>
        <v>0</v>
      </c>
    </row>
    <row r="25" spans="1:26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13">SUM(G16:G24)</f>
        <v>0</v>
      </c>
      <c r="H25" s="136">
        <f t="shared" si="13"/>
        <v>36</v>
      </c>
      <c r="I25" s="137">
        <f t="shared" si="13"/>
        <v>2214.1200000000003</v>
      </c>
      <c r="J25" s="138"/>
      <c r="K25" s="139">
        <f t="shared" si="13"/>
        <v>77.494200000000006</v>
      </c>
      <c r="L25" s="140">
        <f t="shared" si="13"/>
        <v>186.54480000000001</v>
      </c>
      <c r="M25" s="141">
        <f t="shared" si="13"/>
        <v>1950.0810000000001</v>
      </c>
      <c r="N25" s="142">
        <f>SUM(N16:N24)</f>
        <v>351.01457999999997</v>
      </c>
      <c r="O25" s="143">
        <f>SUM(O16:O24)</f>
        <v>11.505477900000001</v>
      </c>
      <c r="P25" s="144">
        <f>SUM(P16:P24)</f>
        <v>2312.6010578999999</v>
      </c>
      <c r="S25" s="189" t="s">
        <v>107</v>
      </c>
      <c r="T25" s="189">
        <v>3216</v>
      </c>
      <c r="U25" s="189" t="s">
        <v>113</v>
      </c>
      <c r="V25" s="189">
        <f t="shared" si="9"/>
        <v>80.400000000000006</v>
      </c>
      <c r="W25" s="191" t="s">
        <v>107</v>
      </c>
      <c r="X25" s="191">
        <v>3110</v>
      </c>
      <c r="Y25" s="191" t="s">
        <v>113</v>
      </c>
      <c r="Z25" s="191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2214.1200000000003</v>
      </c>
    </row>
    <row r="29" spans="1:26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186.54480000000001</v>
      </c>
    </row>
    <row r="30" spans="1:26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77.494200000000006</v>
      </c>
    </row>
    <row r="31" spans="1:26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1950.0810000000001</v>
      </c>
    </row>
    <row r="32" spans="1:26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351.01457999999997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2301.0955800000002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11.505477900000001</v>
      </c>
    </row>
    <row r="35" spans="2:16" ht="15.75" customHeight="1" thickBot="1" x14ac:dyDescent="0.4">
      <c r="N35" s="213" t="s">
        <v>92</v>
      </c>
      <c r="O35" s="214"/>
      <c r="P35" s="160">
        <f>P33+P34</f>
        <v>2312.6010579000003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3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2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124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125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7</v>
      </c>
      <c r="I19" s="116">
        <f t="shared" si="2"/>
        <v>508.48</v>
      </c>
      <c r="J19" s="117"/>
      <c r="K19" s="104">
        <f t="shared" si="3"/>
        <v>17.796800000000001</v>
      </c>
      <c r="L19" s="105">
        <f t="shared" si="4"/>
        <v>40.678400000000003</v>
      </c>
      <c r="M19" s="118">
        <f t="shared" si="5"/>
        <v>450.00479999999999</v>
      </c>
      <c r="N19" s="118">
        <f t="shared" si="0"/>
        <v>81.000863999999993</v>
      </c>
      <c r="O19" s="119">
        <f t="shared" si="6"/>
        <v>2.65502832</v>
      </c>
      <c r="P19" s="120">
        <f t="shared" si="1"/>
        <v>533.66069232000007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/>
      <c r="K20" s="104">
        <f t="shared" si="3"/>
        <v>15.254400000000002</v>
      </c>
      <c r="L20" s="105">
        <f t="shared" si="4"/>
        <v>34.867200000000004</v>
      </c>
      <c r="M20" s="118">
        <f t="shared" si="5"/>
        <v>385.71840000000003</v>
      </c>
      <c r="N20" s="118">
        <f t="shared" si="0"/>
        <v>69.429311999999996</v>
      </c>
      <c r="O20" s="119">
        <f t="shared" si="6"/>
        <v>2.2757385600000002</v>
      </c>
      <c r="P20" s="120">
        <f t="shared" si="1"/>
        <v>457.42345055999999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7</v>
      </c>
      <c r="I21" s="116">
        <f t="shared" si="2"/>
        <v>508.48</v>
      </c>
      <c r="J21" s="117"/>
      <c r="K21" s="104">
        <f t="shared" si="3"/>
        <v>17.796800000000001</v>
      </c>
      <c r="L21" s="105">
        <f t="shared" si="4"/>
        <v>40.678400000000003</v>
      </c>
      <c r="M21" s="118">
        <f t="shared" si="5"/>
        <v>450.00479999999999</v>
      </c>
      <c r="N21" s="118">
        <f t="shared" si="0"/>
        <v>81.000863999999993</v>
      </c>
      <c r="O21" s="119">
        <f t="shared" si="6"/>
        <v>2.65502832</v>
      </c>
      <c r="P21" s="120">
        <f t="shared" si="1"/>
        <v>533.66069232000007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20</v>
      </c>
      <c r="I25" s="137">
        <f t="shared" si="9"/>
        <v>1452.8000000000002</v>
      </c>
      <c r="J25" s="138"/>
      <c r="K25" s="139">
        <f t="shared" si="9"/>
        <v>50.847999999999999</v>
      </c>
      <c r="L25" s="140">
        <f t="shared" si="9"/>
        <v>116.22400000000002</v>
      </c>
      <c r="M25" s="141">
        <f t="shared" si="9"/>
        <v>1285.7280000000001</v>
      </c>
      <c r="N25" s="142">
        <f>SUM(N16:N24)</f>
        <v>231.43104</v>
      </c>
      <c r="O25" s="143">
        <f>SUM(O16:O24)</f>
        <v>7.5857951999999997</v>
      </c>
      <c r="P25" s="144">
        <f>SUM(P16:P24)</f>
        <v>1524.7448352000001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1452.8000000000002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116.22400000000002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50.847999999999999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1285.7280000000003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231.43104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1517.1590400000002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7.5857952000000015</v>
      </c>
    </row>
    <row r="35" spans="2:16" ht="15.75" customHeight="1" thickBot="1" x14ac:dyDescent="0.4">
      <c r="N35" s="213" t="s">
        <v>92</v>
      </c>
      <c r="O35" s="214"/>
      <c r="P35" s="160">
        <f>P33+P34</f>
        <v>1524.7448352000001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3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4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126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127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56">
        <v>3640272298333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04">
        <f t="shared" si="3"/>
        <v>30.508800000000004</v>
      </c>
      <c r="L21" s="105">
        <f t="shared" si="4"/>
        <v>69.734400000000008</v>
      </c>
      <c r="M21" s="118">
        <f t="shared" si="5"/>
        <v>771.43680000000006</v>
      </c>
      <c r="N21" s="118">
        <f t="shared" si="0"/>
        <v>138.85862399999999</v>
      </c>
      <c r="O21" s="119">
        <f t="shared" si="6"/>
        <v>22.757385600000003</v>
      </c>
      <c r="P21" s="120">
        <f t="shared" si="1"/>
        <v>933.05280960000005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04">
        <f t="shared" si="3"/>
        <v>16.476600000000005</v>
      </c>
      <c r="L22" s="120">
        <f>I22*10%</f>
        <v>47.076000000000008</v>
      </c>
      <c r="M22" s="118">
        <f t="shared" si="5"/>
        <v>407.20740000000001</v>
      </c>
      <c r="N22" s="118">
        <f t="shared" si="0"/>
        <v>73.297331999999997</v>
      </c>
      <c r="O22" s="119">
        <f t="shared" si="6"/>
        <v>12.0126183</v>
      </c>
      <c r="P22" s="120">
        <f t="shared" si="1"/>
        <v>492.51735029999998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24</v>
      </c>
      <c r="I25" s="137">
        <f t="shared" si="9"/>
        <v>1342.44</v>
      </c>
      <c r="J25" s="138"/>
      <c r="K25" s="139">
        <f t="shared" si="9"/>
        <v>46.985400000000013</v>
      </c>
      <c r="L25" s="140">
        <f t="shared" si="9"/>
        <v>116.81040000000002</v>
      </c>
      <c r="M25" s="141">
        <f t="shared" si="9"/>
        <v>1178.6442000000002</v>
      </c>
      <c r="N25" s="142">
        <f>SUM(N16:N24)</f>
        <v>212.155956</v>
      </c>
      <c r="O25" s="143">
        <f>SUM(O16:O24)</f>
        <v>34.770003900000006</v>
      </c>
      <c r="P25" s="144">
        <f>SUM(P16:P24)</f>
        <v>1425.5701598999999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1342.44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116.81040000000002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46.985400000000013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1178.6442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212.155956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1390.800156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34.770003899999999</v>
      </c>
    </row>
    <row r="35" spans="2:16" ht="15.75" customHeight="1" thickBot="1" x14ac:dyDescent="0.4">
      <c r="N35" s="213" t="s">
        <v>92</v>
      </c>
      <c r="O35" s="214"/>
      <c r="P35" s="160">
        <f>P33+P34</f>
        <v>1425.5701598999999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7" workbookViewId="0">
      <selection activeCell="I27" sqref="I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3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128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129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 t="s">
        <v>130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/>
      <c r="K17" s="104">
        <f t="shared" ref="K17:K22" si="3">I17*3.5%</f>
        <v>73.447500000000005</v>
      </c>
      <c r="L17" s="105">
        <f t="shared" ref="L17:L21" si="4">I17*8%</f>
        <v>167.88</v>
      </c>
      <c r="M17" s="118">
        <f t="shared" ref="M17:M23" si="5">I17-K17-L17</f>
        <v>1857.1725000000001</v>
      </c>
      <c r="N17" s="118">
        <f t="shared" si="0"/>
        <v>408.57795000000004</v>
      </c>
      <c r="O17" s="119">
        <f t="shared" ref="O17:O24" si="6">(N17+M17)*$O$15</f>
        <v>11.328752250000001</v>
      </c>
      <c r="P17" s="120">
        <f t="shared" si="1"/>
        <v>2277.07920225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2098.5</v>
      </c>
      <c r="J25" s="138"/>
      <c r="K25" s="139">
        <f t="shared" si="9"/>
        <v>73.447500000000005</v>
      </c>
      <c r="L25" s="140">
        <f t="shared" si="9"/>
        <v>167.88</v>
      </c>
      <c r="M25" s="141">
        <f t="shared" si="9"/>
        <v>1857.1725000000001</v>
      </c>
      <c r="N25" s="142">
        <f>SUM(N16:N24)</f>
        <v>408.57795000000004</v>
      </c>
      <c r="O25" s="143">
        <f>SUM(O16:O24)</f>
        <v>11.328752250000001</v>
      </c>
      <c r="P25" s="144">
        <f>SUM(P16:P24)</f>
        <v>2277.07920225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2098.5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167.88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73.447500000000005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1857.1724999999999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408.57795000000004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2265.75045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11.328752250000001</v>
      </c>
    </row>
    <row r="35" spans="2:16" ht="15.75" customHeight="1" thickBot="1" x14ac:dyDescent="0.4">
      <c r="N35" s="213" t="s">
        <v>92</v>
      </c>
      <c r="O35" s="214"/>
      <c r="P35" s="160">
        <f>P33+P34</f>
        <v>2277.07920225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4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5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132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3520262710933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8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6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133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134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 t="s">
        <v>135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</v>
      </c>
      <c r="I16" s="102">
        <f>(G16*D16)*F16+H16*F16</f>
        <v>314.77499999999998</v>
      </c>
      <c r="J16" s="103"/>
      <c r="K16" s="104">
        <f>I16*3.5%</f>
        <v>11.017125</v>
      </c>
      <c r="L16" s="105">
        <f>I16*8%</f>
        <v>25.181999999999999</v>
      </c>
      <c r="M16" s="106">
        <f>I16-K16-L16</f>
        <v>278.57587499999994</v>
      </c>
      <c r="N16" s="106">
        <f t="shared" ref="N16:N24" si="0">(M16*$N$15)+(J16*F16)*$N$15</f>
        <v>61.286692499999987</v>
      </c>
      <c r="O16" s="107">
        <f>(N16+M16)*$O$15</f>
        <v>1.6993128374999997</v>
      </c>
      <c r="P16" s="105">
        <f t="shared" ref="P16:P24" si="1">M16+N16+O16</f>
        <v>341.56188033749993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</v>
      </c>
      <c r="I17" s="116">
        <f t="shared" ref="I17:I23" si="2">(G17*D17)*F17+H17*F17</f>
        <v>629.54999999999995</v>
      </c>
      <c r="J17" s="117"/>
      <c r="K17" s="104">
        <f t="shared" ref="K17:K22" si="3">I17*3.5%</f>
        <v>22.03425</v>
      </c>
      <c r="L17" s="105">
        <f t="shared" ref="L17:L21" si="4">I17*8%</f>
        <v>50.363999999999997</v>
      </c>
      <c r="M17" s="118">
        <f t="shared" ref="M17:M23" si="5">I17-K17-L17</f>
        <v>557.15174999999988</v>
      </c>
      <c r="N17" s="118">
        <f t="shared" si="0"/>
        <v>122.57338499999997</v>
      </c>
      <c r="O17" s="119">
        <f t="shared" ref="O17:O24" si="6">(N17+M17)*$O$15</f>
        <v>3.3986256749999995</v>
      </c>
      <c r="P17" s="120">
        <f t="shared" si="1"/>
        <v>683.12376067499986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3</v>
      </c>
      <c r="I19" s="116">
        <f t="shared" si="2"/>
        <v>217.92000000000002</v>
      </c>
      <c r="J19" s="117"/>
      <c r="K19" s="104">
        <f t="shared" si="3"/>
        <v>7.6272000000000011</v>
      </c>
      <c r="L19" s="105">
        <f t="shared" si="4"/>
        <v>17.433600000000002</v>
      </c>
      <c r="M19" s="118">
        <f t="shared" si="5"/>
        <v>192.85920000000002</v>
      </c>
      <c r="N19" s="118">
        <f t="shared" si="0"/>
        <v>42.429024000000005</v>
      </c>
      <c r="O19" s="119">
        <f t="shared" si="6"/>
        <v>1.17644112</v>
      </c>
      <c r="P19" s="120">
        <f t="shared" si="1"/>
        <v>236.46466512000001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</v>
      </c>
      <c r="I20" s="116">
        <f t="shared" si="2"/>
        <v>871.68000000000006</v>
      </c>
      <c r="J20" s="117"/>
      <c r="K20" s="104">
        <f t="shared" si="3"/>
        <v>30.508800000000004</v>
      </c>
      <c r="L20" s="105">
        <f t="shared" si="4"/>
        <v>69.734400000000008</v>
      </c>
      <c r="M20" s="118">
        <f t="shared" si="5"/>
        <v>771.43680000000006</v>
      </c>
      <c r="N20" s="118">
        <f t="shared" si="0"/>
        <v>169.71609600000002</v>
      </c>
      <c r="O20" s="119">
        <f t="shared" si="6"/>
        <v>4.70576448</v>
      </c>
      <c r="P20" s="120">
        <f t="shared" si="1"/>
        <v>945.85866048000003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04">
        <f t="shared" si="3"/>
        <v>15.254400000000002</v>
      </c>
      <c r="L21" s="105">
        <f t="shared" si="4"/>
        <v>34.867200000000004</v>
      </c>
      <c r="M21" s="118">
        <f t="shared" si="5"/>
        <v>385.71840000000003</v>
      </c>
      <c r="N21" s="118">
        <f t="shared" si="0"/>
        <v>84.858048000000011</v>
      </c>
      <c r="O21" s="119">
        <f t="shared" si="6"/>
        <v>2.35288224</v>
      </c>
      <c r="P21" s="120">
        <f t="shared" si="1"/>
        <v>472.92933024000001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6</v>
      </c>
      <c r="I22" s="116">
        <f t="shared" si="2"/>
        <v>235.38000000000002</v>
      </c>
      <c r="J22" s="117"/>
      <c r="K22" s="104">
        <f t="shared" si="3"/>
        <v>8.2383000000000024</v>
      </c>
      <c r="L22" s="120">
        <f>I22*10%</f>
        <v>23.538000000000004</v>
      </c>
      <c r="M22" s="118">
        <f t="shared" si="5"/>
        <v>203.6037</v>
      </c>
      <c r="N22" s="118">
        <f t="shared" si="0"/>
        <v>44.792814</v>
      </c>
      <c r="O22" s="119">
        <f t="shared" si="6"/>
        <v>1.24198257</v>
      </c>
      <c r="P22" s="120">
        <f t="shared" si="1"/>
        <v>249.63849657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45</v>
      </c>
      <c r="I25" s="137">
        <f t="shared" si="9"/>
        <v>2705.145</v>
      </c>
      <c r="J25" s="138"/>
      <c r="K25" s="139">
        <f t="shared" si="9"/>
        <v>94.680075000000016</v>
      </c>
      <c r="L25" s="140">
        <f t="shared" si="9"/>
        <v>221.11920000000001</v>
      </c>
      <c r="M25" s="141">
        <f t="shared" si="9"/>
        <v>2389.3457250000001</v>
      </c>
      <c r="N25" s="142">
        <f>SUM(N16:N24)</f>
        <v>525.65605949999997</v>
      </c>
      <c r="O25" s="143">
        <f>SUM(O16:O24)</f>
        <v>14.575008922499999</v>
      </c>
      <c r="P25" s="144">
        <f>SUM(P16:P24)</f>
        <v>2929.5767934224996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2705.145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221.11920000000001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94.680075000000016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2389.3457249999997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525.65605949999997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2915.0017844999998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14.575008922499999</v>
      </c>
    </row>
    <row r="35" spans="2:16" ht="15.75" customHeight="1" thickBot="1" x14ac:dyDescent="0.4">
      <c r="N35" s="213" t="s">
        <v>92</v>
      </c>
      <c r="O35" s="214"/>
      <c r="P35" s="160">
        <f>P33+P34</f>
        <v>2929.5767934224996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7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7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136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137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9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2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204.28897500000002</v>
      </c>
      <c r="O17" s="119">
        <f t="shared" ref="O17:O24" si="6">(N17+M17)*$O$15</f>
        <v>28.321880625000002</v>
      </c>
      <c r="P17" s="120">
        <f t="shared" si="1"/>
        <v>1161.1971056249999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/>
      <c r="K20" s="104">
        <f t="shared" si="3"/>
        <v>50.848000000000006</v>
      </c>
      <c r="L20" s="105">
        <f t="shared" si="4"/>
        <v>116.224</v>
      </c>
      <c r="M20" s="118">
        <f t="shared" si="5"/>
        <v>1285.7280000000001</v>
      </c>
      <c r="N20" s="118">
        <f t="shared" si="0"/>
        <v>282.86016000000001</v>
      </c>
      <c r="O20" s="119">
        <f t="shared" si="6"/>
        <v>39.214704000000005</v>
      </c>
      <c r="P20" s="120">
        <f t="shared" si="1"/>
        <v>1607.802864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282.86016000000001</v>
      </c>
      <c r="O21" s="119">
        <f t="shared" si="6"/>
        <v>39.214704000000005</v>
      </c>
      <c r="P21" s="120">
        <f t="shared" si="1"/>
        <v>1607.802864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60</v>
      </c>
      <c r="I25" s="137">
        <f t="shared" si="9"/>
        <v>3954.8500000000004</v>
      </c>
      <c r="J25" s="138"/>
      <c r="K25" s="139">
        <f t="shared" si="9"/>
        <v>138.41975000000002</v>
      </c>
      <c r="L25" s="140">
        <f t="shared" si="9"/>
        <v>316.38799999999998</v>
      </c>
      <c r="M25" s="141">
        <f t="shared" si="9"/>
        <v>3500.0422500000004</v>
      </c>
      <c r="N25" s="142">
        <f>SUM(N16:N24)</f>
        <v>770.00929500000007</v>
      </c>
      <c r="O25" s="143">
        <f>SUM(O16:O24)</f>
        <v>106.751288625</v>
      </c>
      <c r="P25" s="144">
        <f>SUM(P16:P24)</f>
        <v>4376.8028336249999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3954.8500000000004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316.38799999999998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138.41975000000002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3500.0422500000004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770.00929500000007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4270.0515450000003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106.75128862500002</v>
      </c>
    </row>
    <row r="35" spans="2:16" ht="15.75" customHeight="1" thickBot="1" x14ac:dyDescent="0.4">
      <c r="N35" s="213" t="s">
        <v>92</v>
      </c>
      <c r="O35" s="214"/>
      <c r="P35" s="160">
        <f>P33+P34</f>
        <v>4376.8028336249999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8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138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139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2"/>
        <v>871.68000000000006</v>
      </c>
      <c r="J19" s="117"/>
      <c r="K19" s="104">
        <f t="shared" si="3"/>
        <v>30.508800000000004</v>
      </c>
      <c r="L19" s="105">
        <f t="shared" si="4"/>
        <v>69.734400000000008</v>
      </c>
      <c r="M19" s="118">
        <f t="shared" si="5"/>
        <v>771.43680000000006</v>
      </c>
      <c r="N19" s="118">
        <f t="shared" si="0"/>
        <v>169.71609600000002</v>
      </c>
      <c r="O19" s="119">
        <f t="shared" si="6"/>
        <v>23.528822400000003</v>
      </c>
      <c r="P19" s="120">
        <f t="shared" si="1"/>
        <v>964.68171840000002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</v>
      </c>
      <c r="I20" s="116">
        <f t="shared" si="2"/>
        <v>871.68000000000006</v>
      </c>
      <c r="J20" s="117"/>
      <c r="K20" s="104">
        <f t="shared" si="3"/>
        <v>30.508800000000004</v>
      </c>
      <c r="L20" s="105">
        <f t="shared" si="4"/>
        <v>69.734400000000008</v>
      </c>
      <c r="M20" s="118">
        <f t="shared" si="5"/>
        <v>771.43680000000006</v>
      </c>
      <c r="N20" s="118">
        <f t="shared" si="0"/>
        <v>169.71609600000002</v>
      </c>
      <c r="O20" s="119">
        <f t="shared" si="6"/>
        <v>23.528822400000003</v>
      </c>
      <c r="P20" s="120">
        <f t="shared" si="1"/>
        <v>964.68171840000002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04">
        <f t="shared" si="3"/>
        <v>30.508800000000004</v>
      </c>
      <c r="L21" s="105">
        <f t="shared" si="4"/>
        <v>69.734400000000008</v>
      </c>
      <c r="M21" s="118">
        <f t="shared" si="5"/>
        <v>771.43680000000006</v>
      </c>
      <c r="N21" s="118">
        <f t="shared" si="0"/>
        <v>169.71609600000002</v>
      </c>
      <c r="O21" s="119">
        <f t="shared" si="6"/>
        <v>23.528822400000003</v>
      </c>
      <c r="P21" s="120">
        <f t="shared" si="1"/>
        <v>964.68171840000002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36</v>
      </c>
      <c r="I25" s="137">
        <f t="shared" si="9"/>
        <v>2615.04</v>
      </c>
      <c r="J25" s="138"/>
      <c r="K25" s="139">
        <f t="shared" si="9"/>
        <v>91.52640000000001</v>
      </c>
      <c r="L25" s="140">
        <f t="shared" si="9"/>
        <v>209.20320000000004</v>
      </c>
      <c r="M25" s="141">
        <f t="shared" si="9"/>
        <v>2314.3104000000003</v>
      </c>
      <c r="N25" s="142">
        <f>SUM(N16:N24)</f>
        <v>509.14828800000009</v>
      </c>
      <c r="O25" s="143">
        <f>SUM(O16:O24)</f>
        <v>70.586467200000016</v>
      </c>
      <c r="P25" s="144">
        <f>SUM(P16:P24)</f>
        <v>2894.0451552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2615.04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209.20320000000004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91.52640000000001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2314.3103999999998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509.14828800000009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2823.4586879999997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70.586467200000001</v>
      </c>
    </row>
    <row r="35" spans="2:16" ht="15.75" customHeight="1" thickBot="1" x14ac:dyDescent="0.4">
      <c r="N35" s="213" t="s">
        <v>92</v>
      </c>
      <c r="O35" s="214"/>
      <c r="P35" s="160">
        <f>P33+P34</f>
        <v>2894.0451551999995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9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9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140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139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67" t="s">
        <v>130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10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141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142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133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143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1620169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48</v>
      </c>
      <c r="C11" s="77" t="str">
        <f>IF($O34&gt;2.49%,"No","Yes")</f>
        <v>Yes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/>
      <c r="K20" s="104">
        <f t="shared" si="3"/>
        <v>50.848000000000006</v>
      </c>
      <c r="L20" s="105">
        <f t="shared" si="4"/>
        <v>116.224</v>
      </c>
      <c r="M20" s="118">
        <f t="shared" si="5"/>
        <v>1285.7280000000001</v>
      </c>
      <c r="N20" s="118">
        <f t="shared" si="0"/>
        <v>282.86016000000001</v>
      </c>
      <c r="O20" s="119">
        <f t="shared" si="6"/>
        <v>7.8429408</v>
      </c>
      <c r="P20" s="120">
        <f t="shared" si="1"/>
        <v>1576.4311008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282.86016000000001</v>
      </c>
      <c r="O21" s="119">
        <f t="shared" si="6"/>
        <v>7.8429408</v>
      </c>
      <c r="P21" s="120">
        <f t="shared" si="1"/>
        <v>1576.4311008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101.69600000000001</v>
      </c>
      <c r="L25" s="140">
        <f t="shared" si="9"/>
        <v>232.44800000000001</v>
      </c>
      <c r="M25" s="141">
        <f t="shared" si="9"/>
        <v>2571.4560000000001</v>
      </c>
      <c r="N25" s="142">
        <f>SUM(N16:N24)</f>
        <v>565.72032000000002</v>
      </c>
      <c r="O25" s="143">
        <f>SUM(O16:O24)</f>
        <v>15.6858816</v>
      </c>
      <c r="P25" s="144">
        <f>SUM(P16:P24)</f>
        <v>3152.8622015999999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2905.6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232.44800000000001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101.69600000000001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2571.4560000000001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565.72032000000002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3137.17632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5.0000000000000001E-3</v>
      </c>
      <c r="P34" s="153">
        <f>O34*P33</f>
        <v>15.6858816</v>
      </c>
    </row>
    <row r="35" spans="2:16" ht="15.75" customHeight="1" thickBot="1" x14ac:dyDescent="0.4">
      <c r="N35" s="213" t="s">
        <v>92</v>
      </c>
      <c r="O35" s="214"/>
      <c r="P35" s="160">
        <f>P33+P34</f>
        <v>3152.8622015999999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144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145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/>
      <c r="K19" s="104">
        <f t="shared" si="3"/>
        <v>50.848000000000006</v>
      </c>
      <c r="L19" s="105">
        <f t="shared" si="4"/>
        <v>116.224</v>
      </c>
      <c r="M19" s="118">
        <f t="shared" si="5"/>
        <v>1285.7280000000001</v>
      </c>
      <c r="N19" s="118">
        <f t="shared" si="0"/>
        <v>282.86016000000001</v>
      </c>
      <c r="O19" s="119">
        <f t="shared" si="6"/>
        <v>39.214704000000005</v>
      </c>
      <c r="P19" s="120">
        <f t="shared" si="1"/>
        <v>1607.802864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/>
      <c r="K20" s="104">
        <f t="shared" si="3"/>
        <v>50.848000000000006</v>
      </c>
      <c r="L20" s="105">
        <f t="shared" si="4"/>
        <v>116.224</v>
      </c>
      <c r="M20" s="118">
        <f t="shared" si="5"/>
        <v>1285.7280000000001</v>
      </c>
      <c r="N20" s="118">
        <f t="shared" si="0"/>
        <v>282.86016000000001</v>
      </c>
      <c r="O20" s="119">
        <f t="shared" si="6"/>
        <v>39.214704000000005</v>
      </c>
      <c r="P20" s="120">
        <f t="shared" si="1"/>
        <v>1607.802864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20</v>
      </c>
      <c r="I21" s="116">
        <f t="shared" si="2"/>
        <v>1452.8</v>
      </c>
      <c r="J21" s="117"/>
      <c r="K21" s="104">
        <f t="shared" si="3"/>
        <v>50.848000000000006</v>
      </c>
      <c r="L21" s="105">
        <f t="shared" si="4"/>
        <v>116.224</v>
      </c>
      <c r="M21" s="118">
        <f t="shared" si="5"/>
        <v>1285.7280000000001</v>
      </c>
      <c r="N21" s="118">
        <f t="shared" si="0"/>
        <v>282.86016000000001</v>
      </c>
      <c r="O21" s="119">
        <f t="shared" si="6"/>
        <v>39.214704000000005</v>
      </c>
      <c r="P21" s="120">
        <f t="shared" si="1"/>
        <v>1607.802864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60</v>
      </c>
      <c r="I25" s="137">
        <f t="shared" si="9"/>
        <v>4358.3999999999996</v>
      </c>
      <c r="J25" s="138"/>
      <c r="K25" s="139">
        <f t="shared" si="9"/>
        <v>152.54400000000001</v>
      </c>
      <c r="L25" s="140">
        <f t="shared" si="9"/>
        <v>348.67200000000003</v>
      </c>
      <c r="M25" s="141">
        <f t="shared" si="9"/>
        <v>3857.1840000000002</v>
      </c>
      <c r="N25" s="142">
        <f>SUM(N16:N24)</f>
        <v>848.58048000000008</v>
      </c>
      <c r="O25" s="143">
        <f>SUM(O16:O24)</f>
        <v>117.64411200000001</v>
      </c>
      <c r="P25" s="144">
        <f>SUM(P16:P24)</f>
        <v>4823.4085919999998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4358.3999999999996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348.67200000000003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152.54400000000001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3857.1839999999997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848.58048000000008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4705.7644799999998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117.64411200000001</v>
      </c>
    </row>
    <row r="35" spans="2:16" ht="15.75" customHeight="1" thickBot="1" x14ac:dyDescent="0.4">
      <c r="N35" s="213" t="s">
        <v>92</v>
      </c>
      <c r="O35" s="214"/>
      <c r="P35" s="160">
        <f>P33+P34</f>
        <v>4823.4085919999998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144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146</v>
      </c>
      <c r="B6" s="239"/>
      <c r="C6" s="239"/>
      <c r="F6" s="70"/>
      <c r="G6" s="74"/>
      <c r="K6" s="239" t="s">
        <v>52</v>
      </c>
      <c r="L6" s="239"/>
      <c r="M6" s="239"/>
      <c r="N6" s="252" t="s">
        <v>96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75">
        <v>3640272298333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24</v>
      </c>
      <c r="I22" s="116">
        <f t="shared" si="2"/>
        <v>941.5200000000001</v>
      </c>
      <c r="J22" s="117"/>
      <c r="K22" s="104">
        <f t="shared" si="3"/>
        <v>32.95320000000001</v>
      </c>
      <c r="L22" s="120">
        <f>I22*10%</f>
        <v>94.152000000000015</v>
      </c>
      <c r="M22" s="118">
        <f t="shared" si="5"/>
        <v>814.41480000000001</v>
      </c>
      <c r="N22" s="118">
        <f t="shared" si="0"/>
        <v>146.59466399999999</v>
      </c>
      <c r="O22" s="119">
        <f t="shared" si="6"/>
        <v>24.025236599999999</v>
      </c>
      <c r="P22" s="120">
        <f t="shared" si="1"/>
        <v>985.03470059999995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24</v>
      </c>
      <c r="I25" s="137">
        <f t="shared" si="9"/>
        <v>941.5200000000001</v>
      </c>
      <c r="J25" s="138"/>
      <c r="K25" s="139">
        <f t="shared" si="9"/>
        <v>32.95320000000001</v>
      </c>
      <c r="L25" s="140">
        <f t="shared" si="9"/>
        <v>94.152000000000015</v>
      </c>
      <c r="M25" s="141">
        <f t="shared" si="9"/>
        <v>814.41480000000001</v>
      </c>
      <c r="N25" s="142">
        <f>SUM(N16:N24)</f>
        <v>146.59466399999999</v>
      </c>
      <c r="O25" s="143">
        <f>SUM(O16:O24)</f>
        <v>24.025236599999999</v>
      </c>
      <c r="P25" s="144">
        <f>SUM(P16:P24)</f>
        <v>985.03470059999995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941.5200000000001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94.152000000000015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32.95320000000001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814.41480000000001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0.18</v>
      </c>
      <c r="P32" s="153">
        <f>N25</f>
        <v>146.59466399999999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961.00946399999998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24.025236599999999</v>
      </c>
    </row>
    <row r="35" spans="2:16" ht="15.75" customHeight="1" thickBot="1" x14ac:dyDescent="0.4">
      <c r="N35" s="213" t="s">
        <v>92</v>
      </c>
      <c r="O35" s="214"/>
      <c r="P35" s="160">
        <f>P33+P34</f>
        <v>985.03470059999995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41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180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5" t="s">
        <v>45</v>
      </c>
      <c r="B2" s="255"/>
      <c r="C2" s="255"/>
    </row>
    <row r="3" spans="1:19 16383:16384" ht="15" customHeight="1" x14ac:dyDescent="0.35">
      <c r="A3" s="240" t="s">
        <v>46</v>
      </c>
      <c r="B3" s="240"/>
      <c r="C3" s="240"/>
      <c r="F3" s="70"/>
      <c r="G3" s="71"/>
      <c r="K3" s="239" t="s">
        <v>47</v>
      </c>
      <c r="L3" s="239"/>
      <c r="M3" s="239"/>
      <c r="N3" s="240">
        <v>10</v>
      </c>
      <c r="O3" s="240"/>
      <c r="P3" s="24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40" t="s">
        <v>94</v>
      </c>
      <c r="B4" s="240"/>
      <c r="C4" s="240"/>
      <c r="F4" s="70"/>
      <c r="G4" s="71"/>
      <c r="K4" s="239" t="s">
        <v>49</v>
      </c>
      <c r="L4" s="239"/>
      <c r="M4" s="239"/>
      <c r="N4" s="253">
        <f ca="1">TODAY()</f>
        <v>46218</v>
      </c>
      <c r="O4" s="253"/>
      <c r="P4" s="25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6" t="s">
        <v>102</v>
      </c>
      <c r="B5" s="266"/>
      <c r="C5" s="266"/>
      <c r="F5" s="70"/>
      <c r="G5" s="71"/>
      <c r="K5" s="239" t="s">
        <v>51</v>
      </c>
      <c r="L5" s="239"/>
      <c r="M5" s="239"/>
      <c r="N5" s="253">
        <f ca="1">N4-1</f>
        <v>46217</v>
      </c>
      <c r="O5" s="240"/>
      <c r="P5" s="240"/>
      <c r="R5" s="70"/>
      <c r="S5" s="71"/>
    </row>
    <row r="6" spans="1:19 16383:16384" ht="15" customHeight="1" x14ac:dyDescent="0.35">
      <c r="A6" s="239" t="s">
        <v>103</v>
      </c>
      <c r="B6" s="239"/>
      <c r="C6" s="239"/>
      <c r="F6" s="70"/>
      <c r="G6" s="74"/>
      <c r="K6" s="239" t="s">
        <v>52</v>
      </c>
      <c r="L6" s="239"/>
      <c r="M6" s="239"/>
      <c r="N6" s="252" t="s">
        <v>97</v>
      </c>
      <c r="O6" s="252"/>
      <c r="P6" s="25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9"/>
      <c r="B7" s="239"/>
      <c r="C7" s="239"/>
      <c r="F7" s="70"/>
      <c r="G7" s="74"/>
      <c r="K7" s="239"/>
      <c r="L7" s="239"/>
      <c r="M7" s="239"/>
      <c r="N7" s="252"/>
      <c r="O7" s="252"/>
      <c r="P7" s="25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1"/>
      <c r="B8" s="251"/>
      <c r="C8" s="251"/>
      <c r="F8" s="70"/>
      <c r="G8" s="74"/>
      <c r="K8" s="239"/>
      <c r="L8" s="239"/>
      <c r="M8" s="239"/>
      <c r="N8" s="252"/>
      <c r="O8" s="252"/>
      <c r="P8" s="252"/>
      <c r="R8" s="70"/>
      <c r="S8" s="74"/>
    </row>
    <row r="9" spans="1:19 16383:16384" x14ac:dyDescent="0.35">
      <c r="A9" s="251"/>
      <c r="B9" s="251"/>
      <c r="C9" s="251"/>
      <c r="F9" s="70"/>
      <c r="G9" s="74"/>
      <c r="K9" s="239"/>
      <c r="L9" s="239"/>
      <c r="M9" s="239"/>
      <c r="N9" s="252"/>
      <c r="O9" s="252"/>
      <c r="P9" s="252"/>
      <c r="R9" s="70"/>
      <c r="S9" s="74"/>
      <c r="XFD9" t="s">
        <v>55</v>
      </c>
    </row>
    <row r="10" spans="1:19 16383:16384" x14ac:dyDescent="0.35">
      <c r="A10" s="237" t="s">
        <v>95</v>
      </c>
      <c r="B10" s="75">
        <v>0</v>
      </c>
      <c r="C10" s="75"/>
      <c r="F10" s="70"/>
      <c r="G10" s="71"/>
      <c r="K10" s="239" t="s">
        <v>56</v>
      </c>
      <c r="L10" s="239"/>
      <c r="M10" s="239"/>
      <c r="N10" s="240" t="s">
        <v>57</v>
      </c>
      <c r="O10" s="240"/>
      <c r="P10" s="240"/>
      <c r="R10" s="70"/>
      <c r="S10" s="71"/>
      <c r="XFD10" t="s">
        <v>58</v>
      </c>
    </row>
    <row r="11" spans="1:19 16383:16384" x14ac:dyDescent="0.35">
      <c r="A11" s="237"/>
      <c r="B11" s="76" t="s">
        <v>50</v>
      </c>
      <c r="C11" s="77" t="str">
        <f>IF($O34&gt;2.49%,"No","Yes")</f>
        <v>No</v>
      </c>
      <c r="F11" s="70"/>
      <c r="G11" s="71"/>
      <c r="K11" s="239" t="s">
        <v>59</v>
      </c>
      <c r="L11" s="239"/>
      <c r="M11" s="239"/>
      <c r="N11" s="240" t="s">
        <v>55</v>
      </c>
      <c r="O11" s="240"/>
      <c r="P11" s="240"/>
      <c r="R11" s="70"/>
      <c r="S11" s="71"/>
    </row>
    <row r="12" spans="1:19 16383:16384" ht="14.65" customHeight="1" x14ac:dyDescent="0.35">
      <c r="A12" s="237" t="s">
        <v>60</v>
      </c>
      <c r="B12" s="76" t="s">
        <v>54</v>
      </c>
      <c r="C12" s="77" t="str">
        <f>IF($O32&gt;21.99%,"No","Yes")</f>
        <v>No</v>
      </c>
      <c r="F12" s="70"/>
      <c r="G12" s="71"/>
      <c r="K12" s="239" t="s">
        <v>61</v>
      </c>
      <c r="L12" s="239"/>
      <c r="M12" s="239"/>
      <c r="N12" s="240"/>
      <c r="O12" s="240"/>
      <c r="P12" s="240"/>
      <c r="R12" s="70"/>
      <c r="S12" s="71"/>
      <c r="XFD12" t="s">
        <v>62</v>
      </c>
    </row>
    <row r="13" spans="1:19 16383:16384" ht="15" thickBot="1" x14ac:dyDescent="0.4">
      <c r="A13" s="23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42"/>
      <c r="C14" s="245" t="s">
        <v>65</v>
      </c>
      <c r="D14" s="80" t="s">
        <v>2</v>
      </c>
      <c r="E14" s="81" t="s">
        <v>66</v>
      </c>
      <c r="F14" s="82" t="s">
        <v>67</v>
      </c>
      <c r="G14" s="261" t="s">
        <v>68</v>
      </c>
      <c r="H14" s="262"/>
      <c r="I14" s="263" t="s">
        <v>69</v>
      </c>
      <c r="J14" s="261" t="s">
        <v>70</v>
      </c>
      <c r="K14" s="265"/>
      <c r="L14" s="262"/>
      <c r="M14" s="263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3"/>
      <c r="B15" s="244"/>
      <c r="C15" s="24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4"/>
      <c r="J15" s="88" t="s">
        <v>78</v>
      </c>
      <c r="K15" s="90" t="s">
        <v>79</v>
      </c>
      <c r="L15" s="91" t="s">
        <v>80</v>
      </c>
      <c r="M15" s="26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2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 t="shared" si="3"/>
        <v>0</v>
      </c>
      <c r="L22" s="120">
        <f>I22*10%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9" t="s">
        <v>84</v>
      </c>
      <c r="B25" s="220"/>
      <c r="C25" s="221"/>
      <c r="D25" s="215"/>
      <c r="E25" s="215"/>
      <c r="F25" s="260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2" t="s">
        <v>85</v>
      </c>
      <c r="C28" s="223"/>
      <c r="D28" s="223"/>
      <c r="E28" s="223"/>
      <c r="F28" s="223"/>
      <c r="G28" s="223"/>
      <c r="H28" s="223"/>
      <c r="I28" s="223"/>
      <c r="J28" s="223"/>
      <c r="K28" s="223"/>
      <c r="L28" s="224"/>
      <c r="N28" s="231" t="s">
        <v>86</v>
      </c>
      <c r="O28" s="232"/>
      <c r="P28" s="152">
        <f>I25</f>
        <v>0</v>
      </c>
    </row>
    <row r="29" spans="1:19 16384:16384" ht="15" customHeight="1" x14ac:dyDescent="0.35">
      <c r="B29" s="225"/>
      <c r="C29" s="226"/>
      <c r="D29" s="226"/>
      <c r="E29" s="226"/>
      <c r="F29" s="226"/>
      <c r="G29" s="226"/>
      <c r="H29" s="226"/>
      <c r="I29" s="226"/>
      <c r="J29" s="226"/>
      <c r="K29" s="226"/>
      <c r="L29" s="227"/>
      <c r="N29" s="233" t="s">
        <v>87</v>
      </c>
      <c r="O29" s="234"/>
      <c r="P29" s="153">
        <f>L25</f>
        <v>0</v>
      </c>
    </row>
    <row r="30" spans="1:19 16384:16384" ht="15" customHeight="1" x14ac:dyDescent="0.35">
      <c r="B30" s="225"/>
      <c r="C30" s="226"/>
      <c r="D30" s="226"/>
      <c r="E30" s="226"/>
      <c r="F30" s="226"/>
      <c r="G30" s="226"/>
      <c r="H30" s="226"/>
      <c r="I30" s="226"/>
      <c r="J30" s="226"/>
      <c r="K30" s="226"/>
      <c r="L30" s="227"/>
      <c r="N30" s="233" t="s">
        <v>4</v>
      </c>
      <c r="O30" s="234"/>
      <c r="P30" s="154">
        <f>K25</f>
        <v>0</v>
      </c>
    </row>
    <row r="31" spans="1:19 16384:16384" ht="15" customHeight="1" x14ac:dyDescent="0.35">
      <c r="B31" s="225"/>
      <c r="C31" s="226"/>
      <c r="D31" s="226"/>
      <c r="E31" s="226"/>
      <c r="F31" s="226"/>
      <c r="G31" s="226"/>
      <c r="H31" s="226"/>
      <c r="I31" s="226"/>
      <c r="J31" s="226"/>
      <c r="K31" s="226"/>
      <c r="L31" s="227"/>
      <c r="M31" s="2"/>
      <c r="N31" s="233" t="s">
        <v>88</v>
      </c>
      <c r="O31" s="234"/>
      <c r="P31" s="153">
        <f>P28-P29-P30</f>
        <v>0</v>
      </c>
    </row>
    <row r="32" spans="1:19 16384:16384" ht="15" customHeight="1" x14ac:dyDescent="0.35">
      <c r="B32" s="225"/>
      <c r="C32" s="226"/>
      <c r="D32" s="226"/>
      <c r="E32" s="226"/>
      <c r="F32" s="226"/>
      <c r="G32" s="226"/>
      <c r="H32" s="226"/>
      <c r="I32" s="226"/>
      <c r="J32" s="226"/>
      <c r="K32" s="226"/>
      <c r="L32" s="22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5"/>
      <c r="C33" s="226"/>
      <c r="D33" s="226"/>
      <c r="E33" s="226"/>
      <c r="F33" s="226"/>
      <c r="G33" s="226"/>
      <c r="H33" s="226"/>
      <c r="I33" s="226"/>
      <c r="J33" s="226"/>
      <c r="K33" s="226"/>
      <c r="L33" s="227"/>
      <c r="M33" s="2"/>
      <c r="N33" s="235" t="s">
        <v>90</v>
      </c>
      <c r="O33" s="236"/>
      <c r="P33" s="153">
        <f>P31+P32</f>
        <v>0</v>
      </c>
    </row>
    <row r="34" spans="2:16" ht="15" customHeight="1" thickBot="1" x14ac:dyDescent="0.4">
      <c r="B34" s="228"/>
      <c r="C34" s="229"/>
      <c r="D34" s="229"/>
      <c r="E34" s="229"/>
      <c r="F34" s="229"/>
      <c r="G34" s="229"/>
      <c r="H34" s="229"/>
      <c r="I34" s="229"/>
      <c r="J34" s="229"/>
      <c r="K34" s="229"/>
      <c r="L34" s="23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3" t="s">
        <v>92</v>
      </c>
      <c r="O35" s="214"/>
      <c r="P35" s="160">
        <f>P33+P34</f>
        <v>0</v>
      </c>
    </row>
    <row r="36" spans="2:16" ht="15" thickBot="1" x14ac:dyDescent="0.4">
      <c r="B36" s="161" t="s">
        <v>93</v>
      </c>
      <c r="C36" s="215"/>
      <c r="D36" s="215"/>
      <c r="E36" s="215"/>
      <c r="F36" s="215"/>
      <c r="G36" s="215"/>
      <c r="H36" s="215"/>
      <c r="I36" s="216"/>
      <c r="J36" s="217"/>
      <c r="K36" s="21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2026-07-15T05:33:23Z</dcterms:modified>
</cp:coreProperties>
</file>