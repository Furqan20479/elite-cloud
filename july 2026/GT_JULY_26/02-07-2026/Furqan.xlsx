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C3A933A-1808-4B43-BC1C-40D734A6E510}" xr6:coauthVersionLast="47" xr6:coauthVersionMax="47" xr10:uidLastSave="{00000000-0000-0000-0000-000000000000}"/>
  <bookViews>
    <workbookView xWindow="-110" yWindow="-110" windowWidth="19420" windowHeight="10420" tabRatio="949" activeTab="1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1"/>
  <c r="L22" i="22"/>
  <c r="L22" i="23"/>
  <c r="L22" i="24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7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20" i="24"/>
  <c r="K21" i="24"/>
  <c r="K22" i="24"/>
  <c r="K17" i="25"/>
  <c r="K18" i="25"/>
  <c r="K19" i="25"/>
  <c r="K20" i="25"/>
  <c r="K21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3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25" i="28" l="1"/>
  <c r="P28" i="28" s="1"/>
  <c r="K23" i="28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L19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I25" i="27" l="1"/>
  <c r="P28" i="27" s="1"/>
  <c r="L21" i="27"/>
  <c r="L21" i="26"/>
  <c r="M21" i="26" s="1"/>
  <c r="N21" i="26" s="1"/>
  <c r="O21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K18" i="20" s="1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5" l="1"/>
  <c r="M22" i="25" s="1"/>
  <c r="N22" i="25" s="1"/>
  <c r="O22" i="25" s="1"/>
  <c r="L22" i="25"/>
  <c r="L16" i="24"/>
  <c r="K16" i="24"/>
  <c r="L17" i="24"/>
  <c r="K17" i="24"/>
  <c r="M17" i="24" s="1"/>
  <c r="N17" i="24" s="1"/>
  <c r="O17" i="24" s="1"/>
  <c r="L19" i="24"/>
  <c r="K19" i="24"/>
  <c r="L20" i="20"/>
  <c r="K20" i="20"/>
  <c r="L21" i="20"/>
  <c r="K21" i="20"/>
  <c r="M21" i="20" s="1"/>
  <c r="N21" i="20" s="1"/>
  <c r="O21" i="20" s="1"/>
  <c r="L22" i="20"/>
  <c r="K22" i="20"/>
  <c r="L24" i="17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M17" i="18"/>
  <c r="N17" i="18" s="1"/>
  <c r="O17" i="18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25" i="25" l="1"/>
  <c r="P29" i="25" s="1"/>
  <c r="L17" i="16"/>
  <c r="M23" i="22"/>
  <c r="N23" i="22" s="1"/>
  <c r="O23" i="22" s="1"/>
  <c r="L21" i="16"/>
  <c r="L21" i="15" s="1"/>
  <c r="K25" i="19"/>
  <c r="P30" i="19" s="1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31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20"/>
  <c r="M25" i="19"/>
  <c r="P22" i="20"/>
  <c r="M21" i="15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O16" i="16"/>
  <c r="P25" i="20" l="1"/>
  <c r="N18" i="15"/>
  <c r="O16" i="18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<sst xmlns="http://schemas.openxmlformats.org/spreadsheetml/2006/main" count="1636" uniqueCount="147">
  <si>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</si>
  <si>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</si>
  <si>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</si>
  <si>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</si>
  <si>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</si>
  <si>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</si>
  <si>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</si>
  <si>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</si>
  <si>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</si>
  <si>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</si>
  <si>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</si>
  <si>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</si>
  <si>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</si>
  <si>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</si>
  <si>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</si>
  <si>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</si>
  <si>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</si>
  <si>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</si>
  <si>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</si>
  <si>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</si>
  <si>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</si>
  <si>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</si>
  <si>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</si>
  <si>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</si>
  <si>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</si>
  <si>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</si>
  <si>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</si>
  <si>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</si>
  <si>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</si>
  <si>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</si>
  <si>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</si>
  <si>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</si>
  <si>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</si>
  <si>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</si>
  <si>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</si>
  <si>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</si>
  <si>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</si>
  <si>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</si>
  <si>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</si>
  <si>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</si>
  <si>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</si>
  <si>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</si>
  <si>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</si>
  <si>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</si>
  <si>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</si>
  <si>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</si>
  <si>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</si>
  <si>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</si>
  <si>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</si>
  <si>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</si>
  <si>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</si>
  <si>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</si>
  <si>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</si>
  <si>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</si>
  <si>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</si>
  <si>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</si>
  <si>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</si>
  <si>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</si>
  <si>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</si>
  <si>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</si>
  <si>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</si>
  <si>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</si>
  <si>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</si>
  <si>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</si>
  <si>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</si>
  <si>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</si>
  <si>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</si>
  <si>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</si>
  <si>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</si>
  <si>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</si>
  <si>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</si>
  <si>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</si>
  <si>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</si>
  <si>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</si>
  <si>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</si>
  <si>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</si>
  <si>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</si>
  <si>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</si>
  <si>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</si>
  <si>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</si>
  <si>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</si>
  <si>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</si>
  <si>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</si>
  <si>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</si>
  <si>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</si>
  <si>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</si>
  <si>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</si>
  <si>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</si>
  <si>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</si>
  <si>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</si>
  <si>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</si>
  <si>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</si>
  <si>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</si>
  <si>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</si>
  <si>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</si>
  <si>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</si>
  <si>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</si>
  <si>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</si>
  <si>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</si>
  <si>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</si>
  <si>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</si>
  <si>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</si>
  <si>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</si>
  <si>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</si>
  <si>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</si>
  <si>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</si>
  <si>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</si>
  <si>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</si>
  <si>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</si>
  <si>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</si>
  <si>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</si>
  <si>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</si>
  <si>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</si>
  <si>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</si>
  <si>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</si>
  <si>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</si>
  <si>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</si>
  <si>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</si>
  <si>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</si>
  <si>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</si>
  <si>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</si>
  <si>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Bismillah General Store</t>
  </si>
  <si>
    <t>Address: Shadman Market</t>
  </si>
  <si>
    <t>0162016-9</t>
  </si>
  <si>
    <t>Customer Name : Bilal Store</t>
  </si>
  <si>
    <t>Address: Shadman Choti Market</t>
  </si>
  <si>
    <t>Customer Name : New Data Store</t>
  </si>
  <si>
    <t>Address: Ahta Mul Channel Ichra</t>
  </si>
  <si>
    <t>Customer Name : Sohna Departmental Store</t>
  </si>
  <si>
    <t>Address: Brid Wood Road</t>
  </si>
  <si>
    <t>792884-8</t>
  </si>
  <si>
    <t>Customer Name : Khan Nimko</t>
  </si>
  <si>
    <t>Address: Chiragh Din Road</t>
  </si>
  <si>
    <t>Customer Name : Hafiz Store</t>
  </si>
  <si>
    <t>Address: Chirag Din Road</t>
  </si>
  <si>
    <t>1436856-7</t>
  </si>
  <si>
    <t>Customer Name : Shell Petro Mart</t>
  </si>
  <si>
    <t xml:space="preserve">Address: Near PSO </t>
  </si>
  <si>
    <t>Customer Name : Madina Store</t>
  </si>
  <si>
    <t>Address: Saadi Park</t>
  </si>
  <si>
    <t>Customer Name : Rohan Store</t>
  </si>
  <si>
    <t>Customer Name : Super Bakery</t>
  </si>
  <si>
    <t>Address: Mozang Kanak Mandi</t>
  </si>
  <si>
    <t>Address: Kanak Mandi</t>
  </si>
  <si>
    <t>Customer Name : Data Store</t>
  </si>
  <si>
    <t>Address: Kanak Mandi Chowk</t>
  </si>
  <si>
    <t>Address: Ahta Mul Chan Ichra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</si>
</sst>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22" sqref="L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22" sqref="L22"/>
      <selection pane="topRight" activeCell="L22" sqref="L22"/>
      <selection pane="bottomLeft" activeCell="L22" sqref="L22"/>
      <selection pane="bottomRight" activeCell="L22" sqref="L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5" zoomScale="70" zoomScaleNormal="70" workbookViewId="0">
      <selection activeCell="T26" sqref="T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70.72656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Bismillah General Store</v>
      </c>
      <c r="U14" s="164">
        <f>+'1'!P35</f>
        <v>2312.6010579000003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1524.7448352000001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6</v>
      </c>
      <c r="I16" s="1">
        <f>(G16*D16)*F16+H16*F16</f>
        <v>314.77499999999998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11.017125</v>
      </c>
      <c r="L16" s="175">
        <f>+'1'!L16+'2'!L16+'4'!L16+'3'!L16+'5'!L16+'6'!L16+'7'!L16+'8'!L16+'9'!L16+'10'!L16</f>
        <v>25.181999999999999</v>
      </c>
      <c r="M16" s="106">
        <f>I16-K16-L16</f>
        <v>278.57587499999994</v>
      </c>
      <c r="N16" s="101">
        <f>+'1'!N16+'2'!N16+'4'!N16+'3'!N16+'5'!N16+'6'!N16+'7'!N16+'8'!N16+'9'!N16+'10'!N16</f>
        <v>61.286692499999987</v>
      </c>
      <c r="O16" s="101">
        <f>+'1'!O16+'2'!O16+'4'!O16+'3'!O16+'5'!O16+'6'!O16+'7'!O16+'8'!O16+'9'!O16+'10'!O16</f>
        <v>1.6993128374999997</v>
      </c>
      <c r="P16" s="105">
        <f t="shared" ref="P16:P24" si="0">M16+N16+O16</f>
        <v>341.56188033749993</v>
      </c>
      <c r="Q16" s="108"/>
      <c r="T16" s="163" t="str">
        <f>+'3'!A5</f>
        <v>Customer Name : New Data Store</v>
      </c>
      <c r="U16" s="164">
        <f>+'3'!P35</f>
        <v>1425.5701598999999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72</v>
      </c>
      <c r="I17" s="1">
        <f t="shared" ref="I17:I23" si="1">(G17*D17)*F17+H17*F17</f>
        <v>3777.2999999999997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132.2055</v>
      </c>
      <c r="L17" s="175">
        <f>+'1'!L17+'2'!L17+'4'!L17+'3'!L17+'5'!L17+'6'!L17+'7'!L17+'8'!L17+'9'!L17+'10'!L17</f>
        <v>302.18399999999997</v>
      </c>
      <c r="M17" s="118">
        <f t="shared" ref="M17:M23" si="2">I17-K17-L17</f>
        <v>3342.9105</v>
      </c>
      <c r="N17" s="101">
        <f>+'1'!N17+'2'!N17+'4'!N17+'3'!N17+'5'!N17+'6'!N17+'7'!N17+'8'!N17+'9'!N17+'10'!N17</f>
        <v>735.44031000000007</v>
      </c>
      <c r="O17" s="101">
        <f>+'1'!O17+'2'!O17+'4'!O17+'3'!O17+'5'!O17+'6'!O17+'7'!O17+'8'!O17+'9'!O17+'10'!O17</f>
        <v>43.049258550000005</v>
      </c>
      <c r="P17" s="120">
        <f t="shared" si="0"/>
        <v>4121.4000685499996</v>
      </c>
      <c r="S17" s="64"/>
      <c r="T17" s="163" t="str">
        <f>+'4'!A5</f>
        <v>Customer Name : Sohna Departmental Store</v>
      </c>
      <c r="U17" s="164">
        <f>+'4'!P35</f>
        <v>2277.07920225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Khan Nimko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54</v>
      </c>
      <c r="I19" s="1">
        <f t="shared" si="1"/>
        <v>3922.56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86.441600000000008</v>
      </c>
      <c r="L19" s="175">
        <f>+'1'!L19+'2'!L19+'4'!L19+'3'!L19+'5'!L19+'6'!L19+'7'!L19+'8'!L19+'9'!L19+'10'!L19</f>
        <v>197.58080000000001</v>
      </c>
      <c r="M19" s="118">
        <f t="shared" si="2"/>
        <v>3638.5375999999997</v>
      </c>
      <c r="N19" s="101">
        <f>+'1'!N19+'2'!N19+'4'!N19+'3'!N19+'5'!N19+'6'!N19+'7'!N19+'8'!N19+'9'!N19+'10'!N19</f>
        <v>432.00460800000008</v>
      </c>
      <c r="O19" s="101">
        <f>+'1'!O19+'2'!O19+'4'!O19+'3'!O19+'5'!O19+'6'!O19+'7'!O19+'8'!O19+'9'!O19+'10'!O19</f>
        <v>31.911768960000003</v>
      </c>
      <c r="P19" s="120">
        <f t="shared" si="0"/>
        <v>4102.4539769599996</v>
      </c>
      <c r="T19" s="163" t="str">
        <f>+'6'!A5</f>
        <v>Customer Name : Hafiz Store</v>
      </c>
      <c r="U19" s="164">
        <f>+'6'!P35</f>
        <v>2929.5767934224996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90</v>
      </c>
      <c r="I20" s="1">
        <f t="shared" si="1"/>
        <v>6537.6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127.12000000000002</v>
      </c>
      <c r="L20" s="175">
        <f>+'1'!L20+'2'!L20+'4'!L20+'3'!L20+'5'!L20+'6'!L20+'7'!L20+'8'!L20+'9'!L20+'10'!L20</f>
        <v>290.56</v>
      </c>
      <c r="M20" s="118">
        <f t="shared" si="2"/>
        <v>6119.92</v>
      </c>
      <c r="N20" s="101">
        <f>+'1'!N20+'2'!N20+'4'!N20+'3'!N20+'5'!N20+'6'!N20+'7'!N20+'8'!N20+'9'!N20+'10'!N20</f>
        <v>691.72166400000003</v>
      </c>
      <c r="O20" s="101">
        <f>+'1'!O20+'2'!O20+'4'!O20+'3'!O20+'5'!O20+'6'!O20+'7'!O20+'8'!O20+'9'!O20+'10'!O20</f>
        <v>69.725029440000014</v>
      </c>
      <c r="P20" s="120">
        <f t="shared" si="0"/>
        <v>6881.3666934399998</v>
      </c>
      <c r="T20" s="163" t="str">
        <f>+'7'!A5</f>
        <v>Customer Name : Shell Petro Mart</v>
      </c>
      <c r="U20" s="164">
        <f>+'7'!P35</f>
        <v>4376.8028336249999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109</v>
      </c>
      <c r="I21" s="1">
        <f t="shared" si="1"/>
        <v>7917.76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175.42560000000003</v>
      </c>
      <c r="L21" s="175">
        <f>+'1'!L21+'2'!L21+'4'!L21+'3'!L21+'5'!L21+'6'!L21+'7'!L21+'8'!L21+'9'!L21+'10'!L21</f>
        <v>400.97280000000001</v>
      </c>
      <c r="M21" s="118">
        <f t="shared" si="2"/>
        <v>7341.3616000000002</v>
      </c>
      <c r="N21" s="101">
        <f>+'1'!N21+'2'!N21+'4'!N21+'3'!N21+'5'!N21+'6'!N21+'7'!N21+'8'!N21+'9'!N21+'10'!N21</f>
        <v>896.15241600000002</v>
      </c>
      <c r="O21" s="101">
        <f>+'1'!O21+'2'!O21+'4'!O21+'3'!O21+'5'!O21+'6'!O21+'7'!O21+'8'!O21+'9'!O21+'10'!O21</f>
        <v>95.060299680000014</v>
      </c>
      <c r="P21" s="120">
        <f t="shared" si="0"/>
        <v>8332.5743156800017</v>
      </c>
      <c r="T21" s="163" t="str">
        <f>+'8'!A5</f>
        <v>Customer Name : Madina Store</v>
      </c>
      <c r="U21" s="164">
        <f>+'8'!P35</f>
        <v>2894.0451551999995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54</v>
      </c>
      <c r="I22" s="1">
        <f t="shared" si="1"/>
        <v>2118.42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41.191500000000012</v>
      </c>
      <c r="L22" s="175">
        <f>+'1'!L22+'2'!L22+'4'!L22+'3'!L22+'5'!L22+'6'!L22+'7'!L22+'8'!L22+'9'!L22+'10'!L22</f>
        <v>117.69000000000003</v>
      </c>
      <c r="M22" s="118">
        <f t="shared" si="2"/>
        <v>1959.5385000000001</v>
      </c>
      <c r="N22" s="101">
        <f>+'1'!N22+'2'!N22+'4'!N22+'3'!N22+'5'!N22+'6'!N22+'7'!N22+'8'!N22+'9'!N22+'10'!N22</f>
        <v>191.38747799999999</v>
      </c>
      <c r="O22" s="101">
        <f>+'1'!O22+'2'!O22+'4'!O22+'3'!O22+'5'!O22+'6'!O22+'7'!O22+'8'!O22+'9'!O22+'10'!O22</f>
        <v>15.657124529999999</v>
      </c>
      <c r="P22" s="120">
        <f t="shared" si="0"/>
        <v>2166.5831025300004</v>
      </c>
      <c r="T22" s="163" t="str">
        <f>+'9'!A5</f>
        <v>Customer Name : Rohan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Super Bakery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Hafiz Store</v>
      </c>
      <c r="U24" s="164">
        <f>+'11'!P35</f>
        <v>3152.8622015999999</v>
      </c>
    </row>
    <row r="25" spans="1:21 16384:16384" ht="26.5" thickBot="1" x14ac:dyDescent="0.65">
      <c r="A25" s="235" t="s">
        <v>84</v>
      </c>
      <c r="B25" s="236"/>
      <c r="C25" s="237">
        <f>H25/40</f>
        <v>9.625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385</v>
      </c>
      <c r="I25" s="178">
        <f t="shared" si="3"/>
        <v>24588.415000000001</v>
      </c>
      <c r="J25" s="177">
        <f t="shared" si="3"/>
        <v>0</v>
      </c>
      <c r="K25" s="178">
        <f t="shared" si="3"/>
        <v>573.40132500000004</v>
      </c>
      <c r="L25" s="179">
        <f t="shared" si="3"/>
        <v>1334.1695999999999</v>
      </c>
      <c r="M25" s="141">
        <f t="shared" si="3"/>
        <v>22680.844074999997</v>
      </c>
      <c r="N25" s="142">
        <f>SUM(N16:N24)</f>
        <v>3007.9931685000001</v>
      </c>
      <c r="O25" s="143">
        <f>SUM(O16:O24)</f>
        <v>257.10279399750004</v>
      </c>
      <c r="P25" s="144">
        <f>SUM(P16:P24)</f>
        <v>25945.940037497501</v>
      </c>
      <c r="T25" s="163" t="str">
        <f>+'12'!A5</f>
        <v>Customer Name : Data Store</v>
      </c>
      <c r="U25" s="164">
        <f>+'12'!P35</f>
        <v>4823.4085919999998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Data Store</v>
      </c>
      <c r="U26" s="164">
        <f>+'13'!P35</f>
        <v>985.03470059999995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26701.725531697499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24588.415000000001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1334.1695999999999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573.40132500000004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22680.844075000001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3007.9931685000001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25688.837243500002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642.22093108750005</v>
      </c>
    </row>
    <row r="43" spans="1:21" ht="15.75" customHeight="1" thickBot="1" x14ac:dyDescent="0.4">
      <c r="N43" s="229" t="s">
        <v>92</v>
      </c>
      <c r="O43" s="230"/>
      <c r="P43" s="160">
        <f>P41+P42</f>
        <v>26331.058174587502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/>
      <c r="K19" s="104">
        <f t="shared" si="4"/>
        <v>30.508800000000004</v>
      </c>
      <c r="L19" s="105">
        <f t="shared" si="5"/>
        <v>69.734400000000008</v>
      </c>
      <c r="M19" s="118">
        <f t="shared" si="6"/>
        <v>771.43680000000006</v>
      </c>
      <c r="N19" s="118">
        <f t="shared" si="0"/>
        <v>138.85862399999999</v>
      </c>
      <c r="O19" s="119">
        <f t="shared" si="1"/>
        <v>4.5514771200000004</v>
      </c>
      <c r="P19" s="120">
        <f t="shared" si="2"/>
        <v>914.84690111999998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04">
        <f t="shared" si="4"/>
        <v>30.508800000000004</v>
      </c>
      <c r="L21" s="105">
        <f t="shared" si="5"/>
        <v>69.734400000000008</v>
      </c>
      <c r="M21" s="118">
        <f t="shared" si="6"/>
        <v>771.43680000000006</v>
      </c>
      <c r="N21" s="118">
        <f t="shared" si="0"/>
        <v>138.85862399999999</v>
      </c>
      <c r="O21" s="119">
        <f t="shared" si="1"/>
        <v>4.5514771200000004</v>
      </c>
      <c r="P21" s="120">
        <f t="shared" si="2"/>
        <v>914.84690111999998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04">
        <f t="shared" si="4"/>
        <v>16.476600000000005</v>
      </c>
      <c r="L22" s="120">
        <f>I22*10%</f>
        <v>47.076000000000008</v>
      </c>
      <c r="M22" s="118">
        <f t="shared" si="6"/>
        <v>407.20740000000001</v>
      </c>
      <c r="N22" s="118">
        <f t="shared" si="0"/>
        <v>73.297331999999997</v>
      </c>
      <c r="O22" s="119">
        <f t="shared" si="1"/>
        <v>2.4025236599999999</v>
      </c>
      <c r="P22" s="120">
        <f t="shared" si="2"/>
        <v>482.90725565999998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36</v>
      </c>
      <c r="I25" s="137">
        <f t="shared" si="13"/>
        <v>2214.1200000000003</v>
      </c>
      <c r="J25" s="138"/>
      <c r="K25" s="139">
        <f t="shared" si="13"/>
        <v>77.494200000000006</v>
      </c>
      <c r="L25" s="140">
        <f t="shared" si="13"/>
        <v>186.54480000000001</v>
      </c>
      <c r="M25" s="141">
        <f t="shared" si="13"/>
        <v>1950.0810000000001</v>
      </c>
      <c r="N25" s="142">
        <f>SUM(N16:N24)</f>
        <v>351.01457999999997</v>
      </c>
      <c r="O25" s="143">
        <f>SUM(O16:O24)</f>
        <v>11.505477900000001</v>
      </c>
      <c r="P25" s="144">
        <f>SUM(P16:P24)</f>
        <v>2312.6010578999999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2214.1200000000003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186.54480000000001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77.494200000000006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1950.0810000000001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351.01457999999997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2301.0955800000002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11.505477900000001</v>
      </c>
    </row>
    <row r="35" spans="2:16" ht="15.75" customHeight="1" thickBot="1" x14ac:dyDescent="0.4">
      <c r="N35" s="229" t="s">
        <v>92</v>
      </c>
      <c r="O35" s="230"/>
      <c r="P35" s="160">
        <f>P33+P34</f>
        <v>2312.6010579000003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2"/>
        <v>508.48</v>
      </c>
      <c r="J19" s="117"/>
      <c r="K19" s="104">
        <f t="shared" si="3"/>
        <v>17.796800000000001</v>
      </c>
      <c r="L19" s="105">
        <f t="shared" si="4"/>
        <v>40.678400000000003</v>
      </c>
      <c r="M19" s="118">
        <f t="shared" si="5"/>
        <v>450.00479999999999</v>
      </c>
      <c r="N19" s="118">
        <f t="shared" si="0"/>
        <v>81.000863999999993</v>
      </c>
      <c r="O19" s="119">
        <f t="shared" si="6"/>
        <v>2.65502832</v>
      </c>
      <c r="P19" s="120">
        <f t="shared" si="1"/>
        <v>533.66069232000007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2"/>
        <v>508.48</v>
      </c>
      <c r="J21" s="117"/>
      <c r="K21" s="104">
        <f t="shared" si="3"/>
        <v>17.796800000000001</v>
      </c>
      <c r="L21" s="105">
        <f t="shared" si="4"/>
        <v>40.678400000000003</v>
      </c>
      <c r="M21" s="118">
        <f t="shared" si="5"/>
        <v>450.00479999999999</v>
      </c>
      <c r="N21" s="118">
        <f t="shared" si="0"/>
        <v>81.000863999999993</v>
      </c>
      <c r="O21" s="119">
        <f t="shared" si="6"/>
        <v>2.65502832</v>
      </c>
      <c r="P21" s="120">
        <f t="shared" si="1"/>
        <v>533.66069232000007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50.847999999999999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1524.7448352000001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1452.8000000000002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116.22400000000002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50.847999999999999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1285.7280000000003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1517.1590400000002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7.5857952000000015</v>
      </c>
    </row>
    <row r="35" spans="2:16" ht="15.75" customHeight="1" thickBot="1" x14ac:dyDescent="0.4">
      <c r="N35" s="229" t="s">
        <v>92</v>
      </c>
      <c r="O35" s="230"/>
      <c r="P35" s="160">
        <f>P33+P34</f>
        <v>1524.7448352000001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3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22.757385600000003</v>
      </c>
      <c r="P21" s="120">
        <f t="shared" si="1"/>
        <v>933.05280960000005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 t="shared" si="3"/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73.297331999999997</v>
      </c>
      <c r="O22" s="119">
        <f t="shared" si="6"/>
        <v>12.0126183</v>
      </c>
      <c r="P22" s="120">
        <f t="shared" si="1"/>
        <v>492.51735029999998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1342.44</v>
      </c>
      <c r="J25" s="138"/>
      <c r="K25" s="139">
        <f t="shared" si="9"/>
        <v>46.985400000000013</v>
      </c>
      <c r="L25" s="140">
        <f t="shared" si="9"/>
        <v>116.81040000000002</v>
      </c>
      <c r="M25" s="141">
        <f t="shared" si="9"/>
        <v>1178.6442000000002</v>
      </c>
      <c r="N25" s="142">
        <f>SUM(N16:N24)</f>
        <v>212.155956</v>
      </c>
      <c r="O25" s="143">
        <f>SUM(O16:O24)</f>
        <v>34.770003900000006</v>
      </c>
      <c r="P25" s="144">
        <f>SUM(P16:P24)</f>
        <v>1425.5701598999999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1342.44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116.81040000000002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46.985400000000013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1178.6442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212.155956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1390.800156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34.770003899999999</v>
      </c>
    </row>
    <row r="35" spans="2:16" ht="15.75" customHeight="1" thickBot="1" x14ac:dyDescent="0.4">
      <c r="N35" s="229" t="s">
        <v>92</v>
      </c>
      <c r="O35" s="230"/>
      <c r="P35" s="160">
        <f>P33+P34</f>
        <v>1425.5701598999999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2265.75045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29" t="s">
        <v>92</v>
      </c>
      <c r="O35" s="230"/>
      <c r="P35" s="160">
        <f>P33+P34</f>
        <v>2277.07920225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3520262710933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1.6993128374999997</v>
      </c>
      <c r="P16" s="105">
        <f t="shared" ref="P16:P24" si="1">M16+N16+O16</f>
        <v>341.56188033749993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2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3.3986256749999995</v>
      </c>
      <c r="P17" s="120">
        <f t="shared" si="1"/>
        <v>683.12376067499986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04">
        <f t="shared" si="3"/>
        <v>7.6272000000000011</v>
      </c>
      <c r="L19" s="105">
        <f t="shared" si="4"/>
        <v>17.433600000000002</v>
      </c>
      <c r="M19" s="118">
        <f t="shared" si="5"/>
        <v>192.85920000000002</v>
      </c>
      <c r="N19" s="118">
        <f t="shared" si="0"/>
        <v>42.429024000000005</v>
      </c>
      <c r="O19" s="119">
        <f t="shared" si="6"/>
        <v>1.17644112</v>
      </c>
      <c r="P19" s="120">
        <f t="shared" si="1"/>
        <v>236.46466512000001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169.71609600000002</v>
      </c>
      <c r="O20" s="119">
        <f t="shared" si="6"/>
        <v>4.70576448</v>
      </c>
      <c r="P20" s="120">
        <f t="shared" si="1"/>
        <v>945.85866048000003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2.35288224</v>
      </c>
      <c r="P21" s="120">
        <f t="shared" si="1"/>
        <v>472.92933024000001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 t="shared" si="3"/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1.24198257</v>
      </c>
      <c r="P22" s="120">
        <f t="shared" si="1"/>
        <v>249.63849657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45</v>
      </c>
      <c r="I25" s="137">
        <f t="shared" si="9"/>
        <v>2705.145</v>
      </c>
      <c r="J25" s="138"/>
      <c r="K25" s="139">
        <f t="shared" si="9"/>
        <v>94.680075000000016</v>
      </c>
      <c r="L25" s="140">
        <f t="shared" si="9"/>
        <v>221.11920000000001</v>
      </c>
      <c r="M25" s="141">
        <f t="shared" si="9"/>
        <v>2389.3457250000001</v>
      </c>
      <c r="N25" s="142">
        <f>SUM(N16:N24)</f>
        <v>525.65605949999997</v>
      </c>
      <c r="O25" s="143">
        <f>SUM(O16:O24)</f>
        <v>14.575008922499999</v>
      </c>
      <c r="P25" s="144">
        <f>SUM(P16:P24)</f>
        <v>2929.5767934224996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2705.145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221.11920000000001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94.680075000000016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2389.3457249999997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525.65605949999997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2915.0017844999998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14.575008922499999</v>
      </c>
    </row>
    <row r="35" spans="2:16" ht="15.75" customHeight="1" thickBot="1" x14ac:dyDescent="0.4">
      <c r="N35" s="229" t="s">
        <v>92</v>
      </c>
      <c r="O35" s="230"/>
      <c r="P35" s="160">
        <f>P33+P34</f>
        <v>2929.5767934224996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137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39.214704000000005</v>
      </c>
      <c r="P20" s="120">
        <f t="shared" si="1"/>
        <v>1607.802864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39.214704000000005</v>
      </c>
      <c r="P21" s="120">
        <f t="shared" si="1"/>
        <v>1607.802864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3954.8500000000004</v>
      </c>
      <c r="J25" s="138"/>
      <c r="K25" s="139">
        <f t="shared" si="9"/>
        <v>138.41975000000002</v>
      </c>
      <c r="L25" s="140">
        <f t="shared" si="9"/>
        <v>316.38799999999998</v>
      </c>
      <c r="M25" s="141">
        <f t="shared" si="9"/>
        <v>3500.0422500000004</v>
      </c>
      <c r="N25" s="142">
        <f>SUM(N16:N24)</f>
        <v>770.00929500000007</v>
      </c>
      <c r="O25" s="143">
        <f>SUM(O16:O24)</f>
        <v>106.751288625</v>
      </c>
      <c r="P25" s="144">
        <f>SUM(P16:P24)</f>
        <v>4376.8028336249999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3954.8500000000004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316.38799999999998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138.41975000000002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3500.0422500000004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770.00929500000007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4270.0515450000003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106.75128862500002</v>
      </c>
    </row>
    <row r="35" spans="2:16" ht="15.75" customHeight="1" thickBot="1" x14ac:dyDescent="0.4">
      <c r="N35" s="229" t="s">
        <v>92</v>
      </c>
      <c r="O35" s="230"/>
      <c r="P35" s="160">
        <f>P33+P34</f>
        <v>4376.8028336249999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139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23.528822400000003</v>
      </c>
      <c r="P19" s="120">
        <f t="shared" si="1"/>
        <v>964.68171840000002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169.71609600000002</v>
      </c>
      <c r="O20" s="119">
        <f t="shared" si="6"/>
        <v>23.528822400000003</v>
      </c>
      <c r="P20" s="120">
        <f t="shared" si="1"/>
        <v>964.68171840000002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23.528822400000003</v>
      </c>
      <c r="P21" s="120">
        <f t="shared" si="1"/>
        <v>964.68171840000002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36</v>
      </c>
      <c r="I25" s="137">
        <f t="shared" si="9"/>
        <v>2615.04</v>
      </c>
      <c r="J25" s="138"/>
      <c r="K25" s="139">
        <f t="shared" si="9"/>
        <v>91.52640000000001</v>
      </c>
      <c r="L25" s="140">
        <f t="shared" si="9"/>
        <v>209.20320000000004</v>
      </c>
      <c r="M25" s="141">
        <f t="shared" si="9"/>
        <v>2314.3104000000003</v>
      </c>
      <c r="N25" s="142">
        <f>SUM(N16:N24)</f>
        <v>509.14828800000009</v>
      </c>
      <c r="O25" s="143">
        <f>SUM(O16:O24)</f>
        <v>70.586467200000016</v>
      </c>
      <c r="P25" s="144">
        <f>SUM(P16:P24)</f>
        <v>2894.0451552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2615.04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209.20320000000004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91.52640000000001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2314.3103999999998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509.14828800000009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2823.4586879999997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70.586467200000001</v>
      </c>
    </row>
    <row r="35" spans="2:16" ht="15.75" customHeight="1" thickBot="1" x14ac:dyDescent="0.4">
      <c r="N35" s="229" t="s">
        <v>92</v>
      </c>
      <c r="O35" s="230"/>
      <c r="P35" s="160">
        <f>P33+P34</f>
        <v>2894.0451551999995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9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139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 t="s">
        <v>130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142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143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1620169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145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39.214704000000005</v>
      </c>
      <c r="P19" s="120">
        <f t="shared" si="1"/>
        <v>1607.802864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39.214704000000005</v>
      </c>
      <c r="P20" s="120">
        <f t="shared" si="1"/>
        <v>1607.802864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39.214704000000005</v>
      </c>
      <c r="P21" s="120">
        <f t="shared" si="1"/>
        <v>1607.802864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4358.3999999999996</v>
      </c>
      <c r="J25" s="138"/>
      <c r="K25" s="139">
        <f t="shared" si="9"/>
        <v>152.54400000000001</v>
      </c>
      <c r="L25" s="140">
        <f t="shared" si="9"/>
        <v>348.67200000000003</v>
      </c>
      <c r="M25" s="141">
        <f t="shared" si="9"/>
        <v>3857.1840000000002</v>
      </c>
      <c r="N25" s="142">
        <f>SUM(N16:N24)</f>
        <v>848.58048000000008</v>
      </c>
      <c r="O25" s="143">
        <f>SUM(O16:O24)</f>
        <v>117.64411200000001</v>
      </c>
      <c r="P25" s="144">
        <f>SUM(P16:P24)</f>
        <v>4823.4085919999998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4358.3999999999996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348.67200000000003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152.54400000000001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3857.1839999999997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848.58048000000008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4705.7644799999998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117.64411200000001</v>
      </c>
    </row>
    <row r="35" spans="2:16" ht="15.75" customHeight="1" thickBot="1" x14ac:dyDescent="0.4">
      <c r="N35" s="229" t="s">
        <v>92</v>
      </c>
      <c r="O35" s="230"/>
      <c r="P35" s="160">
        <f>P33+P34</f>
        <v>4823.4085919999998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1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146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 t="shared" si="3"/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146.59466399999999</v>
      </c>
      <c r="O22" s="119">
        <f t="shared" si="6"/>
        <v>24.025236599999999</v>
      </c>
      <c r="P22" s="120">
        <f t="shared" si="1"/>
        <v>985.03470059999995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94.152000000000015</v>
      </c>
      <c r="M25" s="141">
        <f t="shared" si="9"/>
        <v>814.41480000000001</v>
      </c>
      <c r="N25" s="142">
        <f>SUM(N16:N24)</f>
        <v>146.59466399999999</v>
      </c>
      <c r="O25" s="143">
        <f>SUM(O16:O24)</f>
        <v>24.025236599999999</v>
      </c>
      <c r="P25" s="144">
        <f>SUM(P16:P24)</f>
        <v>985.03470059999995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941.5200000000001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94.152000000000015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32.95320000000001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814.41480000000001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146.59466399999999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961.00946399999998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24.025236599999999</v>
      </c>
    </row>
    <row r="35" spans="2:16" ht="15.75" customHeight="1" thickBot="1" x14ac:dyDescent="0.4">
      <c r="N35" s="229" t="s">
        <v>92</v>
      </c>
      <c r="O35" s="230"/>
      <c r="P35" s="160">
        <f>P33+P34</f>
        <v>985.03470059999995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abSelected="1" topLeftCell="A1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2026-07-06T06:58:01Z</dcterms:modified>
</cp:coreProperties>
</file>