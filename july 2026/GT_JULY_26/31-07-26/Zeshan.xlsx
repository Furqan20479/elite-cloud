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2DD94C0-FAC5-4A0F-8FC5-20C8C869B25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J7" i="62"/>
  <c r="M20" i="46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<sst xmlns="http://schemas.openxmlformats.org/spreadsheetml/2006/main" count="3975" uniqueCount="526">
  <si>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</si>
  <si>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</si>
  <si>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</si>
  <si>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</si>
  <si>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</si>
  <si>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</si>
  <si>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</si>
  <si>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</si>
  <si>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</si>
  <si>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</si>
  <si>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</si>
  <si>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</si>
  <si>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</si>
  <si>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</si>
  <si>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</si>
  <si>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</si>
  <si>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</si>
  <si>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</si>
  <si>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</si>
  <si>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</si>
  <si>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</si>
  <si>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</si>
  <si>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</si>
  <si>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</si>
  <si>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</si>
  <si>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</si>
  <si>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</si>
  <si>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</si>
  <si>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</si>
  <si>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</si>
  <si>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</si>
  <si>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</si>
  <si>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</si>
  <si>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</si>
  <si>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</si>
  <si>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</si>
  <si>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</si>
  <si>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</si>
  <si>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</si>
  <si>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</si>
  <si>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</si>
  <si>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</si>
  <si>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</si>
  <si>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</si>
  <si>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</si>
  <si>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</si>
  <si>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</si>
  <si>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</si>
  <si>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</si>
  <si>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</si>
  <si>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</si>
  <si>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</si>
  <si>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</si>
  <si>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</si>
  <si>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</si>
  <si>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</si>
  <si>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</si>
  <si>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</si>
  <si>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</si>
  <si>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</si>
  <si>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</si>
  <si>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</si>
  <si>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</si>
  <si>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</si>
  <si>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</si>
  <si>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</si>
  <si>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</si>
  <si>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</si>
  <si>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</si>
  <si>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</si>
  <si>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</si>
  <si>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</si>
  <si>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</si>
  <si>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</si>
  <si>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</si>
  <si>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</si>
  <si>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</si>
  <si>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</si>
  <si>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</si>
  <si>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</si>
  <si>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</si>
  <si>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</si>
  <si>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</si>
  <si>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</si>
  <si>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</si>
  <si>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</si>
  <si>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</si>
  <si>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</si>
  <si>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</si>
  <si>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</si>
  <si>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</si>
  <si>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</si>
  <si>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</si>
  <si>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</si>
  <si>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</si>
  <si>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</si>
  <si>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</si>
  <si>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</si>
  <si>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</si>
  <si>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</si>
  <si>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</si>
  <si>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</si>
  <si>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</si>
  <si>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</si>
  <si>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</si>
  <si>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</si>
  <si>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</si>
  <si>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</si>
  <si>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</si>
  <si>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</si>
  <si>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</si>
  <si>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</si>
  <si>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</si>
  <si>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</si>
  <si>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</si>
  <si>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</si>
  <si>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</si>
  <si>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</si>
  <si>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</si>
  <si>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</si>
  <si>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</si>
  <si>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</si>
  <si>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</si>
  <si>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</si>
  <si>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</si>
  <si>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</si>
  <si>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</si>
  <si>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</si>
  <si>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</si>
  <si>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</si>
  <si>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</si>
  <si>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</si>
  <si>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</si>
  <si>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</si>
  <si>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</si>
  <si>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</si>
  <si>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</si>
  <si>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</si>
  <si>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</si>
  <si>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</si>
  <si>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</si>
  <si>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</si>
  <si>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</si>
  <si>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</si>
  <si>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</si>
  <si>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</si>
  <si>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</si>
  <si>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</si>
  <si>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</si>
  <si>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</si>
  <si>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</si>
  <si>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</si>
  <si>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</si>
  <si>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</si>
  <si>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</si>
  <si>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</si>
  <si>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</si>
  <si>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</si>
  <si>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</si>
  <si>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</si>
  <si>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</si>
  <si>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</si>
  <si>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</si>
  <si>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</si>
  <si>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</si>
  <si>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</si>
  <si>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</si>
  <si>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</si>
  <si>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</si>
  <si>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</si>
  <si>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</si>
  <si>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</si>
  <si>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</si>
  <si>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</si>
  <si>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</si>
  <si>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</si>
  <si>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</si>
  <si>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</si>
  <si>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</si>
  <si>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</si>
  <si>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</si>
  <si>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</si>
  <si>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</si>
  <si>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</si>
  <si>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</si>
  <si>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</si>
  <si>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</si>
  <si>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</si>
  <si>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</si>
  <si>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</si>
  <si>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</si>
  <si>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</si>
  <si>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</si>
  <si>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</si>
  <si>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</si>
  <si>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</si>
  <si>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</si>
  <si>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</si>
  <si>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</si>
  <si>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</si>
  <si>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</si>
  <si>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</si>
  <si>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</si>
  <si>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</si>
  <si>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</si>
  <si>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</si>
  <si>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</si>
  <si>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</si>
  <si>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</si>
  <si>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</si>
  <si>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</si>
  <si>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</si>
  <si>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</si>
  <si>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</si>
  <si>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</si>
  <si>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</si>
  <si>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</si>
  <si>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</si>
  <si>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</si>
  <si>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</si>
  <si>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</si>
  <si>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</si>
  <si>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</si>
  <si>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</si>
  <si>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</si>
  <si>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</si>
  <si>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</si>
  <si>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</si>
  <si>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</si>
  <si>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</si>
  <si>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</si>
  <si>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</si>
  <si>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</si>
  <si>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</si>
  <si>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</si>
  <si>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</si>
  <si>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</si>
  <si>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</si>
  <si>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</si>
  <si>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</si>
  <si>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</si>
  <si>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</si>
  <si>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</si>
  <si>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</si>
  <si>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</si>
  <si>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</si>
  <si>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</si>
  <si>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</si>
  <si>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</si>
  <si>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</si>
  <si>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</si>
  <si>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</si>
  <si>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</si>
  <si>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</si>
  <si>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</si>
  <si>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</si>
  <si>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</si>
  <si>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</si>
  <si>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</si>
  <si>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</si>
  <si>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</si>
  <si>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</si>
  <si>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</si>
  <si>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</si>
  <si>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</si>
  <si>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</si>
  <si>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</si>
  <si>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</si>
  <si>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</si>
  <si>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</si>
  <si>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</si>
  <si>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</si>
  <si>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</si>
  <si>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</si>
  <si>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</si>
  <si>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</si>
  <si>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</si>
  <si>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</si>
  <si>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</si>
  <si>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</si>
  <si>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</si>
  <si>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</si>
  <si>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</si>
  <si>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</si>
  <si>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</si>
  <si>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</si>
  <si>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</si>
  <si>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</si>
  <si>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</si>
  <si>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</si>
  <si>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</si>
  <si>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</si>
  <si>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</si>
  <si>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</si>
  <si>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</si>
  <si>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</si>
  <si>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</si>
  <si>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</si>
  <si>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</si>
  <si>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</si>
  <si>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</si>
  <si>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</si>
  <si>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</si>
  <si>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</si>
  <si>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</si>
  <si>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</si>
  <si>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</si>
  <si>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</si>
  <si>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</si>
  <si>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</si>
  <si>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</si>
  <si>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</si>
  <si>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</si>
  <si>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</si>
  <si>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</si>
  <si>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</si>
  <si>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</si>
  <si>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</si>
  <si>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</si>
  <si>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</si>
  <si>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</si>
  <si>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</si>
  <si>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</si>
  <si>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</si>
  <si>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</si>
  <si>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</si>
  <si>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</si>
  <si>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</si>
  <si>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</si>
  <si>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</si>
  <si>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</si>
  <si>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</si>
  <si>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</si>
  <si>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</si>
  <si>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</si>
  <si>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</si>
  <si>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</si>
  <si>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</si>
  <si>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</si>
  <si>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</si>
  <si>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</si>
  <si>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</si>
  <si>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</si>
  <si>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</si>
  <si>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</si>
  <si>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</si>
  <si>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</si>
  <si>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</si>
  <si>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</si>
  <si>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</si>
  <si>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</si>
  <si>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</si>
  <si>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</si>
  <si>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</si>
  <si>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</si>
  <si>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</si>
  <si>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</si>
  <si>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</si>
  <si>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</si>
  <si>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</si>
  <si>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</si>
  <si>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</si>
  <si>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</si>
  <si>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</si>
  <si>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</si>
  <si>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</si>
  <si>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</si>
  <si>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</si>
  <si>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</si>
  <si>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</si>
  <si>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</si>
  <si>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</si>
  <si>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</si>
  <si>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</si>
  <si>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</si>
  <si>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</si>
  <si>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</si>
  <si>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</si>
  <si>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</si>
  <si>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</si>
  <si>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</si>
  <si>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</si>
  <si>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</si>
  <si>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</si>
  <si>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</si>
  <si>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</si>
  <si>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</si>
  <si>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</si>
  <si>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</si>
  <si>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</si>
  <si>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</si>
  <si>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</si>
  <si>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</si>
  <si>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</si>
  <si>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</si>
  <si>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</si>
  <si>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</si>
  <si>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</si>
  <si>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</si>
  <si>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</si>
  <si>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</si>
  <si>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</si>
  <si>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</si>
  <si>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</si>
  <si>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</si>
  <si>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</si>
  <si>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</si>
  <si>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</si>
  <si>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</si>
  <si>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</si>
  <si>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</si>
  <si>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</si>
  <si>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</si>
  <si>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</si>
  <si>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</si>
  <si>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</si>
  <si>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</si>
  <si>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</si>
  <si>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</si>
  <si>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</si>
  <si>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</si>
  <si>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</si>
  <si>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</si>
  <si>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</si>
  <si>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</si>
  <si>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</si>
  <si>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</si>
  <si>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</si>
  <si>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</si>
  <si>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</si>
  <si>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</si>
  <si>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</si>
  <si>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</si>
  <si>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</si>
  <si>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</si>
  <si>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</si>
  <si>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</si>
  <si>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</si>
  <si>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</si>
  <si>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</si>
  <si>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</si>
  <si>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</si>
  <si>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</si>
  <si>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</si>
  <si>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</si>
  <si>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</si>
  <si>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</si>
  <si>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</si>
  <si>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</si>
  <si>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</si>
  <si>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</si>
  <si>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</si>
  <si>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</si>
  <si>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</si>
  <si>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</si>
  <si>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</si>
  <si>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</si>
  <si>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</si>
  <si>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</si>
  <si>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</si>
  <si>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</si>
  <si>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</si>
  <si>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</si>
  <si>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</si>
  <si>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</si>
  <si>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</si>
  <si>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</si>
  <si>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</si>
  <si>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</si>
  <si>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</si>
  <si>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</si>
  <si>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</si>
  <si>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</si>
  <si>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</si>
  <si>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</si>
  <si>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</si>
  <si>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</si>
  <si>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</si>
  <si>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</si>
  <si>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</si>
  <si>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</si>
  <si>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</si>
  <si>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</si>
  <si>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</si>
  <si>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</si>
  <si>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</si>
  <si>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</si>
  <si>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</si>
  <si>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</si>
  <si>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</si>
  <si>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</si>
  <si>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</si>
  <si>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</si>
  <si>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</si>
  <si>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</si>
  <si>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</si>
  <si>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</si>
  <si>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</si>
  <si>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</si>
  <si>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</si>
  <si>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</si>
  <si>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</si>
  <si>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</si>
  <si>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</si>
  <si>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</si>
  <si>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</si>
  <si>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</si>
  <si>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</si>
  <si>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</si>
  <si>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</si>
  <si>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</si>
  <si>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</si>
  <si>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</si>
  <si>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Zeshan</t>
  </si>
  <si>
    <t>Ahmad Store</t>
  </si>
  <si>
    <t>Address:Peer Colony</t>
  </si>
  <si>
    <t xml:space="preserve">Rana Mart </t>
  </si>
  <si>
    <t>Address: Peer Colony</t>
  </si>
  <si>
    <t>Madina Store</t>
  </si>
  <si>
    <t>Al Barkat Store</t>
  </si>
  <si>
    <t>Raza Store</t>
  </si>
  <si>
    <t>Rehman Store</t>
  </si>
  <si>
    <t>Sohail Store</t>
  </si>
  <si>
    <t>Rehmat Store</t>
  </si>
  <si>
    <t>Bravo Store</t>
  </si>
  <si>
    <t xml:space="preserve">Progressive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</si>
</sst>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4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513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 ca="1"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Ahmad Store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Rana Mart </v>
      </c>
      <c r="T4" s="301">
        <f>+'2'!P35</f>
        <v>2382.4803250983055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>Madina Store</v>
      </c>
      <c r="T5" s="301">
        <f>+'3'!P35</f>
        <v>4805.3894985762709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>Al Barkat Store</v>
      </c>
      <c r="T6" s="301">
        <f>+'4'!P35</f>
        <v>5401.2631679237284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32</v>
      </c>
      <c r="I7" s="235">
        <f>(G7*D7)*F7+H7*F7</f>
        <v>1678.8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134.304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58.758000000000003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1485.7379999999998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317.2881355932202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9.015130677966102</v>
      </c>
      <c r="P7" s="310">
        <f>M7+N7+O7</f>
        <v>1812.041266271186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Raza Store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32</v>
      </c>
      <c r="I8" s="236">
        <f t="shared" ref="I8:I14" si="0">(G8*D8)*F8+H8*F8</f>
        <v>1678.8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134.304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58.758000000000003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1485.7379999999998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317.2881355932202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9.015130677966102</v>
      </c>
      <c r="P8" s="311">
        <f t="shared" ref="P8:P15" si="2">M8+N8+O8</f>
        <v>1812.041266271186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Rehman Store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Sohail Store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155</v>
      </c>
      <c r="I10" s="236">
        <f t="shared" si="0"/>
        <v>11259.2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900.73599999999999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394.07200000000006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9964.3919999999998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2127.9661016949153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60.461790508474571</v>
      </c>
      <c r="P10" s="311">
        <f t="shared" si="2"/>
        <v>12152.81989220339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Rehmat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534.63040000000001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5914.3487999999998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35.88699823728814</v>
      </c>
      <c r="P11" s="311">
        <f t="shared" si="2"/>
        <v>7213.286645694915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Bravo Store</v>
      </c>
      <c r="T11" s="301">
        <f>+'9'!P35</f>
        <v>1859.7843237508473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177</v>
      </c>
      <c r="I12" s="236">
        <f t="shared" si="0"/>
        <v>12857.28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1028.5824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450.00480000000005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11378.692800000001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2430.0000000000005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69.043464000000014</v>
      </c>
      <c r="P12" s="311">
        <f t="shared" si="2"/>
        <v>13877.736264000001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Progressive Mart </v>
      </c>
      <c r="T12" s="301">
        <f>+'10'!P35</f>
        <v>3136.2115850847458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184</v>
      </c>
      <c r="I13" s="236">
        <f t="shared" si="0"/>
        <v>7218.3200000000006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360.91600000000011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252.64120000000008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368.13432</v>
      </c>
      <c r="M13" s="230">
        <f t="shared" si="1"/>
        <v>6236.6284800000003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1403.389830508474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38.200091552542375</v>
      </c>
      <c r="P13" s="311">
        <f t="shared" si="2"/>
        <v>7678.2184020610166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16.8</v>
      </c>
      <c r="H16" s="113">
        <f t="shared" ref="H16:M16" si="3">SUM(H7:H15)</f>
        <v>672</v>
      </c>
      <c r="I16" s="114">
        <f t="shared" si="3"/>
        <v>41375.279999999999</v>
      </c>
      <c r="J16" s="274">
        <f>SUM(J7:J15)</f>
        <v>3093.4728000000005</v>
      </c>
      <c r="K16" s="275">
        <f t="shared" si="3"/>
        <v>1448.1348000000003</v>
      </c>
      <c r="L16" s="276">
        <f t="shared" si="3"/>
        <v>368.13432</v>
      </c>
      <c r="M16" s="232">
        <f t="shared" si="3"/>
        <v>36465.538079999998</v>
      </c>
      <c r="N16" s="233">
        <f>SUM(N7:N15)</f>
        <v>7858.9830508474579</v>
      </c>
      <c r="O16" s="101">
        <f>SUM(O7:O15)</f>
        <v>221.6226056542373</v>
      </c>
      <c r="P16" s="113">
        <f>SUM(P7:P15)</f>
        <v>44546.14373650169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41375.279999999999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3093.4728000000005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1816.2691200000004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36465.538079999998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7858.9830508474579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44324.521130847454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221.6226056542373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44546.14373650169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44546.143736501705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113">
        <f>SUM(P16:P24)</f>
        <v>2382.480325098305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2214.1200000000003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163.00680000000003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101.50296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1949.6102400000002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2370.6271891525425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42" t="s">
        <v>88</v>
      </c>
      <c r="O35" s="343"/>
      <c r="P35" s="297">
        <f>+P33+P34</f>
        <v>2382.4803250983055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311">
        <f t="shared" si="5"/>
        <v>2352.1586888135594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311">
        <f t="shared" si="5"/>
        <v>2352.1586888135594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36</v>
      </c>
      <c r="I25" s="114">
        <f t="shared" si="7"/>
        <v>1729.86</v>
      </c>
      <c r="J25" s="274">
        <f>SUM(J16:J24)</f>
        <v>124.26599999999999</v>
      </c>
      <c r="K25" s="275">
        <f t="shared" si="7"/>
        <v>60.545100000000005</v>
      </c>
      <c r="L25" s="276">
        <f t="shared" si="7"/>
        <v>24.008760000000002</v>
      </c>
      <c r="M25" s="232">
        <f t="shared" si="7"/>
        <v>1521.0401400000001</v>
      </c>
      <c r="N25" s="233">
        <f>SUM(N16:N24)</f>
        <v>329.49152542372866</v>
      </c>
      <c r="O25" s="101">
        <f>SUM(O16:O24)</f>
        <v>9.2526583271186436</v>
      </c>
      <c r="P25" s="113">
        <f>SUM(P16:P24)</f>
        <v>1859.7843237508473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1729.86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124.26599999999999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84.553860000000014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1521.0401399999998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329.49152542372866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1850.5316654237286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9.2526583271186436</v>
      </c>
    </row>
    <row r="35" spans="2:16" ht="15.75" customHeight="1" thickBot="1" x14ac:dyDescent="0.4">
      <c r="N35" s="342" t="s">
        <v>88</v>
      </c>
      <c r="O35" s="343"/>
      <c r="P35" s="297">
        <f>+P33+P34</f>
        <v>1859.7843237508473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46233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46234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46233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2026-07-30T12:20:25Z</dcterms:modified>
</cp:coreProperties>
</file>