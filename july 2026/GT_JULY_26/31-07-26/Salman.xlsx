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8D9BD6A-13B7-4D4E-9649-477FD0AEEF7A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K12" i="62"/>
  <c r="M21" i="44"/>
  <c r="O21" i="44" s="1"/>
  <c r="P21" i="44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<sst xmlns="http://schemas.openxmlformats.org/spreadsheetml/2006/main" count="3975" uniqueCount="522">
  <si>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</si>
  <si>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</si>
  <si>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</si>
  <si>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</si>
  <si>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</si>
  <si>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</si>
  <si>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</si>
  <si>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</si>
  <si>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</si>
  <si>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</si>
  <si>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</si>
  <si>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</si>
  <si>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</si>
  <si>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</si>
  <si>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</si>
  <si>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</si>
  <si>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</si>
  <si>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</si>
  <si>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</si>
  <si>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</si>
  <si>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</si>
  <si>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</si>
  <si>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</si>
  <si>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</si>
  <si>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</si>
  <si>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</si>
  <si>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</si>
  <si>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</si>
  <si>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</si>
  <si>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</si>
  <si>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</si>
  <si>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</si>
  <si>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</si>
  <si>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</si>
  <si>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</si>
  <si>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</si>
  <si>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</si>
  <si>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</si>
  <si>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</si>
  <si>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</si>
  <si>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</si>
  <si>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</si>
  <si>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</si>
  <si>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</si>
  <si>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</si>
  <si>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</si>
  <si>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</si>
  <si>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</si>
  <si>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</si>
  <si>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</si>
  <si>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</si>
  <si>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</si>
  <si>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</si>
  <si>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</si>
  <si>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</si>
  <si>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</si>
  <si>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</si>
  <si>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</si>
  <si>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</si>
  <si>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</si>
  <si>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</si>
  <si>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</si>
  <si>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</si>
  <si>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</si>
  <si>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</si>
  <si>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</si>
  <si>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</si>
  <si>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</si>
  <si>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</si>
  <si>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</si>
  <si>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</si>
  <si>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</si>
  <si>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</si>
  <si>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</si>
  <si>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</si>
  <si>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</si>
  <si>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</si>
  <si>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</si>
  <si>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</si>
  <si>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</si>
  <si>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</si>
  <si>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</si>
  <si>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</si>
  <si>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</si>
  <si>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</si>
  <si>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</si>
  <si>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</si>
  <si>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</si>
  <si>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</si>
  <si>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</si>
  <si>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</si>
  <si>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</si>
  <si>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</si>
  <si>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</si>
  <si>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</si>
  <si>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</si>
  <si>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</si>
  <si>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</si>
  <si>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</si>
  <si>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</si>
  <si>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</si>
  <si>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</si>
  <si>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</si>
  <si>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</si>
  <si>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</si>
  <si>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</si>
  <si>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</si>
  <si>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</si>
  <si>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</si>
  <si>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</si>
  <si>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</si>
  <si>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</si>
  <si>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</si>
  <si>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</si>
  <si>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</si>
  <si>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</si>
  <si>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</si>
  <si>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</si>
  <si>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</si>
  <si>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</si>
  <si>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</si>
  <si>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</si>
  <si>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</si>
  <si>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</si>
  <si>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</si>
  <si>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</si>
  <si>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</si>
  <si>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</si>
  <si>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</si>
  <si>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</si>
  <si>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</si>
  <si>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</si>
  <si>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</si>
  <si>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</si>
  <si>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</si>
  <si>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</si>
  <si>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</si>
  <si>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</si>
  <si>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</si>
  <si>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</si>
  <si>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</si>
  <si>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</si>
  <si>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</si>
  <si>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</si>
  <si>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</si>
  <si>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</si>
  <si>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</si>
  <si>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</si>
  <si>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</si>
  <si>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</si>
  <si>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</si>
  <si>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</si>
  <si>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</si>
  <si>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</si>
  <si>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</si>
  <si>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</si>
  <si>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</si>
  <si>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</si>
  <si>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</si>
  <si>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</si>
  <si>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</si>
  <si>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</si>
  <si>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</si>
  <si>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</si>
  <si>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</si>
  <si>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</si>
  <si>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</si>
  <si>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</si>
  <si>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</si>
  <si>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</si>
  <si>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</si>
  <si>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</si>
  <si>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</si>
  <si>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</si>
  <si>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</si>
  <si>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</si>
  <si>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</si>
  <si>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</si>
  <si>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</si>
  <si>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</si>
  <si>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</si>
  <si>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</si>
  <si>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</si>
  <si>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</si>
  <si>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</si>
  <si>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</si>
  <si>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</si>
  <si>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</si>
  <si>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</si>
  <si>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</si>
  <si>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</si>
  <si>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</si>
  <si>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</si>
  <si>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</si>
  <si>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</si>
  <si>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</si>
  <si>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</si>
  <si>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</si>
  <si>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</si>
  <si>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</si>
  <si>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</si>
  <si>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</si>
  <si>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</si>
  <si>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</si>
  <si>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</si>
  <si>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</si>
  <si>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</si>
  <si>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</si>
  <si>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</si>
  <si>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</si>
  <si>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</si>
  <si>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</si>
  <si>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</si>
  <si>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</si>
  <si>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</si>
  <si>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</si>
  <si>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</si>
  <si>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</si>
  <si>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</si>
  <si>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</si>
  <si>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</si>
  <si>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</si>
  <si>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</si>
  <si>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</si>
  <si>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</si>
  <si>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</si>
  <si>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</si>
  <si>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</si>
  <si>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</si>
  <si>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</si>
  <si>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</si>
  <si>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</si>
  <si>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</si>
  <si>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</si>
  <si>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</si>
  <si>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</si>
  <si>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</si>
  <si>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</si>
  <si>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</si>
  <si>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</si>
  <si>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</si>
  <si>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</si>
  <si>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</si>
  <si>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</si>
  <si>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</si>
  <si>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</si>
  <si>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</si>
  <si>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</si>
  <si>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</si>
  <si>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</si>
  <si>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</si>
  <si>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</si>
  <si>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</si>
  <si>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</si>
  <si>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</si>
  <si>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</si>
  <si>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</si>
  <si>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</si>
  <si>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</si>
  <si>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</si>
  <si>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</si>
  <si>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</si>
  <si>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</si>
  <si>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</si>
  <si>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</si>
  <si>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</si>
  <si>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</si>
  <si>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</si>
  <si>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</si>
  <si>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</si>
  <si>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</si>
  <si>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</si>
  <si>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</si>
  <si>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</si>
  <si>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</si>
  <si>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</si>
  <si>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</si>
  <si>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</si>
  <si>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</si>
  <si>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</si>
  <si>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</si>
  <si>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</si>
  <si>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</si>
  <si>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</si>
  <si>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</si>
  <si>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</si>
  <si>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</si>
  <si>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</si>
  <si>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</si>
  <si>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</si>
  <si>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</si>
  <si>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</si>
  <si>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</si>
  <si>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</si>
  <si>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</si>
  <si>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</si>
  <si>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</si>
  <si>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</si>
  <si>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</si>
  <si>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</si>
  <si>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</si>
  <si>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</si>
  <si>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</si>
  <si>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</si>
  <si>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</si>
  <si>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</si>
  <si>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</si>
  <si>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</si>
  <si>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</si>
  <si>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</si>
  <si>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</si>
  <si>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</si>
  <si>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</si>
  <si>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</si>
  <si>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</si>
  <si>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</si>
  <si>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</si>
  <si>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</si>
  <si>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</si>
  <si>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</si>
  <si>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</si>
  <si>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</si>
  <si>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</si>
  <si>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</si>
  <si>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</si>
  <si>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</si>
  <si>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</si>
  <si>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</si>
  <si>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</si>
  <si>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</si>
  <si>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</si>
  <si>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</si>
  <si>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</si>
  <si>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</si>
  <si>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</si>
  <si>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</si>
  <si>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</si>
  <si>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</si>
  <si>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</si>
  <si>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</si>
  <si>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</si>
  <si>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</si>
  <si>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</si>
  <si>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</si>
  <si>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</si>
  <si>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</si>
  <si>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</si>
  <si>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</si>
  <si>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</si>
  <si>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</si>
  <si>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</si>
  <si>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</si>
  <si>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</si>
  <si>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</si>
  <si>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</si>
  <si>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</si>
  <si>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</si>
  <si>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</si>
  <si>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</si>
  <si>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</si>
  <si>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</si>
  <si>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</si>
  <si>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</si>
  <si>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</si>
  <si>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</si>
  <si>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</si>
  <si>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</si>
  <si>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</si>
  <si>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</si>
  <si>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</si>
  <si>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</si>
  <si>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</si>
  <si>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</si>
  <si>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</si>
  <si>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</si>
  <si>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</si>
  <si>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</si>
  <si>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</si>
  <si>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</si>
  <si>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</si>
  <si>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</si>
  <si>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</si>
  <si>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</si>
  <si>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</si>
  <si>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</si>
  <si>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</si>
  <si>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</si>
  <si>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</si>
  <si>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</si>
  <si>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</si>
  <si>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</si>
  <si>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</si>
  <si>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</si>
  <si>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</si>
  <si>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</si>
  <si>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</si>
  <si>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</si>
  <si>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</si>
  <si>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</si>
  <si>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</si>
  <si>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</si>
  <si>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</si>
  <si>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</si>
  <si>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</si>
  <si>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</si>
  <si>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</si>
  <si>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</si>
  <si>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</si>
  <si>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</si>
  <si>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</si>
  <si>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</si>
  <si>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</si>
  <si>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</si>
  <si>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</si>
  <si>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</si>
  <si>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</si>
  <si>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</si>
  <si>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</si>
  <si>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</si>
  <si>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</si>
  <si>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</si>
  <si>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</si>
  <si>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</si>
  <si>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</si>
  <si>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</si>
  <si>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</si>
  <si>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</si>
  <si>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</si>
  <si>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</si>
  <si>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</si>
  <si>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</si>
  <si>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</si>
  <si>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</si>
  <si>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</si>
  <si>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</si>
  <si>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</si>
  <si>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</si>
  <si>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</si>
  <si>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</si>
  <si>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</si>
  <si>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</si>
  <si>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</si>
  <si>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</si>
  <si>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</si>
  <si>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</si>
  <si>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</si>
  <si>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</si>
  <si>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</si>
  <si>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</si>
  <si>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</si>
  <si>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</si>
  <si>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</si>
  <si>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</si>
  <si>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</si>
  <si>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</si>
  <si>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</si>
  <si>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</si>
  <si>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</si>
  <si>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</si>
  <si>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</si>
  <si>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</si>
  <si>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</si>
  <si>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</si>
  <si>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</si>
  <si>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</si>
  <si>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</si>
  <si>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</si>
  <si>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</si>
  <si>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</si>
  <si>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</si>
  <si>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</si>
  <si>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</si>
  <si>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</si>
  <si>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</si>
  <si>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</si>
  <si>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</si>
  <si>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</si>
  <si>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</si>
  <si>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</si>
  <si>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</si>
  <si>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</si>
  <si>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</si>
  <si>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</si>
  <si>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</si>
  <si>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</si>
  <si>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</si>
  <si>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</si>
  <si>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</si>
  <si>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</si>
  <si>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</si>
  <si>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</si>
  <si>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</si>
  <si>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</si>
  <si>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</si>
  <si>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</si>
  <si>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</si>
  <si>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</si>
  <si>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</si>
  <si>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</si>
  <si>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</si>
  <si>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</si>
  <si>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</si>
  <si>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</si>
  <si>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</si>
  <si>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</si>
  <si>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</si>
  <si>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</si>
  <si>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</si>
  <si>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</si>
  <si>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</si>
  <si>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</si>
  <si>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</si>
  <si>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</si>
  <si>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Salman </t>
  </si>
  <si>
    <t>Mughal Store</t>
  </si>
  <si>
    <t xml:space="preserve">Address:Tajbagh </t>
  </si>
  <si>
    <t xml:space="preserve">Ideal Cash &amp; Carry </t>
  </si>
  <si>
    <t xml:space="preserve">Tops Bakers </t>
  </si>
  <si>
    <t>Khan Store</t>
  </si>
  <si>
    <t xml:space="preserve">Address: Tajbagh </t>
  </si>
  <si>
    <t xml:space="preserve">Marwa Mart </t>
  </si>
  <si>
    <t xml:space="preserve">Al Raya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</si>
</sst>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513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 ca="1">+'1'!N4:N4</f>
        <v>46234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Mughal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Ideal Cash &amp; Carry </v>
      </c>
      <c r="T4" s="301">
        <f>+'2'!P35</f>
        <v>4055.1324333101688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 xml:space="preserve">Tops Bakers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Khan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Marwa Mart </v>
      </c>
      <c r="T7" s="301">
        <f>+'5'!P35</f>
        <v>12544.846340338983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Al Raya Mart 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79</v>
      </c>
      <c r="I10" s="236">
        <f t="shared" si="0"/>
        <v>5738.56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459.08479999999997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200.84960000000001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5078.6256000000003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1084.5762711864409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30.816009355932206</v>
      </c>
      <c r="P10" s="311">
        <f t="shared" si="2"/>
        <v>6194.017880542373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58</v>
      </c>
      <c r="I11" s="236">
        <f t="shared" si="0"/>
        <v>4213.12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337.0496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147.45920000000001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3728.6111999999998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796.27118644067798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22.62441193220339</v>
      </c>
      <c r="P11" s="311">
        <f t="shared" si="2"/>
        <v>4547.5067983728813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171</v>
      </c>
      <c r="I12" s="236">
        <f t="shared" si="0"/>
        <v>12421.44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993.7152000000001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434.75040000000001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10992.974400000001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2347.6271186440681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66.703007593220349</v>
      </c>
      <c r="P12" s="311">
        <f t="shared" si="2"/>
        <v>13407.304526237289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52</v>
      </c>
      <c r="I13" s="236">
        <f t="shared" si="0"/>
        <v>2039.9600000000003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101.99800000000002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71.398600000000016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104.03796</v>
      </c>
      <c r="M13" s="230">
        <f t="shared" si="1"/>
        <v>1762.5254400000003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396.6101694915252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10.795678047457628</v>
      </c>
      <c r="P13" s="311">
        <f t="shared" si="2"/>
        <v>2169.9312875389833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9.6</v>
      </c>
      <c r="H16" s="113">
        <f t="shared" ref="H16:M16" si="3">SUM(H7:H15)</f>
        <v>384</v>
      </c>
      <c r="I16" s="114">
        <f t="shared" si="3"/>
        <v>25672.18</v>
      </c>
      <c r="J16" s="274">
        <f>SUM(J7:J15)</f>
        <v>1992.5756000000001</v>
      </c>
      <c r="K16" s="275">
        <f t="shared" si="3"/>
        <v>898.52629999999999</v>
      </c>
      <c r="L16" s="276">
        <f t="shared" si="3"/>
        <v>104.03796</v>
      </c>
      <c r="M16" s="232">
        <f t="shared" si="3"/>
        <v>22677.040140000001</v>
      </c>
      <c r="N16" s="233">
        <f>SUM(N7:N15)</f>
        <v>4863.0508474576272</v>
      </c>
      <c r="O16" s="101">
        <f>SUM(O7:O15)</f>
        <v>137.70045493728816</v>
      </c>
      <c r="P16" s="113">
        <f>SUM(P7:P15)</f>
        <v>27677.791442394915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25672.18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1992.5756000000001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1002.56426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22677.040140000001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4863.0508474576272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27540.090987457628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137.70045493728816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27677.791442394915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27677.791442394919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311">
        <f t="shared" si="5"/>
        <v>627.24231701694919</v>
      </c>
      <c r="Q20" s="156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64</v>
      </c>
      <c r="I25" s="114">
        <f t="shared" si="7"/>
        <v>3763.7799999999997</v>
      </c>
      <c r="J25" s="274">
        <f>SUM(J16:J24)</f>
        <v>286.9796</v>
      </c>
      <c r="K25" s="275">
        <f t="shared" si="7"/>
        <v>131.73230000000001</v>
      </c>
      <c r="L25" s="276">
        <f t="shared" si="7"/>
        <v>24.008760000000002</v>
      </c>
      <c r="M25" s="232">
        <f t="shared" si="7"/>
        <v>3321.0593400000002</v>
      </c>
      <c r="N25" s="233">
        <f>SUM(N16:N24)</f>
        <v>713.89830508474563</v>
      </c>
      <c r="O25" s="101">
        <f>SUM(O16:O24)</f>
        <v>20.174788225423729</v>
      </c>
      <c r="P25" s="113">
        <f>SUM(P16:P24)</f>
        <v>4055.1324333101693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3763.7799999999997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286.9796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155.74106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3321.0593399999998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713.89830508474563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4034.9576450847453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20.174788225423725</v>
      </c>
    </row>
    <row r="35" spans="2:16" ht="15.75" customHeight="1" thickBot="1" x14ac:dyDescent="0.4">
      <c r="N35" s="342" t="s">
        <v>88</v>
      </c>
      <c r="O35" s="343"/>
      <c r="P35" s="297">
        <f>+P33+P34</f>
        <v>4055.1324333101688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8.7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</v>
      </c>
      <c r="I21" s="236">
        <f t="shared" si="0"/>
        <v>2033.92</v>
      </c>
      <c r="J21" s="272">
        <f t="shared" si="1"/>
        <v>162.71360000000001</v>
      </c>
      <c r="K21" s="128">
        <f t="shared" si="1"/>
        <v>71.187200000000004</v>
      </c>
      <c r="L21" s="119">
        <f t="shared" si="1"/>
        <v>0</v>
      </c>
      <c r="M21" s="230">
        <f t="shared" si="2"/>
        <v>1800.0192000000002</v>
      </c>
      <c r="N21" s="277">
        <f t="shared" si="3"/>
        <v>384.40677966101697</v>
      </c>
      <c r="O21" s="239">
        <f t="shared" si="4"/>
        <v>10.922129898305085</v>
      </c>
      <c r="P21" s="311">
        <f t="shared" si="5"/>
        <v>2195.3481095593224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3136.2115850847463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113">
        <f>SUM(P16:P24)</f>
        <v>12544.846340338983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11622.4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929.79200000000003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406.78400000000005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10285.824000000001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12482.434169491526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42" t="s">
        <v>88</v>
      </c>
      <c r="O35" s="343"/>
      <c r="P35" s="297">
        <f>+P33+P34</f>
        <v>12544.846340338983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2026-07-30T11:45:50Z</dcterms:modified>
</cp:coreProperties>
</file>