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3B39D09-97FB-47CF-A529-24CF8F35363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<sst xmlns="http://schemas.openxmlformats.org/spreadsheetml/2006/main" count="3975" uniqueCount="523">
  <si>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</si>
  <si>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</si>
  <si>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</si>
  <si>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</si>
  <si>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</si>
  <si>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</si>
  <si>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</si>
  <si>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</si>
  <si>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</si>
  <si>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</si>
  <si>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</si>
  <si>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</si>
  <si>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</si>
  <si>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</si>
  <si>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</si>
  <si>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</si>
  <si>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</si>
  <si>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</si>
  <si>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</si>
  <si>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</si>
  <si>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</si>
  <si>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</si>
  <si>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</si>
  <si>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</si>
  <si>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</si>
  <si>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</si>
  <si>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</si>
  <si>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</si>
  <si>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</si>
  <si>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</si>
  <si>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</si>
  <si>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</si>
  <si>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</si>
  <si>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</si>
  <si>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</si>
  <si>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</si>
  <si>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</si>
  <si>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</si>
  <si>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</si>
  <si>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</si>
  <si>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</si>
  <si>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</si>
  <si>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</si>
  <si>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</si>
  <si>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</si>
  <si>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</si>
  <si>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</si>
  <si>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</si>
  <si>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</si>
  <si>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</si>
  <si>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</si>
  <si>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</si>
  <si>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</si>
  <si>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</si>
  <si>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</si>
  <si>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</si>
  <si>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</si>
  <si>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</si>
  <si>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</si>
  <si>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</si>
  <si>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</si>
  <si>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</si>
  <si>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</si>
  <si>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</si>
  <si>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</si>
  <si>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</si>
  <si>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</si>
  <si>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</si>
  <si>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</si>
  <si>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</si>
  <si>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</si>
  <si>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</si>
  <si>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</si>
  <si>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</si>
  <si>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</si>
  <si>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</si>
  <si>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</si>
  <si>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</si>
  <si>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</si>
  <si>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</si>
  <si>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</si>
  <si>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</si>
  <si>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</si>
  <si>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</si>
  <si>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</si>
  <si>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</si>
  <si>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</si>
  <si>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</si>
  <si>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</si>
  <si>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</si>
  <si>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</si>
  <si>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</si>
  <si>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</si>
  <si>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</si>
  <si>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</si>
  <si>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</si>
  <si>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</si>
  <si>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</si>
  <si>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</si>
  <si>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</si>
  <si>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</si>
  <si>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</si>
  <si>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</si>
  <si>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</si>
  <si>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</si>
  <si>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</si>
  <si>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</si>
  <si>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</si>
  <si>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</si>
  <si>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</si>
  <si>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</si>
  <si>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</si>
  <si>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</si>
  <si>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</si>
  <si>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</si>
  <si>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</si>
  <si>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</si>
  <si>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</si>
  <si>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</si>
  <si>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</si>
  <si>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</si>
  <si>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</si>
  <si>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</si>
  <si>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</si>
  <si>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</si>
  <si>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</si>
  <si>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</si>
  <si>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</si>
  <si>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</si>
  <si>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</si>
  <si>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</si>
  <si>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</si>
  <si>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</si>
  <si>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</si>
  <si>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</si>
  <si>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</si>
  <si>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</si>
  <si>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</si>
  <si>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</si>
  <si>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</si>
  <si>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</si>
  <si>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</si>
  <si>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</si>
  <si>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</si>
  <si>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</si>
  <si>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</si>
  <si>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</si>
  <si>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</si>
  <si>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</si>
  <si>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</si>
  <si>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</si>
  <si>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</si>
  <si>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</si>
  <si>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</si>
  <si>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</si>
  <si>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</si>
  <si>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</si>
  <si>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</si>
  <si>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</si>
  <si>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</si>
  <si>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</si>
  <si>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</si>
  <si>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</si>
  <si>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</si>
  <si>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</si>
  <si>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</si>
  <si>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</si>
  <si>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</si>
  <si>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</si>
  <si>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</si>
  <si>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</si>
  <si>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</si>
  <si>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</si>
  <si>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</si>
  <si>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</si>
  <si>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</si>
  <si>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</si>
  <si>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</si>
  <si>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</si>
  <si>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</si>
  <si>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</si>
  <si>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</si>
  <si>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</si>
  <si>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</si>
  <si>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</si>
  <si>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</si>
  <si>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</si>
  <si>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</si>
  <si>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</si>
  <si>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</si>
  <si>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</si>
  <si>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</si>
  <si>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</si>
  <si>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</si>
  <si>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</si>
  <si>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</si>
  <si>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</si>
  <si>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</si>
  <si>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</si>
  <si>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</si>
  <si>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</si>
  <si>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</si>
  <si>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</si>
  <si>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</si>
  <si>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</si>
  <si>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</si>
  <si>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</si>
  <si>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</si>
  <si>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</si>
  <si>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</si>
  <si>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</si>
  <si>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</si>
  <si>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</si>
  <si>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</si>
  <si>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</si>
  <si>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</si>
  <si>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</si>
  <si>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</si>
  <si>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</si>
  <si>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</si>
  <si>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</si>
  <si>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</si>
  <si>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</si>
  <si>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</si>
  <si>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</si>
  <si>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</si>
  <si>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</si>
  <si>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</si>
  <si>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</si>
  <si>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</si>
  <si>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</si>
  <si>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</si>
  <si>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</si>
  <si>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</si>
  <si>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</si>
  <si>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</si>
  <si>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</si>
  <si>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</si>
  <si>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</si>
  <si>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</si>
  <si>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</si>
  <si>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</si>
  <si>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</si>
  <si>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</si>
  <si>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</si>
  <si>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</si>
  <si>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</si>
  <si>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</si>
  <si>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</si>
  <si>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</si>
  <si>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</si>
  <si>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</si>
  <si>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</si>
  <si>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</si>
  <si>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</si>
  <si>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</si>
  <si>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</si>
  <si>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</si>
  <si>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</si>
  <si>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</si>
  <si>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</si>
  <si>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</si>
  <si>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</si>
  <si>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</si>
  <si>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</si>
  <si>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</si>
  <si>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</si>
  <si>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</si>
  <si>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</si>
  <si>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</si>
  <si>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</si>
  <si>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</si>
  <si>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</si>
  <si>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</si>
  <si>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</si>
  <si>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</si>
  <si>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</si>
  <si>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</si>
  <si>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</si>
  <si>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</si>
  <si>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</si>
  <si>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</si>
  <si>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</si>
  <si>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</si>
  <si>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</si>
  <si>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</si>
  <si>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</si>
  <si>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</si>
  <si>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</si>
  <si>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</si>
  <si>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</si>
  <si>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</si>
  <si>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</si>
  <si>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</si>
  <si>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</si>
  <si>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</si>
  <si>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</si>
  <si>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</si>
  <si>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</si>
  <si>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</si>
  <si>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</si>
  <si>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</si>
  <si>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</si>
  <si>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</si>
  <si>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</si>
  <si>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</si>
  <si>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</si>
  <si>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</si>
  <si>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</si>
  <si>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</si>
  <si>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</si>
  <si>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</si>
  <si>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</si>
  <si>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</si>
  <si>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</si>
  <si>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</si>
  <si>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</si>
  <si>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</si>
  <si>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</si>
  <si>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</si>
  <si>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</si>
  <si>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</si>
  <si>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</si>
  <si>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</si>
  <si>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</si>
  <si>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</si>
  <si>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</si>
  <si>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</si>
  <si>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</si>
  <si>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</si>
  <si>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</si>
  <si>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</si>
  <si>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</si>
  <si>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</si>
  <si>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</si>
  <si>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</si>
  <si>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</si>
  <si>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</si>
  <si>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</si>
  <si>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</si>
  <si>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</si>
  <si>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</si>
  <si>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</si>
  <si>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</si>
  <si>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</si>
  <si>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</si>
  <si>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</si>
  <si>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</si>
  <si>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</si>
  <si>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</si>
  <si>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</si>
  <si>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</si>
  <si>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</si>
  <si>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</si>
  <si>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</si>
  <si>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</si>
  <si>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</si>
  <si>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</si>
  <si>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</si>
  <si>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</si>
  <si>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</si>
  <si>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</si>
  <si>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</si>
  <si>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</si>
  <si>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</si>
  <si>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</si>
  <si>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</si>
  <si>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</si>
  <si>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</si>
  <si>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</si>
  <si>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</si>
  <si>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</si>
  <si>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</si>
  <si>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</si>
  <si>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</si>
  <si>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</si>
  <si>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</si>
  <si>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</si>
  <si>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</si>
  <si>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</si>
  <si>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</si>
  <si>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</si>
  <si>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</si>
  <si>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</si>
  <si>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</si>
  <si>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</si>
  <si>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</si>
  <si>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</si>
  <si>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</si>
  <si>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</si>
  <si>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</si>
  <si>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</si>
  <si>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</si>
  <si>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</si>
  <si>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</si>
  <si>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</si>
  <si>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</si>
  <si>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</si>
  <si>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</si>
  <si>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</si>
  <si>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</si>
  <si>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</si>
  <si>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</si>
  <si>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</si>
  <si>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</si>
  <si>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</si>
  <si>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</si>
  <si>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</si>
  <si>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</si>
  <si>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</si>
  <si>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</si>
  <si>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</si>
  <si>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</si>
  <si>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</si>
  <si>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</si>
  <si>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</si>
  <si>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</si>
  <si>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</si>
  <si>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</si>
  <si>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</si>
  <si>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</si>
  <si>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</si>
  <si>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</si>
  <si>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</si>
  <si>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</si>
  <si>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</si>
  <si>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</si>
  <si>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</si>
  <si>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</si>
  <si>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</si>
  <si>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</si>
  <si>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</si>
  <si>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</si>
  <si>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</si>
  <si>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</si>
  <si>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</si>
  <si>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</si>
  <si>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</si>
  <si>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</si>
  <si>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</si>
  <si>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</si>
  <si>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</si>
  <si>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</si>
  <si>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</si>
  <si>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</si>
  <si>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</si>
  <si>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</si>
  <si>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</si>
  <si>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</si>
  <si>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</si>
  <si>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</si>
  <si>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</si>
  <si>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</si>
  <si>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</si>
  <si>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</si>
  <si>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</si>
  <si>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</si>
  <si>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</si>
  <si>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</si>
  <si>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</si>
  <si>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</si>
  <si>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</si>
  <si>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</si>
  <si>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</si>
  <si>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</si>
  <si>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</si>
  <si>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</si>
  <si>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</si>
  <si>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</si>
  <si>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</si>
  <si>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</si>
  <si>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</si>
  <si>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</si>
  <si>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</si>
  <si>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</si>
  <si>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</si>
  <si>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</si>
  <si>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</si>
  <si>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</si>
  <si>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</si>
  <si>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</si>
  <si>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</si>
  <si>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</si>
  <si>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</si>
  <si>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</si>
  <si>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</si>
  <si>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</si>
  <si>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</si>
  <si>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</si>
  <si>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</si>
  <si>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</si>
  <si>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</si>
  <si>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</si>
  <si>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</si>
  <si>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</si>
  <si>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</si>
  <si>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</si>
  <si>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</si>
  <si>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</si>
  <si>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</si>
  <si>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</si>
  <si>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</si>
  <si>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</si>
  <si>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</si>
  <si>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</si>
  <si>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</si>
  <si>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</si>
  <si>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</si>
  <si>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</si>
  <si>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</si>
  <si>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</si>
  <si>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</si>
  <si>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</si>
  <si>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</si>
  <si>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Al Hamd Bakers </t>
  </si>
  <si>
    <t>Address:Nashter Bazar</t>
  </si>
  <si>
    <t xml:space="preserve">A 1 Bakers </t>
  </si>
  <si>
    <t>Address: Nashter Bazar</t>
  </si>
  <si>
    <t>Faridiya Veriety Store</t>
  </si>
  <si>
    <t xml:space="preserve">Hanif Khan </t>
  </si>
  <si>
    <t>Khubab Store</t>
  </si>
  <si>
    <t xml:space="preserve">S.S Bakers </t>
  </si>
  <si>
    <t xml:space="preserve">Madina Super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</si>
</sst>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D21" workbookViewId="0">
      <selection activeCell="U26" sqref="U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504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500</v>
      </c>
      <c r="F3" s="358"/>
      <c r="G3" s="358"/>
      <c r="H3" s="355">
        <f ca="1">+'1'!N4:N4</f>
        <v>46234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Al Hamd Bakers 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A 1 Bakers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>Faridiya Veriety Store</v>
      </c>
      <c r="T5" s="301">
        <f>+'3'!P35</f>
        <v>834.58895674576274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 xml:space="preserve">Hanif Khan </v>
      </c>
      <c r="T6" s="301">
        <f>+'4'!P35</f>
        <v>834.58895674576274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Khubab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S.S Bakers </v>
      </c>
      <c r="T8" s="301">
        <f>+'6'!P35</f>
        <v>6272.4231701694916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Madina Super Mart </v>
      </c>
      <c r="T9" s="301">
        <f>+'7'!P35</f>
        <v>940.86347552542372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81</v>
      </c>
      <c r="I10" s="236">
        <f t="shared" si="0"/>
        <v>5883.84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470.70719999999994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205.93440000000001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5207.1984000000002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1112.0338983050849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31.596161491525425</v>
      </c>
      <c r="P10" s="311">
        <f t="shared" si="2"/>
        <v>6350.8284597966103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75</v>
      </c>
      <c r="I11" s="236">
        <f t="shared" si="0"/>
        <v>5448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435.83999999999992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190.68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4821.4799999999996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1029.6610169491528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29.255705084745763</v>
      </c>
      <c r="P11" s="311">
        <f t="shared" si="2"/>
        <v>5880.3967220338973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56</v>
      </c>
      <c r="I12" s="236">
        <f t="shared" si="0"/>
        <v>4067.84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325.42720000000003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142.37440000000001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3600.0384000000004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768.81355932203394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21.844259796610171</v>
      </c>
      <c r="P12" s="311">
        <f t="shared" si="2"/>
        <v>4390.6962191186449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7.3</v>
      </c>
      <c r="H16" s="113">
        <f t="shared" ref="H16:M16" si="3">SUM(H7:H15)</f>
        <v>292</v>
      </c>
      <c r="I16" s="114">
        <f t="shared" si="3"/>
        <v>18538.080000000002</v>
      </c>
      <c r="J16" s="274">
        <f>SUM(J7:J15)</f>
        <v>1388.8943999999999</v>
      </c>
      <c r="K16" s="275">
        <f t="shared" si="3"/>
        <v>648.83280000000013</v>
      </c>
      <c r="L16" s="276">
        <f t="shared" si="3"/>
        <v>160.05840000000001</v>
      </c>
      <c r="M16" s="232">
        <f t="shared" si="3"/>
        <v>16340.294400000002</v>
      </c>
      <c r="N16" s="233">
        <f>SUM(N7:N15)</f>
        <v>3520.6779661016949</v>
      </c>
      <c r="O16" s="101">
        <f>SUM(O7:O15)</f>
        <v>99.304861830508486</v>
      </c>
      <c r="P16" s="113">
        <f>SUM(P7:P15)</f>
        <v>19960.277227932205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18538.080000000002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1388.8943999999999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808.89120000000014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16340.294400000001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3520.6779661016949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19860.972366101694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99.304861830508486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19960.277227932202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19960.277227932205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7.2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7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156.61800000000002</v>
      </c>
      <c r="L25" s="276">
        <f t="shared" si="10"/>
        <v>80.029200000000003</v>
      </c>
      <c r="M25" s="232">
        <f t="shared" si="10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8.7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784.60000000000014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39.230000000000011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67.475600000000014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677.89440000000013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830.43677288135598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2" t="s">
        <v>88</v>
      </c>
      <c r="O35" s="343"/>
      <c r="P35" s="297">
        <f>+P33+P34</f>
        <v>834.58895674576274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784.60000000000014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39.230000000000011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67.475600000000014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677.89440000000013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830.43677288135598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2" t="s">
        <v>88</v>
      </c>
      <c r="O35" s="343"/>
      <c r="P35" s="297">
        <f>+P33+P34</f>
        <v>834.58895674576274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311">
        <f t="shared" si="5"/>
        <v>2352.1586888135594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30</v>
      </c>
      <c r="I20" s="236">
        <f t="shared" si="0"/>
        <v>2179.1999999999998</v>
      </c>
      <c r="J20" s="272">
        <f t="shared" si="1"/>
        <v>174.33599999999998</v>
      </c>
      <c r="K20" s="128">
        <f t="shared" si="1"/>
        <v>76.272000000000006</v>
      </c>
      <c r="L20" s="119">
        <f t="shared" si="1"/>
        <v>0</v>
      </c>
      <c r="M20" s="230">
        <f t="shared" si="2"/>
        <v>1928.5919999999999</v>
      </c>
      <c r="N20" s="277">
        <f t="shared" si="3"/>
        <v>411.86440677966107</v>
      </c>
      <c r="O20" s="239">
        <f t="shared" si="4"/>
        <v>11.702282033898305</v>
      </c>
      <c r="P20" s="311">
        <f t="shared" si="5"/>
        <v>2352.1586888135594</v>
      </c>
      <c r="Q20" s="156"/>
      <c r="R20">
        <f>P20/21</f>
        <v>112.00755661016949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464.89599999999996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871.68000000000006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69.734400000000008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30.508800000000004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771.43680000000006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936.18256271186442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2" t="s">
        <v>88</v>
      </c>
      <c r="O35" s="343"/>
      <c r="P35" s="297">
        <f>+P33+P34</f>
        <v>940.86347552542372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8.7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46233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2026-07-30T11:36:29Z</dcterms:modified>
</cp:coreProperties>
</file>