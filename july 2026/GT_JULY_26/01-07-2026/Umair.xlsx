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7304060-70D9-402A-BC70-328284B637D1}" xr6:coauthVersionLast="47" xr6:coauthVersionMax="47" xr10:uidLastSave="{00000000-0000-0000-0000-000000000000}"/>
  <bookViews>
    <workbookView xWindow="-110" yWindow="-110" windowWidth="19420" windowHeight="10420" tabRatio="949" activeTab="7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33" i="15" l="1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25" i="28" s="1"/>
  <c r="P28" i="28" s="1"/>
  <c r="I18" i="28"/>
  <c r="I21" i="28"/>
  <c r="I23" i="28"/>
  <c r="I17" i="28"/>
  <c r="L17" i="28" s="1"/>
  <c r="M17" i="28" s="1"/>
  <c r="I19" i="28"/>
  <c r="I20" i="28"/>
  <c r="I22" i="28"/>
  <c r="I24" i="28"/>
  <c r="K24" i="28" s="1"/>
  <c r="M24" i="28" s="1"/>
  <c r="I17" i="33"/>
  <c r="K17" i="33" s="1"/>
  <c r="I24" i="35"/>
  <c r="I16" i="31"/>
  <c r="I17" i="31"/>
  <c r="K17" i="31" s="1"/>
  <c r="I18" i="31"/>
  <c r="I19" i="31"/>
  <c r="K19" i="31" s="1"/>
  <c r="I20" i="31"/>
  <c r="I21" i="31"/>
  <c r="K21" i="31" s="1"/>
  <c r="I22" i="31"/>
  <c r="I23" i="31"/>
  <c r="K23" i="31" s="1"/>
  <c r="I24" i="31"/>
  <c r="I23" i="32"/>
  <c r="I25" i="32" s="1"/>
  <c r="P28" i="32" s="1"/>
  <c r="I22" i="33"/>
  <c r="I16" i="34"/>
  <c r="I17" i="34"/>
  <c r="I18" i="34"/>
  <c r="K18" i="34" s="1"/>
  <c r="I19" i="34"/>
  <c r="K19" i="34" s="1"/>
  <c r="I20" i="34"/>
  <c r="K20" i="34" s="1"/>
  <c r="I21" i="34"/>
  <c r="I22" i="34"/>
  <c r="L22" i="34" s="1"/>
  <c r="I23" i="34"/>
  <c r="M23" i="34" s="1"/>
  <c r="I24" i="34"/>
  <c r="L24" i="34" s="1"/>
  <c r="I16" i="29"/>
  <c r="I17" i="29"/>
  <c r="K17" i="29" s="1"/>
  <c r="I18" i="29"/>
  <c r="I19" i="29"/>
  <c r="K19" i="29" s="1"/>
  <c r="I20" i="29"/>
  <c r="I21" i="29"/>
  <c r="L21" i="29" s="1"/>
  <c r="I22" i="29"/>
  <c r="K22" i="29" s="1"/>
  <c r="I23" i="29"/>
  <c r="L23" i="29" s="1"/>
  <c r="I24" i="29"/>
  <c r="I24" i="32"/>
  <c r="L24" i="32" s="1"/>
  <c r="I19" i="33"/>
  <c r="L19" i="33" s="1"/>
  <c r="I23" i="33"/>
  <c r="L23" i="33" s="1"/>
  <c r="L18" i="33"/>
  <c r="M18" i="33" s="1"/>
  <c r="I25" i="35"/>
  <c r="P28" i="35" s="1"/>
  <c r="K16" i="35"/>
  <c r="L16" i="35"/>
  <c r="K17" i="35"/>
  <c r="M17" i="35" s="1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 s="1"/>
  <c r="K23" i="35"/>
  <c r="L23" i="35"/>
  <c r="K24" i="35"/>
  <c r="M24" i="35" s="1"/>
  <c r="L24" i="35"/>
  <c r="L16" i="34"/>
  <c r="K17" i="34"/>
  <c r="L17" i="34"/>
  <c r="L19" i="34"/>
  <c r="L20" i="34"/>
  <c r="K21" i="34"/>
  <c r="L21" i="34"/>
  <c r="K22" i="34"/>
  <c r="K23" i="34"/>
  <c r="L23" i="34"/>
  <c r="K24" i="34"/>
  <c r="K21" i="33"/>
  <c r="L21" i="33"/>
  <c r="K22" i="33"/>
  <c r="M22" i="33" s="1"/>
  <c r="L22" i="33"/>
  <c r="K19" i="33"/>
  <c r="K23" i="33"/>
  <c r="K20" i="33"/>
  <c r="L20" i="33"/>
  <c r="K24" i="33"/>
  <c r="L24" i="33"/>
  <c r="K16" i="33"/>
  <c r="K24" i="32"/>
  <c r="K16" i="32"/>
  <c r="L16" i="32"/>
  <c r="K17" i="32"/>
  <c r="L17" i="32"/>
  <c r="K18" i="32"/>
  <c r="L18" i="32"/>
  <c r="K19" i="32"/>
  <c r="L19" i="32"/>
  <c r="K20" i="32"/>
  <c r="L20" i="32"/>
  <c r="K21" i="32"/>
  <c r="L21" i="32"/>
  <c r="L23" i="32"/>
  <c r="K22" i="32"/>
  <c r="L22" i="32"/>
  <c r="L17" i="31"/>
  <c r="L19" i="31"/>
  <c r="K22" i="31"/>
  <c r="L22" i="31"/>
  <c r="K24" i="31"/>
  <c r="L24" i="3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K24" i="29"/>
  <c r="M24" i="29" s="1"/>
  <c r="L24" i="29"/>
  <c r="K20" i="29"/>
  <c r="L20" i="29"/>
  <c r="L22" i="29"/>
  <c r="K18" i="29"/>
  <c r="L18" i="29"/>
  <c r="K23" i="29"/>
  <c r="K17" i="28"/>
  <c r="K18" i="28"/>
  <c r="L18" i="28"/>
  <c r="K19" i="28"/>
  <c r="L19" i="28"/>
  <c r="K20" i="28"/>
  <c r="L20" i="28"/>
  <c r="K21" i="28"/>
  <c r="L21" i="28"/>
  <c r="K22" i="28"/>
  <c r="L22" i="28"/>
  <c r="K23" i="28"/>
  <c r="M23" i="28" s="1"/>
  <c r="L23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17" i="31" l="1"/>
  <c r="M23" i="32"/>
  <c r="M24" i="32"/>
  <c r="L16" i="28"/>
  <c r="M24" i="31"/>
  <c r="P24" i="31" s="1"/>
  <c r="L21" i="31"/>
  <c r="L25" i="31" s="1"/>
  <c r="P29" i="31" s="1"/>
  <c r="K23" i="32"/>
  <c r="M24" i="33"/>
  <c r="M23" i="35"/>
  <c r="L17" i="33"/>
  <c r="M17" i="33" s="1"/>
  <c r="K16" i="28"/>
  <c r="L17" i="29"/>
  <c r="L18" i="34"/>
  <c r="L25" i="34" s="1"/>
  <c r="P29" i="34" s="1"/>
  <c r="M24" i="34"/>
  <c r="P24" i="34" s="1"/>
  <c r="I25" i="34"/>
  <c r="P28" i="34" s="1"/>
  <c r="M22" i="31"/>
  <c r="M22" i="29"/>
  <c r="N22" i="29" s="1"/>
  <c r="O22" i="29" s="1"/>
  <c r="M23" i="33"/>
  <c r="I16" i="26"/>
  <c r="I17" i="26"/>
  <c r="I18" i="26"/>
  <c r="K18" i="26" s="1"/>
  <c r="I19" i="26"/>
  <c r="I20" i="26"/>
  <c r="I21" i="26"/>
  <c r="I22" i="26"/>
  <c r="K22" i="26" s="1"/>
  <c r="I23" i="26"/>
  <c r="K23" i="26" s="1"/>
  <c r="I24" i="26"/>
  <c r="I21" i="27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N19" i="34" s="1"/>
  <c r="O19" i="34" s="1"/>
  <c r="M19" i="28"/>
  <c r="M16" i="29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K25" i="34"/>
  <c r="P30" i="34" s="1"/>
  <c r="N23" i="34"/>
  <c r="O23" i="34" s="1"/>
  <c r="P23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1" i="29"/>
  <c r="O21" i="29" s="1"/>
  <c r="N23" i="29"/>
  <c r="O23" i="29" s="1"/>
  <c r="N16" i="29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L22" i="26" l="1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L16" i="25" s="1"/>
  <c r="I17" i="25"/>
  <c r="K17" i="25" s="1"/>
  <c r="I18" i="25"/>
  <c r="L18" i="25" s="1"/>
  <c r="I19" i="25"/>
  <c r="I20" i="25"/>
  <c r="L20" i="25" s="1"/>
  <c r="I22" i="25"/>
  <c r="K22" i="25" s="1"/>
  <c r="I23" i="25"/>
  <c r="K23" i="25" s="1"/>
  <c r="I24" i="25"/>
  <c r="L24" i="25" s="1"/>
  <c r="I21" i="18"/>
  <c r="K21" i="18" s="1"/>
  <c r="I22" i="18"/>
  <c r="L22" i="18" s="1"/>
  <c r="I24" i="18"/>
  <c r="L24" i="18" s="1"/>
  <c r="I19" i="19"/>
  <c r="L19" i="19" s="1"/>
  <c r="I20" i="19"/>
  <c r="K20" i="19" s="1"/>
  <c r="I21" i="19"/>
  <c r="I22" i="19"/>
  <c r="K22" i="19" s="1"/>
  <c r="I23" i="19"/>
  <c r="L23" i="19" s="1"/>
  <c r="I24" i="19"/>
  <c r="L24" i="19" s="1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L23" i="23" s="1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L17" i="25"/>
  <c r="L23" i="25"/>
  <c r="K17" i="24"/>
  <c r="K21" i="24"/>
  <c r="L23" i="24"/>
  <c r="K23" i="24"/>
  <c r="K17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L20" i="19"/>
  <c r="K18" i="19"/>
  <c r="K24" i="19"/>
  <c r="L21" i="19"/>
  <c r="K21" i="19"/>
  <c r="L21" i="18"/>
  <c r="K22" i="18"/>
  <c r="M22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4" i="18" l="1"/>
  <c r="M24" i="18" s="1"/>
  <c r="N24" i="18" s="1"/>
  <c r="O24" i="18" s="1"/>
  <c r="I25" i="25"/>
  <c r="P28" i="25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M18" i="24" s="1"/>
  <c r="N18" i="24" s="1"/>
  <c r="O18" i="24" s="1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M23" i="18" s="1"/>
  <c r="N23" i="18" s="1"/>
  <c r="O23" i="18" s="1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K25" i="22"/>
  <c r="P30" i="22" s="1"/>
  <c r="M21" i="25"/>
  <c r="N21" i="25" s="1"/>
  <c r="O21" i="25" s="1"/>
  <c r="P21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L25" i="19"/>
  <c r="P29" i="19" s="1"/>
  <c r="N18" i="18"/>
  <c r="O18" i="18" s="1"/>
  <c r="N22" i="18"/>
  <c r="O22" i="18" s="1"/>
  <c r="M16" i="17"/>
  <c r="I23" i="15"/>
  <c r="K25" i="25" l="1"/>
  <c r="P30" i="2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M22" i="15"/>
  <c r="M18" i="15"/>
  <c r="N16" i="18"/>
  <c r="N16" i="15" s="1"/>
  <c r="M18" i="16"/>
  <c r="N18" i="16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22" i="16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<sst xmlns="http://schemas.openxmlformats.org/spreadsheetml/2006/main" count="1582" uniqueCount="133">
  <si>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</si>
  <si>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</si>
  <si>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</si>
  <si>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</si>
  <si>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</si>
  <si>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</si>
  <si>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</si>
  <si>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</si>
  <si>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</si>
  <si>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</si>
  <si>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</si>
  <si>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</si>
  <si>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</si>
  <si>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</si>
  <si>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</si>
  <si>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</si>
  <si>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</si>
  <si>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</si>
  <si>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</si>
  <si>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</si>
  <si>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</si>
  <si>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</si>
  <si>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</si>
  <si>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</si>
  <si>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</si>
  <si>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</si>
  <si>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</si>
  <si>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</si>
  <si>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</si>
  <si>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</si>
  <si>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</si>
  <si>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</si>
  <si>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</si>
  <si>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</si>
  <si>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</si>
  <si>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</si>
  <si>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</si>
  <si>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</si>
  <si>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</si>
  <si>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</si>
  <si>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</si>
  <si>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</si>
  <si>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</si>
  <si>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</si>
  <si>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</si>
  <si>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</si>
  <si>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</si>
  <si>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</si>
  <si>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</si>
  <si>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</si>
  <si>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</si>
  <si>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</si>
  <si>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</si>
  <si>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</si>
  <si>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</si>
  <si>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</si>
  <si>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</si>
  <si>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</si>
  <si>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</si>
  <si>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</si>
  <si>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</si>
  <si>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</si>
  <si>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</si>
  <si>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</si>
  <si>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</si>
  <si>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</si>
  <si>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</si>
  <si>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</si>
  <si>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</si>
  <si>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</si>
  <si>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</si>
  <si>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</si>
  <si>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</si>
  <si>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</si>
  <si>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</si>
  <si>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</si>
  <si>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</si>
  <si>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</si>
  <si>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</si>
  <si>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</si>
  <si>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</si>
  <si>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</si>
  <si>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</si>
  <si>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</si>
  <si>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</si>
  <si>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</si>
  <si>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</si>
  <si>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</si>
  <si>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</si>
  <si>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</si>
  <si>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</si>
  <si>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</si>
  <si>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</si>
  <si>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</si>
  <si>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</si>
  <si>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</si>
  <si>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</si>
  <si>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</si>
  <si>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</si>
  <si>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</si>
  <si>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</si>
  <si>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</si>
  <si>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</si>
  <si>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</si>
  <si>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</si>
  <si>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</si>
  <si>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Umair</t>
  </si>
  <si>
    <t>Shop Bill Summary (Umair Rehman)</t>
  </si>
  <si>
    <t xml:space="preserve">Customer Name : Gulshan Bakery </t>
  </si>
  <si>
    <t xml:space="preserve">Address: Awan Market </t>
  </si>
  <si>
    <t>6925517-8</t>
  </si>
  <si>
    <t xml:space="preserve">Customer Name : New Ideal Bakery </t>
  </si>
  <si>
    <t>Customer Name : AB Genral Store</t>
  </si>
  <si>
    <t xml:space="preserve">Customer Name : AZ Hafiz Bakery </t>
  </si>
  <si>
    <t>Customer Name : Ali Super GS</t>
  </si>
  <si>
    <t>Address: Nishter Main Bazar</t>
  </si>
  <si>
    <t xml:space="preserve">Customer Name : Al hamd Ssweet &amp; Bakers </t>
  </si>
  <si>
    <t xml:space="preserve">Address: Nishter </t>
  </si>
  <si>
    <t>Customer Name : Fareedia Bakery</t>
  </si>
  <si>
    <t>Address: Nishter Bazar</t>
  </si>
  <si>
    <t>Customer Name : Haneef Store</t>
  </si>
  <si>
    <t>Customer Name : Khubaib Mart</t>
  </si>
  <si>
    <t>Customer Name : Every K bakery</t>
  </si>
  <si>
    <t xml:space="preserve">Customer Name : Chanda Bakery </t>
  </si>
  <si>
    <t>Address: Nishter</t>
  </si>
  <si>
    <t>Customer Name : DVA Mart</t>
  </si>
  <si>
    <t>Address: Shahngai Road</t>
  </si>
  <si>
    <t>Customer Name : Palace Sweets</t>
  </si>
  <si>
    <t>Address: Kacha jail Road</t>
  </si>
  <si>
    <t>Customer Name : Ghosia Store</t>
  </si>
  <si>
    <t xml:space="preserve">Address: Abid Market </t>
  </si>
  <si>
    <t xml:space="preserve">Customer Name : NM Mart </t>
  </si>
  <si>
    <t>Address: Abid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</si>
</sst>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1" zoomScale="70" zoomScaleNormal="70" workbookViewId="0">
      <selection activeCell="T14" sqref="T14:T2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106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107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Gulshan Bakery </v>
      </c>
      <c r="U14" s="164">
        <f>+'1'!P35</f>
        <v>4150.7885492999994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New Ideal Bakery </v>
      </c>
      <c r="U15" s="164">
        <f>+'2'!P35</f>
        <v>1077.2942454000001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46</v>
      </c>
      <c r="I16" s="1">
        <f>(G16*D16)*F16+H16*F16</f>
        <v>2413.2750000000001</v>
      </c>
      <c r="J16" s="172">
        <f>+'1'!J16+'2'!J16+'4'!J16+'3'!J16+'5'!J16+'6'!J16+'7'!J16+'8'!J16+'9'!J16+'10'!J16+'11'!J16+'12'!J16+'13'!J16+'14'!J16+'15'!J16+'16'!J16+'17'!J16+'18'!J16+'19'!J16+'20'!J16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109.122</v>
      </c>
      <c r="M16" s="106">
        <f>I16-K16-L16</f>
        <v>2304.1530000000002</v>
      </c>
      <c r="N16" s="101">
        <f>+'1'!N16+'2'!N16+'4'!N16+'3'!N16+'5'!N16+'6'!N16+'7'!N16+'8'!N16+'9'!N16+'10'!N16</f>
        <v>287.62040999999999</v>
      </c>
      <c r="O16" s="101">
        <f>+'1'!O16+'2'!O16+'4'!O16+'3'!O16+'5'!O16+'6'!O16+'7'!O16+'8'!O16+'9'!O16+'10'!O16</f>
        <v>14.77868625</v>
      </c>
      <c r="P16" s="105">
        <f t="shared" ref="P16:P24" si="0">M16+N16+O16</f>
        <v>2606.5520962500004</v>
      </c>
      <c r="Q16" s="108"/>
      <c r="T16" s="163" t="str">
        <f>+'3'!A5</f>
        <v>Customer Name : AB Genral Store</v>
      </c>
      <c r="U16" s="164">
        <f>+'3'!P35</f>
        <v>1795.4904090000002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46</v>
      </c>
      <c r="I17" s="1">
        <f t="shared" ref="I17:I23" si="1">(G17*D17)*F17+H17*F17</f>
        <v>2413.2750000000001</v>
      </c>
      <c r="J17" s="172">
        <f>+'1'!J17+'2'!J17+'4'!J17+'3'!J17+'5'!J17+'6'!J17+'7'!J17+'8'!J17+'9'!J17+'10'!J17+'11'!J17+'12'!J17+'13'!J17+'14'!J17+'15'!J17+'16'!J17+'17'!J17+'18'!J17+'19'!J17+'20'!J17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109.122</v>
      </c>
      <c r="M17" s="118">
        <f t="shared" ref="M17:M23" si="2">I17-K17-L17</f>
        <v>2304.1530000000002</v>
      </c>
      <c r="N17" s="101">
        <f>+'1'!N17+'2'!N17+'4'!N17+'3'!N17+'5'!N17+'6'!N17+'7'!N17+'8'!N17+'9'!N17+'10'!N17</f>
        <v>287.62040999999999</v>
      </c>
      <c r="O17" s="101">
        <f>+'1'!O17+'2'!O17+'4'!O17+'3'!O17+'5'!O17+'6'!O17+'7'!O17+'8'!O17+'9'!O17+'10'!O17</f>
        <v>14.77868625</v>
      </c>
      <c r="P17" s="120">
        <f t="shared" si="0"/>
        <v>2606.5520962500004</v>
      </c>
      <c r="S17" s="64"/>
      <c r="T17" s="163" t="str">
        <f>+'4'!A5</f>
        <v xml:space="preserve">Customer Name : AZ Hafiz Bakery </v>
      </c>
      <c r="U17" s="164">
        <f>+'4'!P35</f>
        <v>448.87260225000006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Ali Super GS</v>
      </c>
      <c r="U18" s="164">
        <f>+'5'!P35</f>
        <v>880.2282249000001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100</v>
      </c>
      <c r="I19" s="1">
        <f t="shared" si="1"/>
        <v>7264</v>
      </c>
      <c r="J19" s="172">
        <f>+'1'!J19+'2'!J19+'4'!J19+'3'!J19+'5'!J19+'6'!J19+'7'!J19+'8'!J19+'9'!J19+'10'!J19+'11'!J19+'12'!J19+'13'!J19+'14'!J19+'15'!J19+'16'!J19+'17'!J19+'18'!J19+'19'!J19+'20'!J19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348.67200000000003</v>
      </c>
      <c r="M19" s="118">
        <f t="shared" si="2"/>
        <v>6915.3279999999995</v>
      </c>
      <c r="N19" s="101">
        <f>+'1'!N19+'2'!N19+'4'!N19+'3'!N19+'5'!N19+'6'!N19+'7'!N19+'8'!N19+'9'!N19+'10'!N19</f>
        <v>898.12096000000008</v>
      </c>
      <c r="O19" s="101">
        <f>+'1'!O19+'2'!O19+'4'!O19+'3'!O19+'5'!O19+'6'!O19+'7'!O19+'8'!O19+'9'!O19+'10'!O19</f>
        <v>70.196680960000009</v>
      </c>
      <c r="P19" s="120">
        <f t="shared" si="0"/>
        <v>7883.6456409599996</v>
      </c>
      <c r="T19" s="163" t="str">
        <f>+'6'!A5</f>
        <v xml:space="preserve">Customer Name : Al hamd Ssweet &amp; Bakers </v>
      </c>
      <c r="U19" s="164">
        <f>+'6'!P35</f>
        <v>1654.8365376000002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98</v>
      </c>
      <c r="I20" s="1">
        <f t="shared" si="1"/>
        <v>7118.72</v>
      </c>
      <c r="J20" s="172">
        <f>+'1'!J20+'2'!J20+'4'!J20+'3'!J20+'5'!J20+'6'!J20+'7'!J20+'8'!J20+'9'!J20+'10'!J20+'11'!J20+'12'!J20+'13'!J20+'14'!J20+'15'!J20+'16'!J20+'17'!J20+'18'!J20+'19'!J20+'20'!J20</f>
        <v>5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337.04960000000005</v>
      </c>
      <c r="M20" s="118">
        <f t="shared" si="2"/>
        <v>6781.6704</v>
      </c>
      <c r="N20" s="101">
        <f>+'1'!N20+'2'!N20+'4'!N20+'3'!N20+'5'!N20+'6'!N20+'7'!N20+'8'!N20+'9'!N20+'10'!N20</f>
        <v>900.67788800000005</v>
      </c>
      <c r="O20" s="101">
        <f>+'1'!O20+'2'!O20+'4'!O20+'3'!O20+'5'!O20+'6'!O20+'7'!O20+'8'!O20+'9'!O20+'10'!O20</f>
        <v>63.657918720000012</v>
      </c>
      <c r="P20" s="120">
        <f t="shared" si="0"/>
        <v>7746.0062067200006</v>
      </c>
      <c r="T20" s="163" t="str">
        <f>+'7'!A5</f>
        <v>Customer Name : Fareedia Bakery</v>
      </c>
      <c r="U20" s="164">
        <f>+'7'!P35</f>
        <v>3914.1843387000004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60</v>
      </c>
      <c r="I21" s="1">
        <f t="shared" si="1"/>
        <v>4358.3999999999996</v>
      </c>
      <c r="J21" s="172">
        <f>+'1'!J21+'2'!J21+'4'!J21+'3'!J21+'5'!J21+'6'!J21+'7'!J21+'8'!J21+'9'!J21+'10'!J21+'11'!J21+'12'!J21+'13'!J21+'14'!J21+'15'!J21+'16'!J21+'17'!J21+'18'!J21+'19'!J21+'20'!J21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232.44800000000001</v>
      </c>
      <c r="M21" s="118">
        <f t="shared" si="2"/>
        <v>4125.9519999999993</v>
      </c>
      <c r="N21" s="101">
        <f>+'1'!N21+'2'!N21+'4'!N21+'3'!N21+'5'!N21+'6'!N21+'7'!N21+'8'!N21+'9'!N21+'10'!N21</f>
        <v>636.03584000000001</v>
      </c>
      <c r="O21" s="101">
        <f>+'1'!O21+'2'!O21+'4'!O21+'3'!O21+'5'!O21+'6'!O21+'7'!O21+'8'!O21+'9'!O21+'10'!O21</f>
        <v>26.329675520000002</v>
      </c>
      <c r="P21" s="120">
        <f t="shared" si="0"/>
        <v>4788.3175155199997</v>
      </c>
      <c r="T21" s="163" t="str">
        <f>+'8'!A5</f>
        <v>Customer Name : Haneef Store</v>
      </c>
      <c r="U21" s="164">
        <f>+'8'!P35</f>
        <v>538.64712270000007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382</v>
      </c>
      <c r="I22" s="1">
        <f t="shared" si="1"/>
        <v>14985.860000000002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249.8951000000001</v>
      </c>
      <c r="L22" s="175">
        <f>+'1'!L22+'2'!L22+'4'!L22+'3'!L22+'5'!L22+'6'!L22+'7'!L22+'8'!L22+'9'!L22+'10'!L22</f>
        <v>356.99300000000011</v>
      </c>
      <c r="M22" s="118">
        <f t="shared" si="2"/>
        <v>14378.971900000002</v>
      </c>
      <c r="N22" s="101">
        <f>+'1'!N22+'2'!N22+'4'!N22+'3'!N22+'5'!N22+'6'!N22+'7'!N22+'8'!N22+'9'!N22+'10'!N22</f>
        <v>1437.2538180000001</v>
      </c>
      <c r="O22" s="101">
        <f>+'1'!O22+'2'!O22+'4'!O22+'3'!O22+'5'!O22+'6'!O22+'7'!O22+'8'!O22+'9'!O22+'10'!O22</f>
        <v>146.70470415000005</v>
      </c>
      <c r="P22" s="120">
        <f t="shared" si="0"/>
        <v>15962.930422150002</v>
      </c>
      <c r="T22" s="163" t="str">
        <f>+'9'!A5</f>
        <v>Customer Name : Khubaib Mart</v>
      </c>
      <c r="U22" s="164">
        <f>+'9'!P35</f>
        <v>6619.3461504000006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Every K bakery</v>
      </c>
      <c r="U23" s="164">
        <f>+'10'!P35</f>
        <v>3305.8157976000002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Chanda Bakery </v>
      </c>
      <c r="U24" s="164">
        <f>+'11'!P35</f>
        <v>3375.5372160000002</v>
      </c>
    </row>
    <row r="25" spans="1:21 16384:16384" ht="26.5" thickBot="1" x14ac:dyDescent="0.65">
      <c r="A25" s="209" t="s">
        <v>84</v>
      </c>
      <c r="B25" s="210"/>
      <c r="C25" s="211">
        <f>H25/40</f>
        <v>18.3</v>
      </c>
      <c r="D25" s="205"/>
      <c r="E25" s="205"/>
      <c r="F25" s="205"/>
      <c r="G25" s="176">
        <f t="shared" ref="G25:M25" si="3">SUM(G16:G24)</f>
        <v>0</v>
      </c>
      <c r="H25" s="177">
        <f t="shared" si="3"/>
        <v>732</v>
      </c>
      <c r="I25" s="178">
        <f t="shared" si="3"/>
        <v>38553.53</v>
      </c>
      <c r="J25" s="177">
        <f t="shared" si="3"/>
        <v>16</v>
      </c>
      <c r="K25" s="178">
        <f t="shared" si="3"/>
        <v>249.8951000000001</v>
      </c>
      <c r="L25" s="179">
        <f t="shared" si="3"/>
        <v>1493.4066000000003</v>
      </c>
      <c r="M25" s="141">
        <f t="shared" si="3"/>
        <v>36810.228300000002</v>
      </c>
      <c r="N25" s="142">
        <f>SUM(N16:N24)</f>
        <v>4447.3293260000009</v>
      </c>
      <c r="O25" s="143">
        <f>SUM(O16:O24)</f>
        <v>336.44635185000004</v>
      </c>
      <c r="P25" s="144">
        <f>SUM(P16:P24)</f>
        <v>41594.003977850007</v>
      </c>
      <c r="T25" s="163" t="str">
        <f>+'12'!A5</f>
        <v>Customer Name : DVA Mart</v>
      </c>
      <c r="U25" s="164">
        <f>+'12'!P35</f>
        <v>1795.4904090000002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Palace Sweets</v>
      </c>
      <c r="U26" s="164">
        <f>+'13'!P35</f>
        <v>1760.4564498000002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Ghosia Store</v>
      </c>
      <c r="U27" s="164">
        <f>+'14'!P35</f>
        <v>3520.9128996000004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NM Mart </v>
      </c>
      <c r="U28" s="182">
        <f>+'15'!P35</f>
        <v>9115.2981620999999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43953.199114350005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12" t="s">
        <v>85</v>
      </c>
      <c r="C36" s="213"/>
      <c r="D36" s="213"/>
      <c r="E36" s="213"/>
      <c r="F36" s="213"/>
      <c r="G36" s="213"/>
      <c r="H36" s="213"/>
      <c r="I36" s="213"/>
      <c r="J36" s="213"/>
      <c r="K36" s="213"/>
      <c r="L36" s="214"/>
      <c r="N36" s="221" t="s">
        <v>86</v>
      </c>
      <c r="O36" s="222"/>
      <c r="P36" s="152">
        <f>I25</f>
        <v>38553.53</v>
      </c>
    </row>
    <row r="37" spans="1:21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N37" s="223" t="s">
        <v>87</v>
      </c>
      <c r="O37" s="224"/>
      <c r="P37" s="153">
        <f>L25</f>
        <v>1493.4066000000003</v>
      </c>
    </row>
    <row r="38" spans="1:21" ht="15" customHeight="1" x14ac:dyDescent="0.35">
      <c r="B38" s="215"/>
      <c r="C38" s="216"/>
      <c r="D38" s="216"/>
      <c r="E38" s="216"/>
      <c r="F38" s="216"/>
      <c r="G38" s="216"/>
      <c r="H38" s="216"/>
      <c r="I38" s="216"/>
      <c r="J38" s="216"/>
      <c r="K38" s="216"/>
      <c r="L38" s="217"/>
      <c r="N38" s="223" t="s">
        <v>4</v>
      </c>
      <c r="O38" s="224"/>
      <c r="P38" s="154">
        <f>K25</f>
        <v>249.8951000000001</v>
      </c>
    </row>
    <row r="39" spans="1:21" ht="15" customHeight="1" x14ac:dyDescent="0.35">
      <c r="B39" s="215"/>
      <c r="C39" s="216"/>
      <c r="D39" s="216"/>
      <c r="E39" s="216"/>
      <c r="F39" s="216"/>
      <c r="G39" s="216"/>
      <c r="H39" s="216"/>
      <c r="I39" s="216"/>
      <c r="J39" s="216"/>
      <c r="K39" s="216"/>
      <c r="L39" s="217"/>
      <c r="M39" s="2"/>
      <c r="N39" s="223" t="s">
        <v>88</v>
      </c>
      <c r="O39" s="224"/>
      <c r="P39" s="153">
        <f>P36-P37-P38</f>
        <v>36810.228299999995</v>
      </c>
    </row>
    <row r="40" spans="1:21" ht="15" customHeight="1" x14ac:dyDescent="0.35">
      <c r="B40" s="215"/>
      <c r="C40" s="216"/>
      <c r="D40" s="216"/>
      <c r="E40" s="216"/>
      <c r="F40" s="216"/>
      <c r="G40" s="216"/>
      <c r="H40" s="216"/>
      <c r="I40" s="216"/>
      <c r="J40" s="216"/>
      <c r="K40" s="216"/>
      <c r="L40" s="217"/>
      <c r="M40" s="2"/>
      <c r="N40" s="155" t="s">
        <v>89</v>
      </c>
      <c r="O40" s="156">
        <f>IF(B12="Registered",18%,22%)</f>
        <v>0.22</v>
      </c>
      <c r="P40" s="153">
        <f>N25</f>
        <v>4447.3293260000009</v>
      </c>
    </row>
    <row r="41" spans="1:21" ht="15" customHeight="1" x14ac:dyDescent="0.35">
      <c r="B41" s="215"/>
      <c r="C41" s="216"/>
      <c r="D41" s="216"/>
      <c r="E41" s="216"/>
      <c r="F41" s="216"/>
      <c r="G41" s="216"/>
      <c r="H41" s="216"/>
      <c r="I41" s="216"/>
      <c r="J41" s="216"/>
      <c r="K41" s="216"/>
      <c r="L41" s="217"/>
      <c r="M41" s="2"/>
      <c r="N41" s="225" t="s">
        <v>90</v>
      </c>
      <c r="O41" s="226"/>
      <c r="P41" s="153">
        <f>P39+P40</f>
        <v>41257.557625999994</v>
      </c>
    </row>
    <row r="42" spans="1:21" ht="15" customHeight="1" thickBot="1" x14ac:dyDescent="0.4">
      <c r="B42" s="218"/>
      <c r="C42" s="219"/>
      <c r="D42" s="219"/>
      <c r="E42" s="219"/>
      <c r="F42" s="219"/>
      <c r="G42" s="219"/>
      <c r="H42" s="219"/>
      <c r="I42" s="219"/>
      <c r="J42" s="219"/>
      <c r="K42" s="219"/>
      <c r="L42" s="220"/>
      <c r="M42" s="157"/>
      <c r="N42" s="158" t="s">
        <v>91</v>
      </c>
      <c r="O42" s="159">
        <f>IF(B11="Filer",0.5%,2.5%)</f>
        <v>2.5000000000000001E-2</v>
      </c>
      <c r="P42" s="153">
        <f>O42*P41</f>
        <v>1031.4389406499999</v>
      </c>
    </row>
    <row r="43" spans="1:21" ht="15.75" customHeight="1" thickBot="1" x14ac:dyDescent="0.4">
      <c r="N43" s="203" t="s">
        <v>92</v>
      </c>
      <c r="O43" s="204"/>
      <c r="P43" s="160">
        <f>P41+P42</f>
        <v>42288.996566649992</v>
      </c>
    </row>
    <row r="44" spans="1:21" ht="15" thickBot="1" x14ac:dyDescent="0.4">
      <c r="B44" s="161" t="s">
        <v>93</v>
      </c>
      <c r="C44" s="205"/>
      <c r="D44" s="205"/>
      <c r="E44" s="205"/>
      <c r="F44" s="205"/>
      <c r="G44" s="205"/>
      <c r="H44" s="205"/>
      <c r="I44" s="206"/>
      <c r="J44" s="207"/>
      <c r="K44" s="20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 t="shared" ref="O16:O24" si="1">(N16+M16)*$O$15</f>
        <v>5.9460997500000001</v>
      </c>
      <c r="P16" s="105">
        <f t="shared" ref="P16:P24" si="2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>
        <v>1</v>
      </c>
      <c r="K17" s="1">
        <f t="shared" ref="K17:K21" si="4">I17*$K$13</f>
        <v>0</v>
      </c>
      <c r="L17" s="105">
        <f t="shared" ref="L17:L21" si="5">I17*8%</f>
        <v>83.94</v>
      </c>
      <c r="M17" s="118">
        <f t="shared" ref="M17:M23" si="6">I17-K17-L17</f>
        <v>965.31</v>
      </c>
      <c r="N17" s="118">
        <f t="shared" si="0"/>
        <v>223.90995000000001</v>
      </c>
      <c r="O17" s="119">
        <f t="shared" si="1"/>
        <v>5.9460997500000001</v>
      </c>
      <c r="P17" s="120">
        <f t="shared" si="2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315.87996000000004</v>
      </c>
      <c r="O22" s="119">
        <f t="shared" si="1"/>
        <v>8.7584898000000013</v>
      </c>
      <c r="P22" s="120">
        <f t="shared" si="2"/>
        <v>1760.4564498000002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3667.7000000000003</v>
      </c>
      <c r="J25" s="138"/>
      <c r="K25" s="139">
        <f t="shared" si="9"/>
        <v>54.922000000000011</v>
      </c>
      <c r="L25" s="140">
        <f t="shared" si="9"/>
        <v>246.34000000000003</v>
      </c>
      <c r="M25" s="141">
        <f t="shared" si="9"/>
        <v>3366.4380000000001</v>
      </c>
      <c r="N25" s="142">
        <f>SUM(N16:N24)</f>
        <v>763.69986000000006</v>
      </c>
      <c r="O25" s="143">
        <f>SUM(O16:O24)</f>
        <v>20.650689300000003</v>
      </c>
      <c r="P25" s="144">
        <f>SUM(P16:P24)</f>
        <v>4150.7885493000003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3667.7000000000003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246.34000000000003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3366.4380000000001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763.69986000000006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4130.1378599999998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20.6506893</v>
      </c>
    </row>
    <row r="35" spans="2:16" ht="15.75" customHeight="1" thickBot="1" x14ac:dyDescent="0.4">
      <c r="N35" s="203" t="s">
        <v>92</v>
      </c>
      <c r="O35" s="204"/>
      <c r="P35" s="160">
        <f>P33+P34</f>
        <v>4150.7885492999994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189.527976</v>
      </c>
      <c r="O22" s="119">
        <f t="shared" si="6"/>
        <v>26.275469400000006</v>
      </c>
      <c r="P22" s="120">
        <f t="shared" si="1"/>
        <v>1077.2942454000001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32.95320000000001</v>
      </c>
      <c r="L25" s="140">
        <f t="shared" si="9"/>
        <v>47.076000000000008</v>
      </c>
      <c r="M25" s="141">
        <f t="shared" si="9"/>
        <v>861.49080000000004</v>
      </c>
      <c r="N25" s="142">
        <f>SUM(N16:N24)</f>
        <v>189.527976</v>
      </c>
      <c r="O25" s="143">
        <f>SUM(O16:O24)</f>
        <v>26.275469400000006</v>
      </c>
      <c r="P25" s="144">
        <f>SUM(P16:P24)</f>
        <v>1077.2942454000001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941.5200000000001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47.076000000000008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32.95320000000001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861.49080000000004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189.527976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1051.0187760000001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26.275469400000006</v>
      </c>
    </row>
    <row r="35" spans="2:16" ht="15.75" customHeight="1" thickBot="1" x14ac:dyDescent="0.4">
      <c r="N35" s="203" t="s">
        <v>92</v>
      </c>
      <c r="O35" s="204"/>
      <c r="P35" s="160">
        <f>P33+P34</f>
        <v>1077.2942454000001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1569.2000000000003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78.460000000000022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1435.8180000000002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1751.6979600000002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03" t="s">
        <v>92</v>
      </c>
      <c r="O35" s="204"/>
      <c r="P35" s="160">
        <f>P33+P34</f>
        <v>1795.4904090000002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abSelected="1" topLeftCell="A13" workbookViewId="0">
      <selection activeCell="R16" sqref="R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49504314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4.3792449000000007</v>
      </c>
      <c r="P22" s="120">
        <f t="shared" si="1"/>
        <v>880.2282249000001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27.461000000000006</v>
      </c>
      <c r="L25" s="140">
        <f t="shared" si="9"/>
        <v>39.230000000000011</v>
      </c>
      <c r="M25" s="141">
        <f t="shared" si="9"/>
        <v>717.90900000000011</v>
      </c>
      <c r="N25" s="142">
        <f>SUM(N16:N24)</f>
        <v>157.93998000000002</v>
      </c>
      <c r="O25" s="143">
        <f>SUM(O16:O24)</f>
        <v>4.3792449000000007</v>
      </c>
      <c r="P25" s="144">
        <f>SUM(P16:P24)</f>
        <v>880.2282249000001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784.60000000000014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39.230000000000011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27.461000000000006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717.90900000000011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157.93998000000002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875.8489800000001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4.3792449000000007</v>
      </c>
    </row>
    <row r="35" spans="2:16" ht="15.75" customHeight="1" thickBot="1" x14ac:dyDescent="0.4">
      <c r="N35" s="203" t="s">
        <v>92</v>
      </c>
      <c r="O35" s="204"/>
      <c r="P35" s="160">
        <f>P33+P34</f>
        <v>880.2282249000001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2.4459340800000002</v>
      </c>
      <c r="P19" s="120">
        <f t="shared" si="1"/>
        <v>491.63275007999999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</v>
      </c>
      <c r="I20" s="116">
        <f t="shared" si="2"/>
        <v>581.12</v>
      </c>
      <c r="J20" s="117"/>
      <c r="K20" s="1">
        <f t="shared" si="3"/>
        <v>0</v>
      </c>
      <c r="L20" s="105">
        <f t="shared" si="4"/>
        <v>46.489600000000003</v>
      </c>
      <c r="M20" s="118">
        <f t="shared" si="5"/>
        <v>534.63040000000001</v>
      </c>
      <c r="N20" s="118">
        <f t="shared" si="0"/>
        <v>117.61868800000001</v>
      </c>
      <c r="O20" s="119">
        <f t="shared" si="6"/>
        <v>3.2612454400000002</v>
      </c>
      <c r="P20" s="120">
        <f t="shared" si="1"/>
        <v>655.51033344000007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>
        <v>1</v>
      </c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104.194816</v>
      </c>
      <c r="O21" s="119">
        <f t="shared" si="6"/>
        <v>2.5258380800000002</v>
      </c>
      <c r="P21" s="120">
        <f t="shared" si="1"/>
        <v>507.69345408000004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0</v>
      </c>
      <c r="L25" s="140">
        <f t="shared" si="9"/>
        <v>116.22400000000002</v>
      </c>
      <c r="M25" s="141">
        <f t="shared" si="9"/>
        <v>1336.576</v>
      </c>
      <c r="N25" s="142">
        <f>SUM(N16:N24)</f>
        <v>310.02751999999998</v>
      </c>
      <c r="O25" s="143">
        <f>SUM(O16:O24)</f>
        <v>8.2330176000000002</v>
      </c>
      <c r="P25" s="144">
        <f>SUM(P16:P24)</f>
        <v>1654.8365376000002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1452.8000000000002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116.22400000000002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1336.5760000000002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1646.6035200000001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8.2330176000000002</v>
      </c>
    </row>
    <row r="35" spans="2:16" ht="15.75" customHeight="1" thickBot="1" x14ac:dyDescent="0.4">
      <c r="N35" s="203" t="s">
        <v>92</v>
      </c>
      <c r="O35" s="204"/>
      <c r="P35" s="160">
        <f>P33+P34</f>
        <v>1654.8365376000002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119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22</v>
      </c>
      <c r="I19" s="116">
        <f t="shared" si="2"/>
        <v>1598.08</v>
      </c>
      <c r="J19" s="117"/>
      <c r="K19" s="1">
        <f t="shared" si="3"/>
        <v>0</v>
      </c>
      <c r="L19" s="105">
        <f t="shared" si="4"/>
        <v>127.8464</v>
      </c>
      <c r="M19" s="118">
        <f t="shared" si="5"/>
        <v>1470.2336</v>
      </c>
      <c r="N19" s="118">
        <f t="shared" si="0"/>
        <v>323.451392</v>
      </c>
      <c r="O19" s="119">
        <f t="shared" si="6"/>
        <v>44.842124800000001</v>
      </c>
      <c r="P19" s="120">
        <f t="shared" si="1"/>
        <v>1838.5271167999999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18</v>
      </c>
      <c r="I20" s="116">
        <f t="shared" si="2"/>
        <v>1307.52</v>
      </c>
      <c r="J20" s="117">
        <v>2</v>
      </c>
      <c r="K20" s="1">
        <f t="shared" si="3"/>
        <v>0</v>
      </c>
      <c r="L20" s="105">
        <f t="shared" si="4"/>
        <v>104.6016</v>
      </c>
      <c r="M20" s="118">
        <f t="shared" si="5"/>
        <v>1202.9184</v>
      </c>
      <c r="N20" s="118">
        <f t="shared" si="0"/>
        <v>296.60364799999996</v>
      </c>
      <c r="O20" s="119">
        <f t="shared" si="6"/>
        <v>37.488051200000001</v>
      </c>
      <c r="P20" s="120">
        <f t="shared" si="1"/>
        <v>1537.0100992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52</v>
      </c>
      <c r="I25" s="137">
        <f t="shared" si="9"/>
        <v>3376.36</v>
      </c>
      <c r="J25" s="138"/>
      <c r="K25" s="139">
        <f t="shared" si="9"/>
        <v>16.476600000000005</v>
      </c>
      <c r="L25" s="140">
        <f t="shared" si="9"/>
        <v>255.98600000000002</v>
      </c>
      <c r="M25" s="141">
        <f t="shared" si="9"/>
        <v>3103.8973999999998</v>
      </c>
      <c r="N25" s="142">
        <f>SUM(N16:N24)</f>
        <v>714.819028</v>
      </c>
      <c r="O25" s="143">
        <f>SUM(O16:O24)</f>
        <v>95.467910700000004</v>
      </c>
      <c r="P25" s="144">
        <f>SUM(P16:P24)</f>
        <v>3914.1843386999999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3376.36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255.98600000000002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3103.8974000000003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714.819028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3818.7164280000002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95.467910700000004</v>
      </c>
    </row>
    <row r="35" spans="2:16" ht="15.75" customHeight="1" thickBot="1" x14ac:dyDescent="0.4">
      <c r="N35" s="203" t="s">
        <v>92</v>
      </c>
      <c r="O35" s="204"/>
      <c r="P35" s="160">
        <f>P33+P34</f>
        <v>3914.1843387000004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119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470.76000000000005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23.538000000000004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430.74540000000002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525.50938800000006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03" t="s">
        <v>92</v>
      </c>
      <c r="O35" s="204"/>
      <c r="P35" s="160">
        <f>P33+P34</f>
        <v>538.64712270000007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119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3520177815891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26</v>
      </c>
      <c r="I19" s="116">
        <f t="shared" si="2"/>
        <v>1888.64</v>
      </c>
      <c r="J19" s="117">
        <v>1</v>
      </c>
      <c r="K19" s="1">
        <f t="shared" si="3"/>
        <v>0</v>
      </c>
      <c r="L19" s="105">
        <f t="shared" si="4"/>
        <v>151.09120000000001</v>
      </c>
      <c r="M19" s="118">
        <f t="shared" si="5"/>
        <v>1737.5488</v>
      </c>
      <c r="N19" s="118">
        <f t="shared" si="0"/>
        <v>398.241536</v>
      </c>
      <c r="O19" s="119">
        <f t="shared" si="6"/>
        <v>10.678951680000001</v>
      </c>
      <c r="P19" s="120">
        <f t="shared" si="1"/>
        <v>2146.46928768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26</v>
      </c>
      <c r="I20" s="116">
        <f t="shared" si="2"/>
        <v>1888.64</v>
      </c>
      <c r="J20" s="117">
        <v>1</v>
      </c>
      <c r="K20" s="1">
        <f t="shared" si="3"/>
        <v>0</v>
      </c>
      <c r="L20" s="105">
        <f t="shared" si="4"/>
        <v>151.09120000000001</v>
      </c>
      <c r="M20" s="118">
        <f t="shared" si="5"/>
        <v>1737.5488</v>
      </c>
      <c r="N20" s="118">
        <f t="shared" si="0"/>
        <v>398.241536</v>
      </c>
      <c r="O20" s="119">
        <f t="shared" si="6"/>
        <v>10.678951680000001</v>
      </c>
      <c r="P20" s="120">
        <f t="shared" si="1"/>
        <v>2146.46928768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28</v>
      </c>
      <c r="I21" s="116">
        <f t="shared" si="2"/>
        <v>2033.92</v>
      </c>
      <c r="J21" s="117">
        <v>2</v>
      </c>
      <c r="K21" s="1">
        <f t="shared" si="3"/>
        <v>0</v>
      </c>
      <c r="L21" s="105">
        <f t="shared" si="4"/>
        <v>162.71360000000001</v>
      </c>
      <c r="M21" s="118">
        <f t="shared" si="5"/>
        <v>1871.2064</v>
      </c>
      <c r="N21" s="118">
        <f t="shared" si="0"/>
        <v>443.62700799999999</v>
      </c>
      <c r="O21" s="119">
        <f t="shared" si="6"/>
        <v>11.574167040000001</v>
      </c>
      <c r="P21" s="120">
        <f t="shared" si="1"/>
        <v>2326.4075750399998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5811.2000000000007</v>
      </c>
      <c r="J25" s="138"/>
      <c r="K25" s="139">
        <f t="shared" si="9"/>
        <v>0</v>
      </c>
      <c r="L25" s="140">
        <f t="shared" si="9"/>
        <v>464.89600000000007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32.932070400000001</v>
      </c>
      <c r="P25" s="144">
        <f>SUM(P16:P24)</f>
        <v>6619.3461503999997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5811.2000000000007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464.89600000000007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5346.304000000001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6586.4140800000005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32.932070400000001</v>
      </c>
    </row>
    <row r="35" spans="2:16" ht="15.75" customHeight="1" thickBot="1" x14ac:dyDescent="0.4">
      <c r="N35" s="203" t="s">
        <v>92</v>
      </c>
      <c r="O35" s="204"/>
      <c r="P35" s="160">
        <f>P33+P34</f>
        <v>6619.3461504000006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119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I16*$K$13</f>
        <v>0</v>
      </c>
      <c r="L16" s="105">
        <f>I16*8%</f>
        <v>25.181999999999999</v>
      </c>
      <c r="M16" s="106">
        <f>I16-K16-L16</f>
        <v>289.59299999999996</v>
      </c>
      <c r="N16" s="106">
        <f t="shared" ref="N16:N24" si="0">(M16*$N$15)+(J16*F16)*$N$15</f>
        <v>63.710459999999991</v>
      </c>
      <c r="O16" s="107">
        <f>(N16+M16)*$O$15</f>
        <v>8.8325864999999997</v>
      </c>
      <c r="P16" s="105">
        <f t="shared" ref="P16:P24" si="1">M16+N16+O16</f>
        <v>362.13604649999996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">
        <f t="shared" ref="K17:K21" si="3">I17*$K$13</f>
        <v>0</v>
      </c>
      <c r="L17" s="105">
        <f t="shared" ref="L17:L21" si="4">I17*8%</f>
        <v>25.181999999999999</v>
      </c>
      <c r="M17" s="118">
        <f t="shared" ref="M17:M23" si="5">I17-K17-L17</f>
        <v>289.59299999999996</v>
      </c>
      <c r="N17" s="118">
        <f t="shared" si="0"/>
        <v>63.710459999999991</v>
      </c>
      <c r="O17" s="119">
        <f t="shared" ref="O17:O24" si="6">(N17+M17)*$O$15</f>
        <v>8.8325864999999997</v>
      </c>
      <c r="P17" s="120">
        <f t="shared" si="1"/>
        <v>362.13604649999996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12.229670400000002</v>
      </c>
      <c r="P19" s="120">
        <f t="shared" si="1"/>
        <v>501.4164864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12.229670400000002</v>
      </c>
      <c r="P20" s="120">
        <f t="shared" si="1"/>
        <v>501.4164864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189.527976</v>
      </c>
      <c r="O22" s="119">
        <f t="shared" si="6"/>
        <v>26.275469400000006</v>
      </c>
      <c r="P22" s="120">
        <f t="shared" si="1"/>
        <v>1077.2942454000001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54</v>
      </c>
      <c r="I25" s="137">
        <f t="shared" si="9"/>
        <v>2878.59</v>
      </c>
      <c r="J25" s="138"/>
      <c r="K25" s="139">
        <f t="shared" si="9"/>
        <v>32.95320000000001</v>
      </c>
      <c r="L25" s="140">
        <f t="shared" si="9"/>
        <v>202.04160000000002</v>
      </c>
      <c r="M25" s="141">
        <f t="shared" si="9"/>
        <v>2643.5951999999997</v>
      </c>
      <c r="N25" s="142">
        <f>SUM(N16:N24)</f>
        <v>581.59094400000004</v>
      </c>
      <c r="O25" s="143">
        <f>SUM(O16:O24)</f>
        <v>80.629653600000012</v>
      </c>
      <c r="P25" s="144">
        <f>SUM(P16:P24)</f>
        <v>3305.8157976000002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2878.59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202.04160000000002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32.95320000000001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2643.5952000000002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581.59094400000004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3225.1861440000002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80.629653600000012</v>
      </c>
    </row>
    <row r="35" spans="2:16" ht="15.75" customHeight="1" thickBot="1" x14ac:dyDescent="0.4">
      <c r="N35" s="203" t="s">
        <v>92</v>
      </c>
      <c r="O35" s="204"/>
      <c r="P35" s="160">
        <f>P33+P34</f>
        <v>3305.8157976000002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124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82.330176000000009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3" t="s">
        <v>92</v>
      </c>
      <c r="O35" s="204"/>
      <c r="P35" s="160">
        <f>P33+P34</f>
        <v>3375.5372160000002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126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1569.2000000000003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78.460000000000022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1435.8180000000002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1751.6979600000002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03" t="s">
        <v>92</v>
      </c>
      <c r="O35" s="204"/>
      <c r="P35" s="160">
        <f>P33+P34</f>
        <v>1795.4904090000002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128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3520127602341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8.7584898000000013</v>
      </c>
      <c r="P25" s="144">
        <f>SUM(P16:P24)</f>
        <v>1760.4564498000002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1569.2000000000003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78.460000000000022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1435.8180000000002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1751.6979600000002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8.7584898000000013</v>
      </c>
    </row>
    <row r="35" spans="2:16" ht="15.75" customHeight="1" thickBot="1" x14ac:dyDescent="0.4">
      <c r="N35" s="203" t="s">
        <v>92</v>
      </c>
      <c r="O35" s="204"/>
      <c r="P35" s="160">
        <f>P33+P34</f>
        <v>1760.4564498000002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Sheet2!$B$6:$B$14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130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1720162142491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631.75992000000008</v>
      </c>
      <c r="O22" s="119">
        <f t="shared" si="6"/>
        <v>17.516979600000003</v>
      </c>
      <c r="P22" s="120">
        <f t="shared" si="1"/>
        <v>3520.9128996000004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3138.4000000000005</v>
      </c>
      <c r="J25" s="138"/>
      <c r="K25" s="139">
        <f t="shared" si="9"/>
        <v>109.84400000000002</v>
      </c>
      <c r="L25" s="140">
        <f t="shared" si="9"/>
        <v>156.92000000000004</v>
      </c>
      <c r="M25" s="141">
        <f t="shared" si="9"/>
        <v>2871.6360000000004</v>
      </c>
      <c r="N25" s="142">
        <f>SUM(N16:N24)</f>
        <v>631.75992000000008</v>
      </c>
      <c r="O25" s="143">
        <f>SUM(O16:O24)</f>
        <v>17.516979600000003</v>
      </c>
      <c r="P25" s="144">
        <f>SUM(P16:P24)</f>
        <v>3520.9128996000004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3138.4000000000005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156.92000000000004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109.84400000000002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2871.6360000000004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631.75992000000008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3503.3959200000004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17.516979600000003</v>
      </c>
    </row>
    <row r="35" spans="2:16" ht="15.75" customHeight="1" thickBot="1" x14ac:dyDescent="0.4">
      <c r="N35" s="203" t="s">
        <v>92</v>
      </c>
      <c r="O35" s="204"/>
      <c r="P35" s="160">
        <f>P33+P34</f>
        <v>3520.9128996000004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Sheet2!$B$6:$B$14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8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131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132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4743204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140</v>
      </c>
      <c r="I25" s="137">
        <f t="shared" si="9"/>
        <v>8026.1</v>
      </c>
      <c r="J25" s="138"/>
      <c r="K25" s="139">
        <f t="shared" si="9"/>
        <v>54.922000000000011</v>
      </c>
      <c r="L25" s="140">
        <f t="shared" si="9"/>
        <v>595.01200000000006</v>
      </c>
      <c r="M25" s="141">
        <f t="shared" si="9"/>
        <v>7376.1660000000002</v>
      </c>
      <c r="N25" s="142">
        <f>SUM(N16:N24)</f>
        <v>1693.7824200000002</v>
      </c>
      <c r="O25" s="143">
        <f>SUM(O16:O24)</f>
        <v>45.3497421</v>
      </c>
      <c r="P25" s="144">
        <f>SUM(P16:P24)</f>
        <v>9115.2981620999999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8026.1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595.01200000000006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7376.1660000000011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1693.7824200000002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9069.9484200000006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45.349742100000007</v>
      </c>
    </row>
    <row r="35" spans="2:16" ht="15.75" customHeight="1" thickBot="1" x14ac:dyDescent="0.4">
      <c r="N35" s="203" t="s">
        <v>92</v>
      </c>
      <c r="O35" s="204"/>
      <c r="P35" s="160">
        <f>P33+P34</f>
        <v>9115.2981620999999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Sheet2!$B$6:$B$14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2026-07-01T04:52:21Z</dcterms:modified>
</cp:coreProperties>
</file>