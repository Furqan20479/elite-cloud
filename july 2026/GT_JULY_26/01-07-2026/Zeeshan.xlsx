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284C038-FE1F-441E-BD6D-A76A0AC1F752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T33" i="15" l="1"/>
  <c r="T32" i="15"/>
  <c r="T31" i="15"/>
  <c r="T30" i="15"/>
  <c r="T29" i="15"/>
  <c r="U33" i="15"/>
  <c r="U32" i="15"/>
  <c r="U31" i="15"/>
  <c r="U30" i="15"/>
  <c r="U29" i="15"/>
  <c r="J17" i="15"/>
  <c r="J18" i="15"/>
  <c r="J19" i="15"/>
  <c r="J20" i="15"/>
  <c r="J21" i="15"/>
  <c r="J22" i="15"/>
  <c r="J23" i="15"/>
  <c r="J24" i="15"/>
  <c r="J16" i="15"/>
  <c r="H17" i="15"/>
  <c r="H18" i="15"/>
  <c r="H19" i="15"/>
  <c r="H20" i="15"/>
  <c r="H21" i="15"/>
  <c r="H22" i="15"/>
  <c r="H23" i="15"/>
  <c r="H24" i="15"/>
  <c r="H16" i="15"/>
  <c r="T17" i="15"/>
  <c r="T16" i="15"/>
  <c r="T28" i="15" l="1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L21" i="25" s="1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L18" i="25"/>
  <c r="K20" i="25"/>
  <c r="L20" i="25"/>
  <c r="K16" i="25"/>
  <c r="L16" i="25"/>
  <c r="K24" i="25"/>
  <c r="L22" i="25"/>
  <c r="L17" i="25"/>
  <c r="K17" i="25"/>
  <c r="L23" i="25"/>
  <c r="K23" i="25"/>
  <c r="K17" i="24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42" i="15"/>
  <c r="O40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L18" i="17" l="1"/>
  <c r="K23" i="19"/>
  <c r="M23" i="19" s="1"/>
  <c r="N23" i="19" s="1"/>
  <c r="O23" i="19" s="1"/>
  <c r="K19" i="19"/>
  <c r="L23" i="22"/>
  <c r="L25" i="22" s="1"/>
  <c r="P29" i="22" s="1"/>
  <c r="K19" i="25"/>
  <c r="L19" i="25"/>
  <c r="L25" i="25" s="1"/>
  <c r="P29" i="25" s="1"/>
  <c r="K21" i="25"/>
  <c r="K16" i="24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5" i="19" s="1"/>
  <c r="P30" i="19" s="1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16" i="24"/>
  <c r="N16" i="24" s="1"/>
  <c r="M20" i="24"/>
  <c r="N20" i="24" s="1"/>
  <c r="O20" i="24" s="1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M21" i="25"/>
  <c r="N21" i="25" s="1"/>
  <c r="O21" i="25" s="1"/>
  <c r="P21" i="25" s="1"/>
  <c r="N17" i="25"/>
  <c r="O17" i="25" s="1"/>
  <c r="K25" i="25"/>
  <c r="P30" i="25" s="1"/>
  <c r="M16" i="25"/>
  <c r="N23" i="25"/>
  <c r="O23" i="25" s="1"/>
  <c r="P23" i="25" s="1"/>
  <c r="N19" i="25"/>
  <c r="O19" i="25" s="1"/>
  <c r="N23" i="24"/>
  <c r="O23" i="24" s="1"/>
  <c r="N24" i="24"/>
  <c r="O24" i="24" s="1"/>
  <c r="K25" i="24"/>
  <c r="P30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K22" i="15" l="1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L20" i="16"/>
  <c r="L20" i="15" s="1"/>
  <c r="L25" i="21"/>
  <c r="P29" i="21" s="1"/>
  <c r="K16" i="15"/>
  <c r="M16" i="15" s="1"/>
  <c r="L22" i="16"/>
  <c r="L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6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M22" i="15" l="1"/>
  <c r="M18" i="15"/>
  <c r="N16" i="18"/>
  <c r="N16" i="15" s="1"/>
  <c r="M18" i="16"/>
  <c r="N18" i="16" s="1"/>
  <c r="M22" i="16"/>
  <c r="N22" i="16" s="1"/>
  <c r="N22" i="15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7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6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8" i="15" s="1"/>
  <c r="P39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7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4" i="15" s="1"/>
  <c r="N25" i="15"/>
  <c r="P40" i="15" s="1"/>
  <c r="P41" i="15" s="1"/>
  <c r="P42" i="15" s="1"/>
  <c r="P43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<sst xmlns="http://schemas.openxmlformats.org/spreadsheetml/2006/main" count="1584" uniqueCount="122">
  <si>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</si>
  <si>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</si>
  <si>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</si>
  <si>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</si>
  <si>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</si>
  <si>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</si>
  <si>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</si>
  <si>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</si>
  <si>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</si>
  <si>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</si>
  <si>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</si>
  <si>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</si>
  <si>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</si>
  <si>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</si>
  <si>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</si>
  <si>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</si>
  <si>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</si>
  <si>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</si>
  <si>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</si>
  <si>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</si>
  <si>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</si>
  <si>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</si>
  <si>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</si>
  <si>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</si>
  <si>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</si>
  <si>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</si>
  <si>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</si>
  <si>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</si>
  <si>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</si>
  <si>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</si>
  <si>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</si>
  <si>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</si>
  <si>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</si>
  <si>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</si>
  <si>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</si>
  <si>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</si>
  <si>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</si>
  <si>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</si>
  <si>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</si>
  <si>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</si>
  <si>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</si>
  <si>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</si>
  <si>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</si>
  <si>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</si>
  <si>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</si>
  <si>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</si>
  <si>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</si>
  <si>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</si>
  <si>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</si>
  <si>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</si>
  <si>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</si>
  <si>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</si>
  <si>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</si>
  <si>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</si>
  <si>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</si>
  <si>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</si>
  <si>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</si>
  <si>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</si>
  <si>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</si>
  <si>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</si>
  <si>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</si>
  <si>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</si>
  <si>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</si>
  <si>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</si>
  <si>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</si>
  <si>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</si>
  <si>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</si>
  <si>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</si>
  <si>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</si>
  <si>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</si>
  <si>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</si>
  <si>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</si>
  <si>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</si>
  <si>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</si>
  <si>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</si>
  <si>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</si>
  <si>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</si>
  <si>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</si>
  <si>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</si>
  <si>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</si>
  <si>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</si>
  <si>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</si>
  <si>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</si>
  <si>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</si>
  <si>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</si>
  <si>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</si>
  <si>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</si>
  <si>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</si>
  <si>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</si>
  <si>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</si>
  <si>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</si>
  <si>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</si>
  <si>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</si>
  <si>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</si>
  <si>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</si>
  <si>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</si>
  <si>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</si>
  <si>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</si>
  <si>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</si>
  <si>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</si>
  <si>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</si>
  <si>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</si>
  <si>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</si>
  <si>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</si>
  <si>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Umair Rehman</t>
  </si>
  <si>
    <t>Umer Nawaz</t>
  </si>
  <si>
    <t>Customer Name : Nishat Store</t>
  </si>
  <si>
    <t>Address: Nishat colony</t>
  </si>
  <si>
    <t>247279-4</t>
  </si>
  <si>
    <t>Customer Name : Bilal Store</t>
  </si>
  <si>
    <t xml:space="preserve">Address: Nishat </t>
  </si>
  <si>
    <t>Customer Name : Qadri Store</t>
  </si>
  <si>
    <t>Customer Name : Ahmed Store</t>
  </si>
  <si>
    <t>Address: Nishat</t>
  </si>
  <si>
    <t>Customer Name : Green Mart</t>
  </si>
  <si>
    <t>Address: Askari 11</t>
  </si>
  <si>
    <t>Customer Name : 786 Store</t>
  </si>
  <si>
    <t>8058676-4</t>
  </si>
  <si>
    <t>Customer Name : Sharif Mart</t>
  </si>
  <si>
    <t>9616030-7</t>
  </si>
  <si>
    <t>Shop Bill Summary (Zeshan)</t>
  </si>
  <si>
    <t>Zeshan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</si>
</sst>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3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B16" sqref="B1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104</v>
      </c>
    </row>
    <row r="15" spans="1:2" x14ac:dyDescent="0.35">
      <c r="A15">
        <v>10</v>
      </c>
      <c r="B15" t="s">
        <v>105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F10" sqref="F10"/>
      <selection pane="topRight" activeCell="F10" sqref="F10"/>
      <selection pane="bottomLeft" activeCell="F10" sqref="F10"/>
      <selection pane="bottomRight" activeCell="F10" sqref="F10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5"/>
  <sheetViews>
    <sheetView tabSelected="1" topLeftCell="A27" zoomScale="70" zoomScaleNormal="70" workbookViewId="0">
      <selection activeCell="T37" sqref="T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hidden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121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120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Nishat Store</v>
      </c>
      <c r="U14" s="164">
        <f>+'1'!P35</f>
        <v>528.13693494000006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Bilal Store</v>
      </c>
      <c r="U15" s="164">
        <f>+'2'!P35</f>
        <v>501.4164864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+'1'!H16+'2'!H16+'4'!H16+'3'!H16+'5'!H16+'6'!H16+'7'!H16+'8'!H16+'9'!H16+'10'!H16+'11'!H16+'12'!H16+'13'!H16+'14'!H16+'15'!H16+'16'!H16+'17'!H16+'18'!H16+'19'!H16+'20'!H16</f>
        <v>0</v>
      </c>
      <c r="I16" s="1">
        <f>(G16*D16)*F16+H16*F16</f>
        <v>0</v>
      </c>
      <c r="J16" s="172">
        <f>+'1'!J16+'2'!J16+'4'!J16+'3'!J16+'5'!J16+'6'!J16+'7'!J16+'8'!J16+'9'!J16+'10'!J16+'11'!J16+'12'!J16+'13'!J16+'14'!J16+'15'!J16+'16'!J16+'17'!J16+'18'!J16+'19'!J16+'20'!J16</f>
        <v>0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0</v>
      </c>
      <c r="M16" s="106">
        <f>I16-K16-L16</f>
        <v>0</v>
      </c>
      <c r="N16" s="101">
        <f>+'1'!N16+'2'!N16+'4'!N16+'3'!N16+'5'!N16+'6'!N16+'7'!N16+'8'!N16+'9'!N16+'10'!N16</f>
        <v>0</v>
      </c>
      <c r="O16" s="101">
        <f>+'1'!O16+'2'!O16+'4'!O16+'3'!O16+'5'!O16+'6'!O16+'7'!O16+'8'!O16+'9'!O16+'10'!O16</f>
        <v>0</v>
      </c>
      <c r="P16" s="105">
        <f t="shared" ref="P16:P24" si="0">M16+N16+O16</f>
        <v>0</v>
      </c>
      <c r="Q16" s="108"/>
      <c r="T16" s="163" t="str">
        <f>+'3'!A5</f>
        <v>Customer Name : Qadri Store</v>
      </c>
      <c r="U16" s="164">
        <f>+'3'!P35</f>
        <v>501.4164864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+'1'!H17+'2'!H17+'4'!H17+'3'!H17+'5'!H17+'6'!H17+'7'!H17+'8'!H17+'9'!H17+'10'!H17+'11'!H17+'12'!H17+'13'!H17+'14'!H17+'15'!H17+'16'!H17+'17'!H17+'18'!H17+'19'!H17+'20'!H17</f>
        <v>0</v>
      </c>
      <c r="I17" s="1">
        <f t="shared" ref="I17:I23" si="1">(G17*D17)*F17+H17*F17</f>
        <v>0</v>
      </c>
      <c r="J17" s="172">
        <f>+'1'!J17+'2'!J17+'4'!J17+'3'!J17+'5'!J17+'6'!J17+'7'!J17+'8'!J17+'9'!J17+'10'!J17+'11'!J17+'12'!J17+'13'!J17+'14'!J17+'15'!J17+'16'!J17+'17'!J17+'18'!J17+'19'!J17+'20'!J17</f>
        <v>0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0</v>
      </c>
      <c r="M17" s="118">
        <f t="shared" ref="M17:M23" si="2">I17-K17-L17</f>
        <v>0</v>
      </c>
      <c r="N17" s="101">
        <f>+'1'!N17+'2'!N17+'4'!N17+'3'!N17+'5'!N17+'6'!N17+'7'!N17+'8'!N17+'9'!N17+'10'!N17</f>
        <v>0</v>
      </c>
      <c r="O17" s="101">
        <f>+'1'!O17+'2'!O17+'4'!O17+'3'!O17+'5'!O17+'6'!O17+'7'!O17+'8'!O17+'9'!O17+'10'!O17</f>
        <v>0</v>
      </c>
      <c r="P17" s="120">
        <f t="shared" si="0"/>
        <v>0</v>
      </c>
      <c r="S17" s="64"/>
      <c r="T17" s="163" t="str">
        <f>+'4'!A5</f>
        <v>Customer Name : Ahmed Store</v>
      </c>
      <c r="U17" s="164">
        <f>+'4'!P35</f>
        <v>269.32356135000003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+'1'!H18+'2'!H18+'4'!H18+'3'!H18+'5'!H18+'6'!H18+'7'!H18+'8'!H18+'9'!H18+'10'!H18+'11'!H18+'12'!H18+'13'!H18+'14'!H18+'15'!H18+'16'!H18+'17'!H18+'18'!H18+'19'!H18+'20'!H18</f>
        <v>0</v>
      </c>
      <c r="I18" s="1">
        <f t="shared" si="1"/>
        <v>0</v>
      </c>
      <c r="J18" s="172">
        <f>+'1'!J18+'2'!J18+'4'!J18+'3'!J18+'5'!J18+'6'!J18+'7'!J18+'8'!J18+'9'!J18+'10'!J18+'11'!J18+'12'!J18+'13'!J18+'14'!J18+'15'!J18+'16'!J18+'17'!J18+'18'!J18+'19'!J18+'20'!J18</f>
        <v>0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0</v>
      </c>
      <c r="M18" s="118">
        <f t="shared" si="2"/>
        <v>0</v>
      </c>
      <c r="N18" s="101">
        <f>+'1'!N18+'2'!N18+'4'!N18+'3'!N18+'5'!N18+'6'!N18+'7'!N18+'8'!N18+'9'!N18+'10'!N18</f>
        <v>0</v>
      </c>
      <c r="O18" s="101">
        <f>+'1'!O18+'2'!O18+'4'!O18+'3'!O18+'5'!O18+'6'!O18+'7'!O18+'8'!O18+'9'!O18+'10'!O18</f>
        <v>0</v>
      </c>
      <c r="P18" s="120">
        <f t="shared" si="0"/>
        <v>0</v>
      </c>
      <c r="T18" s="163" t="str">
        <f>+'5'!A5</f>
        <v>Customer Name : Green Mart</v>
      </c>
      <c r="U18" s="164">
        <f>+'5'!P35</f>
        <v>16759.605200400001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+'1'!H19+'2'!H19+'4'!H19+'3'!H19+'5'!H19+'6'!H19+'7'!H19+'8'!H19+'9'!H19+'10'!H19+'11'!H19+'12'!H19+'13'!H19+'14'!H19+'15'!H19+'16'!H19+'17'!H19+'18'!H19+'19'!H19+'20'!H19</f>
        <v>65</v>
      </c>
      <c r="I19" s="1">
        <f t="shared" si="1"/>
        <v>4721.6000000000004</v>
      </c>
      <c r="J19" s="172">
        <f>+'1'!J19+'2'!J19+'4'!J19+'3'!J19+'5'!J19+'6'!J19+'7'!J19+'8'!J19+'9'!J19+'10'!J19+'11'!J19+'12'!J19+'13'!J19+'14'!J19+'15'!J19+'16'!J19+'17'!J19+'18'!J19+'19'!J19+'20'!J19</f>
        <v>3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377.72800000000001</v>
      </c>
      <c r="M19" s="118">
        <f t="shared" si="2"/>
        <v>4343.8720000000003</v>
      </c>
      <c r="N19" s="101">
        <f>+'1'!N19+'2'!N19+'4'!N19+'3'!N19+'5'!N19+'6'!N19+'7'!N19+'8'!N19+'9'!N19+'10'!N19</f>
        <v>1003.59424</v>
      </c>
      <c r="O19" s="101">
        <f>+'1'!O19+'2'!O19+'4'!O19+'3'!O19+'5'!O19+'6'!O19+'7'!O19+'8'!O19+'9'!O19+'10'!O19</f>
        <v>26.7373312</v>
      </c>
      <c r="P19" s="120">
        <f t="shared" si="0"/>
        <v>5374.2035712000006</v>
      </c>
      <c r="T19" s="163" t="str">
        <f>+'6'!A5</f>
        <v>Customer Name : 786 Store</v>
      </c>
      <c r="U19" s="164">
        <f>+'6'!P35</f>
        <v>3309.6730752000003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+'1'!H20+'2'!H20+'4'!H20+'3'!H20+'5'!H20+'6'!H20+'7'!H20+'8'!H20+'9'!H20+'10'!H20+'11'!H20+'12'!H20+'13'!H20+'14'!H20+'15'!H20+'16'!H20+'17'!H20+'18'!H20+'19'!H20+'20'!H20</f>
        <v>65</v>
      </c>
      <c r="I20" s="1">
        <f t="shared" si="1"/>
        <v>4721.6000000000004</v>
      </c>
      <c r="J20" s="172">
        <f>+'1'!J20+'2'!J20+'4'!J20+'3'!J20+'5'!J20+'6'!J20+'7'!J20+'8'!J20+'9'!J20+'10'!J20+'11'!J20+'12'!J20+'13'!J20+'14'!J20+'15'!J20+'16'!J20+'17'!J20+'18'!J20+'19'!J20+'20'!J20</f>
        <v>3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377.72800000000001</v>
      </c>
      <c r="M20" s="118">
        <f t="shared" si="2"/>
        <v>4343.8720000000003</v>
      </c>
      <c r="N20" s="101">
        <f>+'1'!N20+'2'!N20+'4'!N20+'3'!N20+'5'!N20+'6'!N20+'7'!N20+'8'!N20+'9'!N20+'10'!N20</f>
        <v>1003.59424</v>
      </c>
      <c r="O20" s="101">
        <f>+'1'!O20+'2'!O20+'4'!O20+'3'!O20+'5'!O20+'6'!O20+'7'!O20+'8'!O20+'9'!O20+'10'!O20</f>
        <v>26.7373312</v>
      </c>
      <c r="P20" s="120">
        <f t="shared" si="0"/>
        <v>5374.2035712000006</v>
      </c>
      <c r="T20" s="163" t="str">
        <f>+'7'!A5</f>
        <v>Customer Name : Sharif Mart</v>
      </c>
      <c r="U20" s="164">
        <f>+'7'!P35</f>
        <v>2474.2244544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+'1'!H21+'2'!H21+'4'!H21+'3'!H21+'5'!H21+'6'!H21+'7'!H21+'8'!H21+'9'!H21+'10'!H21+'11'!H21+'12'!H21+'13'!H21+'14'!H21+'15'!H21+'16'!H21+'17'!H21+'18'!H21+'19'!H21+'20'!H21</f>
        <v>112</v>
      </c>
      <c r="I21" s="1">
        <f t="shared" si="1"/>
        <v>8135.68</v>
      </c>
      <c r="J21" s="172">
        <f>+'1'!J21+'2'!J21+'4'!J21+'3'!J21+'5'!J21+'6'!J21+'7'!J21+'8'!J21+'9'!J21+'10'!J21+'11'!J21+'12'!J21+'13'!J21+'14'!J21+'15'!J21+'16'!J21+'17'!J21+'18'!J21+'19'!J21+'20'!J21</f>
        <v>5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650.85439999999994</v>
      </c>
      <c r="M21" s="118">
        <f t="shared" si="2"/>
        <v>7484.8256000000001</v>
      </c>
      <c r="N21" s="101">
        <f>+'1'!N21+'2'!N21+'4'!N21+'3'!N21+'5'!N21+'6'!N21+'7'!N21+'8'!N21+'9'!N21+'10'!N21</f>
        <v>1726.5656319999998</v>
      </c>
      <c r="O21" s="101">
        <f>+'1'!O21+'2'!O21+'4'!O21+'3'!O21+'5'!O21+'6'!O21+'7'!O21+'8'!O21+'9'!O21+'10'!O21</f>
        <v>65.624428800000004</v>
      </c>
      <c r="P21" s="120">
        <f t="shared" si="0"/>
        <v>9277.0156607999998</v>
      </c>
      <c r="T21" s="163" t="str">
        <f>+'8'!A5</f>
        <v xml:space="preserve">Customer Name : </v>
      </c>
      <c r="U21" s="164">
        <f>+'8'!P35</f>
        <v>0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+'1'!H22+'2'!H22+'4'!H22+'3'!H22+'5'!H22+'6'!H22+'7'!H22+'8'!H22+'9'!H22+'10'!H22+'11'!H22+'12'!H22+'13'!H22+'14'!H22+'15'!H22+'16'!H22+'17'!H22+'18'!H22+'19'!H22+'20'!H22</f>
        <v>98</v>
      </c>
      <c r="I22" s="1">
        <f t="shared" si="1"/>
        <v>3844.5400000000004</v>
      </c>
      <c r="J22" s="172">
        <f>+'1'!J22+'2'!J22+'4'!J22+'3'!J22+'5'!J22+'6'!J22+'7'!J22+'8'!J22+'9'!J22+'10'!J22+'11'!J22+'12'!J22+'13'!J22+'14'!J22+'15'!J22+'16'!J22+'17'!J22+'18'!J22+'19'!J22+'20'!J22</f>
        <v>0</v>
      </c>
      <c r="K22" s="172">
        <f>+'1'!K22+'2'!K22+'4'!K22+'3'!K22+'5'!K22+'6'!K22+'7'!K22+'8'!K22+'9'!K22+'10'!K22</f>
        <v>134.55890000000002</v>
      </c>
      <c r="L22" s="175">
        <f>+'1'!L22+'2'!L22+'4'!L22+'3'!L22+'5'!L22+'6'!L22+'7'!L22+'8'!L22+'9'!L22+'10'!L22</f>
        <v>192.22700000000003</v>
      </c>
      <c r="M22" s="118">
        <f t="shared" si="2"/>
        <v>3517.7541000000006</v>
      </c>
      <c r="N22" s="101">
        <f>+'1'!N22+'2'!N22+'4'!N22+'3'!N22+'5'!N22+'6'!N22+'7'!N22+'8'!N22+'9'!N22+'10'!N22</f>
        <v>773.90590200000008</v>
      </c>
      <c r="O22" s="101">
        <f>+'1'!O22+'2'!O22+'4'!O22+'3'!O22+'5'!O22+'6'!O22+'7'!O22+'8'!O22+'9'!O22+'10'!O22</f>
        <v>26.713393890000006</v>
      </c>
      <c r="P22" s="120">
        <f t="shared" si="0"/>
        <v>4318.3733958900002</v>
      </c>
      <c r="T22" s="163" t="str">
        <f>+'9'!A5</f>
        <v xml:space="preserve">Customer Name : </v>
      </c>
      <c r="U22" s="164">
        <f>+'9'!P35</f>
        <v>0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+'1'!H23+'2'!H23+'4'!H23+'3'!H23+'5'!H23+'6'!H23+'7'!H23+'8'!H23+'9'!H23+'10'!H23+'11'!H23+'12'!H23+'13'!H23+'14'!H23+'15'!H23+'16'!H23+'17'!H23+'18'!H23+'19'!H23+'20'!H23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+'1'!J23+'2'!J23+'4'!J23+'3'!J23+'5'!J23+'6'!J23+'7'!J23+'8'!J23+'9'!J23+'10'!J23+'11'!J23+'12'!J23+'13'!J23+'14'!J23+'15'!J23+'16'!J23+'17'!J23+'18'!J23+'19'!J23+'20'!J23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</v>
      </c>
      <c r="U23" s="164">
        <f>+'10'!P35</f>
        <v>0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+'1'!H24+'2'!H24+'4'!H24+'3'!H24+'5'!H24+'6'!H24+'7'!H24+'8'!H24+'9'!H24+'10'!H24+'11'!H24+'12'!H24+'13'!H24+'14'!H24+'15'!H24+'16'!H24+'17'!H24+'18'!H24+'19'!H24+'20'!H24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+'1'!J24+'2'!J24+'4'!J24+'3'!J24+'5'!J24+'6'!J24+'7'!J24+'8'!J24+'9'!J24+'10'!J24+'11'!J24+'12'!J24+'13'!J24+'14'!J24+'15'!J24+'16'!J24+'17'!J24+'18'!J24+'19'!J24+'20'!J24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8.5</v>
      </c>
      <c r="D25" s="205"/>
      <c r="E25" s="205"/>
      <c r="F25" s="205"/>
      <c r="G25" s="176">
        <f t="shared" ref="G25:M25" si="3">SUM(G16:G24)</f>
        <v>0</v>
      </c>
      <c r="H25" s="177">
        <f t="shared" si="3"/>
        <v>340</v>
      </c>
      <c r="I25" s="178">
        <f t="shared" si="3"/>
        <v>21423.420000000002</v>
      </c>
      <c r="J25" s="177">
        <f t="shared" si="3"/>
        <v>11</v>
      </c>
      <c r="K25" s="178">
        <f t="shared" si="3"/>
        <v>134.55890000000002</v>
      </c>
      <c r="L25" s="179">
        <f t="shared" si="3"/>
        <v>1598.5373999999999</v>
      </c>
      <c r="M25" s="141">
        <f t="shared" si="3"/>
        <v>19690.323700000001</v>
      </c>
      <c r="N25" s="142">
        <f>SUM(N16:N24)</f>
        <v>4507.660014</v>
      </c>
      <c r="O25" s="143">
        <f>SUM(O16:O24)</f>
        <v>145.81248509</v>
      </c>
      <c r="P25" s="144">
        <f>SUM(P16:P24)</f>
        <v>24343.796199090004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 t="str">
        <f>+'16'!A5</f>
        <v xml:space="preserve">Customer Name : </v>
      </c>
      <c r="U29" s="182">
        <f>+'16'!P35</f>
        <v>0</v>
      </c>
    </row>
    <row r="30" spans="1:21 16384:16384" ht="26" x14ac:dyDescent="0.6">
      <c r="A30" s="145"/>
      <c r="B30" s="145"/>
      <c r="C30" s="145"/>
      <c r="D30" s="145"/>
      <c r="E30" s="145"/>
      <c r="F30" s="145"/>
      <c r="G30" s="146"/>
      <c r="H30" s="146"/>
      <c r="I30" s="147"/>
      <c r="J30" s="146"/>
      <c r="K30" s="147"/>
      <c r="L30" s="148"/>
      <c r="M30" s="146"/>
      <c r="N30" s="146"/>
      <c r="O30" s="148"/>
      <c r="P30" s="147"/>
      <c r="T30" s="181" t="str">
        <f>+'17'!A5</f>
        <v xml:space="preserve">Customer Name : </v>
      </c>
      <c r="U30" s="182">
        <f>+'17'!P35</f>
        <v>0</v>
      </c>
    </row>
    <row r="31" spans="1:21 16384:16384" ht="26" x14ac:dyDescent="0.6">
      <c r="A31" s="145"/>
      <c r="B31" s="145"/>
      <c r="C31" s="145"/>
      <c r="D31" s="145"/>
      <c r="E31" s="145"/>
      <c r="F31" s="145"/>
      <c r="G31" s="146"/>
      <c r="H31" s="146"/>
      <c r="I31" s="147"/>
      <c r="J31" s="146"/>
      <c r="K31" s="147"/>
      <c r="L31" s="148"/>
      <c r="M31" s="146"/>
      <c r="N31" s="146"/>
      <c r="O31" s="148"/>
      <c r="P31" s="147"/>
      <c r="T31" s="181" t="str">
        <f>+'18'!A5</f>
        <v xml:space="preserve">Customer Name : </v>
      </c>
      <c r="U31" s="182">
        <f>+'18'!P35</f>
        <v>0</v>
      </c>
    </row>
    <row r="32" spans="1:21 16384:16384" ht="26" x14ac:dyDescent="0.6">
      <c r="A32" s="145"/>
      <c r="B32" s="145"/>
      <c r="C32" s="145"/>
      <c r="D32" s="145"/>
      <c r="E32" s="145"/>
      <c r="F32" s="145"/>
      <c r="G32" s="146"/>
      <c r="H32" s="146"/>
      <c r="I32" s="147"/>
      <c r="J32" s="146"/>
      <c r="K32" s="147"/>
      <c r="L32" s="148"/>
      <c r="M32" s="146"/>
      <c r="N32" s="146"/>
      <c r="O32" s="148"/>
      <c r="P32" s="147"/>
      <c r="T32" s="181" t="str">
        <f>+'19'!A5</f>
        <v xml:space="preserve">Customer Name : </v>
      </c>
      <c r="U32" s="182">
        <f>+'19'!P35</f>
        <v>0</v>
      </c>
    </row>
    <row r="33" spans="1:21" ht="26" x14ac:dyDescent="0.6">
      <c r="A33" s="145"/>
      <c r="B33" s="145"/>
      <c r="C33" s="145"/>
      <c r="D33" s="145"/>
      <c r="E33" s="145"/>
      <c r="F33" s="145"/>
      <c r="G33" s="146"/>
      <c r="H33" s="146"/>
      <c r="I33" s="147"/>
      <c r="J33" s="146"/>
      <c r="K33" s="147"/>
      <c r="L33" s="148"/>
      <c r="M33" s="146"/>
      <c r="N33" s="146"/>
      <c r="O33" s="148"/>
      <c r="P33" s="147"/>
      <c r="T33" s="181" t="str">
        <f>+'20'!A5</f>
        <v xml:space="preserve">Customer Name : </v>
      </c>
      <c r="U33" s="182">
        <f>+'20'!P35</f>
        <v>0</v>
      </c>
    </row>
    <row r="34" spans="1:21" ht="26.5" thickBot="1" x14ac:dyDescent="0.65">
      <c r="A34" s="145"/>
      <c r="B34" s="145"/>
      <c r="C34" s="145"/>
      <c r="D34" s="145"/>
      <c r="E34" s="145"/>
      <c r="F34" s="145"/>
      <c r="G34" s="146"/>
      <c r="H34" s="146"/>
      <c r="I34" s="147"/>
      <c r="K34" s="148"/>
      <c r="L34" s="148"/>
      <c r="M34" s="148"/>
      <c r="N34" s="148"/>
      <c r="O34" s="149"/>
      <c r="P34" s="148"/>
      <c r="T34" s="166" t="s">
        <v>84</v>
      </c>
      <c r="U34" s="165">
        <f>SUM(U14:U33)</f>
        <v>24343.79619909</v>
      </c>
    </row>
    <row r="35" spans="1:21" ht="15" thickBot="1" x14ac:dyDescent="0.4">
      <c r="A35" s="69"/>
      <c r="B35" s="69"/>
      <c r="C35" s="150"/>
      <c r="D35" s="150"/>
      <c r="E35" s="150"/>
      <c r="F35" s="150"/>
      <c r="G35" s="151"/>
      <c r="H35" s="151"/>
    </row>
    <row r="36" spans="1:21" x14ac:dyDescent="0.35">
      <c r="B36" s="212" t="s">
        <v>85</v>
      </c>
      <c r="C36" s="213"/>
      <c r="D36" s="213"/>
      <c r="E36" s="213"/>
      <c r="F36" s="213"/>
      <c r="G36" s="213"/>
      <c r="H36" s="213"/>
      <c r="I36" s="213"/>
      <c r="J36" s="213"/>
      <c r="K36" s="213"/>
      <c r="L36" s="214"/>
      <c r="N36" s="221" t="s">
        <v>86</v>
      </c>
      <c r="O36" s="222"/>
      <c r="P36" s="152">
        <f>I25</f>
        <v>21423.420000000002</v>
      </c>
    </row>
    <row r="37" spans="1:21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N37" s="223" t="s">
        <v>87</v>
      </c>
      <c r="O37" s="224"/>
      <c r="P37" s="153">
        <f>L25</f>
        <v>1598.5373999999999</v>
      </c>
    </row>
    <row r="38" spans="1:21" ht="15" customHeight="1" x14ac:dyDescent="0.35">
      <c r="B38" s="215"/>
      <c r="C38" s="216"/>
      <c r="D38" s="216"/>
      <c r="E38" s="216"/>
      <c r="F38" s="216"/>
      <c r="G38" s="216"/>
      <c r="H38" s="216"/>
      <c r="I38" s="216"/>
      <c r="J38" s="216"/>
      <c r="K38" s="216"/>
      <c r="L38" s="217"/>
      <c r="N38" s="223" t="s">
        <v>4</v>
      </c>
      <c r="O38" s="224"/>
      <c r="P38" s="154">
        <f>K25</f>
        <v>134.55890000000002</v>
      </c>
    </row>
    <row r="39" spans="1:21" ht="15" customHeight="1" x14ac:dyDescent="0.35">
      <c r="B39" s="215"/>
      <c r="C39" s="216"/>
      <c r="D39" s="216"/>
      <c r="E39" s="216"/>
      <c r="F39" s="216"/>
      <c r="G39" s="216"/>
      <c r="H39" s="216"/>
      <c r="I39" s="216"/>
      <c r="J39" s="216"/>
      <c r="K39" s="216"/>
      <c r="L39" s="217"/>
      <c r="M39" s="2"/>
      <c r="N39" s="223" t="s">
        <v>88</v>
      </c>
      <c r="O39" s="224"/>
      <c r="P39" s="153">
        <f>P36-P37-P38</f>
        <v>19690.323700000001</v>
      </c>
    </row>
    <row r="40" spans="1:21" ht="15" customHeight="1" x14ac:dyDescent="0.35">
      <c r="B40" s="215"/>
      <c r="C40" s="216"/>
      <c r="D40" s="216"/>
      <c r="E40" s="216"/>
      <c r="F40" s="216"/>
      <c r="G40" s="216"/>
      <c r="H40" s="216"/>
      <c r="I40" s="216"/>
      <c r="J40" s="216"/>
      <c r="K40" s="216"/>
      <c r="L40" s="217"/>
      <c r="M40" s="2"/>
      <c r="N40" s="155" t="s">
        <v>89</v>
      </c>
      <c r="O40" s="156">
        <f>IF(B12="Registered",18%,22%)</f>
        <v>0.22</v>
      </c>
      <c r="P40" s="153">
        <f>N25</f>
        <v>4507.660014</v>
      </c>
    </row>
    <row r="41" spans="1:21" ht="15" customHeight="1" x14ac:dyDescent="0.35">
      <c r="B41" s="215"/>
      <c r="C41" s="216"/>
      <c r="D41" s="216"/>
      <c r="E41" s="216"/>
      <c r="F41" s="216"/>
      <c r="G41" s="216"/>
      <c r="H41" s="216"/>
      <c r="I41" s="216"/>
      <c r="J41" s="216"/>
      <c r="K41" s="216"/>
      <c r="L41" s="217"/>
      <c r="M41" s="2"/>
      <c r="N41" s="225" t="s">
        <v>90</v>
      </c>
      <c r="O41" s="226"/>
      <c r="P41" s="153">
        <f>P39+P40</f>
        <v>24197.983714000002</v>
      </c>
    </row>
    <row r="42" spans="1:21" ht="15" customHeight="1" thickBot="1" x14ac:dyDescent="0.4">
      <c r="B42" s="218"/>
      <c r="C42" s="219"/>
      <c r="D42" s="219"/>
      <c r="E42" s="219"/>
      <c r="F42" s="219"/>
      <c r="G42" s="219"/>
      <c r="H42" s="219"/>
      <c r="I42" s="219"/>
      <c r="J42" s="219"/>
      <c r="K42" s="219"/>
      <c r="L42" s="220"/>
      <c r="M42" s="157"/>
      <c r="N42" s="158" t="s">
        <v>91</v>
      </c>
      <c r="O42" s="159">
        <f>IF(B11="Filer",0.5%,2.5%)</f>
        <v>2.5000000000000001E-2</v>
      </c>
      <c r="P42" s="153">
        <f>O42*P41</f>
        <v>604.94959285000004</v>
      </c>
    </row>
    <row r="43" spans="1:21" ht="15.75" customHeight="1" thickBot="1" x14ac:dyDescent="0.4">
      <c r="N43" s="203" t="s">
        <v>92</v>
      </c>
      <c r="O43" s="204"/>
      <c r="P43" s="160">
        <f>P41+P42</f>
        <v>24802.933306850002</v>
      </c>
    </row>
    <row r="44" spans="1:21" ht="15" thickBot="1" x14ac:dyDescent="0.4">
      <c r="B44" s="161" t="s">
        <v>93</v>
      </c>
      <c r="C44" s="205"/>
      <c r="D44" s="205"/>
      <c r="E44" s="205"/>
      <c r="F44" s="205"/>
      <c r="G44" s="205"/>
      <c r="H44" s="205"/>
      <c r="I44" s="206"/>
      <c r="J44" s="207"/>
      <c r="K44" s="208"/>
    </row>
    <row r="45" spans="1:21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43:O43"/>
    <mergeCell ref="C44:I44"/>
    <mergeCell ref="J44:K44"/>
    <mergeCell ref="A25:B25"/>
    <mergeCell ref="C25:F25"/>
    <mergeCell ref="B36:L42"/>
    <mergeCell ref="N36:O36"/>
    <mergeCell ref="N37:O37"/>
    <mergeCell ref="N38:O38"/>
    <mergeCell ref="N39:O39"/>
    <mergeCell ref="N41:O41"/>
    <mergeCell ref="A12:A13"/>
    <mergeCell ref="K12:M12"/>
    <mergeCell ref="N12:P12"/>
    <mergeCell ref="A14:B15"/>
  </mergeCells>
  <dataValidations disablePrompts="1"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topLeftCell="A11" workbookViewId="0">
      <selection activeCell="G26" sqref="G2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108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3"/>
        <v>0</v>
      </c>
      <c r="J19" s="117"/>
      <c r="K19" s="1">
        <f t="shared" si="4"/>
        <v>0</v>
      </c>
      <c r="L19" s="105">
        <f t="shared" si="5"/>
        <v>0</v>
      </c>
      <c r="M19" s="118">
        <f t="shared" si="6"/>
        <v>0</v>
      </c>
      <c r="N19" s="118">
        <f t="shared" si="0"/>
        <v>0</v>
      </c>
      <c r="O19" s="119">
        <f t="shared" si="1"/>
        <v>0</v>
      </c>
      <c r="P19" s="120">
        <f t="shared" si="2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12</v>
      </c>
      <c r="I22" s="116">
        <f t="shared" si="3"/>
        <v>470.76000000000005</v>
      </c>
      <c r="J22" s="117"/>
      <c r="K22" s="1">
        <f>I22*3.5%</f>
        <v>16.476600000000005</v>
      </c>
      <c r="L22" s="120">
        <f>I22*5%</f>
        <v>23.538000000000004</v>
      </c>
      <c r="M22" s="118">
        <f t="shared" si="6"/>
        <v>430.74540000000002</v>
      </c>
      <c r="N22" s="118">
        <f t="shared" si="0"/>
        <v>94.763987999999998</v>
      </c>
      <c r="O22" s="119">
        <f t="shared" si="1"/>
        <v>2.6275469400000002</v>
      </c>
      <c r="P22" s="120">
        <f t="shared" si="2"/>
        <v>528.13693494000006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470.76000000000005</v>
      </c>
      <c r="J25" s="138"/>
      <c r="K25" s="139">
        <f t="shared" si="9"/>
        <v>16.476600000000005</v>
      </c>
      <c r="L25" s="140">
        <f t="shared" si="9"/>
        <v>23.538000000000004</v>
      </c>
      <c r="M25" s="141">
        <f t="shared" si="9"/>
        <v>430.74540000000002</v>
      </c>
      <c r="N25" s="142">
        <f>SUM(N16:N24)</f>
        <v>94.763987999999998</v>
      </c>
      <c r="O25" s="143">
        <f>SUM(O16:O24)</f>
        <v>2.6275469400000002</v>
      </c>
      <c r="P25" s="144">
        <f>SUM(P16:P24)</f>
        <v>528.13693494000006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470.76000000000005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23.538000000000004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16.476600000000005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430.74540000000002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94.763987999999998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525.50938800000006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2.6275469400000002</v>
      </c>
    </row>
    <row r="35" spans="2:16" ht="15.75" customHeight="1" thickBot="1" x14ac:dyDescent="0.4">
      <c r="N35" s="203" t="s">
        <v>92</v>
      </c>
      <c r="O35" s="204"/>
      <c r="P35" s="160">
        <f>P33+P34</f>
        <v>528.13693494000006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3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435.84000000000003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34.867200000000004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400.97280000000001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489.18681600000002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03" t="s">
        <v>92</v>
      </c>
      <c r="O35" s="204"/>
      <c r="P35" s="160">
        <f>P33+P34</f>
        <v>501.4164864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2" workbookViewId="0">
      <selection activeCell="G21" sqref="G2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110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6</v>
      </c>
      <c r="I21" s="116">
        <f t="shared" si="2"/>
        <v>435.84000000000003</v>
      </c>
      <c r="J21" s="117"/>
      <c r="K21" s="1">
        <f t="shared" si="3"/>
        <v>0</v>
      </c>
      <c r="L21" s="105">
        <f t="shared" si="4"/>
        <v>34.867200000000004</v>
      </c>
      <c r="M21" s="118">
        <f t="shared" si="5"/>
        <v>400.97280000000001</v>
      </c>
      <c r="N21" s="118">
        <f t="shared" si="0"/>
        <v>88.214016000000001</v>
      </c>
      <c r="O21" s="119">
        <f t="shared" si="6"/>
        <v>12.229670400000002</v>
      </c>
      <c r="P21" s="120">
        <f t="shared" si="1"/>
        <v>501.4164864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435.84000000000003</v>
      </c>
      <c r="J25" s="138"/>
      <c r="K25" s="139">
        <f t="shared" si="9"/>
        <v>0</v>
      </c>
      <c r="L25" s="140">
        <f t="shared" si="9"/>
        <v>34.867200000000004</v>
      </c>
      <c r="M25" s="141">
        <f t="shared" si="9"/>
        <v>400.97280000000001</v>
      </c>
      <c r="N25" s="142">
        <f>SUM(N16:N24)</f>
        <v>88.214016000000001</v>
      </c>
      <c r="O25" s="143">
        <f>SUM(O16:O24)</f>
        <v>12.229670400000002</v>
      </c>
      <c r="P25" s="144">
        <f>SUM(P16:P24)</f>
        <v>501.4164864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435.84000000000003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34.867200000000004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400.97280000000001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88.214016000000001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489.18681600000002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12.229670400000002</v>
      </c>
    </row>
    <row r="35" spans="2:16" ht="15.75" customHeight="1" thickBot="1" x14ac:dyDescent="0.4">
      <c r="N35" s="203" t="s">
        <v>92</v>
      </c>
      <c r="O35" s="204"/>
      <c r="P35" s="160">
        <f>P33+P34</f>
        <v>501.4164864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6" workbookViewId="0">
      <selection activeCell="H20" sqref="H20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6</v>
      </c>
      <c r="I25" s="137">
        <f t="shared" si="9"/>
        <v>235.38000000000002</v>
      </c>
      <c r="J25" s="138"/>
      <c r="K25" s="139">
        <f t="shared" si="9"/>
        <v>8.2383000000000024</v>
      </c>
      <c r="L25" s="140">
        <f t="shared" si="9"/>
        <v>11.769000000000002</v>
      </c>
      <c r="M25" s="141">
        <f t="shared" si="9"/>
        <v>215.37270000000001</v>
      </c>
      <c r="N25" s="142">
        <f>SUM(N16:N24)</f>
        <v>47.381993999999999</v>
      </c>
      <c r="O25" s="143">
        <f>SUM(O16:O24)</f>
        <v>6.5688673500000014</v>
      </c>
      <c r="P25" s="144">
        <f>SUM(P16:P24)</f>
        <v>269.32356135000003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235.38000000000002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11.769000000000002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215.37270000000001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47.381993999999999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262.75469400000003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6.5688673500000014</v>
      </c>
    </row>
    <row r="35" spans="2:16" ht="15.75" customHeight="1" thickBot="1" x14ac:dyDescent="0.4">
      <c r="N35" s="203" t="s">
        <v>92</v>
      </c>
      <c r="O35" s="204"/>
      <c r="P35" s="160">
        <f>P33+P34</f>
        <v>269.32356135000003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5" zoomScale="85" zoomScaleNormal="85" workbookViewId="0">
      <selection activeCell="Q27" sqref="Q2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115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2302644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80</v>
      </c>
      <c r="I21" s="116">
        <f t="shared" si="2"/>
        <v>5811.2</v>
      </c>
      <c r="J21" s="117">
        <v>4</v>
      </c>
      <c r="K21" s="1">
        <f t="shared" si="3"/>
        <v>0</v>
      </c>
      <c r="L21" s="105">
        <f t="shared" si="4"/>
        <v>464.89600000000002</v>
      </c>
      <c r="M21" s="118">
        <f t="shared" si="5"/>
        <v>5346.3040000000001</v>
      </c>
      <c r="N21" s="118">
        <f t="shared" si="0"/>
        <v>1240.1100799999999</v>
      </c>
      <c r="O21" s="119">
        <f t="shared" si="6"/>
        <v>32.932070400000001</v>
      </c>
      <c r="P21" s="120">
        <f t="shared" si="1"/>
        <v>6619.3461504000006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80</v>
      </c>
      <c r="I22" s="116">
        <f t="shared" si="2"/>
        <v>3138.4000000000005</v>
      </c>
      <c r="J22" s="117"/>
      <c r="K22" s="1">
        <f>I22*3.5%</f>
        <v>109.84400000000002</v>
      </c>
      <c r="L22" s="120">
        <f>I22*5%</f>
        <v>156.92000000000004</v>
      </c>
      <c r="M22" s="118">
        <f t="shared" si="5"/>
        <v>2871.6360000000004</v>
      </c>
      <c r="N22" s="118">
        <f t="shared" si="0"/>
        <v>631.75992000000008</v>
      </c>
      <c r="O22" s="119">
        <f t="shared" si="6"/>
        <v>17.516979600000003</v>
      </c>
      <c r="P22" s="120">
        <f t="shared" si="1"/>
        <v>3520.9128996000004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14760.8</v>
      </c>
      <c r="J25" s="138"/>
      <c r="K25" s="139">
        <f t="shared" si="9"/>
        <v>109.84400000000002</v>
      </c>
      <c r="L25" s="140">
        <f t="shared" si="9"/>
        <v>1086.712</v>
      </c>
      <c r="M25" s="141">
        <f t="shared" si="9"/>
        <v>13564.244000000001</v>
      </c>
      <c r="N25" s="142">
        <f>SUM(N16:N24)</f>
        <v>3111.9800799999998</v>
      </c>
      <c r="O25" s="143">
        <f>SUM(O16:O24)</f>
        <v>83.3811204</v>
      </c>
      <c r="P25" s="144">
        <f>SUM(P16:P24)</f>
        <v>16759.605200400001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14760.8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1086.712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109.84400000000002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13564.244000000001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3111.9800799999998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16676.22408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83.3811204</v>
      </c>
    </row>
    <row r="35" spans="2:16" ht="15.75" customHeight="1" thickBot="1" x14ac:dyDescent="0.4">
      <c r="N35" s="203" t="s">
        <v>92</v>
      </c>
      <c r="O35" s="204"/>
      <c r="P35" s="160">
        <f>P33+P34</f>
        <v>16759.605200400001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6" workbookViewId="0">
      <selection activeCell="J22" sqref="J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 t="s">
        <v>117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>
        <v>1</v>
      </c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236.51583999999997</v>
      </c>
      <c r="O19" s="119">
        <f t="shared" si="6"/>
        <v>6.194739199999999</v>
      </c>
      <c r="P19" s="120">
        <f t="shared" si="1"/>
        <v>1245.1425791999998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15</v>
      </c>
      <c r="I20" s="116">
        <f t="shared" si="2"/>
        <v>1089.5999999999999</v>
      </c>
      <c r="J20" s="117">
        <v>1</v>
      </c>
      <c r="K20" s="1">
        <f t="shared" si="3"/>
        <v>0</v>
      </c>
      <c r="L20" s="105">
        <f t="shared" si="4"/>
        <v>87.167999999999992</v>
      </c>
      <c r="M20" s="118">
        <f t="shared" si="5"/>
        <v>1002.4319999999999</v>
      </c>
      <c r="N20" s="118">
        <f t="shared" si="0"/>
        <v>236.51583999999997</v>
      </c>
      <c r="O20" s="119">
        <f t="shared" si="6"/>
        <v>6.194739199999999</v>
      </c>
      <c r="P20" s="120">
        <f t="shared" si="1"/>
        <v>1245.1425791999998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/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147.02336</v>
      </c>
      <c r="O21" s="119">
        <f t="shared" si="6"/>
        <v>4.0765568000000005</v>
      </c>
      <c r="P21" s="120">
        <f t="shared" si="1"/>
        <v>819.38791680000008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2673.152</v>
      </c>
      <c r="N25" s="142">
        <f>SUM(N16:N24)</f>
        <v>620.05503999999996</v>
      </c>
      <c r="O25" s="143">
        <f>SUM(O16:O24)</f>
        <v>16.4660352</v>
      </c>
      <c r="P25" s="144">
        <f>SUM(P16:P24)</f>
        <v>3309.6730751999994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16.4660352</v>
      </c>
    </row>
    <row r="35" spans="2:16" ht="15.75" customHeight="1" thickBot="1" x14ac:dyDescent="0.4">
      <c r="N35" s="203" t="s">
        <v>92</v>
      </c>
      <c r="O35" s="204"/>
      <c r="P35" s="160">
        <f>P33+P34</f>
        <v>3309.6730752000003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8" workbookViewId="0">
      <selection activeCell="H22" sqref="H22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113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 t="s">
        <v>119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10</v>
      </c>
      <c r="I19" s="116">
        <f t="shared" si="2"/>
        <v>726.4</v>
      </c>
      <c r="J19" s="117"/>
      <c r="K19" s="1">
        <f t="shared" si="3"/>
        <v>0</v>
      </c>
      <c r="L19" s="105">
        <f t="shared" si="4"/>
        <v>58.112000000000002</v>
      </c>
      <c r="M19" s="118">
        <f t="shared" si="5"/>
        <v>668.28800000000001</v>
      </c>
      <c r="N19" s="118">
        <f t="shared" si="0"/>
        <v>147.02336</v>
      </c>
      <c r="O19" s="119">
        <f t="shared" si="6"/>
        <v>4.0765568000000005</v>
      </c>
      <c r="P19" s="120">
        <f t="shared" si="1"/>
        <v>819.38791680000008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/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147.02336</v>
      </c>
      <c r="O20" s="119">
        <f t="shared" si="6"/>
        <v>4.0765568000000005</v>
      </c>
      <c r="P20" s="120">
        <f t="shared" si="1"/>
        <v>819.38791680000008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10</v>
      </c>
      <c r="I21" s="116">
        <f t="shared" si="2"/>
        <v>726.4</v>
      </c>
      <c r="J21" s="117">
        <v>1</v>
      </c>
      <c r="K21" s="1">
        <f t="shared" si="3"/>
        <v>0</v>
      </c>
      <c r="L21" s="105">
        <f t="shared" si="4"/>
        <v>58.112000000000002</v>
      </c>
      <c r="M21" s="118">
        <f t="shared" si="5"/>
        <v>668.28800000000001</v>
      </c>
      <c r="N21" s="118">
        <f t="shared" si="0"/>
        <v>163.00415999999998</v>
      </c>
      <c r="O21" s="119">
        <f t="shared" si="6"/>
        <v>4.1564607999999996</v>
      </c>
      <c r="P21" s="120">
        <f t="shared" si="1"/>
        <v>835.44862079999996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30</v>
      </c>
      <c r="I25" s="137">
        <f t="shared" si="9"/>
        <v>2179.1999999999998</v>
      </c>
      <c r="J25" s="138"/>
      <c r="K25" s="139">
        <f t="shared" si="9"/>
        <v>0</v>
      </c>
      <c r="L25" s="140">
        <f t="shared" si="9"/>
        <v>174.33600000000001</v>
      </c>
      <c r="M25" s="141">
        <f t="shared" si="9"/>
        <v>2004.864</v>
      </c>
      <c r="N25" s="142">
        <f>SUM(N16:N24)</f>
        <v>457.05088000000001</v>
      </c>
      <c r="O25" s="143">
        <f>SUM(O16:O24)</f>
        <v>12.309574400000001</v>
      </c>
      <c r="P25" s="144">
        <f>SUM(P16:P24)</f>
        <v>2474.2244544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2179.1999999999998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174.33600000000001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2004.8639999999998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457.05088000000001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2461.9148799999998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12.309574399999999</v>
      </c>
    </row>
    <row r="35" spans="2:16" ht="15.75" customHeight="1" thickBot="1" x14ac:dyDescent="0.4">
      <c r="N35" s="203" t="s">
        <v>92</v>
      </c>
      <c r="O35" s="204"/>
      <c r="P35" s="160">
        <f>P33+P34</f>
        <v>2474.2244544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1" workbookViewId="0">
      <selection activeCell="H23" sqref="H23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Sheet2!$B$6:$B$15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topLeftCell="A13" workbookViewId="0">
      <selection activeCell="G9" sqref="G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46204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46203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2026-07-01T04:53:42Z</dcterms:modified>
</cp:coreProperties>
</file>