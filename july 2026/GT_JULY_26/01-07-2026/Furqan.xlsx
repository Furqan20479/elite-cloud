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2F5CDBE-3D6E-4AB4-874B-5939019C53BE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U33" i="15"/>
  <c r="U32" i="15"/>
  <c r="U31" i="15"/>
  <c r="U30" i="15"/>
  <c r="U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3" l="1"/>
  <c r="L22" i="19"/>
  <c r="M22" i="19" s="1"/>
  <c r="N22" i="19" s="1"/>
  <c r="O22" i="19" s="1"/>
  <c r="P22" i="19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5" l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19" i="18"/>
  <c r="M22" i="15"/>
  <c r="M18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N22" i="15" l="1"/>
  <c r="P22" i="15" s="1"/>
  <c r="O16" i="18"/>
  <c r="N25" i="18"/>
  <c r="P32" i="18" s="1"/>
  <c r="P33" i="18" s="1"/>
  <c r="P34" i="18" s="1"/>
  <c r="P35" i="18" s="1"/>
  <c r="U17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<sst xmlns="http://schemas.openxmlformats.org/spreadsheetml/2006/main" count="1583" uniqueCount="123">
  <si>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</si>
  <si>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</si>
  <si>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</si>
  <si>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</si>
  <si>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</si>
  <si>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</si>
  <si>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</si>
  <si>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</si>
  <si>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</si>
  <si>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</si>
  <si>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</si>
  <si>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</si>
  <si>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</si>
  <si>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</si>
  <si>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</si>
  <si>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</si>
  <si>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</si>
  <si>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</si>
  <si>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</si>
  <si>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</si>
  <si>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</si>
  <si>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</si>
  <si>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</si>
  <si>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</si>
  <si>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</si>
  <si>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</si>
  <si>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</si>
  <si>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</si>
  <si>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</si>
  <si>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</si>
  <si>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</si>
  <si>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</si>
  <si>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</si>
  <si>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</si>
  <si>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</si>
  <si>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</si>
  <si>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</si>
  <si>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</si>
  <si>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</si>
  <si>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</si>
  <si>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</si>
  <si>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</si>
  <si>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</si>
  <si>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</si>
  <si>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</si>
  <si>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</si>
  <si>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</si>
  <si>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</si>
  <si>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</si>
  <si>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</si>
  <si>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</si>
  <si>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</si>
  <si>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</si>
  <si>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</si>
  <si>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</si>
  <si>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</si>
  <si>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</si>
  <si>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</si>
  <si>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</si>
  <si>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</si>
  <si>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</si>
  <si>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</si>
  <si>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</si>
  <si>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</si>
  <si>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</si>
  <si>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</si>
  <si>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</si>
  <si>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</si>
  <si>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</si>
  <si>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</si>
  <si>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</si>
  <si>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</si>
  <si>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</si>
  <si>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</si>
  <si>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</si>
  <si>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</si>
  <si>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</si>
  <si>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</si>
  <si>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</si>
  <si>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</si>
  <si>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</si>
  <si>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</si>
  <si>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</si>
  <si>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</si>
  <si>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</si>
  <si>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</si>
  <si>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</si>
  <si>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</si>
  <si>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</si>
  <si>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</si>
  <si>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</si>
  <si>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</si>
  <si>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</si>
  <si>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</si>
  <si>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</si>
  <si>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</si>
  <si>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</si>
  <si>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</si>
  <si>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</si>
  <si>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</si>
  <si>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</si>
  <si>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</si>
  <si>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</si>
  <si>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</si>
  <si>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</si>
  <si>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</si>
  <si>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Customer Name : Awan Store</t>
  </si>
  <si>
    <t>Address: Kacha Lawerance Road</t>
  </si>
  <si>
    <t>STRN / NTN :G0858352</t>
  </si>
  <si>
    <t xml:space="preserve">Customer Name : Choudhary General Store </t>
  </si>
  <si>
    <t>Customer Name : Lawrance Bakery</t>
  </si>
  <si>
    <t>Customer Name : Sohna Departmental Store</t>
  </si>
  <si>
    <t>Address: Bridwood Road</t>
  </si>
  <si>
    <t>Customer Name : Shahid Bakery</t>
  </si>
  <si>
    <t>Address: Temple Road</t>
  </si>
  <si>
    <t>Customer Name : Khan Nimko</t>
  </si>
  <si>
    <t>Address: Chiragh din Road</t>
  </si>
  <si>
    <t>Customer Name : Hafiz Store</t>
  </si>
  <si>
    <t>Customer Name : Shell Petro Mart</t>
  </si>
  <si>
    <t>Address: Toilenten Market</t>
  </si>
  <si>
    <t>g0858352</t>
  </si>
  <si>
    <t xml:space="preserve"> </t>
  </si>
  <si>
    <t>Shop Bill Summary (Furqan)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</si>
</sst>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3" zoomScale="70" zoomScaleNormal="70" workbookViewId="0">
      <selection activeCell="T14" sqref="T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96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122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Awan Store</v>
      </c>
      <c r="U14" s="164">
        <f>+'1'!P35</f>
        <v>528.13693494000006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Choudhary General Store </v>
      </c>
      <c r="U15" s="164">
        <f>+'2'!P35</f>
        <v>528.13693494000006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+'1'!J16+'2'!J16+'4'!J16+'3'!J16+'5'!J16+'6'!J16+'7'!J16+'8'!J16+'9'!J16+'10'!J16+'11'!J16+'12'!J16+'13'!J16+'14'!J16+'15'!J16+'16'!J16+'17'!J16+'18'!J16+'19'!J16+'20'!J16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167.88</v>
      </c>
      <c r="M16" s="106">
        <f>I16-K16-L16</f>
        <v>1930.62</v>
      </c>
      <c r="N16" s="101">
        <f>+'1'!N16+'2'!N16+'4'!N16+'3'!N16+'5'!N16+'6'!N16+'7'!N16+'8'!N16+'9'!N16+'10'!N16</f>
        <v>447.81990000000002</v>
      </c>
      <c r="O16" s="101">
        <f>+'1'!O16+'2'!O16+'4'!O16+'3'!O16+'5'!O16+'6'!O16+'7'!O16+'8'!O16+'9'!O16+'10'!O16</f>
        <v>59.460997499999998</v>
      </c>
      <c r="P16" s="105">
        <f t="shared" ref="P16:P24" si="0">M16+N16+O16</f>
        <v>2437.9008974999997</v>
      </c>
      <c r="Q16" s="108"/>
      <c r="T16" s="163" t="str">
        <f>+'3'!A5</f>
        <v>Customer Name : Lawrance Bakery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+'1'!J17+'2'!J17+'4'!J17+'3'!J17+'5'!J17+'6'!J17+'7'!J17+'8'!J17+'9'!J17+'10'!J17+'11'!J17+'12'!J17+'13'!J17+'14'!J17+'15'!J17+'16'!J17+'17'!J17+'18'!J17+'19'!J17+'20'!J17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447.81990000000002</v>
      </c>
      <c r="O17" s="101">
        <f>+'1'!O17+'2'!O17+'4'!O17+'3'!O17+'5'!O17+'6'!O17+'7'!O17+'8'!O17+'9'!O17+'10'!O17</f>
        <v>59.460997499999998</v>
      </c>
      <c r="P17" s="120">
        <f t="shared" si="0"/>
        <v>2437.9008974999997</v>
      </c>
      <c r="S17" s="64"/>
      <c r="T17" s="163" t="str">
        <f>+'4'!A5</f>
        <v>Customer Name : Sohna Departmental Store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Shahid Bakery</v>
      </c>
      <c r="U18" s="164">
        <f>+'5'!P35</f>
        <v>3375.5372160000002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63</v>
      </c>
      <c r="I19" s="1">
        <f t="shared" si="1"/>
        <v>4576.32</v>
      </c>
      <c r="J19" s="172">
        <f>+'1'!J19+'2'!J19+'4'!J19+'3'!J19+'5'!J19+'6'!J19+'7'!J19+'8'!J19+'9'!J19+'10'!J19+'11'!J19+'12'!J19+'13'!J19+'14'!J19+'15'!J19+'16'!J19+'17'!J19+'18'!J19+'19'!J19+'20'!J19</f>
        <v>4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366.10559999999998</v>
      </c>
      <c r="M19" s="118">
        <f t="shared" si="2"/>
        <v>4210.2143999999998</v>
      </c>
      <c r="N19" s="101">
        <f>+'1'!N19+'2'!N19+'4'!N19+'3'!N19+'5'!N19+'6'!N19+'7'!N19+'8'!N19+'9'!N19+'10'!N19</f>
        <v>990.17036799999994</v>
      </c>
      <c r="O19" s="101">
        <f>+'1'!O19+'2'!O19+'4'!O19+'3'!O19+'5'!O19+'6'!O19+'7'!O19+'8'!O19+'9'!O19+'10'!O19</f>
        <v>116.64502144000001</v>
      </c>
      <c r="P19" s="120">
        <f t="shared" si="0"/>
        <v>5317.0297894400001</v>
      </c>
      <c r="T19" s="163" t="str">
        <f>+'6'!A5</f>
        <v>Customer Name : Khan Nimko</v>
      </c>
      <c r="U19" s="164">
        <f>+'6'!P35</f>
        <v>1654.8365376000004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59</v>
      </c>
      <c r="I20" s="1">
        <f t="shared" si="1"/>
        <v>4285.76</v>
      </c>
      <c r="J20" s="172">
        <f>+'1'!J20+'2'!J20+'4'!J20+'3'!J20+'5'!J20+'6'!J20+'7'!J20+'8'!J20+'9'!J20+'10'!J20+'11'!J20+'12'!J20+'13'!J20+'14'!J20+'15'!J20+'16'!J20+'17'!J20+'18'!J20+'19'!J20+'20'!J20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342.86079999999998</v>
      </c>
      <c r="M20" s="118">
        <f t="shared" si="2"/>
        <v>3942.8992000000003</v>
      </c>
      <c r="N20" s="101">
        <f>+'1'!N20+'2'!N20+'4'!N20+'3'!N20+'5'!N20+'6'!N20+'7'!N20+'8'!N20+'9'!N20+'10'!N20</f>
        <v>915.380224</v>
      </c>
      <c r="O20" s="101">
        <f>+'1'!O20+'2'!O20+'4'!O20+'3'!O20+'5'!O20+'6'!O20+'7'!O20+'8'!O20+'9'!O20+'10'!O20</f>
        <v>114.93449472</v>
      </c>
      <c r="P20" s="120">
        <f t="shared" si="0"/>
        <v>4973.21391872</v>
      </c>
      <c r="T20" s="163" t="str">
        <f>+'7'!A5</f>
        <v>Customer Name : Hafiz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58</v>
      </c>
      <c r="I21" s="1">
        <f t="shared" si="1"/>
        <v>4213.12</v>
      </c>
      <c r="J21" s="172">
        <f>+'1'!J21+'2'!J21+'4'!J21+'3'!J21+'5'!J21+'6'!J21+'7'!J21+'8'!J21+'9'!J21+'10'!J21+'11'!J21+'12'!J21+'13'!J21+'14'!J21+'15'!J21+'16'!J21+'17'!J21+'18'!J21+'19'!J21+'20'!J21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337.0496</v>
      </c>
      <c r="M21" s="118">
        <f t="shared" si="2"/>
        <v>3876.0704000000001</v>
      </c>
      <c r="N21" s="101">
        <f>+'1'!N21+'2'!N21+'4'!N21+'3'!N21+'5'!N21+'6'!N21+'7'!N21+'8'!N21+'9'!N21+'10'!N21</f>
        <v>884.69708799999989</v>
      </c>
      <c r="O21" s="101">
        <f>+'1'!O21+'2'!O21+'4'!O21+'3'!O21+'5'!O21+'6'!O21+'7'!O21+'8'!O21+'9'!O21+'10'!O21</f>
        <v>105.97420544000001</v>
      </c>
      <c r="P21" s="120">
        <f t="shared" si="0"/>
        <v>4866.7416934399998</v>
      </c>
      <c r="T21" s="163" t="str">
        <f>+'8'!A5</f>
        <v>Customer Name : Shell Petro Mart</v>
      </c>
      <c r="U21" s="164">
        <f>+'8'!P35</f>
        <v>15002.413443000003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24</v>
      </c>
      <c r="I22" s="1">
        <f t="shared" si="1"/>
        <v>941.5200000000001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32.95320000000001</v>
      </c>
      <c r="L22" s="175">
        <f>+'1'!L22+'2'!L22+'4'!L22+'3'!L22+'5'!L22+'6'!L22+'7'!L22+'8'!L22+'9'!L22+'10'!L22</f>
        <v>47.076000000000008</v>
      </c>
      <c r="M22" s="118">
        <f t="shared" si="2"/>
        <v>861.49080000000004</v>
      </c>
      <c r="N22" s="101">
        <f>+'1'!N22+'2'!N22+'4'!N22+'3'!N22+'5'!N22+'6'!N22+'7'!N22+'8'!N22+'9'!N22+'10'!N22</f>
        <v>189.527976</v>
      </c>
      <c r="O22" s="101">
        <f>+'1'!O22+'2'!O22+'4'!O22+'3'!O22+'5'!O22+'6'!O22+'7'!O22+'8'!O22+'9'!O22+'10'!O22</f>
        <v>5.2550938800000004</v>
      </c>
      <c r="P22" s="120">
        <f t="shared" si="0"/>
        <v>1056.2738698800001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7.1</v>
      </c>
      <c r="D25" s="205"/>
      <c r="E25" s="205"/>
      <c r="F25" s="205"/>
      <c r="G25" s="176">
        <f t="shared" ref="G25:M25" si="3">SUM(G16:G24)</f>
        <v>0</v>
      </c>
      <c r="H25" s="177">
        <f t="shared" si="3"/>
        <v>284</v>
      </c>
      <c r="I25" s="178">
        <f t="shared" si="3"/>
        <v>18213.72</v>
      </c>
      <c r="J25" s="177">
        <f t="shared" si="3"/>
        <v>13</v>
      </c>
      <c r="K25" s="178">
        <f t="shared" si="3"/>
        <v>32.95320000000001</v>
      </c>
      <c r="L25" s="179">
        <f t="shared" si="3"/>
        <v>1428.8520000000001</v>
      </c>
      <c r="M25" s="141">
        <f t="shared" si="3"/>
        <v>16751.914800000002</v>
      </c>
      <c r="N25" s="142">
        <f>SUM(N16:N24)</f>
        <v>3875.4154559999997</v>
      </c>
      <c r="O25" s="143">
        <f>SUM(O16:O24)</f>
        <v>461.73081048</v>
      </c>
      <c r="P25" s="144">
        <f>SUM(P16:P24)</f>
        <v>21089.061066479997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21089.061066480004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12" t="s">
        <v>85</v>
      </c>
      <c r="C36" s="213"/>
      <c r="D36" s="213"/>
      <c r="E36" s="213"/>
      <c r="F36" s="213"/>
      <c r="G36" s="213"/>
      <c r="H36" s="213"/>
      <c r="I36" s="213"/>
      <c r="J36" s="213"/>
      <c r="K36" s="213"/>
      <c r="L36" s="214"/>
      <c r="N36" s="221" t="s">
        <v>86</v>
      </c>
      <c r="O36" s="222"/>
      <c r="P36" s="152">
        <f>I25</f>
        <v>18213.72</v>
      </c>
    </row>
    <row r="37" spans="1:21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N37" s="223" t="s">
        <v>87</v>
      </c>
      <c r="O37" s="224"/>
      <c r="P37" s="153">
        <f>L25</f>
        <v>1428.8520000000001</v>
      </c>
    </row>
    <row r="38" spans="1:21" ht="15" customHeight="1" x14ac:dyDescent="0.35">
      <c r="B38" s="215"/>
      <c r="C38" s="216"/>
      <c r="D38" s="216"/>
      <c r="E38" s="216"/>
      <c r="F38" s="216"/>
      <c r="G38" s="216"/>
      <c r="H38" s="216"/>
      <c r="I38" s="216"/>
      <c r="J38" s="216"/>
      <c r="K38" s="216"/>
      <c r="L38" s="217"/>
      <c r="N38" s="223" t="s">
        <v>4</v>
      </c>
      <c r="O38" s="224"/>
      <c r="P38" s="154">
        <f>K25</f>
        <v>32.95320000000001</v>
      </c>
    </row>
    <row r="39" spans="1:21" ht="15" customHeight="1" x14ac:dyDescent="0.35">
      <c r="B39" s="215"/>
      <c r="C39" s="216"/>
      <c r="D39" s="216"/>
      <c r="E39" s="216"/>
      <c r="F39" s="216"/>
      <c r="G39" s="216"/>
      <c r="H39" s="216"/>
      <c r="I39" s="216"/>
      <c r="J39" s="216"/>
      <c r="K39" s="216"/>
      <c r="L39" s="217"/>
      <c r="M39" s="2"/>
      <c r="N39" s="223" t="s">
        <v>88</v>
      </c>
      <c r="O39" s="224"/>
      <c r="P39" s="153">
        <f>P36-P37-P38</f>
        <v>16751.914800000002</v>
      </c>
    </row>
    <row r="40" spans="1:21" ht="15" customHeight="1" x14ac:dyDescent="0.35">
      <c r="B40" s="215"/>
      <c r="C40" s="216"/>
      <c r="D40" s="216"/>
      <c r="E40" s="216"/>
      <c r="F40" s="216"/>
      <c r="G40" s="216"/>
      <c r="H40" s="216"/>
      <c r="I40" s="216"/>
      <c r="J40" s="216"/>
      <c r="K40" s="216"/>
      <c r="L40" s="217"/>
      <c r="M40" s="2"/>
      <c r="N40" s="155" t="s">
        <v>89</v>
      </c>
      <c r="O40" s="156">
        <f>IF(B12="Registered",18%,22%)</f>
        <v>0.22</v>
      </c>
      <c r="P40" s="153">
        <f>N25</f>
        <v>3875.4154559999997</v>
      </c>
    </row>
    <row r="41" spans="1:21" ht="15" customHeight="1" x14ac:dyDescent="0.35">
      <c r="B41" s="215"/>
      <c r="C41" s="216"/>
      <c r="D41" s="216"/>
      <c r="E41" s="216"/>
      <c r="F41" s="216"/>
      <c r="G41" s="216"/>
      <c r="H41" s="216"/>
      <c r="I41" s="216"/>
      <c r="J41" s="216"/>
      <c r="K41" s="216"/>
      <c r="L41" s="217"/>
      <c r="M41" s="2"/>
      <c r="N41" s="225" t="s">
        <v>90</v>
      </c>
      <c r="O41" s="226"/>
      <c r="P41" s="153">
        <f>P39+P40</f>
        <v>20627.330256000001</v>
      </c>
    </row>
    <row r="42" spans="1:21" ht="15" customHeight="1" thickBot="1" x14ac:dyDescent="0.4">
      <c r="B42" s="218"/>
      <c r="C42" s="219"/>
      <c r="D42" s="219"/>
      <c r="E42" s="219"/>
      <c r="F42" s="219"/>
      <c r="G42" s="219"/>
      <c r="H42" s="219"/>
      <c r="I42" s="219"/>
      <c r="J42" s="219"/>
      <c r="K42" s="219"/>
      <c r="L42" s="220"/>
      <c r="M42" s="157"/>
      <c r="N42" s="158" t="s">
        <v>91</v>
      </c>
      <c r="O42" s="159">
        <f>IF(B11="Filer",0.5%,2.5%)</f>
        <v>2.5000000000000001E-2</v>
      </c>
      <c r="P42" s="153">
        <f>O42*P41</f>
        <v>515.6832564</v>
      </c>
    </row>
    <row r="43" spans="1:21" ht="15.75" customHeight="1" thickBot="1" x14ac:dyDescent="0.4">
      <c r="N43" s="203" t="s">
        <v>92</v>
      </c>
      <c r="O43" s="204"/>
      <c r="P43" s="160">
        <f>P41+P42</f>
        <v>21143.013512400001</v>
      </c>
    </row>
    <row r="44" spans="1:21" ht="15" thickBot="1" x14ac:dyDescent="0.4">
      <c r="B44" s="161" t="s">
        <v>93</v>
      </c>
      <c r="C44" s="205"/>
      <c r="D44" s="205"/>
      <c r="E44" s="205"/>
      <c r="F44" s="205"/>
      <c r="G44" s="205"/>
      <c r="H44" s="205"/>
      <c r="I44" s="206"/>
      <c r="J44" s="207"/>
      <c r="K44" s="20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108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120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6"/>
        <v>430.74540000000002</v>
      </c>
      <c r="N22" s="118">
        <f t="shared" si="0"/>
        <v>94.763987999999998</v>
      </c>
      <c r="O22" s="119">
        <f t="shared" si="1"/>
        <v>2.6275469400000002</v>
      </c>
      <c r="P22" s="120">
        <f t="shared" si="2"/>
        <v>528.13693494000006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2.6275469400000002</v>
      </c>
      <c r="P25" s="144">
        <f>SUM(P16:P24)</f>
        <v>528.13693494000006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470.76000000000005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23.538000000000004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430.74540000000002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525.50938800000006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2.6275469400000002</v>
      </c>
    </row>
    <row r="35" spans="2:16" ht="15.75" customHeight="1" thickBot="1" x14ac:dyDescent="0.4">
      <c r="N35" s="203" t="s">
        <v>92</v>
      </c>
      <c r="O35" s="204"/>
      <c r="P35" s="160">
        <f>P33+P34</f>
        <v>528.13693494000006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3640272298333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2.6275469400000002</v>
      </c>
      <c r="P25" s="144">
        <f>SUM(P16:P24)</f>
        <v>528.13693494000006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470.76000000000005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23.538000000000004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430.74540000000002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525.50938800000006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2.6275469400000002</v>
      </c>
    </row>
    <row r="35" spans="2:16" ht="15.75" customHeight="1" thickBot="1" x14ac:dyDescent="0.4">
      <c r="N35" s="203" t="s">
        <v>92</v>
      </c>
      <c r="O35" s="204"/>
      <c r="P35" s="160">
        <f>P33+P34</f>
        <v>528.13693494000006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7928848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J17" sqref="J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7928848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114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30.973695999999997</v>
      </c>
      <c r="P19" s="120">
        <f t="shared" si="1"/>
        <v>1269.9215359999998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1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236.51583999999997</v>
      </c>
      <c r="O20" s="119">
        <f t="shared" si="6"/>
        <v>30.973695999999997</v>
      </c>
      <c r="P20" s="120">
        <f t="shared" si="1"/>
        <v>1269.9215359999998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20.382784000000001</v>
      </c>
      <c r="P21" s="120">
        <f t="shared" si="1"/>
        <v>835.69414400000005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2673.152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3375.5372159999997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116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3520262710933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</v>
      </c>
      <c r="I19" s="116">
        <f t="shared" si="2"/>
        <v>581.12</v>
      </c>
      <c r="J19" s="117">
        <v>1</v>
      </c>
      <c r="K19" s="1">
        <f t="shared" si="3"/>
        <v>0</v>
      </c>
      <c r="L19" s="105">
        <f t="shared" si="4"/>
        <v>46.489600000000003</v>
      </c>
      <c r="M19" s="118">
        <f t="shared" si="5"/>
        <v>534.63040000000001</v>
      </c>
      <c r="N19" s="118">
        <f t="shared" si="0"/>
        <v>133.59948800000001</v>
      </c>
      <c r="O19" s="119">
        <f t="shared" si="6"/>
        <v>3.3411494400000006</v>
      </c>
      <c r="P19" s="120">
        <f t="shared" si="1"/>
        <v>671.57103744000005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</v>
      </c>
      <c r="I20" s="116">
        <f t="shared" si="2"/>
        <v>290.56</v>
      </c>
      <c r="J20" s="117"/>
      <c r="K20" s="1">
        <f t="shared" si="3"/>
        <v>0</v>
      </c>
      <c r="L20" s="105">
        <f t="shared" si="4"/>
        <v>23.244800000000001</v>
      </c>
      <c r="M20" s="118">
        <f t="shared" si="5"/>
        <v>267.3152</v>
      </c>
      <c r="N20" s="118">
        <f t="shared" si="0"/>
        <v>58.809344000000003</v>
      </c>
      <c r="O20" s="119">
        <f t="shared" si="6"/>
        <v>1.6306227200000001</v>
      </c>
      <c r="P20" s="120">
        <f t="shared" si="1"/>
        <v>327.75516672000003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">
        <f t="shared" si="3"/>
        <v>0</v>
      </c>
      <c r="L21" s="105">
        <f t="shared" si="4"/>
        <v>46.489600000000003</v>
      </c>
      <c r="M21" s="118">
        <f t="shared" si="5"/>
        <v>534.63040000000001</v>
      </c>
      <c r="N21" s="118">
        <f t="shared" si="0"/>
        <v>117.61868800000001</v>
      </c>
      <c r="O21" s="119">
        <f t="shared" si="6"/>
        <v>3.2612454400000002</v>
      </c>
      <c r="P21" s="120">
        <f t="shared" si="1"/>
        <v>655.51033344000007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0</v>
      </c>
      <c r="L25" s="140">
        <f t="shared" si="9"/>
        <v>116.22400000000002</v>
      </c>
      <c r="M25" s="141">
        <f t="shared" si="9"/>
        <v>1336.576</v>
      </c>
      <c r="N25" s="142">
        <f>SUM(N16:N24)</f>
        <v>310.02752000000004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1452.8000000000002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116.22400000000002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1336.5760000000002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310.02752000000004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1646.6035200000003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8.2330176000000019</v>
      </c>
    </row>
    <row r="35" spans="2:16" ht="15.75" customHeight="1" thickBot="1" x14ac:dyDescent="0.4">
      <c r="N35" s="203" t="s">
        <v>92</v>
      </c>
      <c r="O35" s="204"/>
      <c r="P35" s="160">
        <f>P33+P34</f>
        <v>1654.8365376000004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0" workbookViewId="0">
      <selection activeCell="J17" sqref="J17: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116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14368567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119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H13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>(N16+M16)*$O$15</f>
        <v>59.460997499999998</v>
      </c>
      <c r="P16" s="105">
        <f t="shared" ref="P16:P24" si="1">M16+N16+O16</f>
        <v>2437.9008974999997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59.460997499999998</v>
      </c>
      <c r="P17" s="120">
        <f t="shared" si="1"/>
        <v>2437.9008974999997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82.330176000000009</v>
      </c>
      <c r="P20" s="120">
        <f t="shared" si="1"/>
        <v>3375.5372160000002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38"/>
      <c r="K25" s="139">
        <f t="shared" si="9"/>
        <v>0</v>
      </c>
      <c r="L25" s="140">
        <f t="shared" si="9"/>
        <v>1033.104</v>
      </c>
      <c r="M25" s="141">
        <f t="shared" si="9"/>
        <v>11880.696</v>
      </c>
      <c r="N25" s="142">
        <f>SUM(N16:N24)</f>
        <v>2755.8049200000005</v>
      </c>
      <c r="O25" s="143">
        <f>SUM(O16:O24)</f>
        <v>365.91252300000002</v>
      </c>
      <c r="P25" s="144">
        <f>SUM(P16:P24)</f>
        <v>15002.413443000001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12913.800000000001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1033.104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11880.696000000002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2755.8049200000005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14636.500920000002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365.91252300000008</v>
      </c>
    </row>
    <row r="35" spans="2:16" ht="15.75" customHeight="1" thickBot="1" x14ac:dyDescent="0.4">
      <c r="N35" s="203" t="s">
        <v>92</v>
      </c>
      <c r="O35" s="204"/>
      <c r="P35" s="160">
        <f>P33+P34</f>
        <v>15002.413443000003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2026-07-02T09:46:49Z</dcterms:modified>
</cp:coreProperties>
</file>