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6B002760-50B2-421A-A9D5-5B9825720024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T33" i="15" l="1"/>
  <c r="T32" i="15"/>
  <c r="T31" i="15"/>
  <c r="T30" i="15"/>
  <c r="T29" i="15"/>
  <c r="U33" i="15"/>
  <c r="U32" i="15"/>
  <c r="U31" i="15"/>
  <c r="U30" i="15"/>
  <c r="U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M20" i="24" s="1"/>
  <c r="N20" i="24" s="1"/>
  <c r="O20" i="24" s="1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2" i="15" l="1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6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2" i="15" l="1"/>
  <c r="M18" i="15"/>
  <c r="N16" i="18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22" i="15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<sst xmlns="http://schemas.openxmlformats.org/spreadsheetml/2006/main" count="1584" uniqueCount="128">
  <si>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</si>
  <si>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</si>
  <si>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</si>
  <si>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</si>
  <si>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</si>
  <si>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</si>
  <si>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</si>
  <si>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</si>
  <si>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</si>
  <si>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</si>
  <si>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</si>
  <si>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</si>
  <si>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</si>
  <si>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</si>
  <si>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</si>
  <si>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</si>
  <si>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</si>
  <si>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</si>
  <si>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</si>
  <si>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</si>
  <si>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</si>
  <si>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</si>
  <si>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</si>
  <si>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</si>
  <si>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</si>
  <si>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</si>
  <si>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</si>
  <si>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</si>
  <si>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</si>
  <si>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</si>
  <si>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</si>
  <si>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</si>
  <si>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</si>
  <si>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</si>
  <si>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</si>
  <si>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</si>
  <si>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</si>
  <si>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</si>
  <si>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</si>
  <si>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</si>
  <si>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</si>
  <si>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</si>
  <si>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</si>
  <si>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</si>
  <si>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</si>
  <si>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</si>
  <si>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</si>
  <si>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</si>
  <si>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</si>
  <si>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</si>
  <si>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</si>
  <si>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</si>
  <si>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</si>
  <si>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</si>
  <si>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</si>
  <si>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</si>
  <si>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</si>
  <si>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</si>
  <si>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</si>
  <si>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</si>
  <si>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</si>
  <si>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</si>
  <si>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</si>
  <si>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</si>
  <si>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</si>
  <si>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</si>
  <si>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</si>
  <si>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</si>
  <si>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</si>
  <si>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</si>
  <si>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</si>
  <si>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</si>
  <si>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</si>
  <si>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</si>
  <si>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</si>
  <si>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</si>
  <si>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</si>
  <si>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</si>
  <si>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</si>
  <si>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</si>
  <si>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</si>
  <si>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</si>
  <si>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</si>
  <si>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</si>
  <si>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</si>
  <si>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</si>
  <si>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</si>
  <si>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</si>
  <si>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</si>
  <si>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</si>
  <si>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</si>
  <si>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</si>
  <si>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</si>
  <si>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</si>
  <si>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</si>
  <si>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</si>
  <si>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</si>
  <si>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</si>
  <si>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</si>
  <si>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</si>
  <si>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</si>
  <si>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</si>
  <si>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</si>
  <si>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</si>
  <si>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</si>
  <si>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</si>
  <si>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Customer Name : 786 General Store</t>
  </si>
  <si>
    <t>Address: Dubai Chowk Taj Pura</t>
  </si>
  <si>
    <t>Customer Name : Omer Store</t>
  </si>
  <si>
    <t>Address: Taj Pura A Block</t>
  </si>
  <si>
    <t>Customer Name : Makkah Store</t>
  </si>
  <si>
    <t>Address: Tajpura</t>
  </si>
  <si>
    <t>34603-8311293-3</t>
  </si>
  <si>
    <t>Customer Name : Kashmir Store</t>
  </si>
  <si>
    <t>Customer Name : Abdullah Store</t>
  </si>
  <si>
    <t>Address: Nizamabad Tajpura Park Street</t>
  </si>
  <si>
    <t>Customer Name : Imran Store</t>
  </si>
  <si>
    <t>Address: Dharam pura</t>
  </si>
  <si>
    <t>B8301780</t>
  </si>
  <si>
    <t>Customer Name : Madina Store</t>
  </si>
  <si>
    <t>Address: Dharam Pura</t>
  </si>
  <si>
    <t>Customer Name : Kashif Bakers</t>
  </si>
  <si>
    <t>Address: Tajpura 60ft Road</t>
  </si>
  <si>
    <t>Mubeen</t>
  </si>
  <si>
    <t>Customer Name : Rehman Store</t>
  </si>
  <si>
    <t xml:space="preserve">Address: Taj pura </t>
  </si>
  <si>
    <t>G621936-0</t>
  </si>
  <si>
    <t>Shop Bill Summary (Mubeen)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</si>
</sst>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20" sqref="J20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20" sqref="J20"/>
      <selection pane="topRight" activeCell="J20" sqref="J20"/>
      <selection pane="bottomLeft" activeCell="J20" sqref="J20"/>
      <selection pane="bottomRight" activeCell="J20" sqref="J2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A27" zoomScale="70" zoomScaleNormal="70" workbookViewId="0">
      <selection activeCell="S32" sqref="S3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123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127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786 General Store</v>
      </c>
      <c r="U14" s="164">
        <f>+'1'!P35</f>
        <v>3473.5506585600001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Omer Store</v>
      </c>
      <c r="U15" s="164">
        <f>+'2'!P35</f>
        <v>1738.58339262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72</v>
      </c>
      <c r="I16" s="1">
        <f>(G16*D16)*F16+H16*F16</f>
        <v>3777.2999999999997</v>
      </c>
      <c r="J16" s="172">
        <f>+'1'!J16+'2'!J16+'4'!J16+'3'!J16+'5'!J16+'6'!J16+'7'!J16+'8'!J16+'9'!J16+'10'!J16+'11'!J16+'12'!J16+'13'!J16+'14'!J16+'15'!J16+'16'!J16+'17'!J16+'18'!J16+'19'!J16+'20'!J16</f>
        <v>3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302.18399999999997</v>
      </c>
      <c r="M16" s="106">
        <f>I16-K16-L16</f>
        <v>3475.116</v>
      </c>
      <c r="N16" s="101">
        <f>+'1'!N16+'2'!N16+'4'!N16+'3'!N16+'5'!N16+'6'!N16+'7'!N16+'8'!N16+'9'!N16+'10'!N16</f>
        <v>799.15076999999997</v>
      </c>
      <c r="O16" s="101">
        <f>+'1'!O16+'2'!O16+'4'!O16+'3'!O16+'5'!O16+'6'!O16+'7'!O16+'8'!O16+'9'!O16+'10'!O16</f>
        <v>21.371333849999999</v>
      </c>
      <c r="P16" s="105">
        <f t="shared" ref="P16:P24" si="0">M16+N16+O16</f>
        <v>4295.6381038500003</v>
      </c>
      <c r="Q16" s="108"/>
      <c r="T16" s="163" t="str">
        <f>+'3'!A5</f>
        <v>Customer Name : Makkah Store</v>
      </c>
      <c r="U16" s="164">
        <f>+'3'!P35</f>
        <v>1474.8982502399999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60</v>
      </c>
      <c r="I17" s="1">
        <f t="shared" ref="I17:I23" si="1">(G17*D17)*F17+H17*F17</f>
        <v>3147.75</v>
      </c>
      <c r="J17" s="172">
        <f>+'1'!J17+'2'!J17+'4'!J17+'3'!J17+'5'!J17+'6'!J17+'7'!J17+'8'!J17+'9'!J17+'10'!J17+'11'!J17+'12'!J17+'13'!J17+'14'!J17+'15'!J17+'16'!J17+'17'!J17+'18'!J17+'19'!J17+'20'!J17</f>
        <v>3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251.82</v>
      </c>
      <c r="M17" s="118">
        <f t="shared" ref="M17:M23" si="2">I17-K17-L17</f>
        <v>2895.93</v>
      </c>
      <c r="N17" s="101">
        <f>+'1'!N17+'2'!N17+'4'!N17+'3'!N17+'5'!N17+'6'!N17+'7'!N17+'8'!N17+'9'!N17+'10'!N17</f>
        <v>671.72985000000006</v>
      </c>
      <c r="O17" s="101">
        <f>+'1'!O17+'2'!O17+'4'!O17+'3'!O17+'5'!O17+'6'!O17+'7'!O17+'8'!O17+'9'!O17+'10'!O17</f>
        <v>17.838299249999999</v>
      </c>
      <c r="P17" s="120">
        <f t="shared" si="0"/>
        <v>3585.4981492500001</v>
      </c>
      <c r="S17" s="64"/>
      <c r="T17" s="163" t="str">
        <f>+'4'!A5</f>
        <v>Customer Name : Kashmir Store</v>
      </c>
      <c r="U17" s="164">
        <f>+'4'!P35</f>
        <v>3309.6730752000003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Abdullah Store</v>
      </c>
      <c r="U18" s="164">
        <f>+'5'!P35</f>
        <v>2390.3320994999999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107</v>
      </c>
      <c r="I19" s="1">
        <f t="shared" si="1"/>
        <v>7772.4800000000005</v>
      </c>
      <c r="J19" s="172">
        <f>+'1'!J19+'2'!J19+'4'!J19+'3'!J19+'5'!J19+'6'!J19+'7'!J19+'8'!J19+'9'!J19+'10'!J19+'11'!J19+'12'!J19+'13'!J19+'14'!J19+'15'!J19+'16'!J19+'17'!J19+'18'!J19+'19'!J19+'20'!J19</f>
        <v>5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621.79840000000002</v>
      </c>
      <c r="M19" s="118">
        <f t="shared" si="2"/>
        <v>7150.6816000000008</v>
      </c>
      <c r="N19" s="101">
        <f>+'1'!N19+'2'!N19+'4'!N19+'3'!N19+'5'!N19+'6'!N19+'7'!N19+'8'!N19+'9'!N19+'10'!N19</f>
        <v>1540.3166719999999</v>
      </c>
      <c r="O19" s="101">
        <f>+'1'!O19+'2'!O19+'4'!O19+'3'!O19+'5'!O19+'6'!O19+'7'!O19+'8'!O19+'9'!O19+'10'!O19</f>
        <v>43.454991360000001</v>
      </c>
      <c r="P19" s="120">
        <f t="shared" si="0"/>
        <v>8734.4532633600011</v>
      </c>
      <c r="T19" s="163" t="str">
        <f>+'6'!A5</f>
        <v>Customer Name : Imran Store</v>
      </c>
      <c r="U19" s="164">
        <f>+'6'!P35</f>
        <v>14097.155280900004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107</v>
      </c>
      <c r="I20" s="1">
        <f t="shared" si="1"/>
        <v>7772.4800000000005</v>
      </c>
      <c r="J20" s="172">
        <f>+'1'!J20+'2'!J20+'4'!J20+'3'!J20+'5'!J20+'6'!J20+'7'!J20+'8'!J20+'9'!J20+'10'!J20+'11'!J20+'12'!J20+'13'!J20+'14'!J20+'15'!J20+'16'!J20+'17'!J20+'18'!J20+'19'!J20+'20'!J20</f>
        <v>6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621.79840000000002</v>
      </c>
      <c r="M20" s="118">
        <f t="shared" si="2"/>
        <v>7150.6816000000008</v>
      </c>
      <c r="N20" s="101">
        <f>+'1'!N20+'2'!N20+'4'!N20+'3'!N20+'5'!N20+'6'!N20+'7'!N20+'8'!N20+'9'!N20+'10'!N20</f>
        <v>1556.297472</v>
      </c>
      <c r="O20" s="101">
        <f>+'1'!O20+'2'!O20+'4'!O20+'3'!O20+'5'!O20+'6'!O20+'7'!O20+'8'!O20+'9'!O20+'10'!O20</f>
        <v>43.53489536</v>
      </c>
      <c r="P20" s="120">
        <f t="shared" si="0"/>
        <v>8750.5139673600006</v>
      </c>
      <c r="T20" s="163" t="str">
        <f>+'7'!A5</f>
        <v>Customer Name : Madina Store</v>
      </c>
      <c r="U20" s="164">
        <f>+'7'!P35</f>
        <v>3309.6730752000003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212</v>
      </c>
      <c r="I21" s="1">
        <f t="shared" si="1"/>
        <v>15399.68</v>
      </c>
      <c r="J21" s="172">
        <f>+'1'!J21+'2'!J21+'4'!J21+'3'!J21+'5'!J21+'6'!J21+'7'!J21+'8'!J21+'9'!J21+'10'!J21+'11'!J21+'12'!J21+'13'!J21+'14'!J21+'15'!J21+'16'!J21+'17'!J21+'18'!J21+'19'!J21+'20'!J21</f>
        <v>9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1231.9744000000001</v>
      </c>
      <c r="M21" s="118">
        <f t="shared" si="2"/>
        <v>14167.705600000001</v>
      </c>
      <c r="N21" s="101">
        <f>+'1'!N21+'2'!N21+'4'!N21+'3'!N21+'5'!N21+'6'!N21+'7'!N21+'8'!N21+'9'!N21+'10'!N21</f>
        <v>3147.9851520000002</v>
      </c>
      <c r="O21" s="101">
        <f>+'1'!O21+'2'!O21+'4'!O21+'3'!O21+'5'!O21+'6'!O21+'7'!O21+'8'!O21+'9'!O21+'10'!O21</f>
        <v>86.578453760000002</v>
      </c>
      <c r="P21" s="120">
        <f t="shared" si="0"/>
        <v>17402.269205760003</v>
      </c>
      <c r="T21" s="163" t="str">
        <f>+'8'!A5</f>
        <v>Customer Name : Kashif Bakers</v>
      </c>
      <c r="U21" s="164">
        <f>+'8'!P35</f>
        <v>5700.0051746999989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52</v>
      </c>
      <c r="I22" s="1">
        <f t="shared" si="1"/>
        <v>2039.9600000000003</v>
      </c>
      <c r="J22" s="172">
        <f>+'1'!J22+'2'!J22+'4'!J22+'3'!J22+'5'!J22+'6'!J22+'7'!J22+'8'!J22+'9'!J22+'10'!J22+'11'!J22+'12'!J22+'13'!J22+'14'!J22+'15'!J22+'16'!J22+'17'!J22+'18'!J22+'19'!J22+'20'!J22</f>
        <v>3</v>
      </c>
      <c r="K22" s="172">
        <f>+'1'!K22+'2'!K22+'4'!K22+'3'!K22+'5'!K22+'6'!K22+'7'!K22+'8'!K22+'9'!K22+'10'!K22</f>
        <v>71.398600000000016</v>
      </c>
      <c r="L22" s="175">
        <f>+'1'!L22+'2'!L22+'4'!L22+'3'!L22+'5'!L22+'6'!L22+'7'!L22+'8'!L22+'9'!L22+'10'!L22</f>
        <v>101.99800000000002</v>
      </c>
      <c r="M22" s="118">
        <f t="shared" si="2"/>
        <v>1866.5634000000002</v>
      </c>
      <c r="N22" s="101">
        <f>+'1'!N22+'2'!N22+'4'!N22+'3'!N22+'5'!N22+'6'!N22+'7'!N22+'8'!N22+'9'!N22+'10'!N22</f>
        <v>436.53574800000001</v>
      </c>
      <c r="O22" s="101">
        <f>+'1'!O22+'2'!O22+'4'!O22+'3'!O22+'5'!O22+'6'!O22+'7'!O22+'8'!O22+'9'!O22+'10'!O22</f>
        <v>11.515495740000002</v>
      </c>
      <c r="P22" s="120">
        <f t="shared" si="0"/>
        <v>2314.6146437400002</v>
      </c>
      <c r="T22" s="163" t="str">
        <f>+'9'!A5</f>
        <v>Customer Name : Rehman Store</v>
      </c>
      <c r="U22" s="164">
        <f>+'9'!P35</f>
        <v>9589.1163264000006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15.25</v>
      </c>
      <c r="D25" s="221"/>
      <c r="E25" s="221"/>
      <c r="F25" s="221"/>
      <c r="G25" s="176">
        <f t="shared" ref="G25:M25" si="3">SUM(G16:G24)</f>
        <v>0</v>
      </c>
      <c r="H25" s="177">
        <f t="shared" si="3"/>
        <v>610</v>
      </c>
      <c r="I25" s="178">
        <f t="shared" si="3"/>
        <v>39909.65</v>
      </c>
      <c r="J25" s="177">
        <f t="shared" si="3"/>
        <v>29</v>
      </c>
      <c r="K25" s="178">
        <f t="shared" si="3"/>
        <v>71.398600000000016</v>
      </c>
      <c r="L25" s="179">
        <f t="shared" si="3"/>
        <v>3131.5732000000003</v>
      </c>
      <c r="M25" s="141">
        <f t="shared" si="3"/>
        <v>36706.678200000002</v>
      </c>
      <c r="N25" s="142">
        <f>SUM(N16:N24)</f>
        <v>8152.0156640000005</v>
      </c>
      <c r="O25" s="143">
        <f>SUM(O16:O24)</f>
        <v>224.29346932000001</v>
      </c>
      <c r="P25" s="144">
        <f>SUM(P16:P24)</f>
        <v>45082.987333320008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45082.987333320001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28" t="s">
        <v>85</v>
      </c>
      <c r="C36" s="229"/>
      <c r="D36" s="229"/>
      <c r="E36" s="229"/>
      <c r="F36" s="229"/>
      <c r="G36" s="229"/>
      <c r="H36" s="229"/>
      <c r="I36" s="229"/>
      <c r="J36" s="229"/>
      <c r="K36" s="229"/>
      <c r="L36" s="230"/>
      <c r="N36" s="237" t="s">
        <v>86</v>
      </c>
      <c r="O36" s="238"/>
      <c r="P36" s="152">
        <f>I25</f>
        <v>39909.65</v>
      </c>
    </row>
    <row r="37" spans="1:21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N37" s="239" t="s">
        <v>87</v>
      </c>
      <c r="O37" s="240"/>
      <c r="P37" s="153">
        <f>L25</f>
        <v>3131.5732000000003</v>
      </c>
    </row>
    <row r="38" spans="1:21" ht="15" customHeight="1" x14ac:dyDescent="0.35">
      <c r="B38" s="231"/>
      <c r="C38" s="232"/>
      <c r="D38" s="232"/>
      <c r="E38" s="232"/>
      <c r="F38" s="232"/>
      <c r="G38" s="232"/>
      <c r="H38" s="232"/>
      <c r="I38" s="232"/>
      <c r="J38" s="232"/>
      <c r="K38" s="232"/>
      <c r="L38" s="233"/>
      <c r="N38" s="239" t="s">
        <v>4</v>
      </c>
      <c r="O38" s="240"/>
      <c r="P38" s="154">
        <f>K25</f>
        <v>71.398600000000016</v>
      </c>
    </row>
    <row r="39" spans="1:21" ht="15" customHeight="1" x14ac:dyDescent="0.35">
      <c r="B39" s="231"/>
      <c r="C39" s="232"/>
      <c r="D39" s="232"/>
      <c r="E39" s="232"/>
      <c r="F39" s="232"/>
      <c r="G39" s="232"/>
      <c r="H39" s="232"/>
      <c r="I39" s="232"/>
      <c r="J39" s="232"/>
      <c r="K39" s="232"/>
      <c r="L39" s="233"/>
      <c r="M39" s="2"/>
      <c r="N39" s="239" t="s">
        <v>88</v>
      </c>
      <c r="O39" s="240"/>
      <c r="P39" s="153">
        <f>P36-P37-P38</f>
        <v>36706.678200000002</v>
      </c>
    </row>
    <row r="40" spans="1:21" ht="15" customHeight="1" x14ac:dyDescent="0.35">
      <c r="B40" s="231"/>
      <c r="C40" s="232"/>
      <c r="D40" s="232"/>
      <c r="E40" s="232"/>
      <c r="F40" s="232"/>
      <c r="G40" s="232"/>
      <c r="H40" s="232"/>
      <c r="I40" s="232"/>
      <c r="J40" s="232"/>
      <c r="K40" s="232"/>
      <c r="L40" s="233"/>
      <c r="M40" s="2"/>
      <c r="N40" s="155" t="s">
        <v>89</v>
      </c>
      <c r="O40" s="156">
        <f>IF(B12="Registered",18%,22%)</f>
        <v>0.22</v>
      </c>
      <c r="P40" s="153">
        <f>N25</f>
        <v>8152.0156640000005</v>
      </c>
    </row>
    <row r="41" spans="1:21" ht="15" customHeight="1" x14ac:dyDescent="0.35">
      <c r="B41" s="231"/>
      <c r="C41" s="232"/>
      <c r="D41" s="232"/>
      <c r="E41" s="232"/>
      <c r="F41" s="232"/>
      <c r="G41" s="232"/>
      <c r="H41" s="232"/>
      <c r="I41" s="232"/>
      <c r="J41" s="232"/>
      <c r="K41" s="232"/>
      <c r="L41" s="233"/>
      <c r="M41" s="2"/>
      <c r="N41" s="241" t="s">
        <v>90</v>
      </c>
      <c r="O41" s="242"/>
      <c r="P41" s="153">
        <f>P39+P40</f>
        <v>44858.693864000001</v>
      </c>
    </row>
    <row r="42" spans="1:21" ht="15" customHeight="1" thickBot="1" x14ac:dyDescent="0.4">
      <c r="B42" s="234"/>
      <c r="C42" s="235"/>
      <c r="D42" s="235"/>
      <c r="E42" s="235"/>
      <c r="F42" s="235"/>
      <c r="G42" s="235"/>
      <c r="H42" s="235"/>
      <c r="I42" s="235"/>
      <c r="J42" s="235"/>
      <c r="K42" s="235"/>
      <c r="L42" s="236"/>
      <c r="M42" s="157"/>
      <c r="N42" s="158" t="s">
        <v>91</v>
      </c>
      <c r="O42" s="159">
        <f>IF(B11="Filer",0.5%,2.5%)</f>
        <v>2.5000000000000001E-2</v>
      </c>
      <c r="P42" s="153">
        <f>O42*P41</f>
        <v>1121.4673466000002</v>
      </c>
    </row>
    <row r="43" spans="1:21" ht="15.75" customHeight="1" thickBot="1" x14ac:dyDescent="0.4">
      <c r="N43" s="219" t="s">
        <v>92</v>
      </c>
      <c r="O43" s="220"/>
      <c r="P43" s="160">
        <f>P41+P42</f>
        <v>45980.161210600003</v>
      </c>
    </row>
    <row r="44" spans="1:21" ht="15" thickBot="1" x14ac:dyDescent="0.4">
      <c r="B44" s="161" t="s">
        <v>93</v>
      </c>
      <c r="C44" s="221"/>
      <c r="D44" s="221"/>
      <c r="E44" s="221"/>
      <c r="F44" s="221"/>
      <c r="G44" s="221"/>
      <c r="H44" s="221"/>
      <c r="I44" s="222"/>
      <c r="J44" s="223"/>
      <c r="K44" s="224"/>
    </row>
    <row r="45" spans="1:21" ht="15.75" customHeight="1" x14ac:dyDescent="0.35"/>
  </sheetData>
  <mergeCells count="47"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7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6</v>
      </c>
      <c r="I19" s="116">
        <f t="shared" si="3"/>
        <v>435.84000000000003</v>
      </c>
      <c r="J19" s="117"/>
      <c r="K19" s="1">
        <f t="shared" si="4"/>
        <v>0</v>
      </c>
      <c r="L19" s="105">
        <f t="shared" si="5"/>
        <v>34.867200000000004</v>
      </c>
      <c r="M19" s="118">
        <f t="shared" si="6"/>
        <v>400.97280000000001</v>
      </c>
      <c r="N19" s="118">
        <f t="shared" si="0"/>
        <v>88.214016000000001</v>
      </c>
      <c r="O19" s="119">
        <f t="shared" si="1"/>
        <v>2.4459340800000002</v>
      </c>
      <c r="P19" s="120">
        <f t="shared" si="2"/>
        <v>491.63275007999999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3"/>
        <v>435.84000000000003</v>
      </c>
      <c r="J20" s="117">
        <v>1</v>
      </c>
      <c r="K20" s="1">
        <f t="shared" si="4"/>
        <v>0</v>
      </c>
      <c r="L20" s="105">
        <f t="shared" si="5"/>
        <v>34.867200000000004</v>
      </c>
      <c r="M20" s="118">
        <f t="shared" si="6"/>
        <v>400.97280000000001</v>
      </c>
      <c r="N20" s="118">
        <f t="shared" si="0"/>
        <v>104.194816</v>
      </c>
      <c r="O20" s="119">
        <f t="shared" si="1"/>
        <v>2.5258380800000002</v>
      </c>
      <c r="P20" s="120">
        <f t="shared" si="2"/>
        <v>507.69345408000004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30</v>
      </c>
      <c r="I21" s="116">
        <f t="shared" si="3"/>
        <v>2179.1999999999998</v>
      </c>
      <c r="J21" s="117">
        <v>1</v>
      </c>
      <c r="K21" s="1">
        <f t="shared" si="4"/>
        <v>0</v>
      </c>
      <c r="L21" s="105">
        <f t="shared" si="5"/>
        <v>174.33599999999998</v>
      </c>
      <c r="M21" s="118">
        <f t="shared" si="6"/>
        <v>2004.8639999999998</v>
      </c>
      <c r="N21" s="118">
        <f t="shared" si="0"/>
        <v>457.05087999999995</v>
      </c>
      <c r="O21" s="119">
        <f t="shared" si="1"/>
        <v>12.309574399999999</v>
      </c>
      <c r="P21" s="120">
        <f t="shared" si="2"/>
        <v>2474.2244544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42</v>
      </c>
      <c r="I25" s="137">
        <f t="shared" si="9"/>
        <v>3050.88</v>
      </c>
      <c r="J25" s="138"/>
      <c r="K25" s="139">
        <f t="shared" si="9"/>
        <v>0</v>
      </c>
      <c r="L25" s="140">
        <f t="shared" si="9"/>
        <v>244.07040000000001</v>
      </c>
      <c r="M25" s="141">
        <f t="shared" si="9"/>
        <v>2806.8095999999996</v>
      </c>
      <c r="N25" s="142">
        <f>SUM(N16:N24)</f>
        <v>649.45971199999997</v>
      </c>
      <c r="O25" s="143">
        <f>SUM(O16:O24)</f>
        <v>17.281346559999999</v>
      </c>
      <c r="P25" s="144">
        <f>SUM(P16:P24)</f>
        <v>3473.5506585600001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3050.88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244.07040000000001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2806.8096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649.45971199999997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3456.2693119999999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17.281346559999999</v>
      </c>
    </row>
    <row r="35" spans="2:16" ht="15.75" customHeight="1" thickBot="1" x14ac:dyDescent="0.4">
      <c r="N35" s="219" t="s">
        <v>92</v>
      </c>
      <c r="O35" s="220"/>
      <c r="P35" s="160">
        <f>P33+P34</f>
        <v>3473.5506585600001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109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3520179992061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</v>
      </c>
      <c r="I16" s="102">
        <f>(G16*D16)*F16+H16*F16</f>
        <v>629.54999999999995</v>
      </c>
      <c r="J16" s="103"/>
      <c r="K16" s="104">
        <f>I16*$K$13</f>
        <v>0</v>
      </c>
      <c r="L16" s="105">
        <f>I16*8%</f>
        <v>50.363999999999997</v>
      </c>
      <c r="M16" s="106">
        <f>I16-K16-L16</f>
        <v>579.18599999999992</v>
      </c>
      <c r="N16" s="106">
        <f t="shared" ref="N16:N24" si="0">(M16*$N$15)+(J16*F16)*$N$15</f>
        <v>127.42091999999998</v>
      </c>
      <c r="O16" s="107">
        <f>(N16+M16)*$O$15</f>
        <v>3.5330345999999997</v>
      </c>
      <c r="P16" s="105">
        <f t="shared" ref="P16:P24" si="1">M16+N16+O16</f>
        <v>710.1399545999999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6</v>
      </c>
      <c r="I19" s="116">
        <f t="shared" si="2"/>
        <v>435.84000000000003</v>
      </c>
      <c r="J19" s="117"/>
      <c r="K19" s="1">
        <f t="shared" si="3"/>
        <v>0</v>
      </c>
      <c r="L19" s="105">
        <f t="shared" si="4"/>
        <v>34.867200000000004</v>
      </c>
      <c r="M19" s="118">
        <f t="shared" si="5"/>
        <v>400.97280000000001</v>
      </c>
      <c r="N19" s="118">
        <f t="shared" si="0"/>
        <v>88.214016000000001</v>
      </c>
      <c r="O19" s="119">
        <f t="shared" si="6"/>
        <v>2.4459340800000002</v>
      </c>
      <c r="P19" s="120">
        <f t="shared" si="1"/>
        <v>491.63275007999999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>
        <v>1</v>
      </c>
      <c r="K22" s="1">
        <f>I22*3.5%</f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103.394588</v>
      </c>
      <c r="O22" s="119">
        <f t="shared" si="6"/>
        <v>2.67069994</v>
      </c>
      <c r="P22" s="120">
        <f t="shared" si="1"/>
        <v>536.81068793999998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30</v>
      </c>
      <c r="I25" s="137">
        <f t="shared" si="9"/>
        <v>1536.1499999999999</v>
      </c>
      <c r="J25" s="138"/>
      <c r="K25" s="139">
        <f t="shared" si="9"/>
        <v>16.476600000000005</v>
      </c>
      <c r="L25" s="140">
        <f t="shared" si="9"/>
        <v>108.76920000000001</v>
      </c>
      <c r="M25" s="141">
        <f t="shared" si="9"/>
        <v>1410.9041999999999</v>
      </c>
      <c r="N25" s="142">
        <f>SUM(N16:N24)</f>
        <v>319.02952399999998</v>
      </c>
      <c r="O25" s="143">
        <f>SUM(O16:O24)</f>
        <v>8.6496686199999999</v>
      </c>
      <c r="P25" s="144">
        <f>SUM(P16:P24)</f>
        <v>1738.5833926199998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1536.1499999999999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108.76920000000001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16.476600000000005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1410.9041999999999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319.02952399999998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1729.933724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8.6496686199999999</v>
      </c>
    </row>
    <row r="35" spans="2:16" ht="15.75" customHeight="1" thickBot="1" x14ac:dyDescent="0.4">
      <c r="N35" s="219" t="s">
        <v>92</v>
      </c>
      <c r="O35" s="220"/>
      <c r="P35" s="160">
        <f>P33+P34</f>
        <v>1738.58339262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7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110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111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112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2"/>
        <v>435.84000000000003</v>
      </c>
      <c r="J20" s="117"/>
      <c r="K20" s="1">
        <f t="shared" si="3"/>
        <v>0</v>
      </c>
      <c r="L20" s="105">
        <f t="shared" si="4"/>
        <v>34.867200000000004</v>
      </c>
      <c r="M20" s="118">
        <f t="shared" si="5"/>
        <v>400.97280000000001</v>
      </c>
      <c r="N20" s="118">
        <f t="shared" si="0"/>
        <v>88.214016000000001</v>
      </c>
      <c r="O20" s="119">
        <f t="shared" si="6"/>
        <v>2.4459340800000002</v>
      </c>
      <c r="P20" s="120">
        <f t="shared" si="1"/>
        <v>491.63275007999999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">
        <f t="shared" si="3"/>
        <v>0</v>
      </c>
      <c r="L21" s="105">
        <f t="shared" si="4"/>
        <v>69.734400000000008</v>
      </c>
      <c r="M21" s="118">
        <f t="shared" si="5"/>
        <v>801.94560000000001</v>
      </c>
      <c r="N21" s="118">
        <f t="shared" si="0"/>
        <v>176.428032</v>
      </c>
      <c r="O21" s="119">
        <f t="shared" si="6"/>
        <v>4.8918681600000005</v>
      </c>
      <c r="P21" s="120">
        <f t="shared" si="1"/>
        <v>983.26550015999999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18</v>
      </c>
      <c r="I25" s="137">
        <f t="shared" si="9"/>
        <v>1307.52</v>
      </c>
      <c r="J25" s="138"/>
      <c r="K25" s="139">
        <f t="shared" si="9"/>
        <v>0</v>
      </c>
      <c r="L25" s="140">
        <f t="shared" si="9"/>
        <v>104.60160000000002</v>
      </c>
      <c r="M25" s="141">
        <f t="shared" si="9"/>
        <v>1202.9184</v>
      </c>
      <c r="N25" s="142">
        <f>SUM(N16:N24)</f>
        <v>264.64204799999999</v>
      </c>
      <c r="O25" s="143">
        <f>SUM(O16:O24)</f>
        <v>7.3378022400000003</v>
      </c>
      <c r="P25" s="144">
        <f>SUM(P16:P24)</f>
        <v>1474.8982502399999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1307.52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104.60160000000002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1202.9184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264.64204799999999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1467.560448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7.3378022400000003</v>
      </c>
    </row>
    <row r="35" spans="2:16" ht="15.75" customHeight="1" thickBot="1" x14ac:dyDescent="0.4">
      <c r="N35" s="219" t="s">
        <v>92</v>
      </c>
      <c r="O35" s="220"/>
      <c r="P35" s="160">
        <f>P33+P34</f>
        <v>1474.8982502399999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111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620.05503999999996</v>
      </c>
      <c r="O21" s="119">
        <f t="shared" si="6"/>
        <v>16.4660352</v>
      </c>
      <c r="P21" s="120">
        <f t="shared" si="1"/>
        <v>3309.6730752000003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232.44800000000001</v>
      </c>
      <c r="M25" s="141">
        <f t="shared" si="9"/>
        <v>2673.152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3309.6730752000003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2905.6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232.44800000000001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2673.152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3293.2070400000002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19" t="s">
        <v>92</v>
      </c>
      <c r="O35" s="220"/>
      <c r="P35" s="160">
        <f>P33+P34</f>
        <v>3309.6730752000003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115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223.90995000000001</v>
      </c>
      <c r="O16" s="107">
        <f>(N16+M16)*$O$15</f>
        <v>5.9460997500000001</v>
      </c>
      <c r="P16" s="105">
        <f t="shared" ref="P16:P24" si="1">M16+N16+O16</f>
        <v>1195.16604975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223.90995000000001</v>
      </c>
      <c r="O17" s="119">
        <f t="shared" ref="O17:O24" si="6">(N17+M17)*$O$15</f>
        <v>5.9460997500000001</v>
      </c>
      <c r="P17" s="120">
        <f t="shared" si="1"/>
        <v>1195.16604975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167.88</v>
      </c>
      <c r="M25" s="141">
        <f t="shared" si="9"/>
        <v>1930.62</v>
      </c>
      <c r="N25" s="142">
        <f>SUM(N16:N24)</f>
        <v>447.81990000000002</v>
      </c>
      <c r="O25" s="143">
        <f>SUM(O16:O24)</f>
        <v>11.8921995</v>
      </c>
      <c r="P25" s="144">
        <f>SUM(P16:P24)</f>
        <v>2390.3320994999999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2098.5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167.88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1930.62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447.81990000000002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2378.4398999999999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11.8921995</v>
      </c>
    </row>
    <row r="35" spans="2:16" ht="15.75" customHeight="1" thickBot="1" x14ac:dyDescent="0.4">
      <c r="N35" s="219" t="s">
        <v>92</v>
      </c>
      <c r="O35" s="220"/>
      <c r="P35" s="160">
        <f>P33+P34</f>
        <v>2390.3320994999999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117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118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223.90995000000001</v>
      </c>
      <c r="O16" s="107">
        <f>(N16+M16)*$O$15</f>
        <v>5.9460997500000001</v>
      </c>
      <c r="P16" s="105">
        <f t="shared" ref="P16:P24" si="1">M16+N16+O16</f>
        <v>1195.16604975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223.90995000000001</v>
      </c>
      <c r="O17" s="119">
        <f t="shared" ref="O17:O24" si="6">(N17+M17)*$O$15</f>
        <v>5.9460997500000001</v>
      </c>
      <c r="P17" s="120">
        <f t="shared" si="1"/>
        <v>1195.16604975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620.05503999999996</v>
      </c>
      <c r="O19" s="119">
        <f t="shared" si="6"/>
        <v>16.4660352</v>
      </c>
      <c r="P19" s="120">
        <f t="shared" si="1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620.05503999999996</v>
      </c>
      <c r="O20" s="119">
        <f t="shared" si="6"/>
        <v>16.4660352</v>
      </c>
      <c r="P20" s="120">
        <f t="shared" si="1"/>
        <v>3309.6730752000003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620.05503999999996</v>
      </c>
      <c r="O21" s="119">
        <f t="shared" si="6"/>
        <v>16.4660352</v>
      </c>
      <c r="P21" s="120">
        <f t="shared" si="1"/>
        <v>3309.6730752000003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>
        <v>2</v>
      </c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333.14116000000001</v>
      </c>
      <c r="O22" s="119">
        <f t="shared" si="6"/>
        <v>8.8447958000000018</v>
      </c>
      <c r="P22" s="120">
        <f t="shared" si="1"/>
        <v>1777.8039558000003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200</v>
      </c>
      <c r="I25" s="137">
        <f t="shared" si="9"/>
        <v>12384.500000000002</v>
      </c>
      <c r="J25" s="138"/>
      <c r="K25" s="139">
        <f t="shared" si="9"/>
        <v>54.922000000000011</v>
      </c>
      <c r="L25" s="140">
        <f t="shared" si="9"/>
        <v>943.68399999999997</v>
      </c>
      <c r="M25" s="141">
        <f t="shared" si="9"/>
        <v>11385.894</v>
      </c>
      <c r="N25" s="142">
        <f>SUM(N16:N24)</f>
        <v>2641.1261800000002</v>
      </c>
      <c r="O25" s="143">
        <f>SUM(O16:O24)</f>
        <v>70.135100900000012</v>
      </c>
      <c r="P25" s="144">
        <f>SUM(P16:P24)</f>
        <v>14097.1552809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12384.500000000002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943.68399999999997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11385.894000000002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2641.1261800000002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14027.020180000003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70.135100900000012</v>
      </c>
    </row>
    <row r="35" spans="2:16" ht="15.75" customHeight="1" thickBot="1" x14ac:dyDescent="0.4">
      <c r="N35" s="219" t="s">
        <v>92</v>
      </c>
      <c r="O35" s="220"/>
      <c r="P35" s="160">
        <f>P33+P34</f>
        <v>14097.155280900004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119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120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620.05503999999996</v>
      </c>
      <c r="O21" s="119">
        <f t="shared" si="6"/>
        <v>16.4660352</v>
      </c>
      <c r="P21" s="120">
        <f t="shared" si="1"/>
        <v>3309.6730752000003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232.44800000000001</v>
      </c>
      <c r="M25" s="141">
        <f t="shared" si="9"/>
        <v>2673.152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3309.6730752000003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2905.6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232.44800000000001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2673.152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3293.2070400000002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19" t="s">
        <v>92</v>
      </c>
      <c r="O35" s="220"/>
      <c r="P35" s="160">
        <f>P33+P34</f>
        <v>3309.6730752000003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22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121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122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223.90995000000001</v>
      </c>
      <c r="O16" s="107">
        <f>(N16+M16)*$O$15</f>
        <v>5.9460997500000001</v>
      </c>
      <c r="P16" s="105">
        <f t="shared" ref="P16:P24" si="1">M16+N16+O16</f>
        <v>1195.16604975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223.90995000000001</v>
      </c>
      <c r="O17" s="119">
        <f t="shared" ref="O17:O24" si="6">(N17+M17)*$O$15</f>
        <v>5.9460997500000001</v>
      </c>
      <c r="P17" s="120">
        <f t="shared" si="1"/>
        <v>1195.16604975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>
        <v>1</v>
      </c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236.51583999999997</v>
      </c>
      <c r="O19" s="119">
        <f t="shared" si="6"/>
        <v>6.194739199999999</v>
      </c>
      <c r="P19" s="120">
        <f t="shared" si="1"/>
        <v>1245.1425791999998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>
        <v>1</v>
      </c>
      <c r="K20" s="1">
        <f t="shared" si="3"/>
        <v>0</v>
      </c>
      <c r="L20" s="105">
        <f t="shared" si="4"/>
        <v>87.167999999999992</v>
      </c>
      <c r="M20" s="118">
        <f t="shared" si="5"/>
        <v>1002.4319999999999</v>
      </c>
      <c r="N20" s="118">
        <f t="shared" si="0"/>
        <v>236.51583999999997</v>
      </c>
      <c r="O20" s="119">
        <f t="shared" si="6"/>
        <v>6.194739199999999</v>
      </c>
      <c r="P20" s="120">
        <f t="shared" si="1"/>
        <v>1245.1425791999998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">
        <f t="shared" si="3"/>
        <v>0</v>
      </c>
      <c r="L21" s="105">
        <f t="shared" si="4"/>
        <v>58.112000000000002</v>
      </c>
      <c r="M21" s="118">
        <f t="shared" si="5"/>
        <v>668.28800000000001</v>
      </c>
      <c r="N21" s="118">
        <f t="shared" si="0"/>
        <v>147.02336</v>
      </c>
      <c r="O21" s="119">
        <f t="shared" si="6"/>
        <v>4.0765568000000005</v>
      </c>
      <c r="P21" s="120">
        <f t="shared" si="1"/>
        <v>819.38791680000008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80</v>
      </c>
      <c r="I25" s="137">
        <f t="shared" si="9"/>
        <v>5004.0999999999995</v>
      </c>
      <c r="J25" s="138"/>
      <c r="K25" s="139">
        <f t="shared" si="9"/>
        <v>0</v>
      </c>
      <c r="L25" s="140">
        <f t="shared" si="9"/>
        <v>400.32800000000003</v>
      </c>
      <c r="M25" s="141">
        <f t="shared" si="9"/>
        <v>4603.771999999999</v>
      </c>
      <c r="N25" s="142">
        <f>SUM(N16:N24)</f>
        <v>1067.8749399999999</v>
      </c>
      <c r="O25" s="143">
        <f>SUM(O16:O24)</f>
        <v>28.358234699999997</v>
      </c>
      <c r="P25" s="144">
        <f>SUM(P16:P24)</f>
        <v>5700.0051746999998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5004.0999999999995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400.32800000000003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4603.771999999999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1067.8749399999999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5671.6469399999987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28.358234699999993</v>
      </c>
    </row>
    <row r="35" spans="2:16" ht="15.75" customHeight="1" thickBot="1" x14ac:dyDescent="0.4">
      <c r="N35" s="219" t="s">
        <v>92</v>
      </c>
      <c r="O35" s="220"/>
      <c r="P35" s="160">
        <f>P33+P34</f>
        <v>5700.0051746999989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125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 t="s">
        <v>126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>
        <v>3520113033151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507.31775999999996</v>
      </c>
      <c r="O19" s="119">
        <f t="shared" si="6"/>
        <v>15.9023488</v>
      </c>
      <c r="P19" s="120">
        <f t="shared" si="1"/>
        <v>3196.3721087999998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507.31775999999996</v>
      </c>
      <c r="O20" s="119">
        <f t="shared" si="6"/>
        <v>15.9023488</v>
      </c>
      <c r="P20" s="120">
        <f t="shared" si="1"/>
        <v>3196.3721087999998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507.31775999999996</v>
      </c>
      <c r="O21" s="119">
        <f t="shared" si="6"/>
        <v>15.9023488</v>
      </c>
      <c r="P21" s="120">
        <f t="shared" si="1"/>
        <v>3196.3721087999998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120</v>
      </c>
      <c r="I25" s="137">
        <f t="shared" si="9"/>
        <v>8716.7999999999993</v>
      </c>
      <c r="J25" s="138"/>
      <c r="K25" s="139">
        <f t="shared" si="9"/>
        <v>0</v>
      </c>
      <c r="L25" s="140">
        <f t="shared" si="9"/>
        <v>697.34400000000005</v>
      </c>
      <c r="M25" s="141">
        <f t="shared" si="9"/>
        <v>8019.4560000000001</v>
      </c>
      <c r="N25" s="142">
        <f>SUM(N16:N24)</f>
        <v>1521.9532799999999</v>
      </c>
      <c r="O25" s="143">
        <f>SUM(O16:O24)</f>
        <v>47.707046400000003</v>
      </c>
      <c r="P25" s="144">
        <f>SUM(P16:P24)</f>
        <v>9589.1163263999988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8716.7999999999993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697.34400000000005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8019.4559999999992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1521.9532799999999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9541.4092799999999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47.707046400000003</v>
      </c>
    </row>
    <row r="35" spans="2:16" ht="15.75" customHeight="1" thickBot="1" x14ac:dyDescent="0.4">
      <c r="N35" s="219" t="s">
        <v>92</v>
      </c>
      <c r="O35" s="220"/>
      <c r="P35" s="160">
        <f>P33+P34</f>
        <v>9589.1163264000006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2026-07-02T05:40:00Z</dcterms:modified>
</cp:coreProperties>
</file>