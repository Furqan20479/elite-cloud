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FC74E9C-27CB-4728-A11B-0CAFC8804B0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18" l="1"/>
  <c r="N17" i="18" s="1"/>
  <c r="O17" i="18" s="1"/>
  <c r="M18" i="18"/>
  <c r="N18" i="18" s="1"/>
  <c r="O18" i="18" s="1"/>
  <c r="M17" i="24"/>
  <c r="N17" i="24" s="1"/>
  <c r="O17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<sst xmlns="http://schemas.openxmlformats.org/spreadsheetml/2006/main" count="1634" uniqueCount="137">
  <si>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</si>
  <si>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</si>
  <si>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</si>
  <si>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</si>
  <si>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</si>
  <si>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</si>
  <si>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</si>
  <si>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</si>
  <si>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</si>
  <si>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</si>
  <si>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</si>
  <si>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</si>
  <si>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</si>
  <si>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</si>
  <si>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</si>
  <si>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</si>
  <si>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</si>
  <si>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</si>
  <si>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</si>
  <si>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</si>
  <si>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</si>
  <si>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</si>
  <si>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</si>
  <si>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</si>
  <si>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</si>
  <si>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</si>
  <si>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</si>
  <si>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</si>
  <si>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</si>
  <si>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</si>
  <si>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</si>
  <si>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</si>
  <si>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</si>
  <si>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</si>
  <si>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</si>
  <si>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</si>
  <si>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</si>
  <si>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</si>
  <si>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</si>
  <si>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</si>
  <si>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</si>
  <si>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</si>
  <si>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</si>
  <si>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</si>
  <si>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</si>
  <si>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</si>
  <si>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</si>
  <si>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</si>
  <si>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</si>
  <si>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</si>
  <si>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</si>
  <si>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</si>
  <si>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</si>
  <si>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</si>
  <si>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</si>
  <si>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</si>
  <si>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</si>
  <si>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</si>
  <si>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</si>
  <si>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</si>
  <si>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</si>
  <si>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</si>
  <si>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</si>
  <si>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</si>
  <si>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</si>
  <si>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</si>
  <si>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</si>
  <si>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</si>
  <si>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</si>
  <si>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</si>
  <si>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</si>
  <si>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</si>
  <si>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</si>
  <si>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</si>
  <si>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</si>
  <si>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</si>
  <si>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</si>
  <si>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</si>
  <si>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</si>
  <si>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</si>
  <si>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</si>
  <si>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</si>
  <si>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</si>
  <si>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</si>
  <si>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</si>
  <si>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</si>
  <si>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</si>
  <si>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</si>
  <si>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</si>
  <si>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</si>
  <si>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</si>
  <si>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</si>
  <si>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</si>
  <si>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</si>
  <si>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</si>
  <si>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</si>
  <si>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</si>
  <si>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</si>
  <si>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</si>
  <si>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</si>
  <si>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</si>
  <si>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</si>
  <si>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</si>
  <si>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</si>
  <si>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</si>
  <si>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</si>
  <si>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</si>
  <si>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</si>
  <si>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</si>
  <si>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</si>
  <si>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</si>
  <si>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</si>
  <si>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</si>
  <si>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</si>
  <si>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</si>
  <si>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</si>
  <si>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</si>
  <si>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</si>
  <si>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</si>
  <si>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</si>
  <si>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</si>
  <si>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</si>
  <si>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Al Faisal Mart </t>
  </si>
  <si>
    <t xml:space="preserve">Address: Behria Nasheman </t>
  </si>
  <si>
    <t>352014023017-3</t>
  </si>
  <si>
    <t xml:space="preserve">Customer Name : MA Mart </t>
  </si>
  <si>
    <t xml:space="preserve">Customer Name : Sheen Mart </t>
  </si>
  <si>
    <t xml:space="preserve">Address: Central Park </t>
  </si>
  <si>
    <t xml:space="preserve">Customer Name : Gujjar Mart </t>
  </si>
  <si>
    <t xml:space="preserve">Customer Name : SM Rice Mart </t>
  </si>
  <si>
    <t xml:space="preserve">Customer Name : Khan Mart </t>
  </si>
  <si>
    <t xml:space="preserve">Customer Name : D Mart </t>
  </si>
  <si>
    <t>Customer Name : Safe Cash &amp; Carry</t>
  </si>
  <si>
    <t xml:space="preserve">Customer Name : B.B Cash &amp; Carry </t>
  </si>
  <si>
    <t>Address: Central Park Gate no 3</t>
  </si>
  <si>
    <t>Customer Name : Sheen Groccery Store</t>
  </si>
  <si>
    <t>4733136-5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</si>
</sst>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V24" sqref="V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Al Faisal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 Mart </v>
      </c>
      <c r="U15" s="164">
        <f>+'2'!P35</f>
        <v>819.91327680000006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335.76</v>
      </c>
      <c r="M16" s="106">
        <f>I16-K16-L16</f>
        <v>3714.3450000000003</v>
      </c>
      <c r="N16" s="101">
        <f>+'1'!N16+'2'!N16+'4'!N16+'3'!N16+'5'!N16+'6'!N16+'7'!N16+'8'!N16+'9'!N16+'10'!N16</f>
        <v>668.58209999999997</v>
      </c>
      <c r="O16" s="101">
        <f>+'1'!O16+'2'!O16+'4'!O16+'3'!O16+'5'!O16+'6'!O16+'7'!O16+'8'!O16+'9'!O16+'10'!O16</f>
        <v>109.5731775</v>
      </c>
      <c r="P16" s="105">
        <f t="shared" ref="P16:P24" si="0">M16+N16+O16</f>
        <v>4492.5002775000003</v>
      </c>
      <c r="Q16" s="108"/>
      <c r="T16" s="163" t="str">
        <f>+'3'!A5</f>
        <v xml:space="preserve">Customer Name : Sheen Mart </v>
      </c>
      <c r="U16" s="164">
        <f>+'3'!P35</f>
        <v>6098.9793407999996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109.5731775</v>
      </c>
      <c r="P17" s="120">
        <f t="shared" si="0"/>
        <v>4492.5002775000003</v>
      </c>
      <c r="S17" s="64"/>
      <c r="T17" s="163" t="str">
        <f>+'4'!A5</f>
        <v xml:space="preserve">Customer Name : Gujjar Mart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SM Rice Mart </v>
      </c>
      <c r="U18" s="164">
        <f>+'5'!P35</f>
        <v>1639.8265536000001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697.34400000000005</v>
      </c>
      <c r="M19" s="118">
        <f t="shared" si="2"/>
        <v>7714.3679999999995</v>
      </c>
      <c r="N19" s="101">
        <f>+'1'!N19+'2'!N19+'4'!N19+'3'!N19+'5'!N19+'6'!N19+'7'!N19+'8'!N19+'9'!N19+'10'!N19</f>
        <v>1388.5862400000001</v>
      </c>
      <c r="O19" s="101">
        <f>+'1'!O19+'2'!O19+'4'!O19+'3'!O19+'5'!O19+'6'!O19+'7'!O19+'8'!O19+'9'!O19+'10'!O19</f>
        <v>106.2011328</v>
      </c>
      <c r="P19" s="120">
        <f t="shared" si="0"/>
        <v>9209.1553727999999</v>
      </c>
      <c r="T19" s="163" t="str">
        <f>+'6'!A5</f>
        <v xml:space="preserve">Customer Name : Khan Mart </v>
      </c>
      <c r="U19" s="164">
        <f>+'6'!P35</f>
        <v>1639.8265536000001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 xml:space="preserve">Customer Name : D Mart </v>
      </c>
      <c r="U20" s="164">
        <f>+'7'!P35</f>
        <v>7860.1786175999996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75.857951999999997</v>
      </c>
      <c r="P21" s="120">
        <f t="shared" si="0"/>
        <v>3110.1760319999999</v>
      </c>
      <c r="T21" s="163" t="str">
        <f>+'8'!A5</f>
        <v>Customer Name : Safe Cash &amp; Carry</v>
      </c>
      <c r="U21" s="164">
        <f>+'8'!P35</f>
        <v>1607.8299379200002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420</v>
      </c>
      <c r="I22" s="1">
        <f t="shared" si="1"/>
        <v>16476.600000000002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1416.9875999999999</v>
      </c>
      <c r="L22" s="174">
        <f>+'1'!L22+'2'!L22+'4'!L22+'3'!L22+'5'!L22+'6'!L22+'7'!L22+'8'!L22+'9'!L22+'10'!L22</f>
        <v>823.83000000000015</v>
      </c>
      <c r="M22" s="118">
        <f t="shared" si="2"/>
        <v>14235.782400000002</v>
      </c>
      <c r="N22" s="101">
        <f>+'1'!N22+'2'!N22+'4'!N22+'3'!N22+'5'!N22+'6'!N22+'7'!N22+'8'!N22+'9'!N22+'10'!N22</f>
        <v>2562.4408320000002</v>
      </c>
      <c r="O22" s="101">
        <f>+'1'!O22+'2'!O22+'4'!O22+'3'!O22+'5'!O22+'6'!O22+'7'!O22+'8'!O22+'9'!O22+'10'!O22</f>
        <v>355.96234944000008</v>
      </c>
      <c r="P22" s="120">
        <f t="shared" si="0"/>
        <v>17154.185581440004</v>
      </c>
      <c r="T22" s="163" t="str">
        <f>+'9'!A5</f>
        <v xml:space="preserve">Customer Name : B.B Cash &amp; Carry </v>
      </c>
      <c r="U22" s="164">
        <f>+'9'!P35</f>
        <v>17184.133322999998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Sheen Groccery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19.5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780</v>
      </c>
      <c r="I25" s="177">
        <f t="shared" si="3"/>
        <v>39398.6</v>
      </c>
      <c r="J25" s="176">
        <f t="shared" si="3"/>
        <v>0</v>
      </c>
      <c r="K25" s="177">
        <f t="shared" si="3"/>
        <v>2219.2575999999999</v>
      </c>
      <c r="L25" s="178">
        <f t="shared" si="3"/>
        <v>2657.59</v>
      </c>
      <c r="M25" s="141">
        <f t="shared" si="3"/>
        <v>34521.752400000005</v>
      </c>
      <c r="N25" s="142">
        <f>SUM(N16:N24)</f>
        <v>6213.9154319999998</v>
      </c>
      <c r="O25" s="143">
        <f>SUM(O16:O24)</f>
        <v>772.33937964000006</v>
      </c>
      <c r="P25" s="144">
        <f>SUM(P16:P24)</f>
        <v>41508.007211639997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41508.007211639997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39398.6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2657.59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2219.2575999999999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34521.752399999998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6213.9154319999998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40735.667831999999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1018.3916958</v>
      </c>
    </row>
    <row r="43" spans="1:21" ht="15.75" customHeight="1" thickBot="1" x14ac:dyDescent="0.4">
      <c r="N43" s="212" t="s">
        <v>92</v>
      </c>
      <c r="O43" s="213"/>
      <c r="P43" s="160">
        <f>P41+P42</f>
        <v>41754.059527799996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75.857951999999997</v>
      </c>
      <c r="P19" s="120">
        <f t="shared" si="1"/>
        <v>3110.1760319999999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75.857951999999997</v>
      </c>
      <c r="P21" s="120">
        <f t="shared" si="1"/>
        <v>3110.1760319999999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1169.7661439999999</v>
      </c>
      <c r="O25" s="143">
        <f>SUM(O16:O24)</f>
        <v>191.71167360000001</v>
      </c>
      <c r="P25" s="144">
        <f>SUM(P16:P24)</f>
        <v>7860.1786175999996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7380.4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543.35599999999999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338.34320000000002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6498.7007999999996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7668.4669439999998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191.71167360000001</v>
      </c>
    </row>
    <row r="35" spans="2:16" ht="15.75" customHeight="1" thickBot="1" x14ac:dyDescent="0.4">
      <c r="N35" s="212" t="s">
        <v>92</v>
      </c>
      <c r="O35" s="213"/>
      <c r="P35" s="160">
        <f>P33+P34</f>
        <v>7860.1786175999996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35201945420090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109.5731775</v>
      </c>
      <c r="P16" s="105">
        <f t="shared" ref="P16:P24" si="1">M16+N16+O16</f>
        <v>4492.5002775000003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1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109.5731775</v>
      </c>
      <c r="P17" s="120">
        <f t="shared" si="1"/>
        <v>4492.5002775000003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04">
        <f>I22*8.6%</f>
        <v>674.75599999999997</v>
      </c>
      <c r="L22" s="120">
        <f>I22*5%</f>
        <v>392.30000000000007</v>
      </c>
      <c r="M22" s="118">
        <f t="shared" si="5"/>
        <v>6778.9440000000004</v>
      </c>
      <c r="N22" s="118">
        <f t="shared" si="0"/>
        <v>1220.20992</v>
      </c>
      <c r="O22" s="119">
        <f t="shared" si="6"/>
        <v>199.97884800000003</v>
      </c>
      <c r="P22" s="120">
        <f t="shared" si="1"/>
        <v>8199.1327680000013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360</v>
      </c>
      <c r="I25" s="137">
        <f t="shared" si="9"/>
        <v>16240</v>
      </c>
      <c r="J25" s="138"/>
      <c r="K25" s="139">
        <f t="shared" si="9"/>
        <v>968.54600000000005</v>
      </c>
      <c r="L25" s="140">
        <f t="shared" si="9"/>
        <v>1063.8200000000002</v>
      </c>
      <c r="M25" s="141">
        <f t="shared" si="9"/>
        <v>14207.634000000002</v>
      </c>
      <c r="N25" s="142">
        <f>SUM(N16:N24)</f>
        <v>2557.3741199999999</v>
      </c>
      <c r="O25" s="143">
        <f>SUM(O16:O24)</f>
        <v>419.12520300000006</v>
      </c>
      <c r="P25" s="144">
        <f>SUM(P16:P24)</f>
        <v>17184.133323000002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16240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1063.8200000000002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968.54600000000005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14207.634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2557.3741199999999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16765.008119999999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419.125203</v>
      </c>
    </row>
    <row r="35" spans="2:16" ht="15.75" customHeight="1" thickBot="1" x14ac:dyDescent="0.4">
      <c r="N35" s="212" t="s">
        <v>92</v>
      </c>
      <c r="O35" s="213"/>
      <c r="P35" s="160">
        <f>P33+P34</f>
        <v>17184.133322999998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2026-07-21T04:26:40Z</dcterms:modified>
</cp:coreProperties>
</file>