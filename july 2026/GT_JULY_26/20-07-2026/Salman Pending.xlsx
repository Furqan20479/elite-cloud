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7176E3A6-DCC6-4FC2-81B3-D4F49537FD6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19" i="19" l="1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<sst xmlns="http://schemas.openxmlformats.org/spreadsheetml/2006/main" count="1634" uniqueCount="136">
  <si>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</si>
  <si>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</si>
  <si>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</si>
  <si>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</si>
  <si>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</si>
  <si>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</si>
  <si>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</si>
  <si>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</si>
  <si>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</si>
  <si>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</si>
  <si>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</si>
  <si>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</si>
  <si>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</si>
  <si>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</si>
  <si>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</si>
  <si>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</si>
  <si>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</si>
  <si>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</si>
  <si>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</si>
  <si>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</si>
  <si>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</si>
  <si>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</si>
  <si>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</si>
  <si>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</si>
  <si>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</si>
  <si>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</si>
  <si>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</si>
  <si>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</si>
  <si>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</si>
  <si>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</si>
  <si>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</si>
  <si>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</si>
  <si>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</si>
  <si>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</si>
  <si>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</si>
  <si>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</si>
  <si>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</si>
  <si>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</si>
  <si>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</si>
  <si>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</si>
  <si>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</si>
  <si>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</si>
  <si>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</si>
  <si>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</si>
  <si>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</si>
  <si>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</si>
  <si>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</si>
  <si>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</si>
  <si>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</si>
  <si>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</si>
  <si>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</si>
  <si>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</si>
  <si>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</si>
  <si>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</si>
  <si>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</si>
  <si>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</si>
  <si>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</si>
  <si>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</si>
  <si>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</si>
  <si>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</si>
  <si>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</si>
  <si>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</si>
  <si>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</si>
  <si>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</si>
  <si>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</si>
  <si>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</si>
  <si>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</si>
  <si>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</si>
  <si>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</si>
  <si>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</si>
  <si>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</si>
  <si>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</si>
  <si>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</si>
  <si>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</si>
  <si>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</si>
  <si>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</si>
  <si>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</si>
  <si>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</si>
  <si>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</si>
  <si>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</si>
  <si>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</si>
  <si>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</si>
  <si>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</si>
  <si>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</si>
  <si>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</si>
  <si>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</si>
  <si>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</si>
  <si>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</si>
  <si>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</si>
  <si>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</si>
  <si>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</si>
  <si>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</si>
  <si>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</si>
  <si>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</si>
  <si>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</si>
  <si>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</si>
  <si>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</si>
  <si>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</si>
  <si>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</si>
  <si>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</si>
  <si>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</si>
  <si>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</si>
  <si>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</si>
  <si>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</si>
  <si>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</si>
  <si>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</si>
  <si>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</si>
  <si>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</si>
  <si>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</si>
  <si>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</si>
  <si>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</si>
  <si>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</si>
  <si>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</si>
  <si>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</si>
  <si>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</si>
  <si>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</si>
  <si>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</si>
  <si>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</si>
  <si>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</si>
  <si>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</si>
  <si>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Salman </t>
  </si>
  <si>
    <t>Shop Bill Summary(Salman)</t>
  </si>
  <si>
    <t>Customer Name : Madian Bakery</t>
  </si>
  <si>
    <t xml:space="preserve">Address: Dharampura Chowk </t>
  </si>
  <si>
    <t>Customer Name : Bhai Bhai Medical Store</t>
  </si>
  <si>
    <t>Address: Dharampura Road</t>
  </si>
  <si>
    <t>0159676-4</t>
  </si>
  <si>
    <t>Customer Name : Tanveer Store</t>
  </si>
  <si>
    <t>Address: Dharampura</t>
  </si>
  <si>
    <t>Customer Name : Toqeer Store</t>
  </si>
  <si>
    <t xml:space="preserve">Address: Dharampura </t>
  </si>
  <si>
    <t>Customer Name : Food Rite</t>
  </si>
  <si>
    <t xml:space="preserve">Customer Name : Shell Tuck Shop </t>
  </si>
  <si>
    <t>Address: Zafer Ali Road</t>
  </si>
  <si>
    <t>7325944-7</t>
  </si>
  <si>
    <t>Customer Name : 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</si>
</sst>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top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T10" sqref="T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7" t="s">
        <v>45</v>
      </c>
      <c r="B2" s="207"/>
      <c r="C2" s="207"/>
    </row>
    <row r="3" spans="1:21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2" t="s">
        <v>120</v>
      </c>
      <c r="B5" s="212"/>
      <c r="C5" s="212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21 16383:16384" ht="15" customHeight="1" x14ac:dyDescent="0.35">
      <c r="A6" s="212"/>
      <c r="B6" s="212"/>
      <c r="C6" s="212"/>
      <c r="F6" s="70"/>
      <c r="G6" s="74"/>
      <c r="K6" s="209" t="s">
        <v>52</v>
      </c>
      <c r="L6" s="209"/>
      <c r="M6" s="209"/>
      <c r="N6" s="211" t="s">
        <v>42</v>
      </c>
      <c r="O6" s="211"/>
      <c r="P6" s="21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1 16383:16384" hidden="1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1 16383:16384" x14ac:dyDescent="0.35">
      <c r="A10" s="214"/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1 16383:16384" ht="15" thickBot="1" x14ac:dyDescent="0.4">
      <c r="A11" s="214"/>
      <c r="B11" s="76"/>
      <c r="C11" s="77"/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1 16383:16384" ht="14.65" customHeight="1" x14ac:dyDescent="0.35">
      <c r="A12" s="214"/>
      <c r="B12" s="76"/>
      <c r="C12" s="77"/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T12" s="223" t="s">
        <v>121</v>
      </c>
      <c r="U12" s="224"/>
      <c r="XFD12" t="s">
        <v>62</v>
      </c>
    </row>
    <row r="13" spans="1:21 16383:16384" ht="15" thickBot="1" x14ac:dyDescent="0.4">
      <c r="A13" s="251"/>
      <c r="J13" s="78"/>
      <c r="K13" s="78"/>
      <c r="L13" s="79">
        <v>0.05</v>
      </c>
      <c r="T13" s="225"/>
      <c r="U13" s="226"/>
      <c r="XFD13" t="s">
        <v>63</v>
      </c>
    </row>
    <row r="14" spans="1:21 16383:16384" ht="29.25" customHeight="1" x14ac:dyDescent="0.6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17" t="s">
        <v>68</v>
      </c>
      <c r="H14" s="218"/>
      <c r="I14" s="218" t="s">
        <v>69</v>
      </c>
      <c r="J14" s="218" t="s">
        <v>70</v>
      </c>
      <c r="K14" s="218"/>
      <c r="L14" s="220"/>
      <c r="M14" s="22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Madian Bakery</v>
      </c>
      <c r="U14" s="164">
        <f>+'1'!P35</f>
        <v>1607.8299379200002</v>
      </c>
      <c r="XFD14" t="s">
        <v>75</v>
      </c>
    </row>
    <row r="15" spans="1:21 16383:16384" ht="29.25" customHeight="1" thickBot="1" x14ac:dyDescent="0.65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9"/>
      <c r="J15" s="169" t="s">
        <v>78</v>
      </c>
      <c r="K15" s="169" t="s">
        <v>79</v>
      </c>
      <c r="L15" s="172" t="s">
        <v>80</v>
      </c>
      <c r="M15" s="22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Bhai Bhai Medical Store</v>
      </c>
      <c r="U15" s="164">
        <f>+'2'!P35</f>
        <v>482.34898137600004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22.03425</v>
      </c>
      <c r="L16" s="173">
        <f>+'1'!L16+'2'!L16+'4'!L16+'3'!L16+'5'!L16+'6'!L16+'7'!L16+'8'!L16+'9'!L16+'10'!L16</f>
        <v>50.363999999999997</v>
      </c>
      <c r="M16" s="106">
        <f>I16-K16-L16</f>
        <v>557.15174999999988</v>
      </c>
      <c r="N16" s="101">
        <f>+'1'!N16+'2'!N16+'4'!N16+'3'!N16+'5'!N16+'6'!N16+'7'!N16+'8'!N16+'9'!N16+'10'!N16</f>
        <v>100.28731499999998</v>
      </c>
      <c r="O16" s="101">
        <f>+'1'!O16+'2'!O16+'4'!O16+'3'!O16+'5'!O16+'6'!O16+'7'!O16+'8'!O16+'9'!O16+'10'!O16</f>
        <v>3.287195324999999</v>
      </c>
      <c r="P16" s="105">
        <f t="shared" ref="P16:P24" si="0">M16+N16+O16</f>
        <v>660.72626032499977</v>
      </c>
      <c r="Q16" s="108"/>
      <c r="T16" s="163" t="str">
        <f>+'3'!A5</f>
        <v>Customer Name : Tanveer Store</v>
      </c>
      <c r="U16" s="164">
        <f>+'3'!P35</f>
        <v>2794.3917649920004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22.03425</v>
      </c>
      <c r="L17" s="173">
        <f>+'1'!L17+'2'!L17+'4'!L17+'3'!L17+'5'!L17+'6'!L17+'7'!L17+'8'!L17+'9'!L17+'10'!L17</f>
        <v>50.363999999999997</v>
      </c>
      <c r="M17" s="118">
        <f t="shared" ref="M17:M23" si="2">I17-K17-L17</f>
        <v>557.15174999999988</v>
      </c>
      <c r="N17" s="101">
        <f>+'1'!N17+'2'!N17+'4'!N17+'3'!N17+'5'!N17+'6'!N17+'7'!N17+'8'!N17+'9'!N17+'10'!N17</f>
        <v>100.28731499999998</v>
      </c>
      <c r="O17" s="101">
        <f>+'1'!O17+'2'!O17+'4'!O17+'3'!O17+'5'!O17+'6'!O17+'7'!O17+'8'!O17+'9'!O17+'10'!O17</f>
        <v>3.287195324999999</v>
      </c>
      <c r="P17" s="120">
        <f t="shared" si="0"/>
        <v>660.72626032499977</v>
      </c>
      <c r="S17" s="64"/>
      <c r="T17" s="163" t="str">
        <f>+'4'!A5</f>
        <v>Customer Name : Toqeer Store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Food Rite</v>
      </c>
      <c r="U18" s="164">
        <f>+'5'!P35</f>
        <v>5014.0741662179998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77</v>
      </c>
      <c r="I19" s="1">
        <f t="shared" si="1"/>
        <v>5593.28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195.76480000000004</v>
      </c>
      <c r="L19" s="173">
        <f>+'1'!L19+'2'!L19+'4'!L19+'3'!L19+'5'!L19+'6'!L19+'7'!L19+'8'!L19+'9'!L19+'10'!L19</f>
        <v>447.4624</v>
      </c>
      <c r="M19" s="118">
        <f t="shared" si="2"/>
        <v>4950.0527999999995</v>
      </c>
      <c r="N19" s="101">
        <f>+'1'!N19+'2'!N19+'4'!N19+'3'!N19+'5'!N19+'6'!N19+'7'!N19+'8'!N19+'9'!N19+'10'!N19</f>
        <v>891.00950399999988</v>
      </c>
      <c r="O19" s="101">
        <f>+'1'!O19+'2'!O19+'4'!O19+'3'!O19+'5'!O19+'6'!O19+'7'!O19+'8'!O19+'9'!O19+'10'!O19</f>
        <v>29.205311519999999</v>
      </c>
      <c r="P19" s="120">
        <f t="shared" si="0"/>
        <v>5870.2676155199988</v>
      </c>
      <c r="T19" s="163" t="str">
        <f>+'6'!A5</f>
        <v xml:space="preserve">Customer Name : Shell Tuck Shop 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30</v>
      </c>
      <c r="I20" s="1">
        <f t="shared" si="1"/>
        <v>2179.1999999999998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76.272000000000006</v>
      </c>
      <c r="L20" s="173">
        <f>+'1'!L20+'2'!L20+'4'!L20+'3'!L20+'5'!L20+'6'!L20+'7'!L20+'8'!L20+'9'!L20+'10'!L20</f>
        <v>174.33600000000001</v>
      </c>
      <c r="M20" s="118">
        <f t="shared" si="2"/>
        <v>1928.5919999999999</v>
      </c>
      <c r="N20" s="101">
        <f>+'1'!N20+'2'!N20+'4'!N20+'3'!N20+'5'!N20+'6'!N20+'7'!N20+'8'!N20+'9'!N20+'10'!N20</f>
        <v>347.14656000000002</v>
      </c>
      <c r="O20" s="101">
        <f>+'1'!O20+'2'!O20+'4'!O20+'3'!O20+'5'!O20+'6'!O20+'7'!O20+'8'!O20+'9'!O20+'10'!O20</f>
        <v>11.3786928</v>
      </c>
      <c r="P20" s="120">
        <f t="shared" si="0"/>
        <v>2287.1172527999997</v>
      </c>
      <c r="T20" s="163" t="str">
        <f>+'7'!A5</f>
        <v>Customer Name : Sohail Store</v>
      </c>
      <c r="U20" s="164">
        <f>+'7'!P35</f>
        <v>4657.31960832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77</v>
      </c>
      <c r="I21" s="1">
        <f t="shared" si="1"/>
        <v>5593.28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195.76480000000004</v>
      </c>
      <c r="L21" s="173">
        <f>+'1'!L21+'2'!L21+'4'!L21+'3'!L21+'5'!L21+'6'!L21+'7'!L21+'8'!L21+'9'!L21+'10'!L21</f>
        <v>447.4624</v>
      </c>
      <c r="M21" s="118">
        <f t="shared" si="2"/>
        <v>4950.0527999999995</v>
      </c>
      <c r="N21" s="101">
        <f>+'1'!N21+'2'!N21+'4'!N21+'3'!N21+'5'!N21+'6'!N21+'7'!N21+'8'!N21+'9'!N21+'10'!N21</f>
        <v>891.00950399999988</v>
      </c>
      <c r="O21" s="101">
        <f>+'1'!O21+'2'!O21+'4'!O21+'3'!O21+'5'!O21+'6'!O21+'7'!O21+'8'!O21+'9'!O21+'10'!O21</f>
        <v>29.205311519999999</v>
      </c>
      <c r="P21" s="120">
        <f t="shared" si="0"/>
        <v>5870.2676155199988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132</v>
      </c>
      <c r="I22" s="1">
        <f t="shared" si="1"/>
        <v>5178.3600000000006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445.33896000000004</v>
      </c>
      <c r="L22" s="173">
        <f>+'1'!L22+'2'!L22+'4'!L22+'3'!L22+'5'!L22+'6'!L22+'7'!L22+'8'!L22+'9'!L22+'10'!L22</f>
        <v>258.91800000000006</v>
      </c>
      <c r="M22" s="118">
        <f t="shared" si="2"/>
        <v>4474.1030400000009</v>
      </c>
      <c r="N22" s="101">
        <f>+'1'!N22+'2'!N22+'4'!N22+'3'!N22+'5'!N22+'6'!N22+'7'!N22+'8'!N22+'9'!N22+'10'!N22</f>
        <v>805.33854720000011</v>
      </c>
      <c r="O22" s="101">
        <f>+'1'!O22+'2'!O22+'4'!O22+'3'!O22+'5'!O22+'6'!O22+'7'!O22+'8'!O22+'9'!O22+'10'!O22</f>
        <v>26.397207936000004</v>
      </c>
      <c r="P22" s="120">
        <f t="shared" si="0"/>
        <v>5305.838795136001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3" t="s">
        <v>84</v>
      </c>
      <c r="B25" s="234"/>
      <c r="C25" s="235">
        <f>H25/40</f>
        <v>8.5</v>
      </c>
      <c r="D25" s="229"/>
      <c r="E25" s="229"/>
      <c r="F25" s="229"/>
      <c r="G25" s="174">
        <f t="shared" ref="G25:M25" si="3">SUM(G16:G24)</f>
        <v>0</v>
      </c>
      <c r="H25" s="175">
        <f t="shared" si="3"/>
        <v>340</v>
      </c>
      <c r="I25" s="176">
        <f t="shared" si="3"/>
        <v>19803.219999999998</v>
      </c>
      <c r="J25" s="175">
        <f t="shared" si="3"/>
        <v>0</v>
      </c>
      <c r="K25" s="176">
        <f t="shared" si="3"/>
        <v>957.20906000000014</v>
      </c>
      <c r="L25" s="177">
        <f t="shared" si="3"/>
        <v>1428.9068000000002</v>
      </c>
      <c r="M25" s="141">
        <f t="shared" si="3"/>
        <v>17417.104139999999</v>
      </c>
      <c r="N25" s="142">
        <f>SUM(N16:N24)</f>
        <v>3135.0787451999995</v>
      </c>
      <c r="O25" s="143">
        <f>SUM(O16:O24)</f>
        <v>102.76091442599999</v>
      </c>
      <c r="P25" s="144">
        <f>SUM(P16:P24)</f>
        <v>20654.943799625999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20654.943799626002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6" t="s">
        <v>85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N36" s="245" t="s">
        <v>86</v>
      </c>
      <c r="O36" s="246"/>
      <c r="P36" s="152">
        <f>I25</f>
        <v>19803.219999999998</v>
      </c>
    </row>
    <row r="37" spans="1:21" ht="15" customHeight="1" x14ac:dyDescent="0.35">
      <c r="B37" s="239"/>
      <c r="C37" s="240"/>
      <c r="D37" s="240"/>
      <c r="E37" s="240"/>
      <c r="F37" s="240"/>
      <c r="G37" s="240"/>
      <c r="H37" s="240"/>
      <c r="I37" s="240"/>
      <c r="J37" s="240"/>
      <c r="K37" s="240"/>
      <c r="L37" s="241"/>
      <c r="N37" s="247" t="s">
        <v>87</v>
      </c>
      <c r="O37" s="248"/>
      <c r="P37" s="153">
        <f>L25</f>
        <v>1428.9068000000002</v>
      </c>
    </row>
    <row r="38" spans="1:21" ht="15" customHeight="1" x14ac:dyDescent="0.35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1"/>
      <c r="N38" s="247" t="s">
        <v>4</v>
      </c>
      <c r="O38" s="248"/>
      <c r="P38" s="154">
        <f>K25</f>
        <v>957.20906000000014</v>
      </c>
    </row>
    <row r="39" spans="1:21" ht="15" customHeight="1" x14ac:dyDescent="0.35">
      <c r="B39" s="239"/>
      <c r="C39" s="240"/>
      <c r="D39" s="240"/>
      <c r="E39" s="240"/>
      <c r="F39" s="240"/>
      <c r="G39" s="240"/>
      <c r="H39" s="240"/>
      <c r="I39" s="240"/>
      <c r="J39" s="240"/>
      <c r="K39" s="240"/>
      <c r="L39" s="241"/>
      <c r="M39" s="2"/>
      <c r="N39" s="247" t="s">
        <v>88</v>
      </c>
      <c r="O39" s="248"/>
      <c r="P39" s="153">
        <f>P36-P37-P38</f>
        <v>17417.104139999996</v>
      </c>
    </row>
    <row r="40" spans="1:21" ht="15" customHeight="1" x14ac:dyDescent="0.35">
      <c r="B40" s="239"/>
      <c r="C40" s="240"/>
      <c r="D40" s="240"/>
      <c r="E40" s="240"/>
      <c r="F40" s="240"/>
      <c r="G40" s="240"/>
      <c r="H40" s="240"/>
      <c r="I40" s="240"/>
      <c r="J40" s="240"/>
      <c r="K40" s="240"/>
      <c r="L40" s="241"/>
      <c r="M40" s="2"/>
      <c r="N40" s="155" t="s">
        <v>89</v>
      </c>
      <c r="O40" s="156">
        <f>IF(B12="Registered",18%,22%)</f>
        <v>0.22</v>
      </c>
      <c r="P40" s="153">
        <f>N25</f>
        <v>3135.0787451999995</v>
      </c>
    </row>
    <row r="41" spans="1:21" ht="15" customHeight="1" x14ac:dyDescent="0.35">
      <c r="B41" s="239"/>
      <c r="C41" s="240"/>
      <c r="D41" s="240"/>
      <c r="E41" s="240"/>
      <c r="F41" s="240"/>
      <c r="G41" s="240"/>
      <c r="H41" s="240"/>
      <c r="I41" s="240"/>
      <c r="J41" s="240"/>
      <c r="K41" s="240"/>
      <c r="L41" s="241"/>
      <c r="M41" s="2"/>
      <c r="N41" s="249" t="s">
        <v>90</v>
      </c>
      <c r="O41" s="250"/>
      <c r="P41" s="153">
        <f>P39+P40</f>
        <v>20552.182885199996</v>
      </c>
    </row>
    <row r="42" spans="1:21" ht="15" customHeight="1" thickBot="1" x14ac:dyDescent="0.4">
      <c r="B42" s="242"/>
      <c r="C42" s="243"/>
      <c r="D42" s="243"/>
      <c r="E42" s="243"/>
      <c r="F42" s="243"/>
      <c r="G42" s="243"/>
      <c r="H42" s="243"/>
      <c r="I42" s="243"/>
      <c r="J42" s="243"/>
      <c r="K42" s="243"/>
      <c r="L42" s="244"/>
      <c r="M42" s="157"/>
      <c r="N42" s="158" t="s">
        <v>91</v>
      </c>
      <c r="O42" s="159">
        <f>IF(B11="Filer",0.5%,2.5%)</f>
        <v>2.5000000000000001E-2</v>
      </c>
      <c r="P42" s="153">
        <f>O42*P41</f>
        <v>513.80457212999988</v>
      </c>
    </row>
    <row r="43" spans="1:21" ht="15.75" customHeight="1" thickBot="1" x14ac:dyDescent="0.4">
      <c r="N43" s="227" t="s">
        <v>92</v>
      </c>
      <c r="O43" s="228"/>
      <c r="P43" s="160">
        <f>P41+P42</f>
        <v>21065.987457329997</v>
      </c>
    </row>
    <row r="44" spans="1:21" ht="15" thickBot="1" x14ac:dyDescent="0.4">
      <c r="B44" s="161" t="s">
        <v>93</v>
      </c>
      <c r="C44" s="229"/>
      <c r="D44" s="229"/>
      <c r="E44" s="229"/>
      <c r="F44" s="229"/>
      <c r="G44" s="229"/>
      <c r="H44" s="229"/>
      <c r="I44" s="230"/>
      <c r="J44" s="231"/>
      <c r="K44" s="232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7" t="s">
        <v>45</v>
      </c>
      <c r="B2" s="207"/>
      <c r="C2" s="207"/>
    </row>
    <row r="3" spans="1:26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4" t="s">
        <v>122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26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6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6 16383:16384" x14ac:dyDescent="0.35">
      <c r="A10" s="214" t="s">
        <v>95</v>
      </c>
      <c r="B10" s="75">
        <v>561651651651651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6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6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26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S14" s="261" t="s">
        <v>117</v>
      </c>
      <c r="T14" s="261"/>
      <c r="U14" s="261"/>
      <c r="V14" s="261"/>
      <c r="W14" s="262" t="s">
        <v>119</v>
      </c>
      <c r="X14" s="262"/>
      <c r="Y14" s="262"/>
      <c r="Z14" s="262"/>
      <c r="XFD14" t="s">
        <v>75</v>
      </c>
    </row>
    <row r="15" spans="1:26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3" t="s">
        <v>118</v>
      </c>
      <c r="T19" s="263"/>
      <c r="U19" s="263"/>
      <c r="V19" s="263"/>
      <c r="W19" s="264" t="s">
        <v>116</v>
      </c>
      <c r="X19" s="264"/>
      <c r="Y19" s="264"/>
      <c r="Z19" s="264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1569.2000000000003</v>
      </c>
      <c r="J25" s="138"/>
      <c r="K25" s="139">
        <f t="shared" si="13"/>
        <v>134.9512</v>
      </c>
      <c r="L25" s="140">
        <f t="shared" si="13"/>
        <v>78.460000000000022</v>
      </c>
      <c r="M25" s="141">
        <f t="shared" si="13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1569.2000000000003</v>
      </c>
    </row>
    <row r="29" spans="1:26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78.460000000000022</v>
      </c>
    </row>
    <row r="30" spans="1:26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134.9512</v>
      </c>
    </row>
    <row r="31" spans="1:26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1355.7888000000003</v>
      </c>
    </row>
    <row r="32" spans="1:26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1599.8307840000002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7" t="s">
        <v>92</v>
      </c>
      <c r="O35" s="228"/>
      <c r="P35" s="160">
        <f>P33+P34</f>
        <v>1607.8299379200002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2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124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 t="s">
        <v>126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2.3997461760000003</v>
      </c>
      <c r="P25" s="144">
        <f>SUM(P16:P24)</f>
        <v>482.34898137600004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470.76000000000005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23.538000000000004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40.48536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406.73664000000002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479.94923520000003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2.3997461760000003</v>
      </c>
    </row>
    <row r="35" spans="2:16" ht="15.75" customHeight="1" thickBot="1" x14ac:dyDescent="0.4">
      <c r="N35" s="227" t="s">
        <v>92</v>
      </c>
      <c r="O35" s="228"/>
      <c r="P35" s="160">
        <f>P33+P34</f>
        <v>482.34898137600004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4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127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128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265">
        <v>32151561561561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138.85862399999999</v>
      </c>
      <c r="O19" s="119">
        <f t="shared" si="6"/>
        <v>4.5514771200000004</v>
      </c>
      <c r="P19" s="120">
        <f t="shared" si="1"/>
        <v>914.84690111999998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48</v>
      </c>
      <c r="I25" s="137">
        <f t="shared" si="9"/>
        <v>2684.88</v>
      </c>
      <c r="J25" s="138"/>
      <c r="K25" s="139">
        <f t="shared" si="9"/>
        <v>141.98832000000002</v>
      </c>
      <c r="L25" s="140">
        <f t="shared" si="9"/>
        <v>186.54480000000001</v>
      </c>
      <c r="M25" s="141">
        <f t="shared" si="9"/>
        <v>2356.3468800000001</v>
      </c>
      <c r="N25" s="142">
        <f>SUM(N16:N24)</f>
        <v>424.14243839999995</v>
      </c>
      <c r="O25" s="143">
        <f>SUM(O16:O24)</f>
        <v>13.902446592</v>
      </c>
      <c r="P25" s="144">
        <f>SUM(P16:P24)</f>
        <v>2794.3917649919999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2684.88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186.54480000000001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141.98832000000002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2356.3468800000001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424.14243839999995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2780.4893184000002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13.902446592000002</v>
      </c>
    </row>
    <row r="35" spans="2:16" ht="15.75" customHeight="1" thickBot="1" x14ac:dyDescent="0.4">
      <c r="N35" s="227" t="s">
        <v>92</v>
      </c>
      <c r="O35" s="228"/>
      <c r="P35" s="160">
        <f>P33+P34</f>
        <v>2794.3917649920004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3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129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130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516165156156156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101.69600000000001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5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131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128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1561561651651560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3.287195324999999</v>
      </c>
      <c r="P16" s="105">
        <f t="shared" ref="P16:P24" si="1">M16+N16+O16</f>
        <v>660.72626032499977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3.287195324999999</v>
      </c>
      <c r="P17" s="120">
        <f t="shared" si="1"/>
        <v>660.72626032499977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16</v>
      </c>
      <c r="I22" s="116">
        <f t="shared" si="2"/>
        <v>627.68000000000006</v>
      </c>
      <c r="J22" s="117"/>
      <c r="K22" s="104">
        <f>I22*8.6%</f>
        <v>53.98048</v>
      </c>
      <c r="L22" s="120">
        <f>I22*5%</f>
        <v>31.384000000000004</v>
      </c>
      <c r="M22" s="118">
        <f t="shared" si="5"/>
        <v>542.31552000000011</v>
      </c>
      <c r="N22" s="118">
        <f t="shared" si="0"/>
        <v>97.616793600000022</v>
      </c>
      <c r="O22" s="119">
        <f t="shared" si="6"/>
        <v>3.1996615680000007</v>
      </c>
      <c r="P22" s="120">
        <f t="shared" si="1"/>
        <v>643.13197516800017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4792.38</v>
      </c>
      <c r="J25" s="138"/>
      <c r="K25" s="139">
        <f t="shared" si="9"/>
        <v>199.74498</v>
      </c>
      <c r="L25" s="140">
        <f t="shared" si="9"/>
        <v>364.56</v>
      </c>
      <c r="M25" s="141">
        <f t="shared" si="9"/>
        <v>4228.0750200000002</v>
      </c>
      <c r="N25" s="142">
        <f>SUM(N16:N24)</f>
        <v>761.05350359999989</v>
      </c>
      <c r="O25" s="143">
        <f>SUM(O16:O24)</f>
        <v>24.945642617999997</v>
      </c>
      <c r="P25" s="144">
        <f>SUM(P16:P24)</f>
        <v>5014.0741662179998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4792.38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364.56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199.74498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4228.0750199999993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761.05350359999989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4989.1285235999994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24.945642617999997</v>
      </c>
    </row>
    <row r="35" spans="2:16" ht="15.75" customHeight="1" thickBot="1" x14ac:dyDescent="0.4">
      <c r="N35" s="227" t="s">
        <v>92</v>
      </c>
      <c r="O35" s="228"/>
      <c r="P35" s="160">
        <f>P33+P34</f>
        <v>5014.0741662179998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6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133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 t="s">
        <v>134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101.69600000000001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7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135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128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561651651651651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2"/>
        <v>2179.1999999999998</v>
      </c>
      <c r="J19" s="117"/>
      <c r="K19" s="104">
        <f t="shared" si="3"/>
        <v>76.272000000000006</v>
      </c>
      <c r="L19" s="105">
        <f t="shared" si="4"/>
        <v>174.33599999999998</v>
      </c>
      <c r="M19" s="118">
        <f t="shared" si="5"/>
        <v>1928.5919999999999</v>
      </c>
      <c r="N19" s="118">
        <f t="shared" si="0"/>
        <v>347.14655999999997</v>
      </c>
      <c r="O19" s="119">
        <f t="shared" si="6"/>
        <v>11.3786928</v>
      </c>
      <c r="P19" s="120">
        <f t="shared" si="1"/>
        <v>2287.1172527999997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4474.8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310.90800000000002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236.6472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3927.2447999999999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4634.1488639999998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7" t="s">
        <v>92</v>
      </c>
      <c r="O35" s="228"/>
      <c r="P35" s="160">
        <f>P33+P34</f>
        <v>4657.31960832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8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9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46223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46222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2026-07-20T04:35:11Z</dcterms:modified>
</cp:coreProperties>
</file>