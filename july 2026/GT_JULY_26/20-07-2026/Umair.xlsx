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filterPrivacy="1" codeName="ThisWorkbook" defaultThemeVersion="124226"/>
  <xr:revisionPtr revIDLastSave="0" documentId="13_ncr:1_{9F647FD3-1B87-4127-8C14-C1552BBD8A81}" xr6:coauthVersionLast="47" xr6:coauthVersionMax="47" xr10:uidLastSave="{00000000-0000-0000-0000-000000000000}"/>
  <bookViews>
    <workbookView xWindow="-110" yWindow="-110" windowWidth="19420" windowHeight="10420" tabRatio="949" activeTab="2" xr2:uid="{00000000-000D-0000-FFFF-FFFF00000000}"/>
  </bookViews>
  <sheets>
    <sheet name="Sheet2" sheetId="13" r:id="rId1"/>
    <sheet name="Cust. Price List" sheetId="6" r:id="rId2"/>
    <sheet name="Format" sheetId="15" r:id="rId3"/>
    <sheet name="1" sheetId="16" r:id="rId4"/>
    <sheet name="2" sheetId="17" r:id="rId5"/>
    <sheet name="3" sheetId="19" r:id="rId6"/>
    <sheet name="4" sheetId="18" r:id="rId7"/>
    <sheet name="5" sheetId="20" r:id="rId8"/>
    <sheet name="6" sheetId="21" r:id="rId9"/>
    <sheet name="7" sheetId="22" r:id="rId10"/>
    <sheet name="8" sheetId="23" r:id="rId11"/>
    <sheet name="9" sheetId="24" r:id="rId12"/>
    <sheet name="10" sheetId="25" r:id="rId13"/>
    <sheet name="11" sheetId="26" r:id="rId14"/>
    <sheet name="12" sheetId="27" r:id="rId15"/>
    <sheet name="13" sheetId="28" r:id="rId16"/>
    <sheet name="14" sheetId="29" r:id="rId17"/>
    <sheet name="15" sheetId="30" r:id="rId18"/>
    <sheet name="16" sheetId="31" r:id="rId19"/>
    <sheet name="17" sheetId="32" r:id="rId20"/>
    <sheet name="18" sheetId="33" r:id="rId21"/>
    <sheet name="19" sheetId="34" r:id="rId22"/>
    <sheet name="20" sheetId="35" r:id="rId23"/>
  </sheets>
  <externalReferences>
    <externalReference r:id="rId24"/>
  </externalReferences>
  <definedNames>
    <definedName name="_xlnm._FilterDatabase" localSheetId="3" hidden="1">'1'!$K$3:$P$6</definedName>
    <definedName name="_xlnm._FilterDatabase" localSheetId="1" hidden="1">'Cust. Price List'!$A$7:$Q$7</definedName>
  </definedNames>
  <calcPr calcId="191029"/>
</workbook>
</file>

<file path=xl/calcChain.xml><?xml version="1.0" encoding="utf-8"?>
<calcChain xmlns="http://schemas.openxmlformats.org/spreadsheetml/2006/main">
  <c r="Z23" i="16" l="1"/>
  <c r="Z24" i="16"/>
  <c r="Z25" i="16"/>
  <c r="V22" i="16"/>
  <c r="V23" i="16"/>
  <c r="V24" i="16"/>
  <c r="V25" i="16"/>
  <c r="V21" i="16"/>
  <c r="Z22" i="16"/>
  <c r="Z21" i="16"/>
  <c r="Z18" i="16"/>
  <c r="Z17" i="16"/>
  <c r="Z16" i="16"/>
  <c r="V17" i="16"/>
  <c r="V18" i="16"/>
  <c r="V16" i="16"/>
  <c r="T33" i="15"/>
  <c r="T32" i="15"/>
  <c r="T31" i="15"/>
  <c r="T30" i="15"/>
  <c r="T29" i="15"/>
  <c r="J17" i="15"/>
  <c r="J18" i="15"/>
  <c r="J19" i="15"/>
  <c r="J20" i="15"/>
  <c r="J21" i="15"/>
  <c r="J22" i="15"/>
  <c r="J23" i="15"/>
  <c r="J24" i="15"/>
  <c r="J16" i="15"/>
  <c r="H17" i="15"/>
  <c r="H18" i="15"/>
  <c r="H19" i="15"/>
  <c r="H20" i="15"/>
  <c r="H21" i="15"/>
  <c r="H22" i="15"/>
  <c r="H23" i="15"/>
  <c r="H24" i="15"/>
  <c r="H16" i="15"/>
  <c r="T17" i="15"/>
  <c r="T16" i="15"/>
  <c r="T28" i="15" l="1"/>
  <c r="T27" i="15"/>
  <c r="T26" i="15"/>
  <c r="O34" i="35"/>
  <c r="O32" i="35"/>
  <c r="H25" i="35"/>
  <c r="G25" i="35"/>
  <c r="F24" i="35"/>
  <c r="E24" i="35"/>
  <c r="D24" i="35"/>
  <c r="I24" i="35" s="1"/>
  <c r="B24" i="35"/>
  <c r="C24" i="35" s="1"/>
  <c r="F23" i="35"/>
  <c r="E23" i="35"/>
  <c r="D23" i="35"/>
  <c r="I23" i="35" s="1"/>
  <c r="B23" i="35"/>
  <c r="C23" i="35" s="1"/>
  <c r="F22" i="35"/>
  <c r="E22" i="35"/>
  <c r="D22" i="35"/>
  <c r="I22" i="35" s="1"/>
  <c r="B22" i="35"/>
  <c r="C22" i="35" s="1"/>
  <c r="F21" i="35"/>
  <c r="E21" i="35"/>
  <c r="D21" i="35"/>
  <c r="I21" i="35" s="1"/>
  <c r="K21" i="35" s="1"/>
  <c r="B21" i="35"/>
  <c r="C21" i="35" s="1"/>
  <c r="F20" i="35"/>
  <c r="E20" i="35"/>
  <c r="D20" i="35"/>
  <c r="I20" i="35" s="1"/>
  <c r="K20" i="35" s="1"/>
  <c r="B20" i="35"/>
  <c r="C20" i="35" s="1"/>
  <c r="F19" i="35"/>
  <c r="E19" i="35"/>
  <c r="D19" i="35"/>
  <c r="I19" i="35" s="1"/>
  <c r="K19" i="35" s="1"/>
  <c r="B19" i="35"/>
  <c r="C19" i="35" s="1"/>
  <c r="F18" i="35"/>
  <c r="E18" i="35"/>
  <c r="D18" i="35"/>
  <c r="I18" i="35" s="1"/>
  <c r="K18" i="35" s="1"/>
  <c r="B18" i="35"/>
  <c r="C18" i="35" s="1"/>
  <c r="F17" i="35"/>
  <c r="E17" i="35"/>
  <c r="D17" i="35"/>
  <c r="I17" i="35" s="1"/>
  <c r="K17" i="35" s="1"/>
  <c r="B17" i="35"/>
  <c r="C17" i="35" s="1"/>
  <c r="F16" i="35"/>
  <c r="E16" i="35"/>
  <c r="D16" i="35"/>
  <c r="I16" i="35" s="1"/>
  <c r="K16" i="35" s="1"/>
  <c r="C16" i="35"/>
  <c r="B16" i="35"/>
  <c r="O15" i="35"/>
  <c r="N15" i="35"/>
  <c r="C12" i="35"/>
  <c r="C11" i="35"/>
  <c r="N4" i="35"/>
  <c r="N5" i="35" s="1"/>
  <c r="O34" i="34"/>
  <c r="O32" i="34"/>
  <c r="H25" i="34"/>
  <c r="G25" i="34"/>
  <c r="F24" i="34"/>
  <c r="E24" i="34"/>
  <c r="D24" i="34"/>
  <c r="B24" i="34"/>
  <c r="C24" i="34" s="1"/>
  <c r="F23" i="34"/>
  <c r="E23" i="34"/>
  <c r="D23" i="34"/>
  <c r="B23" i="34"/>
  <c r="C23" i="34" s="1"/>
  <c r="F22" i="34"/>
  <c r="E22" i="34"/>
  <c r="D22" i="34"/>
  <c r="B22" i="34"/>
  <c r="C22" i="34" s="1"/>
  <c r="F21" i="34"/>
  <c r="E21" i="34"/>
  <c r="D21" i="34"/>
  <c r="B21" i="34"/>
  <c r="C21" i="34" s="1"/>
  <c r="F20" i="34"/>
  <c r="E20" i="34"/>
  <c r="D20" i="34"/>
  <c r="B20" i="34"/>
  <c r="C20" i="34" s="1"/>
  <c r="F19" i="34"/>
  <c r="E19" i="34"/>
  <c r="D19" i="34"/>
  <c r="B19" i="34"/>
  <c r="C19" i="34" s="1"/>
  <c r="F18" i="34"/>
  <c r="E18" i="34"/>
  <c r="D18" i="34"/>
  <c r="B18" i="34"/>
  <c r="C18" i="34" s="1"/>
  <c r="F17" i="34"/>
  <c r="E17" i="34"/>
  <c r="D17" i="34"/>
  <c r="B17" i="34"/>
  <c r="C17" i="34" s="1"/>
  <c r="F16" i="34"/>
  <c r="E16" i="34"/>
  <c r="D16" i="34"/>
  <c r="C16" i="34"/>
  <c r="B16" i="34"/>
  <c r="O15" i="34"/>
  <c r="N15" i="34"/>
  <c r="C12" i="34"/>
  <c r="C11" i="34"/>
  <c r="N4" i="34"/>
  <c r="N5" i="34" s="1"/>
  <c r="O34" i="33"/>
  <c r="O32" i="33"/>
  <c r="H25" i="33"/>
  <c r="G25" i="33"/>
  <c r="F24" i="33"/>
  <c r="E24" i="33"/>
  <c r="D24" i="33"/>
  <c r="I24" i="33" s="1"/>
  <c r="B24" i="33"/>
  <c r="C24" i="33" s="1"/>
  <c r="F23" i="33"/>
  <c r="E23" i="33"/>
  <c r="D23" i="33"/>
  <c r="B23" i="33"/>
  <c r="C23" i="33" s="1"/>
  <c r="F22" i="33"/>
  <c r="E22" i="33"/>
  <c r="D22" i="33"/>
  <c r="C22" i="33"/>
  <c r="B22" i="33"/>
  <c r="F21" i="33"/>
  <c r="E21" i="33"/>
  <c r="D21" i="33"/>
  <c r="I21" i="33" s="1"/>
  <c r="K21" i="33" s="1"/>
  <c r="B21" i="33"/>
  <c r="C21" i="33" s="1"/>
  <c r="F20" i="33"/>
  <c r="E20" i="33"/>
  <c r="D20" i="33"/>
  <c r="B20" i="33"/>
  <c r="C20" i="33" s="1"/>
  <c r="F19" i="33"/>
  <c r="E19" i="33"/>
  <c r="D19" i="33"/>
  <c r="B19" i="33"/>
  <c r="C19" i="33" s="1"/>
  <c r="F18" i="33"/>
  <c r="E18" i="33"/>
  <c r="D18" i="33"/>
  <c r="B18" i="33"/>
  <c r="C18" i="33" s="1"/>
  <c r="F17" i="33"/>
  <c r="I17" i="33" s="1"/>
  <c r="K17" i="33" s="1"/>
  <c r="E17" i="33"/>
  <c r="D17" i="33"/>
  <c r="B17" i="33"/>
  <c r="C17" i="33" s="1"/>
  <c r="F16" i="33"/>
  <c r="E16" i="33"/>
  <c r="D16" i="33"/>
  <c r="C16" i="33"/>
  <c r="B16" i="33"/>
  <c r="O15" i="33"/>
  <c r="N15" i="33"/>
  <c r="C12" i="33"/>
  <c r="C11" i="33"/>
  <c r="N4" i="33"/>
  <c r="N5" i="33" s="1"/>
  <c r="O34" i="32"/>
  <c r="O32" i="32"/>
  <c r="H25" i="32"/>
  <c r="G25" i="32"/>
  <c r="F24" i="32"/>
  <c r="E24" i="32"/>
  <c r="D24" i="32"/>
  <c r="B24" i="32"/>
  <c r="C24" i="32" s="1"/>
  <c r="F23" i="32"/>
  <c r="E23" i="32"/>
  <c r="D23" i="32"/>
  <c r="C23" i="32"/>
  <c r="B23" i="32"/>
  <c r="F22" i="32"/>
  <c r="E22" i="32"/>
  <c r="D22" i="32"/>
  <c r="B22" i="32"/>
  <c r="C22" i="32" s="1"/>
  <c r="F21" i="32"/>
  <c r="E21" i="32"/>
  <c r="D21" i="32"/>
  <c r="B21" i="32"/>
  <c r="C21" i="32" s="1"/>
  <c r="F20" i="32"/>
  <c r="E20" i="32"/>
  <c r="D20" i="32"/>
  <c r="B20" i="32"/>
  <c r="C20" i="32" s="1"/>
  <c r="F19" i="32"/>
  <c r="E19" i="32"/>
  <c r="D19" i="32"/>
  <c r="B19" i="32"/>
  <c r="C19" i="32" s="1"/>
  <c r="F18" i="32"/>
  <c r="E18" i="32"/>
  <c r="D18" i="32"/>
  <c r="B18" i="32"/>
  <c r="C18" i="32" s="1"/>
  <c r="F17" i="32"/>
  <c r="E17" i="32"/>
  <c r="D17" i="32"/>
  <c r="B17" i="32"/>
  <c r="C17" i="32" s="1"/>
  <c r="F16" i="32"/>
  <c r="E16" i="32"/>
  <c r="D16" i="32"/>
  <c r="C16" i="32"/>
  <c r="B16" i="32"/>
  <c r="O15" i="32"/>
  <c r="N15" i="32"/>
  <c r="C12" i="32"/>
  <c r="C11" i="32"/>
  <c r="N4" i="32"/>
  <c r="N5" i="32" s="1"/>
  <c r="O34" i="31"/>
  <c r="O32" i="31"/>
  <c r="H25" i="31"/>
  <c r="G25" i="31"/>
  <c r="F24" i="31"/>
  <c r="E24" i="31"/>
  <c r="D24" i="31"/>
  <c r="B24" i="31"/>
  <c r="C24" i="31" s="1"/>
  <c r="F23" i="31"/>
  <c r="E23" i="31"/>
  <c r="D23" i="31"/>
  <c r="B23" i="31"/>
  <c r="C23" i="31" s="1"/>
  <c r="F22" i="31"/>
  <c r="E22" i="31"/>
  <c r="D22" i="31"/>
  <c r="B22" i="31"/>
  <c r="C22" i="31" s="1"/>
  <c r="F21" i="31"/>
  <c r="E21" i="31"/>
  <c r="D21" i="31"/>
  <c r="B21" i="31"/>
  <c r="C21" i="31" s="1"/>
  <c r="F20" i="31"/>
  <c r="E20" i="31"/>
  <c r="D20" i="31"/>
  <c r="B20" i="31"/>
  <c r="C20" i="31" s="1"/>
  <c r="F19" i="31"/>
  <c r="E19" i="31"/>
  <c r="D19" i="31"/>
  <c r="B19" i="31"/>
  <c r="C19" i="31" s="1"/>
  <c r="F18" i="31"/>
  <c r="E18" i="31"/>
  <c r="D18" i="31"/>
  <c r="B18" i="31"/>
  <c r="C18" i="31" s="1"/>
  <c r="F17" i="31"/>
  <c r="E17" i="31"/>
  <c r="D17" i="31"/>
  <c r="B17" i="31"/>
  <c r="C17" i="31" s="1"/>
  <c r="F16" i="31"/>
  <c r="E16" i="31"/>
  <c r="D16" i="31"/>
  <c r="C16" i="31"/>
  <c r="B16" i="31"/>
  <c r="O15" i="31"/>
  <c r="N15" i="31"/>
  <c r="C12" i="31"/>
  <c r="C11" i="31"/>
  <c r="N4" i="31"/>
  <c r="N5" i="31" s="1"/>
  <c r="O34" i="30"/>
  <c r="C11" i="30" s="1"/>
  <c r="O32" i="30"/>
  <c r="H25" i="30"/>
  <c r="G25" i="30"/>
  <c r="F24" i="30"/>
  <c r="E24" i="30"/>
  <c r="D24" i="30"/>
  <c r="B24" i="30"/>
  <c r="C24" i="30" s="1"/>
  <c r="F23" i="30"/>
  <c r="E23" i="30"/>
  <c r="D23" i="30"/>
  <c r="B23" i="30"/>
  <c r="C23" i="30" s="1"/>
  <c r="F22" i="30"/>
  <c r="E22" i="30"/>
  <c r="D22" i="30"/>
  <c r="B22" i="30"/>
  <c r="C22" i="30" s="1"/>
  <c r="F21" i="30"/>
  <c r="E21" i="30"/>
  <c r="D21" i="30"/>
  <c r="B21" i="30"/>
  <c r="C21" i="30" s="1"/>
  <c r="F20" i="30"/>
  <c r="E20" i="30"/>
  <c r="D20" i="30"/>
  <c r="B20" i="30"/>
  <c r="C20" i="30" s="1"/>
  <c r="F19" i="30"/>
  <c r="E19" i="30"/>
  <c r="D19" i="30"/>
  <c r="B19" i="30"/>
  <c r="C19" i="30" s="1"/>
  <c r="F18" i="30"/>
  <c r="E18" i="30"/>
  <c r="D18" i="30"/>
  <c r="B18" i="30"/>
  <c r="C18" i="30" s="1"/>
  <c r="F17" i="30"/>
  <c r="E17" i="30"/>
  <c r="D17" i="30"/>
  <c r="B17" i="30"/>
  <c r="C17" i="30" s="1"/>
  <c r="F16" i="30"/>
  <c r="E16" i="30"/>
  <c r="D16" i="30"/>
  <c r="C16" i="30"/>
  <c r="B16" i="30"/>
  <c r="O15" i="30"/>
  <c r="N15" i="30"/>
  <c r="C12" i="30"/>
  <c r="N4" i="30"/>
  <c r="N5" i="30" s="1"/>
  <c r="O34" i="29"/>
  <c r="O32" i="29"/>
  <c r="H25" i="29"/>
  <c r="G25" i="29"/>
  <c r="F24" i="29"/>
  <c r="E24" i="29"/>
  <c r="D24" i="29"/>
  <c r="B24" i="29"/>
  <c r="C24" i="29" s="1"/>
  <c r="F23" i="29"/>
  <c r="E23" i="29"/>
  <c r="D23" i="29"/>
  <c r="B23" i="29"/>
  <c r="C23" i="29" s="1"/>
  <c r="F22" i="29"/>
  <c r="E22" i="29"/>
  <c r="D22" i="29"/>
  <c r="B22" i="29"/>
  <c r="C22" i="29" s="1"/>
  <c r="F21" i="29"/>
  <c r="E21" i="29"/>
  <c r="D21" i="29"/>
  <c r="B21" i="29"/>
  <c r="C21" i="29" s="1"/>
  <c r="F20" i="29"/>
  <c r="E20" i="29"/>
  <c r="D20" i="29"/>
  <c r="B20" i="29"/>
  <c r="C20" i="29" s="1"/>
  <c r="F19" i="29"/>
  <c r="E19" i="29"/>
  <c r="D19" i="29"/>
  <c r="B19" i="29"/>
  <c r="C19" i="29" s="1"/>
  <c r="F18" i="29"/>
  <c r="E18" i="29"/>
  <c r="D18" i="29"/>
  <c r="B18" i="29"/>
  <c r="C18" i="29" s="1"/>
  <c r="F17" i="29"/>
  <c r="E17" i="29"/>
  <c r="D17" i="29"/>
  <c r="B17" i="29"/>
  <c r="C17" i="29" s="1"/>
  <c r="F16" i="29"/>
  <c r="E16" i="29"/>
  <c r="D16" i="29"/>
  <c r="C16" i="29"/>
  <c r="B16" i="29"/>
  <c r="O15" i="29"/>
  <c r="N15" i="29"/>
  <c r="C12" i="29"/>
  <c r="C11" i="29"/>
  <c r="N4" i="29"/>
  <c r="N5" i="29" s="1"/>
  <c r="O34" i="28"/>
  <c r="C11" i="28" s="1"/>
  <c r="O32" i="28"/>
  <c r="C12" i="28" s="1"/>
  <c r="H25" i="28"/>
  <c r="G25" i="28"/>
  <c r="F24" i="28"/>
  <c r="E24" i="28"/>
  <c r="D24" i="28"/>
  <c r="B24" i="28"/>
  <c r="C24" i="28" s="1"/>
  <c r="F23" i="28"/>
  <c r="E23" i="28"/>
  <c r="D23" i="28"/>
  <c r="B23" i="28"/>
  <c r="C23" i="28" s="1"/>
  <c r="F22" i="28"/>
  <c r="E22" i="28"/>
  <c r="D22" i="28"/>
  <c r="B22" i="28"/>
  <c r="C22" i="28" s="1"/>
  <c r="F21" i="28"/>
  <c r="E21" i="28"/>
  <c r="D21" i="28"/>
  <c r="B21" i="28"/>
  <c r="C21" i="28" s="1"/>
  <c r="F20" i="28"/>
  <c r="E20" i="28"/>
  <c r="D20" i="28"/>
  <c r="B20" i="28"/>
  <c r="C20" i="28" s="1"/>
  <c r="F19" i="28"/>
  <c r="E19" i="28"/>
  <c r="D19" i="28"/>
  <c r="B19" i="28"/>
  <c r="C19" i="28" s="1"/>
  <c r="F18" i="28"/>
  <c r="E18" i="28"/>
  <c r="D18" i="28"/>
  <c r="B18" i="28"/>
  <c r="C18" i="28" s="1"/>
  <c r="F17" i="28"/>
  <c r="E17" i="28"/>
  <c r="D17" i="28"/>
  <c r="B17" i="28"/>
  <c r="C17" i="28" s="1"/>
  <c r="F16" i="28"/>
  <c r="E16" i="28"/>
  <c r="D16" i="28"/>
  <c r="C16" i="28"/>
  <c r="B16" i="28"/>
  <c r="O15" i="28"/>
  <c r="N15" i="28"/>
  <c r="N4" i="28"/>
  <c r="N5" i="28" s="1"/>
  <c r="K22" i="35" l="1"/>
  <c r="L22" i="35"/>
  <c r="I16" i="28"/>
  <c r="K16" i="28" s="1"/>
  <c r="I17" i="28"/>
  <c r="K17" i="28" s="1"/>
  <c r="I18" i="28"/>
  <c r="K18" i="28" s="1"/>
  <c r="I19" i="28"/>
  <c r="K19" i="28" s="1"/>
  <c r="I20" i="28"/>
  <c r="K20" i="28" s="1"/>
  <c r="I21" i="28"/>
  <c r="K21" i="28" s="1"/>
  <c r="I22" i="28"/>
  <c r="I23" i="28"/>
  <c r="L23" i="28" s="1"/>
  <c r="I24" i="28"/>
  <c r="I22" i="32"/>
  <c r="I18" i="33"/>
  <c r="K18" i="33" s="1"/>
  <c r="I20" i="33"/>
  <c r="K20" i="33" s="1"/>
  <c r="I16" i="30"/>
  <c r="K16" i="30" s="1"/>
  <c r="I17" i="30"/>
  <c r="K17" i="30" s="1"/>
  <c r="I18" i="30"/>
  <c r="K18" i="30" s="1"/>
  <c r="I19" i="30"/>
  <c r="K19" i="30" s="1"/>
  <c r="I20" i="30"/>
  <c r="K20" i="30" s="1"/>
  <c r="I21" i="30"/>
  <c r="K21" i="30" s="1"/>
  <c r="I22" i="30"/>
  <c r="I23" i="30"/>
  <c r="K23" i="30" s="1"/>
  <c r="M23" i="30" s="1"/>
  <c r="I24" i="30"/>
  <c r="I16" i="32"/>
  <c r="K16" i="32" s="1"/>
  <c r="I17" i="32"/>
  <c r="K17" i="32" s="1"/>
  <c r="I18" i="32"/>
  <c r="K18" i="32" s="1"/>
  <c r="I19" i="32"/>
  <c r="K19" i="32" s="1"/>
  <c r="I20" i="32"/>
  <c r="K20" i="32" s="1"/>
  <c r="I21" i="32"/>
  <c r="K21" i="32" s="1"/>
  <c r="I16" i="33"/>
  <c r="I16" i="31"/>
  <c r="K16" i="31" s="1"/>
  <c r="I17" i="31"/>
  <c r="K17" i="31" s="1"/>
  <c r="I18" i="31"/>
  <c r="I19" i="31"/>
  <c r="K19" i="31" s="1"/>
  <c r="I20" i="31"/>
  <c r="K20" i="31" s="1"/>
  <c r="I21" i="31"/>
  <c r="K21" i="31" s="1"/>
  <c r="I22" i="31"/>
  <c r="I23" i="31"/>
  <c r="K23" i="31" s="1"/>
  <c r="I24" i="31"/>
  <c r="I23" i="32"/>
  <c r="I22" i="33"/>
  <c r="I16" i="34"/>
  <c r="K16" i="34" s="1"/>
  <c r="I17" i="34"/>
  <c r="K17" i="34" s="1"/>
  <c r="I18" i="34"/>
  <c r="K18" i="34" s="1"/>
  <c r="I19" i="34"/>
  <c r="K19" i="34" s="1"/>
  <c r="I20" i="34"/>
  <c r="K20" i="34" s="1"/>
  <c r="I21" i="34"/>
  <c r="K21" i="34" s="1"/>
  <c r="I22" i="34"/>
  <c r="I23" i="34"/>
  <c r="I24" i="34"/>
  <c r="L24" i="34" s="1"/>
  <c r="I16" i="29"/>
  <c r="K16" i="29" s="1"/>
  <c r="I17" i="29"/>
  <c r="K17" i="29" s="1"/>
  <c r="I18" i="29"/>
  <c r="K18" i="29" s="1"/>
  <c r="I19" i="29"/>
  <c r="K19" i="29" s="1"/>
  <c r="I20" i="29"/>
  <c r="K20" i="29" s="1"/>
  <c r="I21" i="29"/>
  <c r="K21" i="29" s="1"/>
  <c r="I22" i="29"/>
  <c r="I23" i="29"/>
  <c r="L23" i="29" s="1"/>
  <c r="I24" i="29"/>
  <c r="I24" i="32"/>
  <c r="I19" i="33"/>
  <c r="I23" i="33"/>
  <c r="L23" i="33" s="1"/>
  <c r="L17" i="33"/>
  <c r="I25" i="35"/>
  <c r="P28" i="35" s="1"/>
  <c r="L16" i="35"/>
  <c r="L17" i="35"/>
  <c r="M17" i="35" s="1"/>
  <c r="L18" i="35"/>
  <c r="M18" i="35" s="1"/>
  <c r="L19" i="35"/>
  <c r="L20" i="35"/>
  <c r="L21" i="35"/>
  <c r="K23" i="35"/>
  <c r="L23" i="35"/>
  <c r="K24" i="35"/>
  <c r="L24" i="35"/>
  <c r="L16" i="34"/>
  <c r="L17" i="34"/>
  <c r="K23" i="34"/>
  <c r="L21" i="33"/>
  <c r="K24" i="33"/>
  <c r="L24" i="33"/>
  <c r="M17" i="33"/>
  <c r="K24" i="32"/>
  <c r="L24" i="32"/>
  <c r="L17" i="32"/>
  <c r="L21" i="32"/>
  <c r="K23" i="32"/>
  <c r="L23" i="32"/>
  <c r="M23" i="32" s="1"/>
  <c r="K24" i="31"/>
  <c r="L24" i="31"/>
  <c r="L16" i="31"/>
  <c r="L23" i="31"/>
  <c r="L23" i="30"/>
  <c r="L16" i="30"/>
  <c r="K24" i="30"/>
  <c r="L24" i="30"/>
  <c r="L16" i="29"/>
  <c r="K24" i="29"/>
  <c r="M24" i="29" s="1"/>
  <c r="L24" i="29"/>
  <c r="L19" i="28"/>
  <c r="L20" i="28"/>
  <c r="K24" i="28"/>
  <c r="L24" i="28"/>
  <c r="T25" i="15"/>
  <c r="T24" i="15"/>
  <c r="O34" i="27"/>
  <c r="C11" i="27" s="1"/>
  <c r="O32" i="27"/>
  <c r="C12" i="27" s="1"/>
  <c r="H25" i="27"/>
  <c r="G25" i="27"/>
  <c r="F24" i="27"/>
  <c r="E24" i="27"/>
  <c r="D24" i="27"/>
  <c r="I24" i="27" s="1"/>
  <c r="B24" i="27"/>
  <c r="C24" i="27" s="1"/>
  <c r="F23" i="27"/>
  <c r="E23" i="27"/>
  <c r="D23" i="27"/>
  <c r="I23" i="27" s="1"/>
  <c r="B23" i="27"/>
  <c r="C23" i="27" s="1"/>
  <c r="F22" i="27"/>
  <c r="E22" i="27"/>
  <c r="D22" i="27"/>
  <c r="I22" i="27" s="1"/>
  <c r="B22" i="27"/>
  <c r="C22" i="27" s="1"/>
  <c r="F21" i="27"/>
  <c r="E21" i="27"/>
  <c r="D21" i="27"/>
  <c r="B21" i="27"/>
  <c r="C21" i="27" s="1"/>
  <c r="F20" i="27"/>
  <c r="E20" i="27"/>
  <c r="D20" i="27"/>
  <c r="I20" i="27" s="1"/>
  <c r="K20" i="27" s="1"/>
  <c r="B20" i="27"/>
  <c r="C20" i="27" s="1"/>
  <c r="F19" i="27"/>
  <c r="E19" i="27"/>
  <c r="D19" i="27"/>
  <c r="I19" i="27" s="1"/>
  <c r="K19" i="27" s="1"/>
  <c r="B19" i="27"/>
  <c r="C19" i="27" s="1"/>
  <c r="F18" i="27"/>
  <c r="E18" i="27"/>
  <c r="D18" i="27"/>
  <c r="I18" i="27" s="1"/>
  <c r="K18" i="27" s="1"/>
  <c r="B18" i="27"/>
  <c r="C18" i="27" s="1"/>
  <c r="F17" i="27"/>
  <c r="E17" i="27"/>
  <c r="D17" i="27"/>
  <c r="I17" i="27" s="1"/>
  <c r="K17" i="27" s="1"/>
  <c r="B17" i="27"/>
  <c r="C17" i="27" s="1"/>
  <c r="F16" i="27"/>
  <c r="E16" i="27"/>
  <c r="D16" i="27"/>
  <c r="I16" i="27" s="1"/>
  <c r="K16" i="27" s="1"/>
  <c r="C16" i="27"/>
  <c r="B16" i="27"/>
  <c r="O15" i="27"/>
  <c r="N15" i="27"/>
  <c r="N4" i="27"/>
  <c r="N5" i="27" s="1"/>
  <c r="O34" i="26"/>
  <c r="C11" i="26" s="1"/>
  <c r="O32" i="26"/>
  <c r="H25" i="26"/>
  <c r="G25" i="26"/>
  <c r="F24" i="26"/>
  <c r="E24" i="26"/>
  <c r="D24" i="26"/>
  <c r="B24" i="26"/>
  <c r="C24" i="26" s="1"/>
  <c r="F23" i="26"/>
  <c r="E23" i="26"/>
  <c r="D23" i="26"/>
  <c r="B23" i="26"/>
  <c r="C23" i="26" s="1"/>
  <c r="F22" i="26"/>
  <c r="E22" i="26"/>
  <c r="D22" i="26"/>
  <c r="B22" i="26"/>
  <c r="C22" i="26" s="1"/>
  <c r="F21" i="26"/>
  <c r="E21" i="26"/>
  <c r="D21" i="26"/>
  <c r="B21" i="26"/>
  <c r="C21" i="26" s="1"/>
  <c r="F20" i="26"/>
  <c r="E20" i="26"/>
  <c r="D20" i="26"/>
  <c r="B20" i="26"/>
  <c r="C20" i="26" s="1"/>
  <c r="F19" i="26"/>
  <c r="E19" i="26"/>
  <c r="D19" i="26"/>
  <c r="B19" i="26"/>
  <c r="C19" i="26" s="1"/>
  <c r="F18" i="26"/>
  <c r="E18" i="26"/>
  <c r="D18" i="26"/>
  <c r="B18" i="26"/>
  <c r="C18" i="26" s="1"/>
  <c r="F17" i="26"/>
  <c r="E17" i="26"/>
  <c r="D17" i="26"/>
  <c r="B17" i="26"/>
  <c r="C17" i="26" s="1"/>
  <c r="F16" i="26"/>
  <c r="E16" i="26"/>
  <c r="D16" i="26"/>
  <c r="C16" i="26"/>
  <c r="B16" i="26"/>
  <c r="O15" i="26"/>
  <c r="N15" i="26"/>
  <c r="C12" i="26"/>
  <c r="N4" i="26"/>
  <c r="N5" i="26" s="1"/>
  <c r="L21" i="28" l="1"/>
  <c r="L21" i="30"/>
  <c r="M21" i="30" s="1"/>
  <c r="L21" i="34"/>
  <c r="L20" i="33"/>
  <c r="M20" i="33" s="1"/>
  <c r="N20" i="33" s="1"/>
  <c r="O20" i="33" s="1"/>
  <c r="L19" i="33"/>
  <c r="K19" i="33"/>
  <c r="L18" i="34"/>
  <c r="L18" i="31"/>
  <c r="K18" i="31"/>
  <c r="L17" i="30"/>
  <c r="M17" i="30" s="1"/>
  <c r="N17" i="30" s="1"/>
  <c r="O17" i="30" s="1"/>
  <c r="L17" i="31"/>
  <c r="M17" i="31" s="1"/>
  <c r="N17" i="31" s="1"/>
  <c r="O17" i="31" s="1"/>
  <c r="L17" i="29"/>
  <c r="L16" i="33"/>
  <c r="K16" i="33"/>
  <c r="L16" i="32"/>
  <c r="I25" i="32"/>
  <c r="P28" i="32" s="1"/>
  <c r="L20" i="32"/>
  <c r="M20" i="32" s="1"/>
  <c r="N20" i="32" s="1"/>
  <c r="O20" i="32" s="1"/>
  <c r="L19" i="32"/>
  <c r="M19" i="32" s="1"/>
  <c r="N19" i="32" s="1"/>
  <c r="O19" i="32" s="1"/>
  <c r="L20" i="31"/>
  <c r="L21" i="31"/>
  <c r="M21" i="31" s="1"/>
  <c r="N21" i="31" s="1"/>
  <c r="O21" i="31" s="1"/>
  <c r="L20" i="30"/>
  <c r="L21" i="29"/>
  <c r="L20" i="29"/>
  <c r="L17" i="28"/>
  <c r="M17" i="28" s="1"/>
  <c r="L16" i="28"/>
  <c r="I25" i="28"/>
  <c r="P28" i="28" s="1"/>
  <c r="M22" i="35"/>
  <c r="K22" i="34"/>
  <c r="L22" i="34"/>
  <c r="L22" i="32"/>
  <c r="K22" i="32"/>
  <c r="K25" i="32" s="1"/>
  <c r="P30" i="32" s="1"/>
  <c r="K22" i="27"/>
  <c r="L22" i="27"/>
  <c r="K22" i="29"/>
  <c r="K25" i="29" s="1"/>
  <c r="P30" i="29" s="1"/>
  <c r="L22" i="29"/>
  <c r="K22" i="33"/>
  <c r="L22" i="33"/>
  <c r="K22" i="31"/>
  <c r="L22" i="31"/>
  <c r="K22" i="30"/>
  <c r="L22" i="30"/>
  <c r="K22" i="28"/>
  <c r="K25" i="28" s="1"/>
  <c r="P30" i="28" s="1"/>
  <c r="L22" i="28"/>
  <c r="K23" i="28"/>
  <c r="M23" i="28" s="1"/>
  <c r="K23" i="29"/>
  <c r="L19" i="30"/>
  <c r="M19" i="30" s="1"/>
  <c r="N19" i="30" s="1"/>
  <c r="O19" i="30" s="1"/>
  <c r="P19" i="30" s="1"/>
  <c r="L19" i="31"/>
  <c r="K24" i="34"/>
  <c r="M24" i="34" s="1"/>
  <c r="L20" i="34"/>
  <c r="M20" i="34" s="1"/>
  <c r="N20" i="34" s="1"/>
  <c r="O20" i="34" s="1"/>
  <c r="M21" i="35"/>
  <c r="I25" i="34"/>
  <c r="P28" i="34" s="1"/>
  <c r="M24" i="28"/>
  <c r="L18" i="28"/>
  <c r="L18" i="29"/>
  <c r="M18" i="29" s="1"/>
  <c r="N18" i="29" s="1"/>
  <c r="O18" i="29" s="1"/>
  <c r="M24" i="30"/>
  <c r="L18" i="30"/>
  <c r="L18" i="32"/>
  <c r="M24" i="32"/>
  <c r="N24" i="32" s="1"/>
  <c r="O24" i="32" s="1"/>
  <c r="P24" i="32" s="1"/>
  <c r="K23" i="33"/>
  <c r="L23" i="34"/>
  <c r="M23" i="34" s="1"/>
  <c r="N23" i="34" s="1"/>
  <c r="O23" i="34" s="1"/>
  <c r="P23" i="34" s="1"/>
  <c r="L19" i="34"/>
  <c r="M24" i="35"/>
  <c r="N24" i="35" s="1"/>
  <c r="O24" i="35" s="1"/>
  <c r="P24" i="35" s="1"/>
  <c r="L18" i="33"/>
  <c r="M18" i="33" s="1"/>
  <c r="I25" i="30"/>
  <c r="P28" i="30" s="1"/>
  <c r="M24" i="31"/>
  <c r="K25" i="33"/>
  <c r="P30" i="33" s="1"/>
  <c r="M24" i="33"/>
  <c r="M23" i="35"/>
  <c r="M23" i="33"/>
  <c r="I16" i="26"/>
  <c r="K16" i="26" s="1"/>
  <c r="I17" i="26"/>
  <c r="K17" i="26" s="1"/>
  <c r="I18" i="26"/>
  <c r="K18" i="26" s="1"/>
  <c r="I19" i="26"/>
  <c r="K19" i="26" s="1"/>
  <c r="I20" i="26"/>
  <c r="I21" i="26"/>
  <c r="K21" i="26" s="1"/>
  <c r="I22" i="26"/>
  <c r="I23" i="26"/>
  <c r="I24" i="26"/>
  <c r="L24" i="26" s="1"/>
  <c r="M24" i="26" s="1"/>
  <c r="I21" i="27"/>
  <c r="K21" i="27" s="1"/>
  <c r="M18" i="28"/>
  <c r="N18" i="28" s="1"/>
  <c r="O18" i="28" s="1"/>
  <c r="P18" i="28" s="1"/>
  <c r="M20" i="29"/>
  <c r="N20" i="29" s="1"/>
  <c r="O20" i="29" s="1"/>
  <c r="M23" i="31"/>
  <c r="N23" i="31" s="1"/>
  <c r="O23" i="31" s="1"/>
  <c r="I25" i="31"/>
  <c r="P28" i="31" s="1"/>
  <c r="M17" i="32"/>
  <c r="M16" i="34"/>
  <c r="N16" i="34" s="1"/>
  <c r="I25" i="33"/>
  <c r="P28" i="33" s="1"/>
  <c r="L19" i="29"/>
  <c r="I25" i="29"/>
  <c r="P28" i="29" s="1"/>
  <c r="M23" i="29"/>
  <c r="N23" i="29" s="1"/>
  <c r="O23" i="29" s="1"/>
  <c r="M21" i="33"/>
  <c r="N21" i="33" s="1"/>
  <c r="O21" i="33" s="1"/>
  <c r="M19" i="33"/>
  <c r="N19" i="33" s="1"/>
  <c r="O19" i="33" s="1"/>
  <c r="M19" i="34"/>
  <c r="N19" i="34" s="1"/>
  <c r="O19" i="34" s="1"/>
  <c r="M19" i="28"/>
  <c r="N19" i="28" s="1"/>
  <c r="O19" i="28" s="1"/>
  <c r="M16" i="29"/>
  <c r="N16" i="29" s="1"/>
  <c r="M16" i="32"/>
  <c r="N16" i="32" s="1"/>
  <c r="M17" i="29"/>
  <c r="N17" i="29" s="1"/>
  <c r="O17" i="29" s="1"/>
  <c r="P17" i="29" s="1"/>
  <c r="M17" i="34"/>
  <c r="N17" i="34" s="1"/>
  <c r="O17" i="34" s="1"/>
  <c r="M18" i="32"/>
  <c r="N18" i="32" s="1"/>
  <c r="O18" i="32" s="1"/>
  <c r="M19" i="35"/>
  <c r="M19" i="31"/>
  <c r="N19" i="31" s="1"/>
  <c r="O19" i="31" s="1"/>
  <c r="M20" i="31"/>
  <c r="N20" i="31" s="1"/>
  <c r="O20" i="31" s="1"/>
  <c r="M20" i="35"/>
  <c r="N20" i="35" s="1"/>
  <c r="O20" i="35" s="1"/>
  <c r="P20" i="35" s="1"/>
  <c r="M21" i="29"/>
  <c r="N21" i="29" s="1"/>
  <c r="O21" i="29" s="1"/>
  <c r="M21" i="34"/>
  <c r="N21" i="34" s="1"/>
  <c r="O21" i="34" s="1"/>
  <c r="M21" i="32"/>
  <c r="N21" i="32" s="1"/>
  <c r="O21" i="32" s="1"/>
  <c r="M22" i="34"/>
  <c r="N22" i="34" s="1"/>
  <c r="O22" i="34" s="1"/>
  <c r="M21" i="28"/>
  <c r="N21" i="28" s="1"/>
  <c r="O21" i="28" s="1"/>
  <c r="M19" i="29"/>
  <c r="N19" i="29" s="1"/>
  <c r="O19" i="29" s="1"/>
  <c r="M18" i="30"/>
  <c r="N18" i="30" s="1"/>
  <c r="O18" i="30" s="1"/>
  <c r="P18" i="30" s="1"/>
  <c r="M18" i="31"/>
  <c r="N18" i="31" s="1"/>
  <c r="O18" i="31" s="1"/>
  <c r="M18" i="34"/>
  <c r="N18" i="34" s="1"/>
  <c r="O18" i="34" s="1"/>
  <c r="P18" i="34" s="1"/>
  <c r="M16" i="30"/>
  <c r="N16" i="30" s="1"/>
  <c r="M20" i="30"/>
  <c r="N20" i="30" s="1"/>
  <c r="O20" i="30" s="1"/>
  <c r="M20" i="28"/>
  <c r="N20" i="28" s="1"/>
  <c r="O20" i="28" s="1"/>
  <c r="P20" i="28" s="1"/>
  <c r="N18" i="35"/>
  <c r="O18" i="35" s="1"/>
  <c r="N22" i="35"/>
  <c r="O22" i="35" s="1"/>
  <c r="N21" i="35"/>
  <c r="O21" i="35" s="1"/>
  <c r="N17" i="35"/>
  <c r="O17" i="35" s="1"/>
  <c r="K25" i="35"/>
  <c r="P30" i="35" s="1"/>
  <c r="N23" i="35"/>
  <c r="O23" i="35" s="1"/>
  <c r="N19" i="35"/>
  <c r="O19" i="35" s="1"/>
  <c r="L25" i="35"/>
  <c r="P29" i="35" s="1"/>
  <c r="M16" i="35"/>
  <c r="N23" i="33"/>
  <c r="O23" i="33" s="1"/>
  <c r="N24" i="33"/>
  <c r="O24" i="33" s="1"/>
  <c r="N18" i="33"/>
  <c r="O18" i="33" s="1"/>
  <c r="N17" i="33"/>
  <c r="O17" i="33" s="1"/>
  <c r="M16" i="33"/>
  <c r="N17" i="32"/>
  <c r="O17" i="32" s="1"/>
  <c r="N23" i="32"/>
  <c r="O23" i="32" s="1"/>
  <c r="N24" i="31"/>
  <c r="O24" i="31" s="1"/>
  <c r="P24" i="31"/>
  <c r="M16" i="31"/>
  <c r="K25" i="31"/>
  <c r="P30" i="31" s="1"/>
  <c r="N21" i="30"/>
  <c r="O21" i="30" s="1"/>
  <c r="N24" i="30"/>
  <c r="O24" i="30" s="1"/>
  <c r="P24" i="30" s="1"/>
  <c r="N23" i="30"/>
  <c r="O23" i="30" s="1"/>
  <c r="N24" i="29"/>
  <c r="O24" i="29" s="1"/>
  <c r="P24" i="29" s="1"/>
  <c r="N24" i="28"/>
  <c r="O24" i="28" s="1"/>
  <c r="P24" i="28" s="1"/>
  <c r="N23" i="28"/>
  <c r="O23" i="28" s="1"/>
  <c r="P23" i="28" s="1"/>
  <c r="M16" i="28"/>
  <c r="N17" i="28"/>
  <c r="O17" i="28" s="1"/>
  <c r="J25" i="15"/>
  <c r="L16" i="27"/>
  <c r="L17" i="27"/>
  <c r="L20" i="27"/>
  <c r="K23" i="27"/>
  <c r="L23" i="27"/>
  <c r="K24" i="27"/>
  <c r="L24" i="27"/>
  <c r="L19" i="27"/>
  <c r="L18" i="27"/>
  <c r="L17" i="26"/>
  <c r="K23" i="26"/>
  <c r="L23" i="26"/>
  <c r="L18" i="26"/>
  <c r="K24" i="26"/>
  <c r="L16" i="26"/>
  <c r="T23" i="15"/>
  <c r="T22" i="15"/>
  <c r="T21" i="15"/>
  <c r="T20" i="15"/>
  <c r="T19" i="15"/>
  <c r="T18" i="15"/>
  <c r="T15" i="15"/>
  <c r="T14" i="15"/>
  <c r="L25" i="33" l="1"/>
  <c r="P29" i="33" s="1"/>
  <c r="I25" i="27"/>
  <c r="P28" i="27" s="1"/>
  <c r="L21" i="27"/>
  <c r="L21" i="26"/>
  <c r="M21" i="26" s="1"/>
  <c r="N21" i="26" s="1"/>
  <c r="O21" i="26" s="1"/>
  <c r="L25" i="34"/>
  <c r="P29" i="34" s="1"/>
  <c r="L25" i="32"/>
  <c r="P29" i="32" s="1"/>
  <c r="P31" i="32" s="1"/>
  <c r="L19" i="26"/>
  <c r="L25" i="30"/>
  <c r="P29" i="30" s="1"/>
  <c r="L25" i="28"/>
  <c r="P29" i="28" s="1"/>
  <c r="P31" i="28" s="1"/>
  <c r="L25" i="31"/>
  <c r="P29" i="31" s="1"/>
  <c r="P31" i="31" s="1"/>
  <c r="L20" i="26"/>
  <c r="K20" i="26"/>
  <c r="M20" i="26" s="1"/>
  <c r="N20" i="26" s="1"/>
  <c r="O20" i="26" s="1"/>
  <c r="M22" i="29"/>
  <c r="N22" i="29" s="1"/>
  <c r="O22" i="29" s="1"/>
  <c r="M22" i="31"/>
  <c r="N22" i="31" s="1"/>
  <c r="O22" i="31" s="1"/>
  <c r="P22" i="31" s="1"/>
  <c r="M22" i="32"/>
  <c r="N22" i="32" s="1"/>
  <c r="O22" i="32" s="1"/>
  <c r="P22" i="32" s="1"/>
  <c r="M22" i="28"/>
  <c r="N22" i="28" s="1"/>
  <c r="O22" i="28" s="1"/>
  <c r="P22" i="28" s="1"/>
  <c r="L25" i="29"/>
  <c r="P29" i="29" s="1"/>
  <c r="P31" i="29" s="1"/>
  <c r="M22" i="30"/>
  <c r="N22" i="30" s="1"/>
  <c r="O22" i="30" s="1"/>
  <c r="P22" i="30" s="1"/>
  <c r="M22" i="33"/>
  <c r="N22" i="33" s="1"/>
  <c r="O22" i="33" s="1"/>
  <c r="K25" i="30"/>
  <c r="P30" i="30" s="1"/>
  <c r="P31" i="30" s="1"/>
  <c r="K22" i="26"/>
  <c r="L22" i="26"/>
  <c r="N24" i="34"/>
  <c r="O24" i="34" s="1"/>
  <c r="K25" i="34"/>
  <c r="P30" i="34" s="1"/>
  <c r="I25" i="26"/>
  <c r="P28" i="26" s="1"/>
  <c r="M23" i="27"/>
  <c r="N23" i="27" s="1"/>
  <c r="O23" i="27" s="1"/>
  <c r="P23" i="32"/>
  <c r="P23" i="31"/>
  <c r="M17" i="26"/>
  <c r="N17" i="26" s="1"/>
  <c r="O17" i="26" s="1"/>
  <c r="P17" i="26" s="1"/>
  <c r="M25" i="34"/>
  <c r="P17" i="31"/>
  <c r="P18" i="29"/>
  <c r="M25" i="29"/>
  <c r="P19" i="32"/>
  <c r="M25" i="32"/>
  <c r="P22" i="35"/>
  <c r="P17" i="32"/>
  <c r="P17" i="33"/>
  <c r="P21" i="31"/>
  <c r="P31" i="33"/>
  <c r="P20" i="31"/>
  <c r="P20" i="34"/>
  <c r="P18" i="31"/>
  <c r="P31" i="35"/>
  <c r="P21" i="30"/>
  <c r="P21" i="29"/>
  <c r="M25" i="35"/>
  <c r="N16" i="35"/>
  <c r="P23" i="35"/>
  <c r="P21" i="35"/>
  <c r="P18" i="35"/>
  <c r="P17" i="35"/>
  <c r="P19" i="35"/>
  <c r="P17" i="34"/>
  <c r="P22" i="34"/>
  <c r="P21" i="34"/>
  <c r="O16" i="34"/>
  <c r="P19" i="34"/>
  <c r="P18" i="33"/>
  <c r="P19" i="33"/>
  <c r="P20" i="33"/>
  <c r="M25" i="33"/>
  <c r="N16" i="33"/>
  <c r="P22" i="33"/>
  <c r="P21" i="33"/>
  <c r="P24" i="33"/>
  <c r="P23" i="33"/>
  <c r="N25" i="32"/>
  <c r="P32" i="32" s="1"/>
  <c r="O16" i="32"/>
  <c r="O25" i="32" s="1"/>
  <c r="P20" i="32"/>
  <c r="P18" i="32"/>
  <c r="P21" i="32"/>
  <c r="P19" i="31"/>
  <c r="M25" i="31"/>
  <c r="N16" i="31"/>
  <c r="O16" i="30"/>
  <c r="P23" i="30"/>
  <c r="P17" i="30"/>
  <c r="P20" i="30"/>
  <c r="N25" i="29"/>
  <c r="P32" i="29" s="1"/>
  <c r="O16" i="29"/>
  <c r="P23" i="29"/>
  <c r="P22" i="29"/>
  <c r="P19" i="29"/>
  <c r="P20" i="29"/>
  <c r="N16" i="28"/>
  <c r="P17" i="28"/>
  <c r="P21" i="28"/>
  <c r="P19" i="28"/>
  <c r="M17" i="27"/>
  <c r="N17" i="27" s="1"/>
  <c r="O17" i="27" s="1"/>
  <c r="M19" i="27"/>
  <c r="N19" i="27" s="1"/>
  <c r="O19" i="27" s="1"/>
  <c r="M20" i="27"/>
  <c r="N20" i="27" s="1"/>
  <c r="O20" i="27" s="1"/>
  <c r="M23" i="26"/>
  <c r="N23" i="26" s="1"/>
  <c r="O23" i="26" s="1"/>
  <c r="P23" i="26" s="1"/>
  <c r="M24" i="27"/>
  <c r="M18" i="27"/>
  <c r="N18" i="27" s="1"/>
  <c r="O18" i="27" s="1"/>
  <c r="M22" i="27"/>
  <c r="N22" i="27" s="1"/>
  <c r="O22" i="27" s="1"/>
  <c r="M16" i="27"/>
  <c r="N16" i="27" s="1"/>
  <c r="M21" i="27"/>
  <c r="N21" i="27" s="1"/>
  <c r="M18" i="26"/>
  <c r="N18" i="26" s="1"/>
  <c r="O18" i="26" s="1"/>
  <c r="M19" i="26"/>
  <c r="N19" i="26" s="1"/>
  <c r="O19" i="26" s="1"/>
  <c r="N24" i="27"/>
  <c r="O24" i="27" s="1"/>
  <c r="L25" i="27"/>
  <c r="P29" i="27" s="1"/>
  <c r="K25" i="27"/>
  <c r="P30" i="27" s="1"/>
  <c r="M16" i="26"/>
  <c r="N24" i="26"/>
  <c r="O24" i="26" s="1"/>
  <c r="O34" i="25"/>
  <c r="C11" i="25" s="1"/>
  <c r="O32" i="25"/>
  <c r="C12" i="25" s="1"/>
  <c r="H25" i="25"/>
  <c r="G25" i="25"/>
  <c r="F24" i="25"/>
  <c r="E24" i="25"/>
  <c r="D24" i="25"/>
  <c r="B24" i="25"/>
  <c r="C24" i="25" s="1"/>
  <c r="F23" i="25"/>
  <c r="E23" i="25"/>
  <c r="D23" i="25"/>
  <c r="B23" i="25"/>
  <c r="C23" i="25" s="1"/>
  <c r="F22" i="25"/>
  <c r="E22" i="25"/>
  <c r="D22" i="25"/>
  <c r="B22" i="25"/>
  <c r="C22" i="25" s="1"/>
  <c r="F21" i="25"/>
  <c r="E21" i="25"/>
  <c r="D21" i="25"/>
  <c r="B21" i="25"/>
  <c r="C21" i="25" s="1"/>
  <c r="F20" i="25"/>
  <c r="E20" i="25"/>
  <c r="D20" i="25"/>
  <c r="B20" i="25"/>
  <c r="C20" i="25" s="1"/>
  <c r="F19" i="25"/>
  <c r="E19" i="25"/>
  <c r="D19" i="25"/>
  <c r="B19" i="25"/>
  <c r="C19" i="25" s="1"/>
  <c r="F18" i="25"/>
  <c r="E18" i="25"/>
  <c r="D18" i="25"/>
  <c r="B18" i="25"/>
  <c r="C18" i="25" s="1"/>
  <c r="F17" i="25"/>
  <c r="E17" i="25"/>
  <c r="D17" i="25"/>
  <c r="B17" i="25"/>
  <c r="C17" i="25" s="1"/>
  <c r="F16" i="25"/>
  <c r="E16" i="25"/>
  <c r="D16" i="25"/>
  <c r="C16" i="25"/>
  <c r="B16" i="25"/>
  <c r="O15" i="25"/>
  <c r="N15" i="25"/>
  <c r="N4" i="25"/>
  <c r="N5" i="25" s="1"/>
  <c r="O34" i="24"/>
  <c r="O32" i="24"/>
  <c r="H25" i="24"/>
  <c r="G25" i="24"/>
  <c r="F24" i="24"/>
  <c r="E24" i="24"/>
  <c r="D24" i="24"/>
  <c r="B24" i="24"/>
  <c r="C24" i="24" s="1"/>
  <c r="F23" i="24"/>
  <c r="E23" i="24"/>
  <c r="D23" i="24"/>
  <c r="B23" i="24"/>
  <c r="C23" i="24" s="1"/>
  <c r="F22" i="24"/>
  <c r="E22" i="24"/>
  <c r="D22" i="24"/>
  <c r="B22" i="24"/>
  <c r="C22" i="24" s="1"/>
  <c r="F21" i="24"/>
  <c r="E21" i="24"/>
  <c r="D21" i="24"/>
  <c r="B21" i="24"/>
  <c r="C21" i="24" s="1"/>
  <c r="F20" i="24"/>
  <c r="E20" i="24"/>
  <c r="D20" i="24"/>
  <c r="B20" i="24"/>
  <c r="C20" i="24" s="1"/>
  <c r="F19" i="24"/>
  <c r="E19" i="24"/>
  <c r="D19" i="24"/>
  <c r="B19" i="24"/>
  <c r="C19" i="24" s="1"/>
  <c r="F18" i="24"/>
  <c r="E18" i="24"/>
  <c r="D18" i="24"/>
  <c r="B18" i="24"/>
  <c r="C18" i="24" s="1"/>
  <c r="F17" i="24"/>
  <c r="E17" i="24"/>
  <c r="D17" i="24"/>
  <c r="B17" i="24"/>
  <c r="C17" i="24" s="1"/>
  <c r="F16" i="24"/>
  <c r="E16" i="24"/>
  <c r="D16" i="24"/>
  <c r="C16" i="24"/>
  <c r="B16" i="24"/>
  <c r="O15" i="24"/>
  <c r="N15" i="24"/>
  <c r="C12" i="24"/>
  <c r="C11" i="24"/>
  <c r="N4" i="24"/>
  <c r="N5" i="24" s="1"/>
  <c r="O34" i="23"/>
  <c r="C11" i="23" s="1"/>
  <c r="O32" i="23"/>
  <c r="C12" i="23" s="1"/>
  <c r="H25" i="23"/>
  <c r="G25" i="23"/>
  <c r="F24" i="23"/>
  <c r="E24" i="23"/>
  <c r="D24" i="23"/>
  <c r="B24" i="23"/>
  <c r="C24" i="23" s="1"/>
  <c r="F23" i="23"/>
  <c r="E23" i="23"/>
  <c r="D23" i="23"/>
  <c r="B23" i="23"/>
  <c r="C23" i="23" s="1"/>
  <c r="F22" i="23"/>
  <c r="E22" i="23"/>
  <c r="D22" i="23"/>
  <c r="B22" i="23"/>
  <c r="C22" i="23" s="1"/>
  <c r="F21" i="23"/>
  <c r="E21" i="23"/>
  <c r="D21" i="23"/>
  <c r="B21" i="23"/>
  <c r="C21" i="23" s="1"/>
  <c r="F20" i="23"/>
  <c r="E20" i="23"/>
  <c r="D20" i="23"/>
  <c r="B20" i="23"/>
  <c r="C20" i="23" s="1"/>
  <c r="F19" i="23"/>
  <c r="E19" i="23"/>
  <c r="D19" i="23"/>
  <c r="B19" i="23"/>
  <c r="C19" i="23" s="1"/>
  <c r="F18" i="23"/>
  <c r="E18" i="23"/>
  <c r="D18" i="23"/>
  <c r="B18" i="23"/>
  <c r="C18" i="23" s="1"/>
  <c r="F17" i="23"/>
  <c r="E17" i="23"/>
  <c r="D17" i="23"/>
  <c r="B17" i="23"/>
  <c r="C17" i="23" s="1"/>
  <c r="F16" i="23"/>
  <c r="E16" i="23"/>
  <c r="D16" i="23"/>
  <c r="C16" i="23"/>
  <c r="B16" i="23"/>
  <c r="O15" i="23"/>
  <c r="N15" i="23"/>
  <c r="N4" i="23"/>
  <c r="N5" i="23" s="1"/>
  <c r="O34" i="22"/>
  <c r="C11" i="22" s="1"/>
  <c r="O32" i="22"/>
  <c r="C12" i="22" s="1"/>
  <c r="H25" i="22"/>
  <c r="G25" i="22"/>
  <c r="F24" i="22"/>
  <c r="E24" i="22"/>
  <c r="D24" i="22"/>
  <c r="B24" i="22"/>
  <c r="C24" i="22" s="1"/>
  <c r="F23" i="22"/>
  <c r="E23" i="22"/>
  <c r="D23" i="22"/>
  <c r="B23" i="22"/>
  <c r="C23" i="22" s="1"/>
  <c r="F22" i="22"/>
  <c r="E22" i="22"/>
  <c r="D22" i="22"/>
  <c r="I22" i="22" s="1"/>
  <c r="B22" i="22"/>
  <c r="C22" i="22" s="1"/>
  <c r="F21" i="22"/>
  <c r="E21" i="22"/>
  <c r="D21" i="22"/>
  <c r="I21" i="22" s="1"/>
  <c r="K21" i="22" s="1"/>
  <c r="B21" i="22"/>
  <c r="C21" i="22" s="1"/>
  <c r="F20" i="22"/>
  <c r="E20" i="22"/>
  <c r="D20" i="22"/>
  <c r="I20" i="22" s="1"/>
  <c r="K20" i="22" s="1"/>
  <c r="B20" i="22"/>
  <c r="C20" i="22" s="1"/>
  <c r="F19" i="22"/>
  <c r="E19" i="22"/>
  <c r="D19" i="22"/>
  <c r="I19" i="22" s="1"/>
  <c r="K19" i="22" s="1"/>
  <c r="B19" i="22"/>
  <c r="C19" i="22" s="1"/>
  <c r="F18" i="22"/>
  <c r="E18" i="22"/>
  <c r="D18" i="22"/>
  <c r="I18" i="22" s="1"/>
  <c r="K18" i="22" s="1"/>
  <c r="B18" i="22"/>
  <c r="C18" i="22" s="1"/>
  <c r="F17" i="22"/>
  <c r="E17" i="22"/>
  <c r="D17" i="22"/>
  <c r="I17" i="22" s="1"/>
  <c r="K17" i="22" s="1"/>
  <c r="B17" i="22"/>
  <c r="C17" i="22" s="1"/>
  <c r="F16" i="22"/>
  <c r="E16" i="22"/>
  <c r="D16" i="22"/>
  <c r="I16" i="22" s="1"/>
  <c r="K16" i="22" s="1"/>
  <c r="C16" i="22"/>
  <c r="B16" i="22"/>
  <c r="O15" i="22"/>
  <c r="N15" i="22"/>
  <c r="N4" i="22"/>
  <c r="N5" i="22" s="1"/>
  <c r="O34" i="21"/>
  <c r="C11" i="21" s="1"/>
  <c r="O32" i="21"/>
  <c r="C12" i="21" s="1"/>
  <c r="H25" i="21"/>
  <c r="G25" i="21"/>
  <c r="F24" i="21"/>
  <c r="E24" i="21"/>
  <c r="D24" i="21"/>
  <c r="B24" i="21"/>
  <c r="C24" i="21" s="1"/>
  <c r="F23" i="21"/>
  <c r="E23" i="21"/>
  <c r="D23" i="21"/>
  <c r="B23" i="21"/>
  <c r="C23" i="21" s="1"/>
  <c r="F22" i="21"/>
  <c r="E22" i="21"/>
  <c r="D22" i="21"/>
  <c r="B22" i="21"/>
  <c r="C22" i="21" s="1"/>
  <c r="F21" i="21"/>
  <c r="E21" i="21"/>
  <c r="D21" i="21"/>
  <c r="B21" i="21"/>
  <c r="C21" i="21" s="1"/>
  <c r="F20" i="21"/>
  <c r="E20" i="21"/>
  <c r="D20" i="21"/>
  <c r="B20" i="21"/>
  <c r="C20" i="21" s="1"/>
  <c r="F19" i="21"/>
  <c r="E19" i="21"/>
  <c r="D19" i="21"/>
  <c r="B19" i="21"/>
  <c r="C19" i="21" s="1"/>
  <c r="F18" i="21"/>
  <c r="E18" i="21"/>
  <c r="D18" i="21"/>
  <c r="B18" i="21"/>
  <c r="C18" i="21" s="1"/>
  <c r="F17" i="21"/>
  <c r="E17" i="21"/>
  <c r="D17" i="21"/>
  <c r="B17" i="21"/>
  <c r="C17" i="21" s="1"/>
  <c r="F16" i="21"/>
  <c r="E16" i="21"/>
  <c r="D16" i="21"/>
  <c r="C16" i="21"/>
  <c r="B16" i="21"/>
  <c r="O15" i="21"/>
  <c r="N15" i="21"/>
  <c r="N4" i="21"/>
  <c r="N5" i="21" s="1"/>
  <c r="O34" i="20"/>
  <c r="C11" i="20" s="1"/>
  <c r="O32" i="20"/>
  <c r="C12" i="20" s="1"/>
  <c r="H25" i="20"/>
  <c r="G25" i="20"/>
  <c r="F24" i="20"/>
  <c r="E24" i="20"/>
  <c r="D24" i="20"/>
  <c r="B24" i="20"/>
  <c r="C24" i="20" s="1"/>
  <c r="F23" i="20"/>
  <c r="E23" i="20"/>
  <c r="D23" i="20"/>
  <c r="B23" i="20"/>
  <c r="C23" i="20" s="1"/>
  <c r="F22" i="20"/>
  <c r="E22" i="20"/>
  <c r="D22" i="20"/>
  <c r="B22" i="20"/>
  <c r="C22" i="20" s="1"/>
  <c r="F21" i="20"/>
  <c r="E21" i="20"/>
  <c r="D21" i="20"/>
  <c r="B21" i="20"/>
  <c r="C21" i="20" s="1"/>
  <c r="F20" i="20"/>
  <c r="E20" i="20"/>
  <c r="D20" i="20"/>
  <c r="B20" i="20"/>
  <c r="C20" i="20" s="1"/>
  <c r="F19" i="20"/>
  <c r="E19" i="20"/>
  <c r="D19" i="20"/>
  <c r="B19" i="20"/>
  <c r="C19" i="20" s="1"/>
  <c r="F18" i="20"/>
  <c r="E18" i="20"/>
  <c r="D18" i="20"/>
  <c r="B18" i="20"/>
  <c r="C18" i="20" s="1"/>
  <c r="F17" i="20"/>
  <c r="E17" i="20"/>
  <c r="D17" i="20"/>
  <c r="B17" i="20"/>
  <c r="C17" i="20" s="1"/>
  <c r="F16" i="20"/>
  <c r="E16" i="20"/>
  <c r="D16" i="20"/>
  <c r="C16" i="20"/>
  <c r="B16" i="20"/>
  <c r="O15" i="20"/>
  <c r="N15" i="20"/>
  <c r="N4" i="20"/>
  <c r="N5" i="20" s="1"/>
  <c r="O34" i="19"/>
  <c r="C11" i="19" s="1"/>
  <c r="O32" i="19"/>
  <c r="C12" i="19" s="1"/>
  <c r="H25" i="19"/>
  <c r="G25" i="19"/>
  <c r="F24" i="19"/>
  <c r="E24" i="19"/>
  <c r="D24" i="19"/>
  <c r="B24" i="19"/>
  <c r="C24" i="19" s="1"/>
  <c r="F23" i="19"/>
  <c r="E23" i="19"/>
  <c r="D23" i="19"/>
  <c r="B23" i="19"/>
  <c r="C23" i="19" s="1"/>
  <c r="F22" i="19"/>
  <c r="E22" i="19"/>
  <c r="D22" i="19"/>
  <c r="B22" i="19"/>
  <c r="C22" i="19" s="1"/>
  <c r="F21" i="19"/>
  <c r="E21" i="19"/>
  <c r="D21" i="19"/>
  <c r="B21" i="19"/>
  <c r="C21" i="19" s="1"/>
  <c r="F20" i="19"/>
  <c r="E20" i="19"/>
  <c r="D20" i="19"/>
  <c r="B20" i="19"/>
  <c r="C20" i="19" s="1"/>
  <c r="F19" i="19"/>
  <c r="E19" i="19"/>
  <c r="D19" i="19"/>
  <c r="B19" i="19"/>
  <c r="C19" i="19" s="1"/>
  <c r="F18" i="19"/>
  <c r="E18" i="19"/>
  <c r="D18" i="19"/>
  <c r="B18" i="19"/>
  <c r="C18" i="19" s="1"/>
  <c r="F17" i="19"/>
  <c r="E17" i="19"/>
  <c r="D17" i="19"/>
  <c r="B17" i="19"/>
  <c r="C17" i="19" s="1"/>
  <c r="F16" i="19"/>
  <c r="E16" i="19"/>
  <c r="D16" i="19"/>
  <c r="C16" i="19"/>
  <c r="B16" i="19"/>
  <c r="O15" i="19"/>
  <c r="N15" i="19"/>
  <c r="N4" i="19"/>
  <c r="N5" i="19" s="1"/>
  <c r="O34" i="18"/>
  <c r="C11" i="18" s="1"/>
  <c r="O32" i="18"/>
  <c r="C12" i="18" s="1"/>
  <c r="H25" i="18"/>
  <c r="G25" i="18"/>
  <c r="F24" i="18"/>
  <c r="E24" i="18"/>
  <c r="D24" i="18"/>
  <c r="B24" i="18"/>
  <c r="C24" i="18" s="1"/>
  <c r="F23" i="18"/>
  <c r="E23" i="18"/>
  <c r="D23" i="18"/>
  <c r="B23" i="18"/>
  <c r="C23" i="18" s="1"/>
  <c r="F22" i="18"/>
  <c r="E22" i="18"/>
  <c r="D22" i="18"/>
  <c r="B22" i="18"/>
  <c r="C22" i="18" s="1"/>
  <c r="F21" i="18"/>
  <c r="E21" i="18"/>
  <c r="D21" i="18"/>
  <c r="B21" i="18"/>
  <c r="C21" i="18" s="1"/>
  <c r="F20" i="18"/>
  <c r="E20" i="18"/>
  <c r="D20" i="18"/>
  <c r="B20" i="18"/>
  <c r="C20" i="18" s="1"/>
  <c r="F19" i="18"/>
  <c r="E19" i="18"/>
  <c r="D19" i="18"/>
  <c r="B19" i="18"/>
  <c r="C19" i="18" s="1"/>
  <c r="F18" i="18"/>
  <c r="E18" i="18"/>
  <c r="D18" i="18"/>
  <c r="B18" i="18"/>
  <c r="C18" i="18" s="1"/>
  <c r="F17" i="18"/>
  <c r="E17" i="18"/>
  <c r="D17" i="18"/>
  <c r="B17" i="18"/>
  <c r="C17" i="18" s="1"/>
  <c r="F16" i="18"/>
  <c r="E16" i="18"/>
  <c r="D16" i="18"/>
  <c r="C16" i="18"/>
  <c r="B16" i="18"/>
  <c r="O15" i="18"/>
  <c r="N15" i="18"/>
  <c r="N4" i="18"/>
  <c r="N5" i="18" s="1"/>
  <c r="O34" i="17"/>
  <c r="C11" i="17" s="1"/>
  <c r="O32" i="17"/>
  <c r="C12" i="17" s="1"/>
  <c r="H25" i="17"/>
  <c r="G25" i="17"/>
  <c r="F24" i="17"/>
  <c r="E24" i="17"/>
  <c r="D24" i="17"/>
  <c r="B24" i="17"/>
  <c r="C24" i="17" s="1"/>
  <c r="F23" i="17"/>
  <c r="E23" i="17"/>
  <c r="D23" i="17"/>
  <c r="B23" i="17"/>
  <c r="C23" i="17" s="1"/>
  <c r="F22" i="17"/>
  <c r="E22" i="17"/>
  <c r="D22" i="17"/>
  <c r="B22" i="17"/>
  <c r="C22" i="17" s="1"/>
  <c r="F21" i="17"/>
  <c r="E21" i="17"/>
  <c r="D21" i="17"/>
  <c r="B21" i="17"/>
  <c r="C21" i="17" s="1"/>
  <c r="F20" i="17"/>
  <c r="E20" i="17"/>
  <c r="D20" i="17"/>
  <c r="B20" i="17"/>
  <c r="C20" i="17" s="1"/>
  <c r="F19" i="17"/>
  <c r="E19" i="17"/>
  <c r="D19" i="17"/>
  <c r="B19" i="17"/>
  <c r="C19" i="17" s="1"/>
  <c r="F18" i="17"/>
  <c r="E18" i="17"/>
  <c r="D18" i="17"/>
  <c r="B18" i="17"/>
  <c r="C18" i="17" s="1"/>
  <c r="F17" i="17"/>
  <c r="E17" i="17"/>
  <c r="D17" i="17"/>
  <c r="B17" i="17"/>
  <c r="C17" i="17" s="1"/>
  <c r="F16" i="17"/>
  <c r="E16" i="17"/>
  <c r="D16" i="17"/>
  <c r="C16" i="17"/>
  <c r="B16" i="17"/>
  <c r="O15" i="17"/>
  <c r="N15" i="17"/>
  <c r="N4" i="17"/>
  <c r="N5" i="17" s="1"/>
  <c r="L25" i="26" l="1"/>
  <c r="P29" i="26" s="1"/>
  <c r="P31" i="34"/>
  <c r="M25" i="28"/>
  <c r="M22" i="26"/>
  <c r="N22" i="26" s="1"/>
  <c r="O22" i="26" s="1"/>
  <c r="P22" i="26" s="1"/>
  <c r="K25" i="26"/>
  <c r="P30" i="26" s="1"/>
  <c r="P31" i="26" s="1"/>
  <c r="O25" i="30"/>
  <c r="M25" i="30"/>
  <c r="N25" i="30"/>
  <c r="P32" i="30" s="1"/>
  <c r="P33" i="30" s="1"/>
  <c r="P34" i="30" s="1"/>
  <c r="P35" i="30" s="1"/>
  <c r="U28" i="15" s="1"/>
  <c r="K22" i="22"/>
  <c r="L22" i="22"/>
  <c r="P33" i="32"/>
  <c r="P34" i="32" s="1"/>
  <c r="P35" i="32" s="1"/>
  <c r="U30" i="15" s="1"/>
  <c r="N25" i="34"/>
  <c r="P32" i="34" s="1"/>
  <c r="P24" i="34"/>
  <c r="I16" i="25"/>
  <c r="K16" i="25" s="1"/>
  <c r="I17" i="25"/>
  <c r="K17" i="25" s="1"/>
  <c r="I18" i="25"/>
  <c r="K18" i="25" s="1"/>
  <c r="I19" i="25"/>
  <c r="K19" i="25" s="1"/>
  <c r="I20" i="25"/>
  <c r="K20" i="25" s="1"/>
  <c r="I22" i="25"/>
  <c r="I23" i="25"/>
  <c r="I24" i="25"/>
  <c r="L24" i="25" s="1"/>
  <c r="I21" i="18"/>
  <c r="K21" i="18" s="1"/>
  <c r="I22" i="18"/>
  <c r="I24" i="18"/>
  <c r="L24" i="18" s="1"/>
  <c r="I19" i="19"/>
  <c r="I20" i="19"/>
  <c r="K20" i="19" s="1"/>
  <c r="I21" i="19"/>
  <c r="I22" i="19"/>
  <c r="I23" i="19"/>
  <c r="L23" i="19" s="1"/>
  <c r="I24" i="19"/>
  <c r="P33" i="29"/>
  <c r="P34" i="29" s="1"/>
  <c r="P35" i="29" s="1"/>
  <c r="U27" i="15" s="1"/>
  <c r="P16" i="32"/>
  <c r="P25" i="32" s="1"/>
  <c r="P16" i="30"/>
  <c r="P25" i="30" s="1"/>
  <c r="N25" i="35"/>
  <c r="P32" i="35" s="1"/>
  <c r="P33" i="35" s="1"/>
  <c r="O16" i="35"/>
  <c r="O25" i="34"/>
  <c r="P16" i="34"/>
  <c r="P25" i="34" s="1"/>
  <c r="N25" i="33"/>
  <c r="P32" i="33" s="1"/>
  <c r="P33" i="33" s="1"/>
  <c r="O16" i="33"/>
  <c r="N25" i="31"/>
  <c r="P32" i="31" s="1"/>
  <c r="P33" i="31" s="1"/>
  <c r="O16" i="31"/>
  <c r="O25" i="31" s="1"/>
  <c r="O25" i="29"/>
  <c r="P16" i="29"/>
  <c r="P25" i="29" s="1"/>
  <c r="N25" i="28"/>
  <c r="P32" i="28" s="1"/>
  <c r="P33" i="28" s="1"/>
  <c r="O16" i="28"/>
  <c r="I20" i="18"/>
  <c r="I18" i="18"/>
  <c r="I17" i="20"/>
  <c r="K17" i="20" s="1"/>
  <c r="I19" i="20"/>
  <c r="K19" i="20" s="1"/>
  <c r="I21" i="20"/>
  <c r="I23" i="20"/>
  <c r="L23" i="20" s="1"/>
  <c r="M25" i="27"/>
  <c r="P24" i="27"/>
  <c r="I16" i="24"/>
  <c r="I17" i="24"/>
  <c r="I18" i="24"/>
  <c r="K18" i="24" s="1"/>
  <c r="I19" i="24"/>
  <c r="I20" i="24"/>
  <c r="K20" i="24" s="1"/>
  <c r="I21" i="24"/>
  <c r="I22" i="24"/>
  <c r="I21" i="23"/>
  <c r="K21" i="23" s="1"/>
  <c r="I23" i="23"/>
  <c r="I17" i="21"/>
  <c r="I19" i="21"/>
  <c r="K19" i="21" s="1"/>
  <c r="I21" i="21"/>
  <c r="K21" i="21" s="1"/>
  <c r="O21" i="27"/>
  <c r="P21" i="27" s="1"/>
  <c r="P31" i="27"/>
  <c r="P23" i="27"/>
  <c r="P18" i="27"/>
  <c r="I21" i="25"/>
  <c r="I23" i="24"/>
  <c r="L23" i="24" s="1"/>
  <c r="I24" i="24"/>
  <c r="K24" i="24" s="1"/>
  <c r="I16" i="19"/>
  <c r="I17" i="19"/>
  <c r="I18" i="19"/>
  <c r="P20" i="27"/>
  <c r="P22" i="27"/>
  <c r="P17" i="27"/>
  <c r="P19" i="27"/>
  <c r="N25" i="27"/>
  <c r="P32" i="27" s="1"/>
  <c r="O16" i="27"/>
  <c r="P16" i="27" s="1"/>
  <c r="P20" i="26"/>
  <c r="P24" i="26"/>
  <c r="P21" i="26"/>
  <c r="P18" i="26"/>
  <c r="P19" i="26"/>
  <c r="N16" i="26"/>
  <c r="I16" i="18"/>
  <c r="I17" i="18"/>
  <c r="I17" i="23"/>
  <c r="I19" i="23"/>
  <c r="K19" i="23" s="1"/>
  <c r="I23" i="22"/>
  <c r="K23" i="22" s="1"/>
  <c r="I24" i="22"/>
  <c r="L24" i="22" s="1"/>
  <c r="I23" i="21"/>
  <c r="K23" i="21" s="1"/>
  <c r="I16" i="23"/>
  <c r="I18" i="23"/>
  <c r="I20" i="23"/>
  <c r="I22" i="23"/>
  <c r="I24" i="23"/>
  <c r="L24" i="23" s="1"/>
  <c r="I16" i="20"/>
  <c r="I18" i="20"/>
  <c r="K18" i="20" s="1"/>
  <c r="I20" i="20"/>
  <c r="I22" i="20"/>
  <c r="I24" i="20"/>
  <c r="K24" i="20" s="1"/>
  <c r="I16" i="21"/>
  <c r="I18" i="21"/>
  <c r="K18" i="21" s="1"/>
  <c r="I20" i="21"/>
  <c r="K20" i="21" s="1"/>
  <c r="I22" i="21"/>
  <c r="I24" i="21"/>
  <c r="K24" i="21" s="1"/>
  <c r="I16" i="17"/>
  <c r="K16" i="17" s="1"/>
  <c r="I17" i="17"/>
  <c r="K17" i="17" s="1"/>
  <c r="I18" i="17"/>
  <c r="K18" i="17" s="1"/>
  <c r="I19" i="17"/>
  <c r="K19" i="17" s="1"/>
  <c r="I20" i="17"/>
  <c r="K20" i="17" s="1"/>
  <c r="I21" i="17"/>
  <c r="I22" i="17"/>
  <c r="I23" i="17"/>
  <c r="K23" i="17" s="1"/>
  <c r="I24" i="17"/>
  <c r="K24" i="17" s="1"/>
  <c r="I19" i="18"/>
  <c r="K19" i="18" s="1"/>
  <c r="I23" i="18"/>
  <c r="L23" i="18" s="1"/>
  <c r="L18" i="25"/>
  <c r="K24" i="25"/>
  <c r="L23" i="25"/>
  <c r="K23" i="25"/>
  <c r="L23" i="23"/>
  <c r="K23" i="23"/>
  <c r="L16" i="22"/>
  <c r="L18" i="22"/>
  <c r="L20" i="22"/>
  <c r="L17" i="22"/>
  <c r="L19" i="22"/>
  <c r="L21" i="22"/>
  <c r="L24" i="20"/>
  <c r="K23" i="20"/>
  <c r="K24" i="19"/>
  <c r="L24" i="19"/>
  <c r="L21" i="18"/>
  <c r="K24" i="18"/>
  <c r="M24" i="18" s="1"/>
  <c r="O34" i="16"/>
  <c r="C11" i="16" s="1"/>
  <c r="O32" i="16"/>
  <c r="C12" i="16" s="1"/>
  <c r="H25" i="16"/>
  <c r="G25" i="16"/>
  <c r="F24" i="16"/>
  <c r="E24" i="16"/>
  <c r="D24" i="16"/>
  <c r="B24" i="16"/>
  <c r="C24" i="16" s="1"/>
  <c r="F23" i="16"/>
  <c r="E23" i="16"/>
  <c r="D23" i="16"/>
  <c r="B23" i="16"/>
  <c r="C23" i="16" s="1"/>
  <c r="F22" i="16"/>
  <c r="E22" i="16"/>
  <c r="D22" i="16"/>
  <c r="B22" i="16"/>
  <c r="C22" i="16" s="1"/>
  <c r="F21" i="16"/>
  <c r="E21" i="16"/>
  <c r="D21" i="16"/>
  <c r="B21" i="16"/>
  <c r="C21" i="16" s="1"/>
  <c r="F20" i="16"/>
  <c r="E20" i="16"/>
  <c r="D20" i="16"/>
  <c r="B20" i="16"/>
  <c r="C20" i="16" s="1"/>
  <c r="F19" i="16"/>
  <c r="E19" i="16"/>
  <c r="D19" i="16"/>
  <c r="B19" i="16"/>
  <c r="C19" i="16" s="1"/>
  <c r="F18" i="16"/>
  <c r="E18" i="16"/>
  <c r="D18" i="16"/>
  <c r="B18" i="16"/>
  <c r="C18" i="16" s="1"/>
  <c r="F17" i="16"/>
  <c r="E17" i="16"/>
  <c r="D17" i="16"/>
  <c r="B17" i="16"/>
  <c r="C17" i="16" s="1"/>
  <c r="F16" i="16"/>
  <c r="E16" i="16"/>
  <c r="D16" i="16"/>
  <c r="C16" i="16"/>
  <c r="B16" i="16"/>
  <c r="O15" i="16"/>
  <c r="N15" i="16"/>
  <c r="N4" i="16"/>
  <c r="N5" i="16" s="1"/>
  <c r="O42" i="15"/>
  <c r="O40" i="15"/>
  <c r="H25" i="15"/>
  <c r="C25" i="15" s="1"/>
  <c r="G25" i="15"/>
  <c r="F24" i="15"/>
  <c r="E24" i="15"/>
  <c r="D24" i="15"/>
  <c r="B24" i="15"/>
  <c r="C24" i="15" s="1"/>
  <c r="F23" i="15"/>
  <c r="E23" i="15"/>
  <c r="D23" i="15"/>
  <c r="B23" i="15"/>
  <c r="C23" i="15" s="1"/>
  <c r="F22" i="15"/>
  <c r="E22" i="15"/>
  <c r="D22" i="15"/>
  <c r="B22" i="15"/>
  <c r="C22" i="15" s="1"/>
  <c r="F21" i="15"/>
  <c r="E21" i="15"/>
  <c r="D21" i="15"/>
  <c r="B21" i="15"/>
  <c r="C21" i="15" s="1"/>
  <c r="F20" i="15"/>
  <c r="E20" i="15"/>
  <c r="D20" i="15"/>
  <c r="B20" i="15"/>
  <c r="C20" i="15" s="1"/>
  <c r="F19" i="15"/>
  <c r="E19" i="15"/>
  <c r="D19" i="15"/>
  <c r="B19" i="15"/>
  <c r="C19" i="15" s="1"/>
  <c r="F18" i="15"/>
  <c r="E18" i="15"/>
  <c r="D18" i="15"/>
  <c r="B18" i="15"/>
  <c r="C18" i="15" s="1"/>
  <c r="F17" i="15"/>
  <c r="E17" i="15"/>
  <c r="D17" i="15"/>
  <c r="B17" i="15"/>
  <c r="C17" i="15" s="1"/>
  <c r="F16" i="15"/>
  <c r="E16" i="15"/>
  <c r="D16" i="15"/>
  <c r="C16" i="15"/>
  <c r="B16" i="15"/>
  <c r="O15" i="15"/>
  <c r="N15" i="15"/>
  <c r="N4" i="15"/>
  <c r="N5" i="15" s="1"/>
  <c r="M25" i="26" l="1"/>
  <c r="L21" i="17"/>
  <c r="K21" i="17"/>
  <c r="L21" i="19"/>
  <c r="K21" i="19"/>
  <c r="M21" i="19" s="1"/>
  <c r="L20" i="23"/>
  <c r="K20" i="23"/>
  <c r="L20" i="19"/>
  <c r="M20" i="19" s="1"/>
  <c r="N20" i="19" s="1"/>
  <c r="O20" i="19" s="1"/>
  <c r="L20" i="18"/>
  <c r="K20" i="18"/>
  <c r="P33" i="34"/>
  <c r="P34" i="34" s="1"/>
  <c r="P35" i="34" s="1"/>
  <c r="U32" i="15" s="1"/>
  <c r="L19" i="19"/>
  <c r="K19" i="19"/>
  <c r="M19" i="19" s="1"/>
  <c r="N19" i="19" s="1"/>
  <c r="O19" i="19" s="1"/>
  <c r="L18" i="23"/>
  <c r="K18" i="23"/>
  <c r="L18" i="19"/>
  <c r="K18" i="19"/>
  <c r="M18" i="19" s="1"/>
  <c r="N18" i="19" s="1"/>
  <c r="O18" i="19" s="1"/>
  <c r="L18" i="18"/>
  <c r="K18" i="18"/>
  <c r="M18" i="18" s="1"/>
  <c r="N18" i="18" s="1"/>
  <c r="O18" i="18" s="1"/>
  <c r="L17" i="18"/>
  <c r="M17" i="18" s="1"/>
  <c r="N17" i="18" s="1"/>
  <c r="O17" i="18" s="1"/>
  <c r="K17" i="18"/>
  <c r="L17" i="25"/>
  <c r="L17" i="24"/>
  <c r="K17" i="24"/>
  <c r="L16" i="20"/>
  <c r="K16" i="20"/>
  <c r="L16" i="25"/>
  <c r="L16" i="18"/>
  <c r="K16" i="18"/>
  <c r="L16" i="24"/>
  <c r="K16" i="24"/>
  <c r="M16" i="24" s="1"/>
  <c r="N16" i="24" s="1"/>
  <c r="L20" i="25"/>
  <c r="L21" i="25"/>
  <c r="M21" i="25" s="1"/>
  <c r="N21" i="25" s="1"/>
  <c r="O21" i="25" s="1"/>
  <c r="P21" i="25" s="1"/>
  <c r="K21" i="25"/>
  <c r="L21" i="24"/>
  <c r="M21" i="24" s="1"/>
  <c r="N21" i="24" s="1"/>
  <c r="O21" i="24" s="1"/>
  <c r="K21" i="24"/>
  <c r="L19" i="24"/>
  <c r="M19" i="24" s="1"/>
  <c r="N19" i="24" s="1"/>
  <c r="O19" i="24" s="1"/>
  <c r="P19" i="24" s="1"/>
  <c r="K19" i="24"/>
  <c r="L17" i="23"/>
  <c r="K17" i="23"/>
  <c r="L16" i="23"/>
  <c r="K16" i="23"/>
  <c r="L17" i="21"/>
  <c r="M17" i="21" s="1"/>
  <c r="N17" i="21" s="1"/>
  <c r="O17" i="21" s="1"/>
  <c r="P17" i="21" s="1"/>
  <c r="K17" i="21"/>
  <c r="L16" i="21"/>
  <c r="K16" i="21"/>
  <c r="M16" i="21" s="1"/>
  <c r="N16" i="21" s="1"/>
  <c r="L20" i="20"/>
  <c r="K20" i="20"/>
  <c r="L21" i="20"/>
  <c r="K21" i="20"/>
  <c r="M21" i="20" s="1"/>
  <c r="N21" i="20" s="1"/>
  <c r="O21" i="20" s="1"/>
  <c r="L17" i="19"/>
  <c r="M17" i="19" s="1"/>
  <c r="N17" i="19" s="1"/>
  <c r="O17" i="19" s="1"/>
  <c r="K17" i="19"/>
  <c r="L16" i="19"/>
  <c r="K16" i="19"/>
  <c r="K22" i="23"/>
  <c r="L22" i="23"/>
  <c r="K22" i="17"/>
  <c r="L22" i="17"/>
  <c r="M22" i="17" s="1"/>
  <c r="N22" i="17" s="1"/>
  <c r="O22" i="17" s="1"/>
  <c r="K22" i="21"/>
  <c r="L22" i="21"/>
  <c r="K22" i="19"/>
  <c r="L22" i="19"/>
  <c r="L22" i="20"/>
  <c r="K22" i="20"/>
  <c r="L22" i="24"/>
  <c r="K22" i="24"/>
  <c r="M22" i="24" s="1"/>
  <c r="N22" i="24" s="1"/>
  <c r="O22" i="24" s="1"/>
  <c r="K22" i="18"/>
  <c r="L22" i="18"/>
  <c r="M22" i="18" s="1"/>
  <c r="N22" i="18" s="1"/>
  <c r="O22" i="18" s="1"/>
  <c r="K22" i="25"/>
  <c r="L22" i="25"/>
  <c r="M22" i="25" s="1"/>
  <c r="N22" i="25" s="1"/>
  <c r="O22" i="25" s="1"/>
  <c r="L24" i="17"/>
  <c r="K23" i="24"/>
  <c r="I25" i="25"/>
  <c r="P28" i="25" s="1"/>
  <c r="L18" i="17"/>
  <c r="K23" i="19"/>
  <c r="M23" i="19" s="1"/>
  <c r="N23" i="19" s="1"/>
  <c r="O23" i="19" s="1"/>
  <c r="L23" i="22"/>
  <c r="L25" i="22" s="1"/>
  <c r="P29" i="22" s="1"/>
  <c r="L19" i="25"/>
  <c r="M19" i="25" s="1"/>
  <c r="N19" i="25" s="1"/>
  <c r="O19" i="25" s="1"/>
  <c r="L21" i="21"/>
  <c r="O25" i="35"/>
  <c r="P16" i="35"/>
  <c r="P25" i="35" s="1"/>
  <c r="P34" i="35"/>
  <c r="P35" i="35" s="1"/>
  <c r="U33" i="15" s="1"/>
  <c r="O25" i="33"/>
  <c r="P16" i="33"/>
  <c r="P25" i="33" s="1"/>
  <c r="P34" i="33"/>
  <c r="P35" i="33" s="1"/>
  <c r="U31" i="15" s="1"/>
  <c r="P16" i="31"/>
  <c r="P25" i="31" s="1"/>
  <c r="P34" i="31"/>
  <c r="P35" i="31" s="1"/>
  <c r="U29" i="15" s="1"/>
  <c r="O25" i="28"/>
  <c r="P16" i="28"/>
  <c r="P25" i="28" s="1"/>
  <c r="P34" i="28"/>
  <c r="P35" i="28" s="1"/>
  <c r="U26" i="15" s="1"/>
  <c r="L20" i="24"/>
  <c r="L24" i="21"/>
  <c r="L17" i="20"/>
  <c r="M17" i="20" s="1"/>
  <c r="N17" i="20" s="1"/>
  <c r="O17" i="20" s="1"/>
  <c r="L16" i="17"/>
  <c r="M16" i="17" s="1"/>
  <c r="M20" i="18"/>
  <c r="N20" i="18" s="1"/>
  <c r="O20" i="18" s="1"/>
  <c r="L17" i="17"/>
  <c r="M17" i="17" s="1"/>
  <c r="N17" i="17" s="1"/>
  <c r="O17" i="17" s="1"/>
  <c r="L19" i="20"/>
  <c r="M19" i="20" s="1"/>
  <c r="N19" i="20" s="1"/>
  <c r="O19" i="20" s="1"/>
  <c r="M16" i="23"/>
  <c r="N16" i="23" s="1"/>
  <c r="L24" i="24"/>
  <c r="L18" i="24"/>
  <c r="L18" i="21"/>
  <c r="M18" i="21" s="1"/>
  <c r="N18" i="21" s="1"/>
  <c r="O18" i="21" s="1"/>
  <c r="M16" i="20"/>
  <c r="N16" i="20" s="1"/>
  <c r="L19" i="21"/>
  <c r="M19" i="21" s="1"/>
  <c r="N19" i="21" s="1"/>
  <c r="O19" i="21" s="1"/>
  <c r="M18" i="23"/>
  <c r="N18" i="23" s="1"/>
  <c r="O18" i="23" s="1"/>
  <c r="L19" i="17"/>
  <c r="M19" i="17" s="1"/>
  <c r="N19" i="17" s="1"/>
  <c r="O19" i="17" s="1"/>
  <c r="P19" i="17" s="1"/>
  <c r="L20" i="17"/>
  <c r="M20" i="17" s="1"/>
  <c r="N20" i="17" s="1"/>
  <c r="O20" i="17" s="1"/>
  <c r="L21" i="23"/>
  <c r="M21" i="23" s="1"/>
  <c r="N21" i="23" s="1"/>
  <c r="O21" i="23" s="1"/>
  <c r="L23" i="17"/>
  <c r="M23" i="17" s="1"/>
  <c r="N23" i="17" s="1"/>
  <c r="O23" i="17" s="1"/>
  <c r="P23" i="17" s="1"/>
  <c r="I25" i="24"/>
  <c r="P28" i="24" s="1"/>
  <c r="M22" i="22"/>
  <c r="N22" i="22" s="1"/>
  <c r="O22" i="22" s="1"/>
  <c r="P33" i="27"/>
  <c r="P34" i="27" s="1"/>
  <c r="P35" i="27" s="1"/>
  <c r="U25" i="15" s="1"/>
  <c r="M20" i="23"/>
  <c r="N20" i="23" s="1"/>
  <c r="O20" i="23" s="1"/>
  <c r="L23" i="21"/>
  <c r="M23" i="21" s="1"/>
  <c r="N23" i="21" s="1"/>
  <c r="O23" i="21" s="1"/>
  <c r="P23" i="21" s="1"/>
  <c r="I25" i="19"/>
  <c r="P28" i="19" s="1"/>
  <c r="L19" i="18"/>
  <c r="K23" i="18"/>
  <c r="O25" i="27"/>
  <c r="M23" i="25"/>
  <c r="M20" i="24"/>
  <c r="N20" i="24" s="1"/>
  <c r="O20" i="24" s="1"/>
  <c r="K24" i="23"/>
  <c r="M24" i="23" s="1"/>
  <c r="N24" i="23" s="1"/>
  <c r="O24" i="23" s="1"/>
  <c r="K24" i="22"/>
  <c r="M24" i="22" s="1"/>
  <c r="N24" i="22" s="1"/>
  <c r="O24" i="22" s="1"/>
  <c r="P24" i="22" s="1"/>
  <c r="I25" i="22"/>
  <c r="P28" i="22" s="1"/>
  <c r="L18" i="20"/>
  <c r="M18" i="20" s="1"/>
  <c r="N18" i="20" s="1"/>
  <c r="O18" i="20" s="1"/>
  <c r="M24" i="17"/>
  <c r="N24" i="17" s="1"/>
  <c r="O24" i="17" s="1"/>
  <c r="P25" i="27"/>
  <c r="N25" i="26"/>
  <c r="P32" i="26" s="1"/>
  <c r="P33" i="26" s="1"/>
  <c r="O16" i="26"/>
  <c r="O25" i="26" s="1"/>
  <c r="M17" i="25"/>
  <c r="N17" i="25" s="1"/>
  <c r="O17" i="25" s="1"/>
  <c r="M24" i="25"/>
  <c r="N24" i="25" s="1"/>
  <c r="O24" i="25" s="1"/>
  <c r="M18" i="24"/>
  <c r="N18" i="24" s="1"/>
  <c r="O18" i="24" s="1"/>
  <c r="L19" i="23"/>
  <c r="M19" i="23" s="1"/>
  <c r="N19" i="23" s="1"/>
  <c r="O19" i="23" s="1"/>
  <c r="M21" i="22"/>
  <c r="N21" i="22" s="1"/>
  <c r="O21" i="22" s="1"/>
  <c r="P21" i="22" s="1"/>
  <c r="M17" i="22"/>
  <c r="N17" i="22" s="1"/>
  <c r="O17" i="22" s="1"/>
  <c r="L20" i="21"/>
  <c r="M20" i="21" s="1"/>
  <c r="N20" i="21" s="1"/>
  <c r="O20" i="21" s="1"/>
  <c r="M24" i="21"/>
  <c r="N24" i="21" s="1"/>
  <c r="O24" i="21" s="1"/>
  <c r="P24" i="21" s="1"/>
  <c r="M23" i="20"/>
  <c r="N23" i="20" s="1"/>
  <c r="O23" i="20" s="1"/>
  <c r="I25" i="18"/>
  <c r="P28" i="18" s="1"/>
  <c r="I25" i="17"/>
  <c r="P28" i="17" s="1"/>
  <c r="M18" i="25"/>
  <c r="N18" i="25" s="1"/>
  <c r="O18" i="25" s="1"/>
  <c r="M20" i="25"/>
  <c r="N20" i="25" s="1"/>
  <c r="O20" i="25" s="1"/>
  <c r="M24" i="24"/>
  <c r="M23" i="24"/>
  <c r="N23" i="24" s="1"/>
  <c r="O23" i="24" s="1"/>
  <c r="I25" i="23"/>
  <c r="P28" i="23" s="1"/>
  <c r="M19" i="22"/>
  <c r="N19" i="22" s="1"/>
  <c r="O19" i="22" s="1"/>
  <c r="M18" i="22"/>
  <c r="N18" i="22" s="1"/>
  <c r="O18" i="22" s="1"/>
  <c r="I25" i="21"/>
  <c r="P28" i="21" s="1"/>
  <c r="I25" i="20"/>
  <c r="P28" i="20" s="1"/>
  <c r="I16" i="15"/>
  <c r="I17" i="15"/>
  <c r="I18" i="15"/>
  <c r="I19" i="15"/>
  <c r="I20" i="15"/>
  <c r="I21" i="15"/>
  <c r="I22" i="15"/>
  <c r="I24" i="15"/>
  <c r="I16" i="16"/>
  <c r="K16" i="16" s="1"/>
  <c r="I17" i="16"/>
  <c r="K17" i="16" s="1"/>
  <c r="I18" i="16"/>
  <c r="K18" i="16" s="1"/>
  <c r="I19" i="16"/>
  <c r="K19" i="16" s="1"/>
  <c r="I20" i="16"/>
  <c r="K20" i="16" s="1"/>
  <c r="I21" i="16"/>
  <c r="K21" i="16" s="1"/>
  <c r="I22" i="16"/>
  <c r="I23" i="16"/>
  <c r="L23" i="16" s="1"/>
  <c r="I24" i="16"/>
  <c r="L24" i="16" s="1"/>
  <c r="M21" i="18"/>
  <c r="N21" i="18" s="1"/>
  <c r="O21" i="18" s="1"/>
  <c r="M24" i="20"/>
  <c r="N24" i="20" s="1"/>
  <c r="O24" i="20" s="1"/>
  <c r="M17" i="23"/>
  <c r="N17" i="23" s="1"/>
  <c r="O17" i="23" s="1"/>
  <c r="M18" i="17"/>
  <c r="N18" i="17" s="1"/>
  <c r="O18" i="17" s="1"/>
  <c r="M24" i="19"/>
  <c r="M20" i="22"/>
  <c r="N20" i="22" s="1"/>
  <c r="O20" i="22" s="1"/>
  <c r="M23" i="23"/>
  <c r="N23" i="23" s="1"/>
  <c r="O23" i="23" s="1"/>
  <c r="M23" i="18"/>
  <c r="N23" i="18" s="1"/>
  <c r="O23" i="18" s="1"/>
  <c r="K25" i="22"/>
  <c r="P30" i="22" s="1"/>
  <c r="K25" i="25"/>
  <c r="P30" i="25" s="1"/>
  <c r="M16" i="25"/>
  <c r="N23" i="25"/>
  <c r="O23" i="25" s="1"/>
  <c r="P23" i="25" s="1"/>
  <c r="N24" i="24"/>
  <c r="O24" i="24" s="1"/>
  <c r="M16" i="22"/>
  <c r="M21" i="21"/>
  <c r="N21" i="21" s="1"/>
  <c r="N24" i="19"/>
  <c r="O24" i="19" s="1"/>
  <c r="N24" i="18"/>
  <c r="O24" i="18" s="1"/>
  <c r="I23" i="15"/>
  <c r="M17" i="24" l="1"/>
  <c r="N17" i="24" s="1"/>
  <c r="O17" i="24" s="1"/>
  <c r="M20" i="20"/>
  <c r="N20" i="20" s="1"/>
  <c r="O20" i="20" s="1"/>
  <c r="L25" i="19"/>
  <c r="P29" i="19" s="1"/>
  <c r="K25" i="24"/>
  <c r="P30" i="24" s="1"/>
  <c r="M22" i="21"/>
  <c r="N22" i="21" s="1"/>
  <c r="O22" i="21" s="1"/>
  <c r="M22" i="19"/>
  <c r="N22" i="19" s="1"/>
  <c r="O22" i="19" s="1"/>
  <c r="P22" i="19" s="1"/>
  <c r="L25" i="18"/>
  <c r="P29" i="18" s="1"/>
  <c r="L22" i="16"/>
  <c r="L22" i="15" s="1"/>
  <c r="K22" i="16"/>
  <c r="K22" i="15" s="1"/>
  <c r="L25" i="25"/>
  <c r="P29" i="25" s="1"/>
  <c r="L17" i="16"/>
  <c r="M23" i="22"/>
  <c r="N23" i="22" s="1"/>
  <c r="O23" i="22" s="1"/>
  <c r="L21" i="16"/>
  <c r="L21" i="15" s="1"/>
  <c r="K25" i="19"/>
  <c r="P30" i="19" s="1"/>
  <c r="L19" i="16"/>
  <c r="L19" i="15" s="1"/>
  <c r="M19" i="18"/>
  <c r="N19" i="18" s="1"/>
  <c r="O19" i="18" s="1"/>
  <c r="K18" i="15"/>
  <c r="L25" i="24"/>
  <c r="P29" i="24" s="1"/>
  <c r="L17" i="15"/>
  <c r="L23" i="15"/>
  <c r="L16" i="16"/>
  <c r="L16" i="15" s="1"/>
  <c r="L25" i="23"/>
  <c r="P29" i="23" s="1"/>
  <c r="L25" i="20"/>
  <c r="P29" i="20" s="1"/>
  <c r="M16" i="19"/>
  <c r="N16" i="19" s="1"/>
  <c r="K25" i="17"/>
  <c r="P30" i="17" s="1"/>
  <c r="K25" i="20"/>
  <c r="P30" i="20" s="1"/>
  <c r="K25" i="21"/>
  <c r="P30" i="21" s="1"/>
  <c r="L24" i="15"/>
  <c r="K25" i="18"/>
  <c r="P30" i="18" s="1"/>
  <c r="M16" i="18"/>
  <c r="L25" i="17"/>
  <c r="P29" i="17" s="1"/>
  <c r="K24" i="16"/>
  <c r="K24" i="15" s="1"/>
  <c r="M24" i="15" s="1"/>
  <c r="M21" i="17"/>
  <c r="N21" i="17" s="1"/>
  <c r="O21" i="17" s="1"/>
  <c r="L18" i="16"/>
  <c r="L18" i="15" s="1"/>
  <c r="L20" i="16"/>
  <c r="L20" i="15" s="1"/>
  <c r="L25" i="21"/>
  <c r="P29" i="21" s="1"/>
  <c r="K16" i="15"/>
  <c r="M22" i="23"/>
  <c r="N22" i="23" s="1"/>
  <c r="O22" i="23" s="1"/>
  <c r="M22" i="20"/>
  <c r="N22" i="20" s="1"/>
  <c r="O22" i="20" s="1"/>
  <c r="M25" i="24"/>
  <c r="K20" i="15"/>
  <c r="K21" i="15"/>
  <c r="P16" i="26"/>
  <c r="P25" i="26" s="1"/>
  <c r="K25" i="23"/>
  <c r="P30" i="23" s="1"/>
  <c r="P34" i="26"/>
  <c r="P35" i="26" s="1"/>
  <c r="U24" i="15" s="1"/>
  <c r="P31" i="22"/>
  <c r="I25" i="16"/>
  <c r="P28" i="16" s="1"/>
  <c r="K17" i="15"/>
  <c r="I25" i="15"/>
  <c r="P36" i="15" s="1"/>
  <c r="M24" i="16"/>
  <c r="N24" i="16" s="1"/>
  <c r="K23" i="16"/>
  <c r="K19" i="15"/>
  <c r="O21" i="21"/>
  <c r="P21" i="21" s="1"/>
  <c r="P24" i="23"/>
  <c r="P18" i="20"/>
  <c r="P24" i="20"/>
  <c r="P18" i="22"/>
  <c r="P21" i="24"/>
  <c r="P17" i="24"/>
  <c r="P31" i="25"/>
  <c r="P24" i="25"/>
  <c r="P22" i="25"/>
  <c r="P20" i="25"/>
  <c r="M25" i="25"/>
  <c r="N16" i="25"/>
  <c r="P18" i="25"/>
  <c r="P17" i="25"/>
  <c r="P19" i="25"/>
  <c r="N25" i="24"/>
  <c r="P32" i="24" s="1"/>
  <c r="O16" i="24"/>
  <c r="P22" i="24"/>
  <c r="P23" i="24"/>
  <c r="P24" i="24"/>
  <c r="P18" i="24"/>
  <c r="P20" i="24"/>
  <c r="P18" i="23"/>
  <c r="P23" i="23"/>
  <c r="P21" i="23"/>
  <c r="P17" i="23"/>
  <c r="O16" i="23"/>
  <c r="P20" i="23"/>
  <c r="P19" i="23"/>
  <c r="M25" i="22"/>
  <c r="N16" i="22"/>
  <c r="P22" i="22"/>
  <c r="P20" i="22"/>
  <c r="P17" i="22"/>
  <c r="P19" i="22"/>
  <c r="P19" i="21"/>
  <c r="O16" i="21"/>
  <c r="P18" i="21"/>
  <c r="P20" i="21"/>
  <c r="P20" i="20"/>
  <c r="P21" i="20"/>
  <c r="P17" i="20"/>
  <c r="P19" i="20"/>
  <c r="P23" i="20"/>
  <c r="O16" i="20"/>
  <c r="N21" i="19"/>
  <c r="O21" i="19" s="1"/>
  <c r="P17" i="19"/>
  <c r="P18" i="19"/>
  <c r="P20" i="19"/>
  <c r="P19" i="19"/>
  <c r="P23" i="19"/>
  <c r="O16" i="19"/>
  <c r="P24" i="19"/>
  <c r="P17" i="18"/>
  <c r="P20" i="18"/>
  <c r="P21" i="18"/>
  <c r="P23" i="18"/>
  <c r="P24" i="18"/>
  <c r="P22" i="18"/>
  <c r="P18" i="18"/>
  <c r="P17" i="17"/>
  <c r="N16" i="17"/>
  <c r="P20" i="17"/>
  <c r="P24" i="17"/>
  <c r="P18" i="17"/>
  <c r="P22" i="17"/>
  <c r="P22" i="21" l="1"/>
  <c r="N25" i="21"/>
  <c r="P32" i="21" s="1"/>
  <c r="M25" i="21"/>
  <c r="M21" i="15"/>
  <c r="P31" i="24"/>
  <c r="P31" i="19"/>
  <c r="P23" i="22"/>
  <c r="P31" i="18"/>
  <c r="M16" i="16"/>
  <c r="N16" i="16" s="1"/>
  <c r="O16" i="16" s="1"/>
  <c r="P19" i="18"/>
  <c r="P22" i="20"/>
  <c r="M25" i="20"/>
  <c r="M25" i="19"/>
  <c r="M25" i="18"/>
  <c r="M16" i="15"/>
  <c r="M22" i="15"/>
  <c r="M18" i="15"/>
  <c r="N16" i="18"/>
  <c r="O16" i="18" s="1"/>
  <c r="M18" i="16"/>
  <c r="N18" i="16" s="1"/>
  <c r="O18" i="16" s="1"/>
  <c r="O18" i="15" s="1"/>
  <c r="M22" i="16"/>
  <c r="N22" i="16" s="1"/>
  <c r="N22" i="15" s="1"/>
  <c r="P31" i="21"/>
  <c r="M17" i="15"/>
  <c r="P31" i="17"/>
  <c r="L25" i="16"/>
  <c r="P29" i="16" s="1"/>
  <c r="M20" i="16"/>
  <c r="N20" i="16" s="1"/>
  <c r="O20" i="16" s="1"/>
  <c r="O20" i="15" s="1"/>
  <c r="P31" i="20"/>
  <c r="P31" i="23"/>
  <c r="P21" i="17"/>
  <c r="M25" i="17"/>
  <c r="N25" i="20"/>
  <c r="P32" i="20" s="1"/>
  <c r="M17" i="16"/>
  <c r="N17" i="16" s="1"/>
  <c r="O17" i="16" s="1"/>
  <c r="O17" i="15" s="1"/>
  <c r="M20" i="15"/>
  <c r="M21" i="16"/>
  <c r="N21" i="16" s="1"/>
  <c r="O21" i="16" s="1"/>
  <c r="O21" i="15" s="1"/>
  <c r="L25" i="15"/>
  <c r="P37" i="15" s="1"/>
  <c r="N25" i="23"/>
  <c r="P32" i="23" s="1"/>
  <c r="P33" i="23" s="1"/>
  <c r="P34" i="23" s="1"/>
  <c r="P35" i="23" s="1"/>
  <c r="U21" i="15" s="1"/>
  <c r="P22" i="23"/>
  <c r="O25" i="23"/>
  <c r="M25" i="23"/>
  <c r="M19" i="15"/>
  <c r="O24" i="16"/>
  <c r="O24" i="15" s="1"/>
  <c r="N24" i="15"/>
  <c r="P33" i="24"/>
  <c r="P34" i="24" s="1"/>
  <c r="P35" i="24" s="1"/>
  <c r="U22" i="15" s="1"/>
  <c r="P16" i="23"/>
  <c r="O25" i="21"/>
  <c r="O25" i="19"/>
  <c r="N25" i="19"/>
  <c r="P32" i="19" s="1"/>
  <c r="P33" i="19" s="1"/>
  <c r="P34" i="19" s="1"/>
  <c r="P35" i="19" s="1"/>
  <c r="U16" i="15" s="1"/>
  <c r="M19" i="16"/>
  <c r="N19" i="16" s="1"/>
  <c r="K25" i="16"/>
  <c r="P30" i="16" s="1"/>
  <c r="M23" i="16"/>
  <c r="N23" i="16" s="1"/>
  <c r="K23" i="15"/>
  <c r="M23" i="15" s="1"/>
  <c r="N25" i="25"/>
  <c r="P32" i="25" s="1"/>
  <c r="P33" i="25" s="1"/>
  <c r="O16" i="25"/>
  <c r="O25" i="25" s="1"/>
  <c r="O25" i="24"/>
  <c r="P16" i="24"/>
  <c r="P25" i="24" s="1"/>
  <c r="N25" i="22"/>
  <c r="P32" i="22" s="1"/>
  <c r="P33" i="22" s="1"/>
  <c r="O16" i="22"/>
  <c r="O25" i="22" s="1"/>
  <c r="P16" i="21"/>
  <c r="P25" i="21" s="1"/>
  <c r="O25" i="20"/>
  <c r="P16" i="20"/>
  <c r="P21" i="19"/>
  <c r="P16" i="19"/>
  <c r="N25" i="18"/>
  <c r="P32" i="18" s="1"/>
  <c r="O16" i="17"/>
  <c r="O25" i="17" s="1"/>
  <c r="N25" i="17"/>
  <c r="P32" i="17" s="1"/>
  <c r="P33" i="21" l="1"/>
  <c r="P34" i="21" s="1"/>
  <c r="P35" i="21" s="1"/>
  <c r="U19" i="15" s="1"/>
  <c r="P33" i="18"/>
  <c r="P33" i="20"/>
  <c r="P34" i="20" s="1"/>
  <c r="P35" i="20" s="1"/>
  <c r="U18" i="15" s="1"/>
  <c r="N16" i="15"/>
  <c r="N18" i="15"/>
  <c r="P25" i="20"/>
  <c r="O22" i="16"/>
  <c r="O22" i="15" s="1"/>
  <c r="P22" i="15" s="1"/>
  <c r="N20" i="15"/>
  <c r="P20" i="15" s="1"/>
  <c r="P33" i="17"/>
  <c r="P34" i="17" s="1"/>
  <c r="P35" i="17" s="1"/>
  <c r="U15" i="15" s="1"/>
  <c r="P25" i="23"/>
  <c r="P31" i="16"/>
  <c r="P24" i="16"/>
  <c r="N17" i="15"/>
  <c r="P17" i="15" s="1"/>
  <c r="P20" i="16"/>
  <c r="P17" i="16"/>
  <c r="N21" i="15"/>
  <c r="P21" i="15" s="1"/>
  <c r="P18" i="16"/>
  <c r="P21" i="16"/>
  <c r="P22" i="16"/>
  <c r="P24" i="15"/>
  <c r="P18" i="15"/>
  <c r="O16" i="15"/>
  <c r="O19" i="16"/>
  <c r="N19" i="15"/>
  <c r="O23" i="16"/>
  <c r="O23" i="15" s="1"/>
  <c r="N23" i="15"/>
  <c r="N25" i="16"/>
  <c r="P32" i="16" s="1"/>
  <c r="M25" i="16"/>
  <c r="P25" i="19"/>
  <c r="M25" i="15"/>
  <c r="K25" i="15"/>
  <c r="P38" i="15" s="1"/>
  <c r="P39" i="15" s="1"/>
  <c r="P34" i="25"/>
  <c r="P35" i="25" s="1"/>
  <c r="U23" i="15" s="1"/>
  <c r="P16" i="25"/>
  <c r="P25" i="25" s="1"/>
  <c r="P16" i="22"/>
  <c r="P25" i="22" s="1"/>
  <c r="P34" i="22"/>
  <c r="P35" i="22" s="1"/>
  <c r="U20" i="15" s="1"/>
  <c r="O25" i="18"/>
  <c r="P16" i="18"/>
  <c r="P25" i="18" s="1"/>
  <c r="P34" i="18"/>
  <c r="P35" i="18" s="1"/>
  <c r="U17" i="15" s="1"/>
  <c r="P16" i="17"/>
  <c r="P25" i="17" s="1"/>
  <c r="P16" i="16"/>
  <c r="P16" i="15" l="1"/>
  <c r="P33" i="16"/>
  <c r="P34" i="16" s="1"/>
  <c r="P35" i="16" s="1"/>
  <c r="U14" i="15" s="1"/>
  <c r="U34" i="15" s="1"/>
  <c r="N25" i="15"/>
  <c r="P40" i="15" s="1"/>
  <c r="P41" i="15" s="1"/>
  <c r="P42" i="15" s="1"/>
  <c r="P43" i="15" s="1"/>
  <c r="P23" i="15"/>
  <c r="O25" i="16"/>
  <c r="P23" i="16"/>
  <c r="P19" i="16"/>
  <c r="O19" i="15"/>
  <c r="O25" i="15" s="1"/>
  <c r="AA14" i="6"/>
  <c r="M14" i="6"/>
  <c r="H14" i="6"/>
  <c r="AA13" i="6"/>
  <c r="M13" i="6"/>
  <c r="H13" i="6"/>
  <c r="AA12" i="6"/>
  <c r="M12" i="6"/>
  <c r="H12" i="6"/>
  <c r="AA11" i="6"/>
  <c r="M11" i="6"/>
  <c r="H11" i="6"/>
  <c r="AA10" i="6"/>
  <c r="M10" i="6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P25" i="16" l="1"/>
  <c r="P19" i="15"/>
  <c r="P25" i="15" s="1"/>
  <c r="Q11" i="6"/>
  <c r="Q12" i="6"/>
  <c r="Q10" i="6"/>
  <c r="Q14" i="6"/>
  <c r="Q8" i="6"/>
  <c r="S12" i="6"/>
  <c r="S7" i="6"/>
  <c r="O7" i="6"/>
  <c r="S9" i="6"/>
  <c r="S13" i="6"/>
  <c r="Q7" i="6"/>
  <c r="Q9" i="6"/>
  <c r="Q13" i="6"/>
  <c r="S8" i="6"/>
  <c r="S14" i="6"/>
  <c r="S11" i="6"/>
  <c r="S10" i="6"/>
  <c r="S6" i="6"/>
  <c r="Q6" i="6"/>
  <c r="U7" i="6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U6" i="6" l="1"/>
  <c r="T6" i="6" s="1"/>
  <c r="W7" i="6"/>
  <c r="Y7" i="6" s="1"/>
  <c r="T7" i="6"/>
  <c r="W6" i="6"/>
  <c r="Y6" i="6" s="1"/>
  <c r="O8" i="6"/>
  <c r="U8" i="6" s="1"/>
  <c r="N9" i="6"/>
  <c r="O9" i="6" l="1"/>
  <c r="U9" i="6" s="1"/>
  <c r="N10" i="6"/>
  <c r="W8" i="6"/>
  <c r="Y8" i="6" s="1"/>
  <c r="T8" i="6"/>
  <c r="V6" i="6"/>
  <c r="X6" i="6" s="1"/>
  <c r="V7" i="6"/>
  <c r="X7" i="6" s="1"/>
  <c r="O10" i="6" l="1"/>
  <c r="U10" i="6" s="1"/>
  <c r="N11" i="6"/>
  <c r="W9" i="6"/>
  <c r="Y9" i="6" s="1"/>
  <c r="T9" i="6"/>
  <c r="V8" i="6"/>
  <c r="X8" i="6" s="1"/>
  <c r="O11" i="6" l="1"/>
  <c r="U11" i="6" s="1"/>
  <c r="N12" i="6"/>
  <c r="W10" i="6"/>
  <c r="Y10" i="6" s="1"/>
  <c r="T10" i="6"/>
  <c r="V9" i="6"/>
  <c r="X9" i="6" s="1"/>
  <c r="O12" i="6" l="1"/>
  <c r="U12" i="6" s="1"/>
  <c r="N13" i="6"/>
  <c r="V10" i="6"/>
  <c r="X10" i="6" s="1"/>
  <c r="W11" i="6"/>
  <c r="Y11" i="6" s="1"/>
  <c r="T11" i="6"/>
  <c r="W12" i="6" l="1"/>
  <c r="Y12" i="6" s="1"/>
  <c r="T12" i="6"/>
  <c r="V11" i="6"/>
  <c r="X11" i="6" s="1"/>
  <c r="O13" i="6"/>
  <c r="U13" i="6" s="1"/>
  <c r="N14" i="6"/>
  <c r="O14" i="6" s="1"/>
  <c r="U14" i="6" s="1"/>
  <c r="W13" i="6" l="1"/>
  <c r="Y13" i="6" s="1"/>
  <c r="T13" i="6"/>
  <c r="V12" i="6"/>
  <c r="X12" i="6" s="1"/>
  <c r="W14" i="6"/>
  <c r="Y14" i="6" s="1"/>
  <c r="T14" i="6"/>
  <c r="V14" i="6" l="1"/>
  <c r="X14" i="6" s="1"/>
  <c r="V13" i="6"/>
  <c r="X13" i="6" s="1"/>
</calcChain>
</file>

<file path=xl/sharedStrings.xml><?xml version="1.0" encoding="utf-8"?>
<sst xmlns="http://schemas.openxmlformats.org/spreadsheetml/2006/main" count="1634" uniqueCount="137">
  <si>
    <t>Gm</t>
  </si>
  <si>
    <t>Amount</t>
  </si>
  <si>
    <t>CTN</t>
  </si>
  <si>
    <t>Unit</t>
  </si>
  <si>
    <t>Trade Offre</t>
  </si>
  <si>
    <t>OB Name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</si>
  <si>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</si>
  <si>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</si>
  <si>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</si>
  <si>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</si>
  <si>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</si>
  <si>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</si>
  <si>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</si>
  <si>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</si>
  <si>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</si>
  <si>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</si>
  <si>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</si>
  <si>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</si>
  <si>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</si>
  <si>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</si>
  <si>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</si>
  <si>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</si>
  <si>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</si>
  <si>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</si>
  <si>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</si>
  <si>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</si>
  <si>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</si>
  <si>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</si>
  <si>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</si>
  <si>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</si>
  <si>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</si>
  <si>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</si>
  <si>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</si>
  <si>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</si>
  <si>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</si>
  <si>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</si>
  <si>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</si>
  <si>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</si>
  <si>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</si>
  <si>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</si>
  <si>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</si>
  <si>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Zeeshan Meharban</t>
  </si>
  <si>
    <t xml:space="preserve">Salman Aslam </t>
  </si>
  <si>
    <t xml:space="preserve">Qasim Khan </t>
  </si>
  <si>
    <t>Zahid Rafique</t>
  </si>
  <si>
    <t>Elite MARKETING</t>
  </si>
  <si>
    <t>44A- Gulberg Lahore</t>
  </si>
  <si>
    <t>Invoice No # :</t>
  </si>
  <si>
    <t>Filer</t>
  </si>
  <si>
    <t>Date/Day :</t>
  </si>
  <si>
    <t>Non-filer</t>
  </si>
  <si>
    <t>Order Date :</t>
  </si>
  <si>
    <t>Order Name :</t>
  </si>
  <si>
    <t>Registered</t>
  </si>
  <si>
    <t>Un-registered</t>
  </si>
  <si>
    <t>Yes</t>
  </si>
  <si>
    <t>Invoice Status :</t>
  </si>
  <si>
    <t>Serviced</t>
  </si>
  <si>
    <t>No</t>
  </si>
  <si>
    <t>Order at Original Location :</t>
  </si>
  <si>
    <t>STRN Number:</t>
  </si>
  <si>
    <t>Reference Invoice :</t>
  </si>
  <si>
    <t>Monday/Tuesday</t>
  </si>
  <si>
    <t>Tuesday / Wednesday</t>
  </si>
  <si>
    <t>Product Code/Description</t>
  </si>
  <si>
    <t>GM/ Pack</t>
  </si>
  <si>
    <t>R.P Per</t>
  </si>
  <si>
    <t>T.P Per</t>
  </si>
  <si>
    <t>Sale QTY</t>
  </si>
  <si>
    <t>Gross Amount Excl. Taxes</t>
  </si>
  <si>
    <t>Trade Offer &amp; Discount</t>
  </si>
  <si>
    <t>After Discount Amount</t>
  </si>
  <si>
    <t xml:space="preserve">GST </t>
  </si>
  <si>
    <t>Adv. Tax 236H</t>
  </si>
  <si>
    <t>Invoice</t>
  </si>
  <si>
    <t>Wednesday/Thursday</t>
  </si>
  <si>
    <t>SIZE</t>
  </si>
  <si>
    <t>Pack</t>
  </si>
  <si>
    <t>FOC Qty</t>
  </si>
  <si>
    <t>Trade Offer</t>
  </si>
  <si>
    <t>Pass On</t>
  </si>
  <si>
    <t>Thursday /Friday</t>
  </si>
  <si>
    <t>Friday / Saturday</t>
  </si>
  <si>
    <t>Saturday /Monday</t>
  </si>
  <si>
    <t>Total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</si>
  <si>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</si>
  <si>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Gross Amount:</t>
  </si>
  <si>
    <t>Regular Discount</t>
  </si>
  <si>
    <t>After Dis. Amount</t>
  </si>
  <si>
    <t>Total GST:</t>
  </si>
  <si>
    <t>Net  Amount:</t>
  </si>
  <si>
    <t xml:space="preserve"> Ad.Tax</t>
  </si>
  <si>
    <t>Net Amount with Ad.Tax</t>
  </si>
  <si>
    <t>Delivered By</t>
  </si>
  <si>
    <t>STRN / NTN :3808207-1</t>
  </si>
  <si>
    <t>NTN/CNIC Number:</t>
  </si>
  <si>
    <t>Furqan</t>
  </si>
  <si>
    <t>Furqan Ali</t>
  </si>
  <si>
    <t>Salman Butt</t>
  </si>
  <si>
    <t>Mobeen Ahmad</t>
  </si>
  <si>
    <t>Rana Bilal Tso</t>
  </si>
  <si>
    <t>Shakoor</t>
  </si>
  <si>
    <t xml:space="preserve">Customer Name : </t>
  </si>
  <si>
    <t xml:space="preserve">Address: </t>
  </si>
  <si>
    <t>Umair Rehman</t>
  </si>
  <si>
    <t>Umer Nawaz</t>
  </si>
  <si>
    <t>60G</t>
  </si>
  <si>
    <t>120G</t>
  </si>
  <si>
    <t>70G</t>
  </si>
  <si>
    <t>Gram</t>
  </si>
  <si>
    <t>Ctn Rate</t>
  </si>
  <si>
    <t>50 RS</t>
  </si>
  <si>
    <t>65 RS</t>
  </si>
  <si>
    <t>90 RS</t>
  </si>
  <si>
    <t>Retail Prize</t>
  </si>
  <si>
    <t xml:space="preserve">Single </t>
  </si>
  <si>
    <t>Non Filer &amp; Register</t>
  </si>
  <si>
    <t>Non Filer (Regular)</t>
  </si>
  <si>
    <t>Filer &amp; Register (LMT)</t>
  </si>
  <si>
    <t>Filer &amp; Non Register</t>
  </si>
  <si>
    <t>Umair</t>
  </si>
  <si>
    <t>Shop Bill Summary(Umair)</t>
  </si>
  <si>
    <t xml:space="preserve">Customer Name : Al Faisal Mart </t>
  </si>
  <si>
    <t xml:space="preserve">Address: Behria Nasheman </t>
  </si>
  <si>
    <t>352014023017-3</t>
  </si>
  <si>
    <t xml:space="preserve">Customer Name : MA Mart </t>
  </si>
  <si>
    <t xml:space="preserve">Customer Name : Sheen Mart </t>
  </si>
  <si>
    <t xml:space="preserve">Address: Central Park </t>
  </si>
  <si>
    <t xml:space="preserve">Customer Name : Gujjar Mart </t>
  </si>
  <si>
    <t xml:space="preserve">Customer Name : SM Rice Mart </t>
  </si>
  <si>
    <t xml:space="preserve">Customer Name : Khan Mart </t>
  </si>
  <si>
    <t xml:space="preserve">Customer Name : D Mart </t>
  </si>
  <si>
    <t>Customer Name : Safe Cash &amp; Carry</t>
  </si>
  <si>
    <t xml:space="preserve">Customer Name : B.B Cash &amp; Carry </t>
  </si>
  <si>
    <t>Address: Central Park Gate no 3</t>
  </si>
  <si>
    <t>Customer Name : Sheen Groccery Store</t>
  </si>
  <si>
    <t>4733136-5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</si>
</sst>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0.0%"/>
    <numFmt numFmtId="165" formatCode="0.0"/>
    <numFmt numFmtId="166" formatCode="[$-F800]dddd\,\ mmmm\ dd\,\ yyyy"/>
    <numFmt numFmtId="167" formatCode="0.0000000000000"/>
    <numFmt numFmtId="168" formatCode="0.0000"/>
  </numFmts>
  <fonts count="2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color theme="1"/>
      <name val="Calibri"/>
      <family val="2"/>
      <scheme val="minor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b/>
      <sz val="20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b/>
      <sz val="8"/>
      <color theme="1"/>
      <name val="Tahoma"/>
      <family val="2"/>
    </font>
    <font>
      <sz val="11"/>
      <color rgb="FF000000"/>
      <name val="Calibri"/>
      <family val="2"/>
      <scheme val="minor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sz val="14"/>
      <color rgb="FF1F2937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7" fillId="0" borderId="0" applyFont="0" applyFill="0" applyBorder="0" applyAlignment="0" applyProtection="0"/>
  </cellStyleXfs>
  <cellXfs count="266">
    <xf numFmtId="0" fontId="0" fillId="0" borderId="0" xfId="0"/>
    <xf numFmtId="2" fontId="0" fillId="0" borderId="1" xfId="0" applyNumberFormat="1" applyBorder="1" applyAlignment="1">
      <alignment horizontal="center"/>
    </xf>
    <xf numFmtId="9" fontId="0" fillId="0" borderId="0" xfId="0" applyNumberFormat="1"/>
    <xf numFmtId="0" fontId="5" fillId="0" borderId="0" xfId="0" applyFont="1"/>
    <xf numFmtId="2" fontId="0" fillId="0" borderId="0" xfId="0" applyNumberFormat="1" applyAlignment="1">
      <alignment horizontal="center"/>
    </xf>
    <xf numFmtId="0" fontId="6" fillId="2" borderId="4" xfId="0" applyFont="1" applyFill="1" applyBorder="1" applyAlignment="1">
      <alignment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8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vertical="center" wrapText="1"/>
    </xf>
    <xf numFmtId="0" fontId="6" fillId="2" borderId="28" xfId="0" applyFont="1" applyFill="1" applyBorder="1" applyAlignment="1">
      <alignment horizontal="center" vertical="center" wrapText="1"/>
    </xf>
    <xf numFmtId="2" fontId="6" fillId="2" borderId="28" xfId="0" applyNumberFormat="1" applyFont="1" applyFill="1" applyBorder="1" applyAlignment="1">
      <alignment horizontal="center" vertical="center" wrapText="1"/>
    </xf>
    <xf numFmtId="43" fontId="6" fillId="2" borderId="28" xfId="1" applyFont="1" applyFill="1" applyBorder="1" applyAlignment="1">
      <alignment horizontal="center" vertical="center" wrapText="1"/>
    </xf>
    <xf numFmtId="9" fontId="6" fillId="2" borderId="1" xfId="2" applyFont="1" applyFill="1" applyBorder="1" applyAlignment="1">
      <alignment horizontal="center" vertical="center" wrapText="1"/>
    </xf>
    <xf numFmtId="43" fontId="6" fillId="2" borderId="1" xfId="1" applyFont="1" applyFill="1" applyBorder="1" applyAlignment="1">
      <alignment vertical="center" wrapText="1"/>
    </xf>
    <xf numFmtId="43" fontId="6" fillId="2" borderId="28" xfId="1" applyFont="1" applyFill="1" applyBorder="1" applyAlignment="1">
      <alignment vertical="center" wrapText="1"/>
    </xf>
    <xf numFmtId="164" fontId="6" fillId="2" borderId="1" xfId="2" applyNumberFormat="1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8" fillId="2" borderId="1" xfId="0" applyNumberFormat="1" applyFont="1" applyFill="1" applyBorder="1" applyAlignment="1">
      <alignment horizontal="center" vertical="center"/>
    </xf>
    <xf numFmtId="1" fontId="8" fillId="2" borderId="1" xfId="4" applyNumberFormat="1" applyFont="1" applyFill="1" applyBorder="1" applyAlignment="1">
      <alignment horizontal="center" vertical="center"/>
    </xf>
    <xf numFmtId="2" fontId="8" fillId="2" borderId="1" xfId="4" applyNumberFormat="1" applyFont="1" applyFill="1" applyBorder="1" applyAlignment="1">
      <alignment horizontal="center" vertical="center"/>
    </xf>
    <xf numFmtId="10" fontId="8" fillId="2" borderId="1" xfId="2" applyNumberFormat="1" applyFont="1" applyFill="1" applyBorder="1" applyAlignment="1">
      <alignment horizontal="center" vertical="center"/>
    </xf>
    <xf numFmtId="165" fontId="8" fillId="2" borderId="1" xfId="4" applyNumberFormat="1" applyFont="1" applyFill="1" applyBorder="1" applyAlignment="1">
      <alignment horizontal="center" vertical="center"/>
    </xf>
    <xf numFmtId="9" fontId="8" fillId="2" borderId="1" xfId="2" applyFont="1" applyFill="1" applyBorder="1" applyAlignment="1">
      <alignment horizontal="center" vertical="center"/>
    </xf>
    <xf numFmtId="164" fontId="8" fillId="2" borderId="1" xfId="2" applyNumberFormat="1" applyFont="1" applyFill="1" applyBorder="1" applyAlignment="1">
      <alignment horizontal="center" vertical="center"/>
    </xf>
    <xf numFmtId="167" fontId="0" fillId="0" borderId="0" xfId="0" applyNumberFormat="1"/>
    <xf numFmtId="0" fontId="8" fillId="3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vertical="center"/>
    </xf>
    <xf numFmtId="0" fontId="4" fillId="3" borderId="1" xfId="0" applyFont="1" applyFill="1" applyBorder="1" applyAlignment="1">
      <alignment horizontal="center" vertical="center"/>
    </xf>
    <xf numFmtId="1" fontId="8" fillId="3" borderId="1" xfId="0" applyNumberFormat="1" applyFont="1" applyFill="1" applyBorder="1" applyAlignment="1">
      <alignment horizontal="center" vertical="center"/>
    </xf>
    <xf numFmtId="1" fontId="8" fillId="3" borderId="1" xfId="4" applyNumberFormat="1" applyFont="1" applyFill="1" applyBorder="1" applyAlignment="1">
      <alignment horizontal="center" vertical="center"/>
    </xf>
    <xf numFmtId="2" fontId="8" fillId="3" borderId="1" xfId="4" applyNumberFormat="1" applyFont="1" applyFill="1" applyBorder="1" applyAlignment="1">
      <alignment horizontal="center" vertical="center"/>
    </xf>
    <xf numFmtId="9" fontId="8" fillId="3" borderId="1" xfId="2" applyFont="1" applyFill="1" applyBorder="1" applyAlignment="1">
      <alignment horizontal="center" vertical="center"/>
    </xf>
    <xf numFmtId="165" fontId="8" fillId="3" borderId="1" xfId="4" applyNumberFormat="1" applyFont="1" applyFill="1" applyBorder="1" applyAlignment="1">
      <alignment horizontal="center" vertical="center"/>
    </xf>
    <xf numFmtId="164" fontId="8" fillId="3" borderId="1" xfId="2" applyNumberFormat="1" applyFont="1" applyFill="1" applyBorder="1" applyAlignment="1">
      <alignment horizontal="center" vertical="center"/>
    </xf>
    <xf numFmtId="0" fontId="0" fillId="3" borderId="0" xfId="0" applyFill="1"/>
    <xf numFmtId="0" fontId="8" fillId="3" borderId="1" xfId="0" applyFont="1" applyFill="1" applyBorder="1" applyAlignment="1">
      <alignment horizontal="left" vertical="center"/>
    </xf>
    <xf numFmtId="0" fontId="8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8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8" fillId="2" borderId="0" xfId="0" applyNumberFormat="1" applyFont="1" applyFill="1" applyAlignment="1">
      <alignment horizontal="center" vertical="center"/>
    </xf>
    <xf numFmtId="1" fontId="8" fillId="2" borderId="0" xfId="4" applyNumberFormat="1" applyFont="1" applyFill="1" applyBorder="1" applyAlignment="1">
      <alignment horizontal="center" vertical="center"/>
    </xf>
    <xf numFmtId="2" fontId="8" fillId="2" borderId="0" xfId="4" applyNumberFormat="1" applyFont="1" applyFill="1" applyBorder="1" applyAlignment="1">
      <alignment horizontal="center" vertical="center"/>
    </xf>
    <xf numFmtId="9" fontId="8" fillId="2" borderId="0" xfId="2" applyFont="1" applyFill="1" applyBorder="1" applyAlignment="1">
      <alignment horizontal="center" vertical="center"/>
    </xf>
    <xf numFmtId="165" fontId="8" fillId="2" borderId="0" xfId="4" applyNumberFormat="1" applyFont="1" applyFill="1" applyBorder="1" applyAlignment="1">
      <alignment horizontal="center" vertical="center"/>
    </xf>
    <xf numFmtId="164" fontId="8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1" fontId="8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5" fontId="0" fillId="0" borderId="0" xfId="0" applyNumberFormat="1" applyAlignment="1">
      <alignment horizontal="center"/>
    </xf>
    <xf numFmtId="164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6" fillId="2" borderId="1" xfId="0" applyNumberFormat="1" applyFont="1" applyFill="1" applyBorder="1" applyAlignment="1">
      <alignment horizontal="center" vertical="center"/>
    </xf>
    <xf numFmtId="1" fontId="8" fillId="2" borderId="1" xfId="5" applyNumberFormat="1" applyFont="1" applyFill="1" applyBorder="1" applyAlignment="1">
      <alignment horizontal="center" vertical="center"/>
    </xf>
    <xf numFmtId="168" fontId="8" fillId="2" borderId="1" xfId="4" applyNumberFormat="1" applyFont="1" applyFill="1" applyBorder="1" applyAlignment="1">
      <alignment horizontal="center" vertical="center"/>
    </xf>
    <xf numFmtId="1" fontId="5" fillId="0" borderId="0" xfId="0" applyNumberFormat="1" applyFont="1"/>
    <xf numFmtId="0" fontId="0" fillId="0" borderId="0" xfId="0" applyAlignment="1">
      <alignment horizontal="center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wrapText="1"/>
    </xf>
    <xf numFmtId="164" fontId="0" fillId="0" borderId="0" xfId="0" applyNumberFormat="1"/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top" wrapText="1"/>
    </xf>
    <xf numFmtId="0" fontId="1" fillId="4" borderId="0" xfId="0" applyFont="1" applyFill="1" applyAlignment="1">
      <alignment vertical="top" wrapText="1"/>
    </xf>
    <xf numFmtId="0" fontId="1" fillId="0" borderId="0" xfId="0" applyFont="1" applyAlignment="1">
      <alignment horizontal="center" vertical="top" wrapText="1"/>
    </xf>
    <xf numFmtId="10" fontId="1" fillId="0" borderId="0" xfId="0" applyNumberFormat="1" applyFont="1" applyAlignment="1">
      <alignment horizontal="center" vertical="top" wrapText="1"/>
    </xf>
    <xf numFmtId="9" fontId="11" fillId="0" borderId="0" xfId="2" applyFont="1" applyAlignment="1">
      <alignment horizontal="center"/>
    </xf>
    <xf numFmtId="0" fontId="13" fillId="0" borderId="4" xfId="0" applyFont="1" applyBorder="1" applyAlignment="1">
      <alignment horizontal="center" vertical="center" wrapText="1"/>
    </xf>
    <xf numFmtId="0" fontId="13" fillId="0" borderId="21" xfId="0" applyFont="1" applyBorder="1" applyAlignment="1">
      <alignment horizontal="center" vertical="center" wrapText="1"/>
    </xf>
    <xf numFmtId="0" fontId="13" fillId="0" borderId="33" xfId="0" applyFont="1" applyBorder="1" applyAlignment="1">
      <alignment horizontal="center" vertical="center" wrapText="1"/>
    </xf>
    <xf numFmtId="0" fontId="13" fillId="0" borderId="37" xfId="0" applyFont="1" applyBorder="1" applyAlignment="1">
      <alignment horizontal="center" vertical="center" wrapText="1"/>
    </xf>
    <xf numFmtId="0" fontId="13" fillId="0" borderId="38" xfId="0" applyFont="1" applyBorder="1" applyAlignment="1">
      <alignment horizontal="center" vertical="center" wrapText="1"/>
    </xf>
    <xf numFmtId="0" fontId="13" fillId="0" borderId="39" xfId="0" applyFont="1" applyBorder="1" applyAlignment="1">
      <alignment horizontal="center" vertical="center" wrapText="1"/>
    </xf>
    <xf numFmtId="0" fontId="13" fillId="0" borderId="8" xfId="0" applyFont="1" applyBorder="1" applyAlignment="1">
      <alignment horizontal="center" vertical="center" wrapText="1"/>
    </xf>
    <xf numFmtId="0" fontId="13" fillId="0" borderId="41" xfId="0" applyFont="1" applyBorder="1" applyAlignment="1">
      <alignment horizontal="center" vertical="center" wrapText="1"/>
    </xf>
    <xf numFmtId="0" fontId="13" fillId="0" borderId="42" xfId="0" applyFont="1" applyBorder="1" applyAlignment="1">
      <alignment horizontal="center" vertical="center" wrapText="1"/>
    </xf>
    <xf numFmtId="0" fontId="13" fillId="0" borderId="43" xfId="0" applyFont="1" applyBorder="1" applyAlignment="1">
      <alignment horizontal="center" vertical="center" wrapText="1"/>
    </xf>
    <xf numFmtId="0" fontId="13" fillId="0" borderId="22" xfId="0" applyFont="1" applyBorder="1" applyAlignment="1">
      <alignment horizontal="center" vertical="center" wrapText="1"/>
    </xf>
    <xf numFmtId="0" fontId="13" fillId="0" borderId="45" xfId="0" applyFont="1" applyBorder="1" applyAlignment="1">
      <alignment horizontal="center" vertical="center" wrapText="1"/>
    </xf>
    <xf numFmtId="9" fontId="13" fillId="0" borderId="46" xfId="2" applyFont="1" applyBorder="1" applyAlignment="1">
      <alignment horizontal="center" vertical="center" wrapText="1"/>
    </xf>
    <xf numFmtId="164" fontId="13" fillId="0" borderId="46" xfId="2" applyNumberFormat="1" applyFont="1" applyBorder="1" applyAlignment="1">
      <alignment horizontal="center" vertical="center" wrapText="1"/>
    </xf>
    <xf numFmtId="0" fontId="13" fillId="0" borderId="10" xfId="0" applyFont="1" applyBorder="1" applyAlignment="1">
      <alignment horizontal="center" vertical="center" wrapText="1"/>
    </xf>
    <xf numFmtId="0" fontId="1" fillId="2" borderId="12" xfId="0" applyFont="1" applyFill="1" applyBorder="1" applyAlignment="1">
      <alignment horizontal="left" vertical="center"/>
    </xf>
    <xf numFmtId="0" fontId="0" fillId="2" borderId="13" xfId="0" applyFill="1" applyBorder="1" applyAlignment="1">
      <alignment horizontal="left" vertical="center"/>
    </xf>
    <xf numFmtId="0" fontId="0" fillId="2" borderId="2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1" fontId="0" fillId="2" borderId="5" xfId="0" applyNumberFormat="1" applyFill="1" applyBorder="1" applyAlignment="1">
      <alignment horizontal="center" vertical="center"/>
    </xf>
    <xf numFmtId="3" fontId="14" fillId="0" borderId="12" xfId="0" applyNumberFormat="1" applyFont="1" applyBorder="1" applyAlignment="1">
      <alignment horizontal="center" vertical="top" shrinkToFit="1"/>
    </xf>
    <xf numFmtId="3" fontId="14" fillId="0" borderId="23" xfId="0" applyNumberFormat="1" applyFont="1" applyBorder="1" applyAlignment="1">
      <alignment horizontal="center" vertical="top" shrinkToFit="1"/>
    </xf>
    <xf numFmtId="2" fontId="0" fillId="0" borderId="9" xfId="0" applyNumberFormat="1" applyBorder="1" applyAlignment="1">
      <alignment horizontal="center"/>
    </xf>
    <xf numFmtId="0" fontId="0" fillId="0" borderId="12" xfId="0" applyBorder="1" applyAlignment="1">
      <alignment horizontal="center"/>
    </xf>
    <xf numFmtId="2" fontId="0" fillId="0" borderId="5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" fontId="0" fillId="0" borderId="47" xfId="0" applyNumberFormat="1" applyBorder="1" applyAlignment="1">
      <alignment horizontal="center"/>
    </xf>
    <xf numFmtId="2" fontId="0" fillId="0" borderId="24" xfId="0" applyNumberFormat="1" applyBorder="1" applyAlignment="1">
      <alignment horizontal="center"/>
    </xf>
    <xf numFmtId="2" fontId="0" fillId="0" borderId="0" xfId="0" applyNumberFormat="1"/>
    <xf numFmtId="0" fontId="1" fillId="2" borderId="48" xfId="0" applyFont="1" applyFill="1" applyBorder="1" applyAlignment="1">
      <alignment horizontal="left" vertical="center"/>
    </xf>
    <xf numFmtId="0" fontId="0" fillId="2" borderId="49" xfId="0" applyFill="1" applyBorder="1" applyAlignment="1">
      <alignment horizontal="left" vertical="center"/>
    </xf>
    <xf numFmtId="0" fontId="0" fillId="2" borderId="3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1" fontId="0" fillId="2" borderId="2" xfId="0" applyNumberFormat="1" applyFill="1" applyBorder="1" applyAlignment="1">
      <alignment horizontal="center" vertical="center"/>
    </xf>
    <xf numFmtId="3" fontId="14" fillId="0" borderId="48" xfId="0" applyNumberFormat="1" applyFont="1" applyBorder="1" applyAlignment="1">
      <alignment horizontal="center" vertical="top" shrinkToFit="1"/>
    </xf>
    <xf numFmtId="3" fontId="14" fillId="0" borderId="2" xfId="0" applyNumberFormat="1" applyFont="1" applyBorder="1" applyAlignment="1">
      <alignment horizontal="center" vertical="top" shrinkToFit="1"/>
    </xf>
    <xf numFmtId="2" fontId="0" fillId="0" borderId="50" xfId="0" applyNumberFormat="1" applyBorder="1" applyAlignment="1">
      <alignment horizontal="center"/>
    </xf>
    <xf numFmtId="0" fontId="0" fillId="0" borderId="48" xfId="0" applyBorder="1" applyAlignment="1">
      <alignment horizontal="center"/>
    </xf>
    <xf numFmtId="1" fontId="0" fillId="0" borderId="51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9" xfId="0" applyNumberFormat="1" applyBorder="1" applyAlignment="1">
      <alignment horizontal="center"/>
    </xf>
    <xf numFmtId="2" fontId="0" fillId="2" borderId="2" xfId="0" applyNumberForma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left" vertical="center"/>
    </xf>
    <xf numFmtId="0" fontId="0" fillId="2" borderId="10" xfId="0" applyFill="1" applyBorder="1" applyAlignment="1">
      <alignment horizontal="left" vertical="center"/>
    </xf>
    <xf numFmtId="0" fontId="0" fillId="2" borderId="20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1" fontId="0" fillId="2" borderId="41" xfId="0" applyNumberFormat="1" applyFill="1" applyBorder="1" applyAlignment="1">
      <alignment horizontal="center" vertical="center"/>
    </xf>
    <xf numFmtId="3" fontId="14" fillId="0" borderId="7" xfId="0" applyNumberFormat="1" applyFont="1" applyBorder="1" applyAlignment="1">
      <alignment horizontal="center" vertical="top" shrinkToFit="1"/>
    </xf>
    <xf numFmtId="3" fontId="14" fillId="0" borderId="41" xfId="0" applyNumberFormat="1" applyFont="1" applyBorder="1" applyAlignment="1">
      <alignment horizontal="center" vertical="top" shrinkToFit="1"/>
    </xf>
    <xf numFmtId="2" fontId="0" fillId="0" borderId="6" xfId="0" applyNumberFormat="1" applyBorder="1" applyAlignment="1">
      <alignment horizontal="center"/>
    </xf>
    <xf numFmtId="0" fontId="0" fillId="0" borderId="7" xfId="0" applyBorder="1" applyAlignment="1">
      <alignment horizontal="center"/>
    </xf>
    <xf numFmtId="2" fontId="0" fillId="0" borderId="8" xfId="0" applyNumberFormat="1" applyBorder="1" applyAlignment="1">
      <alignment horizontal="center"/>
    </xf>
    <xf numFmtId="2" fontId="0" fillId="0" borderId="10" xfId="0" applyNumberFormat="1" applyBorder="1" applyAlignment="1">
      <alignment horizontal="center"/>
    </xf>
    <xf numFmtId="1" fontId="0" fillId="0" borderId="46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1" fontId="1" fillId="0" borderId="42" xfId="0" applyNumberFormat="1" applyFont="1" applyBorder="1" applyAlignment="1">
      <alignment horizontal="center"/>
    </xf>
    <xf numFmtId="1" fontId="1" fillId="0" borderId="43" xfId="0" applyNumberFormat="1" applyFont="1" applyBorder="1" applyAlignment="1">
      <alignment horizontal="center"/>
    </xf>
    <xf numFmtId="165" fontId="1" fillId="0" borderId="44" xfId="0" applyNumberFormat="1" applyFont="1" applyBorder="1" applyAlignment="1">
      <alignment horizontal="center"/>
    </xf>
    <xf numFmtId="0" fontId="0" fillId="0" borderId="42" xfId="0" applyBorder="1"/>
    <xf numFmtId="164" fontId="1" fillId="0" borderId="22" xfId="2" applyNumberFormat="1" applyFont="1" applyBorder="1" applyAlignment="1">
      <alignment horizontal="center"/>
    </xf>
    <xf numFmtId="2" fontId="1" fillId="0" borderId="45" xfId="0" applyNumberFormat="1" applyFont="1" applyBorder="1" applyAlignment="1">
      <alignment horizontal="center"/>
    </xf>
    <xf numFmtId="1" fontId="1" fillId="0" borderId="18" xfId="0" applyNumberFormat="1" applyFont="1" applyBorder="1" applyAlignment="1">
      <alignment horizontal="center"/>
    </xf>
    <xf numFmtId="1" fontId="1" fillId="0" borderId="40" xfId="0" applyNumberFormat="1" applyFont="1" applyBorder="1" applyAlignment="1">
      <alignment horizontal="center"/>
    </xf>
    <xf numFmtId="2" fontId="1" fillId="0" borderId="22" xfId="0" applyNumberFormat="1" applyFont="1" applyBorder="1" applyAlignment="1">
      <alignment horizontal="center"/>
    </xf>
    <xf numFmtId="165" fontId="1" fillId="0" borderId="45" xfId="0" applyNumberFormat="1" applyFont="1" applyBorder="1" applyAlignment="1">
      <alignment horizontal="center"/>
    </xf>
    <xf numFmtId="0" fontId="13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5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0" fontId="15" fillId="0" borderId="0" xfId="0" applyFont="1" applyAlignment="1">
      <alignment horizontal="center" wrapText="1"/>
    </xf>
    <xf numFmtId="0" fontId="15" fillId="0" borderId="0" xfId="0" applyFont="1" applyAlignment="1">
      <alignment wrapText="1"/>
    </xf>
    <xf numFmtId="165" fontId="13" fillId="0" borderId="39" xfId="0" applyNumberFormat="1" applyFont="1" applyBorder="1" applyAlignment="1">
      <alignment horizontal="right" wrapText="1"/>
    </xf>
    <xf numFmtId="2" fontId="13" fillId="0" borderId="49" xfId="0" applyNumberFormat="1" applyFont="1" applyBorder="1" applyAlignment="1">
      <alignment horizontal="right" wrapText="1"/>
    </xf>
    <xf numFmtId="2" fontId="13" fillId="0" borderId="49" xfId="2" applyNumberFormat="1" applyFont="1" applyBorder="1" applyAlignment="1">
      <alignment horizontal="right" wrapText="1"/>
    </xf>
    <xf numFmtId="0" fontId="13" fillId="0" borderId="48" xfId="0" applyFont="1" applyBorder="1" applyAlignment="1">
      <alignment horizontal="center" wrapText="1"/>
    </xf>
    <xf numFmtId="9" fontId="13" fillId="0" borderId="1" xfId="0" applyNumberFormat="1" applyFont="1" applyBorder="1" applyAlignment="1">
      <alignment horizontal="center" wrapText="1"/>
    </xf>
    <xf numFmtId="10" fontId="0" fillId="0" borderId="0" xfId="0" applyNumberFormat="1"/>
    <xf numFmtId="0" fontId="13" fillId="0" borderId="48" xfId="0" applyFont="1" applyBorder="1" applyAlignment="1">
      <alignment horizontal="center"/>
    </xf>
    <xf numFmtId="10" fontId="13" fillId="0" borderId="1" xfId="2" applyNumberFormat="1" applyFont="1" applyBorder="1" applyAlignment="1">
      <alignment horizontal="center"/>
    </xf>
    <xf numFmtId="1" fontId="13" fillId="0" borderId="10" xfId="0" applyNumberFormat="1" applyFont="1" applyBorder="1" applyAlignment="1">
      <alignment horizontal="right" wrapText="1"/>
    </xf>
    <xf numFmtId="0" fontId="13" fillId="0" borderId="34" xfId="0" applyFont="1" applyBorder="1" applyAlignment="1">
      <alignment horizontal="center" vertical="center" wrapText="1"/>
    </xf>
    <xf numFmtId="0" fontId="1" fillId="0" borderId="0" xfId="0" applyFont="1"/>
    <xf numFmtId="0" fontId="10" fillId="0" borderId="48" xfId="0" applyFont="1" applyBorder="1"/>
    <xf numFmtId="1" fontId="10" fillId="0" borderId="49" xfId="0" applyNumberFormat="1" applyFont="1" applyBorder="1"/>
    <xf numFmtId="1" fontId="10" fillId="0" borderId="10" xfId="0" applyNumberFormat="1" applyFont="1" applyBorder="1"/>
    <xf numFmtId="0" fontId="10" fillId="0" borderId="7" xfId="0" applyFont="1" applyBorder="1" applyAlignment="1">
      <alignment horizontal="center"/>
    </xf>
    <xf numFmtId="12" fontId="0" fillId="0" borderId="0" xfId="0" applyNumberFormat="1" applyAlignment="1">
      <alignment horizontal="center"/>
    </xf>
    <xf numFmtId="12" fontId="1" fillId="0" borderId="0" xfId="0" applyNumberFormat="1" applyFont="1" applyAlignment="1">
      <alignment horizontal="center" vertical="top" wrapText="1"/>
    </xf>
    <xf numFmtId="1" fontId="0" fillId="2" borderId="23" xfId="0" applyNumberFormat="1" applyFill="1" applyBorder="1" applyAlignment="1">
      <alignment horizontal="center" vertical="center"/>
    </xf>
    <xf numFmtId="0" fontId="13" fillId="0" borderId="1" xfId="0" applyFont="1" applyBorder="1" applyAlignment="1">
      <alignment horizontal="center" vertical="center" wrapText="1"/>
    </xf>
    <xf numFmtId="3" fontId="14" fillId="0" borderId="1" xfId="0" applyNumberFormat="1" applyFont="1" applyBorder="1" applyAlignment="1">
      <alignment horizontal="center" vertical="top" shrinkToFit="1"/>
    </xf>
    <xf numFmtId="0" fontId="13" fillId="0" borderId="48" xfId="0" applyFont="1" applyBorder="1" applyAlignment="1">
      <alignment horizontal="center" vertical="center" wrapText="1"/>
    </xf>
    <xf numFmtId="0" fontId="13" fillId="0" borderId="49" xfId="0" applyFont="1" applyBorder="1" applyAlignment="1">
      <alignment horizontal="center" vertical="center" wrapText="1"/>
    </xf>
    <xf numFmtId="3" fontId="14" fillId="0" borderId="49" xfId="0" applyNumberFormat="1" applyFont="1" applyBorder="1" applyAlignment="1">
      <alignment horizontal="center" vertical="top" shrinkToFit="1"/>
    </xf>
    <xf numFmtId="1" fontId="1" fillId="0" borderId="7" xfId="0" applyNumberFormat="1" applyFont="1" applyBorder="1" applyAlignment="1">
      <alignment horizontal="center"/>
    </xf>
    <xf numFmtId="1" fontId="1" fillId="0" borderId="8" xfId="0" applyNumberFormat="1" applyFont="1" applyBorder="1" applyAlignment="1">
      <alignment horizontal="center"/>
    </xf>
    <xf numFmtId="165" fontId="1" fillId="0" borderId="8" xfId="0" applyNumberFormat="1" applyFont="1" applyBorder="1" applyAlignment="1">
      <alignment horizontal="center"/>
    </xf>
    <xf numFmtId="2" fontId="1" fillId="0" borderId="10" xfId="0" applyNumberFormat="1" applyFont="1" applyBorder="1" applyAlignment="1">
      <alignment horizontal="center"/>
    </xf>
    <xf numFmtId="0" fontId="10" fillId="0" borderId="56" xfId="0" applyFont="1" applyBorder="1"/>
    <xf numFmtId="1" fontId="10" fillId="0" borderId="57" xfId="0" applyNumberFormat="1" applyFont="1" applyBorder="1"/>
    <xf numFmtId="0" fontId="0" fillId="4" borderId="1" xfId="0" applyFill="1" applyBorder="1" applyAlignment="1">
      <alignment horizontal="center"/>
    </xf>
    <xf numFmtId="1" fontId="0" fillId="4" borderId="1" xfId="0" applyNumberForma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6" borderId="1" xfId="0" applyFill="1" applyBorder="1" applyAlignment="1">
      <alignment horizontal="center"/>
    </xf>
    <xf numFmtId="1" fontId="0" fillId="6" borderId="1" xfId="0" applyNumberFormat="1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1" fontId="0" fillId="5" borderId="1" xfId="0" applyNumberFormat="1" applyFill="1" applyBorder="1" applyAlignment="1">
      <alignment horizontal="center"/>
    </xf>
    <xf numFmtId="0" fontId="0" fillId="7" borderId="1" xfId="0" applyFill="1" applyBorder="1" applyAlignment="1">
      <alignment horizontal="center"/>
    </xf>
    <xf numFmtId="1" fontId="0" fillId="7" borderId="1" xfId="0" applyNumberFormat="1" applyFill="1" applyBorder="1" applyAlignment="1">
      <alignment horizontal="center"/>
    </xf>
    <xf numFmtId="0" fontId="19" fillId="0" borderId="0" xfId="0" applyFont="1"/>
    <xf numFmtId="0" fontId="1" fillId="2" borderId="27" xfId="0" applyFont="1" applyFill="1" applyBorder="1" applyAlignment="1">
      <alignment horizontal="center"/>
    </xf>
    <xf numFmtId="0" fontId="1" fillId="0" borderId="27" xfId="0" applyFont="1" applyBorder="1" applyAlignment="1">
      <alignment horizontal="center"/>
    </xf>
    <xf numFmtId="0" fontId="6" fillId="2" borderId="28" xfId="0" applyFont="1" applyFill="1" applyBorder="1" applyAlignment="1">
      <alignment horizontal="center" vertical="center"/>
    </xf>
    <xf numFmtId="0" fontId="6" fillId="2" borderId="29" xfId="0" applyFont="1" applyFill="1" applyBorder="1" applyAlignment="1">
      <alignment horizontal="center" vertical="center"/>
    </xf>
    <xf numFmtId="0" fontId="6" fillId="2" borderId="21" xfId="0" applyFont="1" applyFill="1" applyBorder="1" applyAlignment="1">
      <alignment horizontal="center" vertical="center"/>
    </xf>
    <xf numFmtId="0" fontId="6" fillId="2" borderId="22" xfId="0" applyFont="1" applyFill="1" applyBorder="1" applyAlignment="1">
      <alignment horizontal="center" vertical="center"/>
    </xf>
    <xf numFmtId="0" fontId="6" fillId="2" borderId="28" xfId="0" applyFont="1" applyFill="1" applyBorder="1" applyAlignment="1">
      <alignment horizontal="left" vertical="center"/>
    </xf>
    <xf numFmtId="0" fontId="6" fillId="2" borderId="29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43" fontId="6" fillId="2" borderId="2" xfId="1" applyFont="1" applyFill="1" applyBorder="1" applyAlignment="1">
      <alignment horizontal="center" vertical="center" wrapText="1"/>
    </xf>
    <xf numFmtId="43" fontId="6" fillId="2" borderId="3" xfId="1" applyFont="1" applyFill="1" applyBorder="1" applyAlignment="1">
      <alignment horizontal="center" vertical="center" wrapText="1"/>
    </xf>
    <xf numFmtId="10" fontId="6" fillId="2" borderId="1" xfId="1" applyNumberFormat="1" applyFont="1" applyFill="1" applyBorder="1" applyAlignment="1">
      <alignment horizontal="center" vertical="center" wrapText="1"/>
    </xf>
    <xf numFmtId="43" fontId="6" fillId="2" borderId="1" xfId="1" applyFont="1" applyFill="1" applyBorder="1" applyAlignment="1">
      <alignment horizontal="center" vertical="center"/>
    </xf>
    <xf numFmtId="43" fontId="6" fillId="2" borderId="2" xfId="1" applyFont="1" applyFill="1" applyBorder="1" applyAlignment="1">
      <alignment horizontal="center" vertical="center"/>
    </xf>
    <xf numFmtId="43" fontId="6" fillId="2" borderId="3" xfId="1" applyFont="1" applyFill="1" applyBorder="1" applyAlignment="1">
      <alignment horizontal="center" vertical="center"/>
    </xf>
    <xf numFmtId="0" fontId="17" fillId="0" borderId="14" xfId="0" applyFont="1" applyBorder="1" applyAlignment="1">
      <alignment horizontal="center"/>
    </xf>
    <xf numFmtId="0" fontId="17" fillId="0" borderId="15" xfId="0" applyFont="1" applyBorder="1" applyAlignment="1">
      <alignment horizontal="center"/>
    </xf>
    <xf numFmtId="0" fontId="17" fillId="0" borderId="55" xfId="0" applyFont="1" applyBorder="1" applyAlignment="1">
      <alignment horizontal="center"/>
    </xf>
    <xf numFmtId="0" fontId="17" fillId="0" borderId="47" xfId="0" applyFont="1" applyBorder="1" applyAlignment="1">
      <alignment horizontal="center"/>
    </xf>
    <xf numFmtId="0" fontId="13" fillId="0" borderId="7" xfId="0" applyFont="1" applyBorder="1" applyAlignment="1">
      <alignment horizontal="center"/>
    </xf>
    <xf numFmtId="0" fontId="13" fillId="0" borderId="8" xfId="0" applyFont="1" applyBorder="1" applyAlignment="1">
      <alignment horizontal="center"/>
    </xf>
    <xf numFmtId="0" fontId="13" fillId="0" borderId="36" xfId="0" applyFont="1" applyBorder="1" applyAlignment="1">
      <alignment horizontal="center" wrapText="1"/>
    </xf>
    <xf numFmtId="0" fontId="13" fillId="0" borderId="53" xfId="0" applyFont="1" applyBorder="1" applyAlignment="1">
      <alignment horizontal="center" wrapText="1"/>
    </xf>
    <xf numFmtId="2" fontId="13" fillId="0" borderId="54" xfId="0" applyNumberFormat="1" applyFont="1" applyBorder="1" applyAlignment="1">
      <alignment horizontal="center" vertical="center" wrapText="1"/>
    </xf>
    <xf numFmtId="2" fontId="13" fillId="0" borderId="35" xfId="0" applyNumberFormat="1" applyFont="1" applyBorder="1" applyAlignment="1">
      <alignment horizontal="center" vertical="center" wrapText="1"/>
    </xf>
    <xf numFmtId="0" fontId="13" fillId="0" borderId="34" xfId="0" applyFont="1" applyBorder="1" applyAlignment="1">
      <alignment horizontal="center" wrapText="1"/>
    </xf>
    <xf numFmtId="0" fontId="13" fillId="0" borderId="31" xfId="0" applyFont="1" applyBorder="1" applyAlignment="1">
      <alignment horizontal="center" wrapText="1"/>
    </xf>
    <xf numFmtId="0" fontId="13" fillId="0" borderId="30" xfId="0" applyFont="1" applyBorder="1" applyAlignment="1">
      <alignment horizontal="center" wrapText="1"/>
    </xf>
    <xf numFmtId="0" fontId="16" fillId="0" borderId="14" xfId="0" applyFont="1" applyBorder="1" applyAlignment="1">
      <alignment horizontal="center" vertical="center" wrapText="1"/>
    </xf>
    <xf numFmtId="0" fontId="16" fillId="0" borderId="25" xfId="0" applyFont="1" applyBorder="1" applyAlignment="1">
      <alignment horizontal="center" vertical="center" wrapText="1"/>
    </xf>
    <xf numFmtId="0" fontId="16" fillId="0" borderId="15" xfId="0" applyFont="1" applyBorder="1" applyAlignment="1">
      <alignment horizontal="center" vertical="center" wrapText="1"/>
    </xf>
    <xf numFmtId="0" fontId="16" fillId="0" borderId="16" xfId="0" applyFont="1" applyBorder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0" fontId="16" fillId="0" borderId="19" xfId="0" applyFont="1" applyBorder="1" applyAlignment="1">
      <alignment horizontal="center" vertical="center" wrapText="1"/>
    </xf>
    <xf numFmtId="0" fontId="16" fillId="0" borderId="17" xfId="0" applyFont="1" applyBorder="1" applyAlignment="1">
      <alignment horizontal="center" vertical="center" wrapText="1"/>
    </xf>
    <xf numFmtId="0" fontId="16" fillId="0" borderId="26" xfId="0" applyFont="1" applyBorder="1" applyAlignment="1">
      <alignment horizontal="center" vertical="center" wrapText="1"/>
    </xf>
    <xf numFmtId="0" fontId="16" fillId="0" borderId="18" xfId="0" applyFont="1" applyBorder="1" applyAlignment="1">
      <alignment horizontal="center" vertical="center" wrapText="1"/>
    </xf>
    <xf numFmtId="0" fontId="13" fillId="0" borderId="52" xfId="0" applyFont="1" applyBorder="1" applyAlignment="1">
      <alignment horizontal="center" wrapText="1"/>
    </xf>
    <xf numFmtId="0" fontId="13" fillId="0" borderId="4" xfId="0" applyFont="1" applyBorder="1" applyAlignment="1">
      <alignment horizontal="center" wrapText="1"/>
    </xf>
    <xf numFmtId="0" fontId="13" fillId="0" borderId="48" xfId="0" applyFont="1" applyBorder="1" applyAlignment="1">
      <alignment horizontal="center" wrapText="1"/>
    </xf>
    <xf numFmtId="0" fontId="13" fillId="0" borderId="1" xfId="0" applyFont="1" applyBorder="1" applyAlignment="1">
      <alignment horizontal="center" wrapText="1"/>
    </xf>
    <xf numFmtId="0" fontId="13" fillId="0" borderId="48" xfId="0" applyFont="1" applyBorder="1" applyAlignment="1">
      <alignment horizontal="center"/>
    </xf>
    <xf numFmtId="0" fontId="13" fillId="0" borderId="1" xfId="0" applyFont="1" applyBorder="1" applyAlignment="1">
      <alignment horizontal="center"/>
    </xf>
    <xf numFmtId="0" fontId="1" fillId="0" borderId="0" xfId="0" applyFont="1" applyAlignment="1">
      <alignment horizontal="center" vertical="top" wrapText="1"/>
    </xf>
    <xf numFmtId="0" fontId="1" fillId="0" borderId="26" xfId="0" applyFont="1" applyBorder="1" applyAlignment="1">
      <alignment horizontal="center" vertical="top" wrapTex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horizontal="left" wrapText="1"/>
    </xf>
    <xf numFmtId="0" fontId="13" fillId="0" borderId="14" xfId="0" applyFont="1" applyBorder="1" applyAlignment="1">
      <alignment horizontal="center" vertical="center" wrapText="1"/>
    </xf>
    <xf numFmtId="0" fontId="13" fillId="0" borderId="15" xfId="0" applyFont="1" applyBorder="1" applyAlignment="1">
      <alignment horizontal="center" vertical="center" wrapText="1"/>
    </xf>
    <xf numFmtId="0" fontId="13" fillId="0" borderId="17" xfId="0" applyFont="1" applyBorder="1" applyAlignment="1">
      <alignment horizontal="center" vertical="center" wrapText="1"/>
    </xf>
    <xf numFmtId="0" fontId="13" fillId="0" borderId="18" xfId="0" applyFont="1" applyBorder="1" applyAlignment="1">
      <alignment horizontal="center" vertical="center" wrapText="1"/>
    </xf>
    <xf numFmtId="0" fontId="13" fillId="0" borderId="32" xfId="0" applyFont="1" applyBorder="1" applyAlignment="1">
      <alignment horizontal="center" vertical="center" wrapText="1"/>
    </xf>
    <xf numFmtId="0" fontId="13" fillId="0" borderId="40" xfId="0" applyFont="1" applyBorder="1" applyAlignment="1">
      <alignment horizontal="center" vertical="center" wrapText="1"/>
    </xf>
    <xf numFmtId="0" fontId="13" fillId="0" borderId="52" xfId="0" applyFont="1" applyBorder="1" applyAlignment="1">
      <alignment horizontal="center" vertical="center" wrapText="1"/>
    </xf>
    <xf numFmtId="0" fontId="13" fillId="0" borderId="4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3" fillId="0" borderId="39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top" wrapText="1"/>
    </xf>
    <xf numFmtId="0" fontId="0" fillId="0" borderId="0" xfId="0" applyAlignment="1">
      <alignment horizontal="left" vertical="center" wrapText="1"/>
    </xf>
    <xf numFmtId="166" fontId="0" fillId="0" borderId="0" xfId="0" applyNumberFormat="1" applyAlignment="1">
      <alignment horizontal="left" wrapText="1"/>
    </xf>
    <xf numFmtId="0" fontId="18" fillId="0" borderId="0" xfId="0" applyFont="1" applyAlignment="1">
      <alignment horizontal="center" wrapText="1"/>
    </xf>
    <xf numFmtId="0" fontId="12" fillId="0" borderId="0" xfId="0" applyFont="1" applyAlignment="1">
      <alignment horizontal="left" wrapText="1"/>
    </xf>
    <xf numFmtId="0" fontId="13" fillId="4" borderId="1" xfId="0" applyFont="1" applyFill="1" applyBorder="1" applyAlignment="1">
      <alignment horizontal="center" vertical="center" wrapText="1"/>
    </xf>
    <xf numFmtId="0" fontId="13" fillId="6" borderId="1" xfId="0" applyFont="1" applyFill="1" applyBorder="1" applyAlignment="1">
      <alignment horizontal="center" vertical="center" wrapText="1"/>
    </xf>
    <xf numFmtId="0" fontId="13" fillId="5" borderId="1" xfId="0" applyFont="1" applyFill="1" applyBorder="1" applyAlignment="1">
      <alignment horizontal="center" vertical="center" wrapText="1"/>
    </xf>
    <xf numFmtId="0" fontId="13" fillId="7" borderId="1" xfId="0" applyFont="1" applyFill="1" applyBorder="1" applyAlignment="1">
      <alignment horizontal="center" vertical="center" wrapText="1"/>
    </xf>
    <xf numFmtId="0" fontId="13" fillId="0" borderId="35" xfId="0" applyFont="1" applyBorder="1" applyAlignment="1">
      <alignment horizontal="center" wrapText="1"/>
    </xf>
    <xf numFmtId="0" fontId="13" fillId="0" borderId="34" xfId="0" applyFont="1" applyBorder="1" applyAlignment="1">
      <alignment horizontal="center" vertical="center" wrapText="1"/>
    </xf>
    <xf numFmtId="0" fontId="13" fillId="0" borderId="35" xfId="0" applyFont="1" applyBorder="1" applyAlignment="1">
      <alignment horizontal="center" vertical="center" wrapText="1"/>
    </xf>
    <xf numFmtId="0" fontId="13" fillId="0" borderId="11" xfId="0" applyFont="1" applyBorder="1" applyAlignment="1">
      <alignment horizontal="center" vertical="center" wrapText="1"/>
    </xf>
    <xf numFmtId="0" fontId="13" fillId="0" borderId="44" xfId="0" applyFont="1" applyBorder="1" applyAlignment="1">
      <alignment horizontal="center" vertical="center" wrapText="1"/>
    </xf>
    <xf numFmtId="0" fontId="13" fillId="0" borderId="36" xfId="0" applyFont="1" applyBorder="1" applyAlignment="1">
      <alignment horizontal="center" vertical="center" wrapText="1"/>
    </xf>
    <xf numFmtId="0" fontId="1" fillId="0" borderId="0" xfId="0" applyFont="1" applyAlignment="1">
      <alignment horizontal="left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Customer's%20invoice(25-05-26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ust. Price List"/>
      <sheetName val="Awan Store"/>
      <sheetName val="Rana Bilal"/>
      <sheetName val="clinix"/>
      <sheetName val="al-fatah"/>
      <sheetName val="AWAN MART"/>
      <sheetName val="MADINA STORE "/>
      <sheetName val="RANA MART "/>
      <sheetName val="DAIM STORE"/>
      <sheetName val="AL MADINA STORE "/>
      <sheetName val="CANTT STORE"/>
      <sheetName val="CHALET BAKER"/>
      <sheetName val="WELFARE STORE "/>
      <sheetName val="SHAHEEN BAKER"/>
      <sheetName val="MG STORE "/>
      <sheetName val="ABDULLAH STORE "/>
      <sheetName val="AHMAD STORE "/>
      <sheetName val="USMAN NADEEM STORE "/>
      <sheetName val="HASEEB PHARMACY"/>
      <sheetName val="TALHA STORE "/>
      <sheetName val="AHMAD STORE"/>
      <sheetName val="HASSAN STORE "/>
      <sheetName val="Order Details"/>
      <sheetName val="Sheet2"/>
      <sheetName val="A One"/>
      <sheetName val="Al Hamad"/>
      <sheetName val="Chanda"/>
      <sheetName val="Al Noor"/>
    </sheetNames>
    <sheetDataSet>
      <sheetData sheetId="0">
        <row r="6">
          <cell r="D6" t="str">
            <v>BCN</v>
          </cell>
          <cell r="E6" t="str">
            <v xml:space="preserve">Meat Masala </v>
          </cell>
          <cell r="F6">
            <v>70</v>
          </cell>
          <cell r="G6">
            <v>40</v>
          </cell>
          <cell r="H6">
            <v>2600</v>
          </cell>
          <cell r="I6">
            <v>65</v>
          </cell>
          <cell r="J6">
            <v>2560.17</v>
          </cell>
          <cell r="K6">
            <v>64.004249999999999</v>
          </cell>
          <cell r="L6">
            <v>2098.5</v>
          </cell>
          <cell r="M6">
            <v>52.462499999999999</v>
          </cell>
          <cell r="N6">
            <v>0.19</v>
          </cell>
          <cell r="O6">
            <v>9.9678749999999994</v>
          </cell>
        </row>
        <row r="7">
          <cell r="D7" t="str">
            <v>VTN</v>
          </cell>
          <cell r="E7" t="str">
            <v>Lemon Tarka</v>
          </cell>
          <cell r="F7">
            <v>70</v>
          </cell>
          <cell r="G7">
            <v>40</v>
          </cell>
          <cell r="H7">
            <v>2600</v>
          </cell>
          <cell r="I7">
            <v>65</v>
          </cell>
          <cell r="J7">
            <v>2560.17</v>
          </cell>
          <cell r="K7">
            <v>64.004249999999999</v>
          </cell>
          <cell r="L7">
            <v>2098.5</v>
          </cell>
          <cell r="M7">
            <v>52.462499999999999</v>
          </cell>
          <cell r="N7">
            <v>0.19</v>
          </cell>
          <cell r="O7">
            <v>9.9678749999999994</v>
          </cell>
          <cell r="P7"/>
        </row>
        <row r="8">
          <cell r="D8" t="str">
            <v>CCN</v>
          </cell>
          <cell r="E8" t="str">
            <v>Chicken Chatkhara</v>
          </cell>
          <cell r="F8">
            <v>70</v>
          </cell>
          <cell r="G8">
            <v>40</v>
          </cell>
          <cell r="H8">
            <v>2600</v>
          </cell>
          <cell r="I8">
            <v>65</v>
          </cell>
          <cell r="J8">
            <v>2560.17</v>
          </cell>
          <cell r="K8">
            <v>64.004249999999999</v>
          </cell>
          <cell r="L8">
            <v>2098.5</v>
          </cell>
          <cell r="M8">
            <v>52.462499999999999</v>
          </cell>
          <cell r="N8">
            <v>0.19</v>
          </cell>
          <cell r="O8">
            <v>9.9678749999999994</v>
          </cell>
          <cell r="P8"/>
        </row>
        <row r="9">
          <cell r="D9" t="str">
            <v>BCNJ</v>
          </cell>
          <cell r="E9" t="str">
            <v>Meat Masala (Jumbo)</v>
          </cell>
          <cell r="F9">
            <v>120</v>
          </cell>
          <cell r="G9">
            <v>40</v>
          </cell>
          <cell r="H9">
            <v>3600</v>
          </cell>
          <cell r="I9">
            <v>90</v>
          </cell>
          <cell r="J9">
            <v>3544.8320000000003</v>
          </cell>
          <cell r="K9">
            <v>88.620800000000003</v>
          </cell>
          <cell r="L9">
            <v>2905.6</v>
          </cell>
          <cell r="M9">
            <v>72.64</v>
          </cell>
          <cell r="N9">
            <v>0.19</v>
          </cell>
          <cell r="O9">
            <v>13.801600000000001</v>
          </cell>
          <cell r="P9"/>
        </row>
        <row r="10">
          <cell r="D10" t="str">
            <v>VTNJ</v>
          </cell>
          <cell r="E10" t="str">
            <v>Lemon Tarka (Jumbo)</v>
          </cell>
          <cell r="F10">
            <v>120</v>
          </cell>
          <cell r="G10">
            <v>40</v>
          </cell>
          <cell r="H10">
            <v>3600</v>
          </cell>
          <cell r="I10">
            <v>90</v>
          </cell>
          <cell r="J10">
            <v>3544.8320000000003</v>
          </cell>
          <cell r="K10">
            <v>88.620800000000003</v>
          </cell>
          <cell r="L10">
            <v>2905.6</v>
          </cell>
          <cell r="M10">
            <v>72.64</v>
          </cell>
          <cell r="N10">
            <v>0.19</v>
          </cell>
          <cell r="O10">
            <v>13.801600000000001</v>
          </cell>
          <cell r="P10"/>
        </row>
        <row r="11">
          <cell r="D11" t="str">
            <v>CCNJ</v>
          </cell>
          <cell r="E11" t="str">
            <v>Chicken Chatkhara (Jumbo)</v>
          </cell>
          <cell r="F11">
            <v>120</v>
          </cell>
          <cell r="G11">
            <v>40</v>
          </cell>
          <cell r="H11">
            <v>3600</v>
          </cell>
          <cell r="I11">
            <v>90</v>
          </cell>
          <cell r="J11">
            <v>3544.8320000000003</v>
          </cell>
          <cell r="K11">
            <v>88.620800000000003</v>
          </cell>
          <cell r="L11">
            <v>2905.6</v>
          </cell>
          <cell r="M11">
            <v>72.64</v>
          </cell>
          <cell r="N11">
            <v>0.19</v>
          </cell>
          <cell r="O11">
            <v>13.801600000000001</v>
          </cell>
          <cell r="P11"/>
        </row>
        <row r="12">
          <cell r="D12" t="str">
            <v>CCE</v>
          </cell>
          <cell r="E12" t="str">
            <v>Chicken Chatkhara  (ECO)</v>
          </cell>
          <cell r="F12">
            <v>60</v>
          </cell>
          <cell r="G12">
            <v>40</v>
          </cell>
          <cell r="H12">
            <v>2000</v>
          </cell>
          <cell r="I12">
            <v>50</v>
          </cell>
          <cell r="J12">
            <v>1914.4240000000002</v>
          </cell>
          <cell r="K12">
            <v>47.860600000000005</v>
          </cell>
          <cell r="L12">
            <v>1569.2</v>
          </cell>
          <cell r="M12">
            <v>39.230000000000004</v>
          </cell>
          <cell r="N12">
            <v>0.19</v>
          </cell>
          <cell r="O12">
            <v>7.4537000000000004</v>
          </cell>
          <cell r="P12"/>
        </row>
        <row r="13">
          <cell r="D13" t="str">
            <v>VTE</v>
          </cell>
          <cell r="E13" t="str">
            <v>Lemon Tarka (ECO)</v>
          </cell>
          <cell r="F13">
            <v>60</v>
          </cell>
          <cell r="G13">
            <v>40</v>
          </cell>
          <cell r="H13">
            <v>2000</v>
          </cell>
          <cell r="I13">
            <v>50</v>
          </cell>
          <cell r="J13">
            <v>1914.4240000000002</v>
          </cell>
          <cell r="K13">
            <v>47.860600000000005</v>
          </cell>
          <cell r="L13">
            <v>1569.2</v>
          </cell>
          <cell r="M13">
            <v>39.230000000000004</v>
          </cell>
          <cell r="N13">
            <v>0.19</v>
          </cell>
          <cell r="O13">
            <v>7.4537000000000004</v>
          </cell>
          <cell r="P13"/>
        </row>
        <row r="14">
          <cell r="D14" t="str">
            <v>BCE</v>
          </cell>
          <cell r="E14" t="str">
            <v>Meat Masala (ECO)</v>
          </cell>
          <cell r="F14">
            <v>60</v>
          </cell>
          <cell r="G14">
            <v>40</v>
          </cell>
          <cell r="H14">
            <v>2000</v>
          </cell>
          <cell r="I14">
            <v>50</v>
          </cell>
          <cell r="J14">
            <v>1914.4240000000002</v>
          </cell>
          <cell r="K14">
            <v>47.860600000000005</v>
          </cell>
          <cell r="L14">
            <v>1569.2</v>
          </cell>
          <cell r="M14">
            <v>39.230000000000004</v>
          </cell>
          <cell r="N14">
            <v>0.19</v>
          </cell>
          <cell r="O14">
            <v>7.4537000000000004</v>
          </cell>
          <cell r="P14"/>
        </row>
        <row r="15">
          <cell r="D15"/>
          <cell r="E15"/>
          <cell r="F15"/>
          <cell r="G15"/>
          <cell r="H15"/>
          <cell r="I15"/>
          <cell r="J15"/>
          <cell r="K15"/>
          <cell r="L15"/>
          <cell r="M15"/>
          <cell r="N15"/>
          <cell r="O15"/>
          <cell r="P15"/>
        </row>
        <row r="16">
          <cell r="D16"/>
          <cell r="E16"/>
          <cell r="F16"/>
          <cell r="G16"/>
          <cell r="H16"/>
          <cell r="I16"/>
          <cell r="J16"/>
          <cell r="K16"/>
          <cell r="L16"/>
          <cell r="M16"/>
          <cell r="N16"/>
          <cell r="O16"/>
          <cell r="P16"/>
        </row>
        <row r="17">
          <cell r="D17"/>
          <cell r="E17"/>
          <cell r="F17"/>
          <cell r="G17"/>
          <cell r="H17"/>
          <cell r="I17"/>
          <cell r="J17"/>
          <cell r="K17"/>
          <cell r="L17"/>
          <cell r="M17"/>
          <cell r="N17"/>
          <cell r="O17"/>
          <cell r="P17"/>
        </row>
        <row r="18">
          <cell r="D18"/>
          <cell r="E18"/>
          <cell r="F18"/>
          <cell r="G18"/>
          <cell r="H18"/>
          <cell r="I18"/>
          <cell r="J18"/>
          <cell r="K18"/>
          <cell r="L18"/>
          <cell r="M18"/>
          <cell r="N18"/>
          <cell r="O18"/>
          <cell r="P18"/>
        </row>
        <row r="19">
          <cell r="D19"/>
          <cell r="E19"/>
          <cell r="F19"/>
          <cell r="G19"/>
          <cell r="H19"/>
          <cell r="I19"/>
          <cell r="J19"/>
          <cell r="K19"/>
          <cell r="L19"/>
          <cell r="M19"/>
          <cell r="N19"/>
          <cell r="O19"/>
          <cell r="P19"/>
        </row>
        <row r="20">
          <cell r="D20"/>
          <cell r="E20"/>
          <cell r="F20"/>
          <cell r="G20"/>
          <cell r="H20"/>
          <cell r="I20"/>
          <cell r="J20"/>
          <cell r="K20"/>
          <cell r="L20"/>
          <cell r="M20"/>
          <cell r="N20"/>
          <cell r="O20"/>
          <cell r="P20"/>
        </row>
        <row r="21">
          <cell r="D21"/>
          <cell r="E21"/>
          <cell r="F21"/>
          <cell r="G21"/>
          <cell r="H21"/>
          <cell r="I21"/>
          <cell r="J21"/>
          <cell r="K21"/>
          <cell r="L21"/>
          <cell r="M21"/>
          <cell r="N21"/>
          <cell r="O21"/>
          <cell r="P21"/>
        </row>
        <row r="22">
          <cell r="D22"/>
          <cell r="E22"/>
          <cell r="F22"/>
          <cell r="G22"/>
          <cell r="H22"/>
          <cell r="I22"/>
          <cell r="J22"/>
          <cell r="K22"/>
          <cell r="L22"/>
          <cell r="M22"/>
          <cell r="N22"/>
          <cell r="O22"/>
          <cell r="P22"/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 refreshError="1"/>
      <sheetData sheetId="25" refreshError="1"/>
      <sheetData sheetId="26" refreshError="1"/>
      <sheetData sheetId="27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4"/>
  <dimension ref="A5:B18"/>
  <sheetViews>
    <sheetView workbookViewId="0">
      <selection activeCell="D39" sqref="D39"/>
    </sheetView>
  </sheetViews>
  <sheetFormatPr defaultRowHeight="14.5" x14ac:dyDescent="0.35"/>
  <cols>
    <col min="2" max="2" width="18.26953125" bestFit="1" customWidth="1"/>
  </cols>
  <sheetData>
    <row r="5" spans="1:2" x14ac:dyDescent="0.35">
      <c r="B5" s="162" t="s">
        <v>5</v>
      </c>
    </row>
    <row r="6" spans="1:2" x14ac:dyDescent="0.35">
      <c r="A6">
        <v>1</v>
      </c>
      <c r="B6" t="s">
        <v>98</v>
      </c>
    </row>
    <row r="7" spans="1:2" x14ac:dyDescent="0.35">
      <c r="A7">
        <v>2</v>
      </c>
      <c r="B7" t="s">
        <v>43</v>
      </c>
    </row>
    <row r="8" spans="1:2" x14ac:dyDescent="0.35">
      <c r="A8">
        <v>3</v>
      </c>
      <c r="B8" t="s">
        <v>99</v>
      </c>
    </row>
    <row r="9" spans="1:2" x14ac:dyDescent="0.35">
      <c r="A9">
        <v>4</v>
      </c>
      <c r="B9" t="s">
        <v>44</v>
      </c>
    </row>
    <row r="10" spans="1:2" x14ac:dyDescent="0.35">
      <c r="A10">
        <v>5</v>
      </c>
      <c r="B10" t="s">
        <v>41</v>
      </c>
    </row>
    <row r="11" spans="1:2" x14ac:dyDescent="0.35">
      <c r="A11">
        <v>6</v>
      </c>
      <c r="B11" t="s">
        <v>96</v>
      </c>
    </row>
    <row r="12" spans="1:2" x14ac:dyDescent="0.35">
      <c r="A12">
        <v>7</v>
      </c>
      <c r="B12" t="s">
        <v>100</v>
      </c>
    </row>
    <row r="13" spans="1:2" x14ac:dyDescent="0.35">
      <c r="A13">
        <v>8</v>
      </c>
      <c r="B13" t="s">
        <v>101</v>
      </c>
    </row>
    <row r="14" spans="1:2" x14ac:dyDescent="0.35">
      <c r="A14">
        <v>9</v>
      </c>
      <c r="B14" t="s">
        <v>104</v>
      </c>
    </row>
    <row r="15" spans="1:2" x14ac:dyDescent="0.35">
      <c r="A15">
        <v>10</v>
      </c>
      <c r="B15" t="s">
        <v>105</v>
      </c>
    </row>
    <row r="16" spans="1:2" x14ac:dyDescent="0.35">
      <c r="A16">
        <v>11</v>
      </c>
    </row>
    <row r="17" spans="1:1" x14ac:dyDescent="0.35">
      <c r="A17">
        <v>12</v>
      </c>
    </row>
    <row r="18" spans="1:1" x14ac:dyDescent="0.35">
      <c r="A18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/>
  <dimension ref="A2:AC71"/>
  <sheetViews>
    <sheetView workbookViewId="0">
      <pane xSplit="17" ySplit="7" topLeftCell="R8" activePane="bottomRight" state="frozen"/>
      <selection activeCell="D39" sqref="D39"/>
      <selection pane="topRight" activeCell="D39" sqref="D39"/>
      <selection pane="bottomLeft" activeCell="D39" sqref="D39"/>
      <selection pane="bottomRight" activeCell="D39" sqref="D39"/>
    </sheetView>
  </sheetViews>
  <sheetFormatPr defaultColWidth="9.26953125" defaultRowHeight="14.5" x14ac:dyDescent="0.35"/>
  <cols>
    <col min="1" max="1" width="2.7265625" bestFit="1" customWidth="1"/>
    <col min="2" max="2" width="5.26953125" style="3" bestFit="1" customWidth="1"/>
    <col min="3" max="4" width="4.7265625" style="3" bestFit="1" customWidth="1"/>
    <col min="5" max="5" width="23.7265625" bestFit="1" customWidth="1"/>
    <col min="6" max="6" width="3.7265625" bestFit="1" customWidth="1"/>
    <col min="7" max="7" width="4.26953125" bestFit="1" customWidth="1"/>
    <col min="8" max="8" width="4.7265625" bestFit="1" customWidth="1"/>
    <col min="9" max="9" width="2.7265625" style="4" bestFit="1" customWidth="1"/>
    <col min="10" max="10" width="4.7265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7265625" bestFit="1" customWidth="1"/>
    <col min="15" max="15" width="8.26953125" bestFit="1" customWidth="1"/>
    <col min="16" max="16" width="3.26953125" bestFit="1" customWidth="1"/>
    <col min="17" max="17" width="8.26953125" bestFit="1" customWidth="1"/>
    <col min="18" max="18" width="4.7265625" bestFit="1" customWidth="1"/>
    <col min="19" max="19" width="8.2695312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2">
        <v>0.18</v>
      </c>
    </row>
    <row r="3" spans="1:29" ht="15" thickBot="1" x14ac:dyDescent="0.4">
      <c r="A3" s="192"/>
      <c r="B3" s="192"/>
      <c r="C3" s="192"/>
      <c r="D3" s="192"/>
      <c r="E3" s="192"/>
      <c r="F3" s="193"/>
      <c r="G3" s="193"/>
      <c r="H3" s="193"/>
      <c r="I3" s="193"/>
      <c r="J3" s="193"/>
      <c r="K3" s="193"/>
      <c r="L3" s="193"/>
      <c r="M3" s="193"/>
      <c r="N3" s="193"/>
      <c r="O3" s="193"/>
      <c r="P3" s="193"/>
      <c r="Q3" s="193"/>
      <c r="R3" s="193"/>
      <c r="S3" s="193"/>
      <c r="T3" s="193"/>
      <c r="U3" s="193"/>
      <c r="V3" s="193"/>
      <c r="W3" s="193"/>
      <c r="X3" s="193"/>
      <c r="Y3" s="193"/>
    </row>
    <row r="4" spans="1:29" x14ac:dyDescent="0.35">
      <c r="A4" s="194" t="s">
        <v>6</v>
      </c>
      <c r="B4" s="5" t="s">
        <v>7</v>
      </c>
      <c r="C4" s="5"/>
      <c r="D4" s="196" t="s">
        <v>8</v>
      </c>
      <c r="E4" s="198" t="s">
        <v>9</v>
      </c>
      <c r="F4" s="200" t="s">
        <v>3</v>
      </c>
      <c r="G4" s="200"/>
      <c r="H4" s="201" t="s">
        <v>10</v>
      </c>
      <c r="I4" s="201"/>
      <c r="J4" s="202" t="s">
        <v>11</v>
      </c>
      <c r="K4" s="203"/>
      <c r="L4" s="202" t="s">
        <v>12</v>
      </c>
      <c r="M4" s="203"/>
      <c r="N4" s="204" t="s">
        <v>13</v>
      </c>
      <c r="O4" s="204"/>
      <c r="P4" s="202" t="s">
        <v>4</v>
      </c>
      <c r="Q4" s="203"/>
      <c r="R4" s="202" t="s">
        <v>14</v>
      </c>
      <c r="S4" s="203"/>
      <c r="T4" s="205" t="s">
        <v>15</v>
      </c>
      <c r="U4" s="205"/>
      <c r="V4" s="206" t="s">
        <v>16</v>
      </c>
      <c r="W4" s="207"/>
      <c r="X4" s="206" t="s">
        <v>17</v>
      </c>
      <c r="Y4" s="207"/>
    </row>
    <row r="5" spans="1:29" ht="26.25" customHeight="1" thickBot="1" x14ac:dyDescent="0.4">
      <c r="A5" s="195"/>
      <c r="B5" s="7" t="s">
        <v>18</v>
      </c>
      <c r="C5" s="7" t="s">
        <v>8</v>
      </c>
      <c r="D5" s="197"/>
      <c r="E5" s="199"/>
      <c r="F5" s="8" t="s">
        <v>0</v>
      </c>
      <c r="G5" s="9" t="s">
        <v>2</v>
      </c>
      <c r="H5" s="10" t="s">
        <v>19</v>
      </c>
      <c r="I5" s="11" t="s">
        <v>20</v>
      </c>
      <c r="J5" s="12" t="s">
        <v>19</v>
      </c>
      <c r="K5" s="12" t="s">
        <v>21</v>
      </c>
      <c r="L5" s="12" t="s">
        <v>19</v>
      </c>
      <c r="M5" s="12" t="s">
        <v>21</v>
      </c>
      <c r="N5" s="13">
        <v>0.19</v>
      </c>
      <c r="O5" s="14" t="s">
        <v>1</v>
      </c>
      <c r="P5" s="13">
        <v>0.04</v>
      </c>
      <c r="Q5" s="15" t="s">
        <v>1</v>
      </c>
      <c r="R5" s="16">
        <v>5.0000000000000001E-3</v>
      </c>
      <c r="S5" s="15" t="s">
        <v>1</v>
      </c>
      <c r="T5" s="12" t="s">
        <v>19</v>
      </c>
      <c r="U5" s="12" t="s">
        <v>21</v>
      </c>
      <c r="V5" s="12" t="s">
        <v>19</v>
      </c>
      <c r="W5" s="12" t="s">
        <v>21</v>
      </c>
      <c r="X5" s="12" t="s">
        <v>19</v>
      </c>
      <c r="Y5" s="12" t="s">
        <v>21</v>
      </c>
      <c r="AA5" s="12" t="s">
        <v>22</v>
      </c>
    </row>
    <row r="6" spans="1:29" x14ac:dyDescent="0.35">
      <c r="A6" s="17">
        <v>1</v>
      </c>
      <c r="B6" s="6"/>
      <c r="C6" s="6" t="s">
        <v>27</v>
      </c>
      <c r="D6" s="6" t="s">
        <v>27</v>
      </c>
      <c r="E6" s="18" t="s">
        <v>24</v>
      </c>
      <c r="F6" s="19">
        <v>70</v>
      </c>
      <c r="G6" s="20">
        <v>40</v>
      </c>
      <c r="H6" s="20">
        <f>I6*G6</f>
        <v>2600</v>
      </c>
      <c r="I6" s="20">
        <v>65</v>
      </c>
      <c r="J6" s="21">
        <f>K6*G6</f>
        <v>2560.17</v>
      </c>
      <c r="K6" s="21">
        <f>M6*1.22</f>
        <v>64.004249999999999</v>
      </c>
      <c r="L6" s="22">
        <v>2098.5</v>
      </c>
      <c r="M6" s="22">
        <f>L6/G6</f>
        <v>52.462499999999999</v>
      </c>
      <c r="N6" s="23">
        <v>0.19</v>
      </c>
      <c r="O6" s="24">
        <f>N6*M6</f>
        <v>9.9678749999999994</v>
      </c>
      <c r="P6" s="25"/>
      <c r="Q6" s="24">
        <f>P6*M6</f>
        <v>0</v>
      </c>
      <c r="R6" s="26"/>
      <c r="S6" s="24">
        <f>R6*M6</f>
        <v>0</v>
      </c>
      <c r="T6" s="22">
        <f>U6*G6</f>
        <v>1699.7849999999999</v>
      </c>
      <c r="U6" s="22">
        <f>M6-O6-Q6-S6</f>
        <v>42.494624999999999</v>
      </c>
      <c r="V6" s="22">
        <f>T6*$V$2</f>
        <v>305.96129999999994</v>
      </c>
      <c r="W6" s="22">
        <f>U6*$V$2</f>
        <v>7.6490324999999997</v>
      </c>
      <c r="X6" s="22">
        <f t="shared" ref="X6:Y14" si="0">T6+V6</f>
        <v>2005.7462999999998</v>
      </c>
      <c r="Y6" s="22">
        <f t="shared" si="0"/>
        <v>50.143657499999996</v>
      </c>
      <c r="AA6" s="22">
        <f t="shared" ref="AA6:AA14" si="1">(F6*G6)/1000</f>
        <v>2.8</v>
      </c>
      <c r="AC6" s="27"/>
    </row>
    <row r="7" spans="1:29" x14ac:dyDescent="0.35">
      <c r="A7" s="17">
        <f>+A6+1</f>
        <v>2</v>
      </c>
      <c r="B7" s="6"/>
      <c r="C7" s="6" t="s">
        <v>25</v>
      </c>
      <c r="D7" s="6" t="s">
        <v>25</v>
      </c>
      <c r="E7" s="18" t="s">
        <v>26</v>
      </c>
      <c r="F7" s="19">
        <v>70</v>
      </c>
      <c r="G7" s="20">
        <v>40</v>
      </c>
      <c r="H7" s="20">
        <f t="shared" ref="H7:H14" si="2">I7*G7</f>
        <v>2600</v>
      </c>
      <c r="I7" s="20">
        <v>65</v>
      </c>
      <c r="J7" s="21">
        <f t="shared" ref="J7:J14" si="3">K7*G7</f>
        <v>2560.17</v>
      </c>
      <c r="K7" s="21">
        <f>M7*1.22</f>
        <v>64.004249999999999</v>
      </c>
      <c r="L7" s="22">
        <v>2098.5</v>
      </c>
      <c r="M7" s="22">
        <f t="shared" ref="M7:M14" si="4">L7/G7</f>
        <v>52.462499999999999</v>
      </c>
      <c r="N7" s="23">
        <f>+N6</f>
        <v>0.19</v>
      </c>
      <c r="O7" s="24">
        <f t="shared" ref="O7:O14" si="5">N7*M7</f>
        <v>9.9678749999999994</v>
      </c>
      <c r="P7" s="25"/>
      <c r="Q7" s="24">
        <f t="shared" ref="Q7:Q14" si="6">P7*M7</f>
        <v>0</v>
      </c>
      <c r="R7" s="26"/>
      <c r="S7" s="24">
        <f t="shared" ref="S7:S14" si="7">R7*M7</f>
        <v>0</v>
      </c>
      <c r="T7" s="22">
        <f t="shared" ref="T7:T14" si="8">U7*G7</f>
        <v>1699.7849999999999</v>
      </c>
      <c r="U7" s="22">
        <f t="shared" ref="U7:U14" si="9">M7-O7-Q7-S7</f>
        <v>42.494624999999999</v>
      </c>
      <c r="V7" s="22">
        <f t="shared" ref="V7:W14" si="10">T7*$V$2</f>
        <v>305.96129999999994</v>
      </c>
      <c r="W7" s="22">
        <f t="shared" si="10"/>
        <v>7.6490324999999997</v>
      </c>
      <c r="X7" s="22">
        <f t="shared" si="0"/>
        <v>2005.7462999999998</v>
      </c>
      <c r="Y7" s="22">
        <f t="shared" si="0"/>
        <v>50.143657499999996</v>
      </c>
      <c r="AA7" s="22">
        <f t="shared" si="1"/>
        <v>2.8</v>
      </c>
    </row>
    <row r="8" spans="1:29" x14ac:dyDescent="0.35">
      <c r="A8" s="17">
        <f t="shared" ref="A8:A52" si="11">+A7+1</f>
        <v>3</v>
      </c>
      <c r="B8" s="6"/>
      <c r="C8" s="6" t="s">
        <v>23</v>
      </c>
      <c r="D8" s="6" t="s">
        <v>23</v>
      </c>
      <c r="E8" s="18" t="s">
        <v>28</v>
      </c>
      <c r="F8" s="19">
        <v>70</v>
      </c>
      <c r="G8" s="20">
        <v>40</v>
      </c>
      <c r="H8" s="20">
        <f t="shared" si="2"/>
        <v>2600</v>
      </c>
      <c r="I8" s="20">
        <v>65</v>
      </c>
      <c r="J8" s="21">
        <f t="shared" si="3"/>
        <v>2560.17</v>
      </c>
      <c r="K8" s="21">
        <f t="shared" ref="K8:K14" si="12">M8*1.22</f>
        <v>64.004249999999999</v>
      </c>
      <c r="L8" s="22">
        <v>2098.5</v>
      </c>
      <c r="M8" s="22">
        <f t="shared" si="4"/>
        <v>52.462499999999999</v>
      </c>
      <c r="N8" s="23">
        <f t="shared" ref="N8:N14" si="13">+N7</f>
        <v>0.19</v>
      </c>
      <c r="O8" s="24">
        <f t="shared" si="5"/>
        <v>9.9678749999999994</v>
      </c>
      <c r="P8" s="25"/>
      <c r="Q8" s="24">
        <f t="shared" si="6"/>
        <v>0</v>
      </c>
      <c r="R8" s="26"/>
      <c r="S8" s="24">
        <f t="shared" si="7"/>
        <v>0</v>
      </c>
      <c r="T8" s="22">
        <f t="shared" si="8"/>
        <v>1699.7849999999999</v>
      </c>
      <c r="U8" s="22">
        <f t="shared" si="9"/>
        <v>42.494624999999999</v>
      </c>
      <c r="V8" s="22">
        <f t="shared" si="10"/>
        <v>305.96129999999994</v>
      </c>
      <c r="W8" s="22">
        <f t="shared" si="10"/>
        <v>7.6490324999999997</v>
      </c>
      <c r="X8" s="22">
        <f t="shared" si="0"/>
        <v>2005.7462999999998</v>
      </c>
      <c r="Y8" s="22">
        <f t="shared" si="0"/>
        <v>50.143657499999996</v>
      </c>
      <c r="AA8" s="22">
        <f t="shared" si="1"/>
        <v>2.8</v>
      </c>
    </row>
    <row r="9" spans="1:29" x14ac:dyDescent="0.35">
      <c r="A9" s="17">
        <f t="shared" si="11"/>
        <v>4</v>
      </c>
      <c r="B9" s="6"/>
      <c r="C9" s="6" t="s">
        <v>33</v>
      </c>
      <c r="D9" s="6" t="s">
        <v>33</v>
      </c>
      <c r="E9" s="18" t="s">
        <v>30</v>
      </c>
      <c r="F9" s="19">
        <v>120</v>
      </c>
      <c r="G9" s="20">
        <v>40</v>
      </c>
      <c r="H9" s="20">
        <f t="shared" si="2"/>
        <v>3600</v>
      </c>
      <c r="I9" s="20">
        <v>90</v>
      </c>
      <c r="J9" s="21">
        <f t="shared" si="3"/>
        <v>3544.8320000000003</v>
      </c>
      <c r="K9" s="21">
        <f t="shared" si="12"/>
        <v>88.620800000000003</v>
      </c>
      <c r="L9" s="22">
        <v>2905.6</v>
      </c>
      <c r="M9" s="22">
        <f t="shared" si="4"/>
        <v>72.64</v>
      </c>
      <c r="N9" s="23">
        <f t="shared" si="13"/>
        <v>0.19</v>
      </c>
      <c r="O9" s="24">
        <f t="shared" si="5"/>
        <v>13.801600000000001</v>
      </c>
      <c r="P9" s="25"/>
      <c r="Q9" s="24">
        <f t="shared" si="6"/>
        <v>0</v>
      </c>
      <c r="R9" s="26"/>
      <c r="S9" s="24">
        <f t="shared" si="7"/>
        <v>0</v>
      </c>
      <c r="T9" s="22">
        <f t="shared" si="8"/>
        <v>2353.5360000000001</v>
      </c>
      <c r="U9" s="22">
        <f t="shared" si="9"/>
        <v>58.8384</v>
      </c>
      <c r="V9" s="22">
        <f t="shared" si="10"/>
        <v>423.63648000000001</v>
      </c>
      <c r="W9" s="22">
        <f t="shared" si="10"/>
        <v>10.590911999999999</v>
      </c>
      <c r="X9" s="22">
        <f t="shared" si="0"/>
        <v>2777.1724800000002</v>
      </c>
      <c r="Y9" s="22">
        <f t="shared" si="0"/>
        <v>69.429311999999996</v>
      </c>
      <c r="AA9" s="22">
        <f t="shared" si="1"/>
        <v>4.8</v>
      </c>
    </row>
    <row r="10" spans="1:29" x14ac:dyDescent="0.35">
      <c r="A10" s="17">
        <f t="shared" si="11"/>
        <v>5</v>
      </c>
      <c r="B10" s="6"/>
      <c r="C10" s="6" t="s">
        <v>31</v>
      </c>
      <c r="D10" s="6" t="s">
        <v>31</v>
      </c>
      <c r="E10" s="18" t="s">
        <v>32</v>
      </c>
      <c r="F10" s="19">
        <v>120</v>
      </c>
      <c r="G10" s="20">
        <v>40</v>
      </c>
      <c r="H10" s="20">
        <f t="shared" si="2"/>
        <v>3600</v>
      </c>
      <c r="I10" s="20">
        <v>90</v>
      </c>
      <c r="J10" s="21">
        <f t="shared" si="3"/>
        <v>3544.8320000000003</v>
      </c>
      <c r="K10" s="21">
        <f t="shared" si="12"/>
        <v>88.620800000000003</v>
      </c>
      <c r="L10" s="22">
        <v>2905.6</v>
      </c>
      <c r="M10" s="22">
        <f t="shared" si="4"/>
        <v>72.64</v>
      </c>
      <c r="N10" s="23">
        <f t="shared" si="13"/>
        <v>0.19</v>
      </c>
      <c r="O10" s="24">
        <f t="shared" si="5"/>
        <v>13.801600000000001</v>
      </c>
      <c r="P10" s="25"/>
      <c r="Q10" s="24">
        <f t="shared" si="6"/>
        <v>0</v>
      </c>
      <c r="R10" s="26"/>
      <c r="S10" s="24">
        <f t="shared" si="7"/>
        <v>0</v>
      </c>
      <c r="T10" s="22">
        <f t="shared" si="8"/>
        <v>2353.5360000000001</v>
      </c>
      <c r="U10" s="22">
        <f t="shared" si="9"/>
        <v>58.8384</v>
      </c>
      <c r="V10" s="22">
        <f t="shared" si="10"/>
        <v>423.63648000000001</v>
      </c>
      <c r="W10" s="22">
        <f t="shared" si="10"/>
        <v>10.590911999999999</v>
      </c>
      <c r="X10" s="22">
        <f t="shared" si="0"/>
        <v>2777.1724800000002</v>
      </c>
      <c r="Y10" s="22">
        <f t="shared" si="0"/>
        <v>69.429311999999996</v>
      </c>
      <c r="AA10" s="22">
        <f t="shared" si="1"/>
        <v>4.8</v>
      </c>
    </row>
    <row r="11" spans="1:29" x14ac:dyDescent="0.35">
      <c r="A11" s="17">
        <f t="shared" si="11"/>
        <v>6</v>
      </c>
      <c r="B11" s="6"/>
      <c r="C11" s="6" t="s">
        <v>29</v>
      </c>
      <c r="D11" s="6" t="s">
        <v>29</v>
      </c>
      <c r="E11" s="18" t="s">
        <v>34</v>
      </c>
      <c r="F11" s="19">
        <v>120</v>
      </c>
      <c r="G11" s="20">
        <v>40</v>
      </c>
      <c r="H11" s="20">
        <f t="shared" si="2"/>
        <v>3600</v>
      </c>
      <c r="I11" s="20">
        <v>90</v>
      </c>
      <c r="J11" s="21">
        <f t="shared" si="3"/>
        <v>3544.8320000000003</v>
      </c>
      <c r="K11" s="21">
        <f t="shared" si="12"/>
        <v>88.620800000000003</v>
      </c>
      <c r="L11" s="22">
        <v>2905.6</v>
      </c>
      <c r="M11" s="22">
        <f t="shared" si="4"/>
        <v>72.64</v>
      </c>
      <c r="N11" s="23">
        <f t="shared" si="13"/>
        <v>0.19</v>
      </c>
      <c r="O11" s="24">
        <f t="shared" si="5"/>
        <v>13.801600000000001</v>
      </c>
      <c r="P11" s="25"/>
      <c r="Q11" s="24">
        <f t="shared" si="6"/>
        <v>0</v>
      </c>
      <c r="R11" s="26"/>
      <c r="S11" s="24">
        <f t="shared" si="7"/>
        <v>0</v>
      </c>
      <c r="T11" s="22">
        <f t="shared" si="8"/>
        <v>2353.5360000000001</v>
      </c>
      <c r="U11" s="22">
        <f t="shared" si="9"/>
        <v>58.8384</v>
      </c>
      <c r="V11" s="22">
        <f t="shared" si="10"/>
        <v>423.63648000000001</v>
      </c>
      <c r="W11" s="22">
        <f t="shared" si="10"/>
        <v>10.590911999999999</v>
      </c>
      <c r="X11" s="22">
        <f t="shared" si="0"/>
        <v>2777.1724800000002</v>
      </c>
      <c r="Y11" s="22">
        <f t="shared" si="0"/>
        <v>69.429311999999996</v>
      </c>
      <c r="AA11" s="22">
        <f t="shared" si="1"/>
        <v>4.8</v>
      </c>
    </row>
    <row r="12" spans="1:29" x14ac:dyDescent="0.35">
      <c r="A12" s="17">
        <f t="shared" si="11"/>
        <v>7</v>
      </c>
      <c r="B12" s="6"/>
      <c r="C12" s="6" t="s">
        <v>35</v>
      </c>
      <c r="D12" s="6" t="s">
        <v>35</v>
      </c>
      <c r="E12" s="18" t="s">
        <v>36</v>
      </c>
      <c r="F12" s="19">
        <v>60</v>
      </c>
      <c r="G12" s="20">
        <v>40</v>
      </c>
      <c r="H12" s="20">
        <f t="shared" si="2"/>
        <v>2000</v>
      </c>
      <c r="I12" s="21">
        <v>50</v>
      </c>
      <c r="J12" s="21">
        <f t="shared" si="3"/>
        <v>1914.4240000000002</v>
      </c>
      <c r="K12" s="21">
        <f t="shared" si="12"/>
        <v>47.860600000000005</v>
      </c>
      <c r="L12" s="22">
        <v>1569.2</v>
      </c>
      <c r="M12" s="22">
        <f t="shared" si="4"/>
        <v>39.230000000000004</v>
      </c>
      <c r="N12" s="23">
        <f t="shared" si="13"/>
        <v>0.19</v>
      </c>
      <c r="O12" s="24">
        <f t="shared" si="5"/>
        <v>7.4537000000000004</v>
      </c>
      <c r="P12" s="25"/>
      <c r="Q12" s="24">
        <f t="shared" si="6"/>
        <v>0</v>
      </c>
      <c r="R12" s="26"/>
      <c r="S12" s="24">
        <f t="shared" si="7"/>
        <v>0</v>
      </c>
      <c r="T12" s="22">
        <f t="shared" si="8"/>
        <v>1271.0520000000001</v>
      </c>
      <c r="U12" s="22">
        <f t="shared" si="9"/>
        <v>31.776300000000003</v>
      </c>
      <c r="V12" s="22">
        <f t="shared" si="10"/>
        <v>228.78936000000002</v>
      </c>
      <c r="W12" s="22">
        <f t="shared" si="10"/>
        <v>5.7197339999999999</v>
      </c>
      <c r="X12" s="22">
        <f t="shared" si="0"/>
        <v>1499.8413600000001</v>
      </c>
      <c r="Y12" s="22">
        <f t="shared" si="0"/>
        <v>37.496034000000002</v>
      </c>
      <c r="AA12" s="22">
        <f t="shared" si="1"/>
        <v>2.4</v>
      </c>
    </row>
    <row r="13" spans="1:29" x14ac:dyDescent="0.35">
      <c r="A13" s="17">
        <f t="shared" si="11"/>
        <v>8</v>
      </c>
      <c r="B13" s="6"/>
      <c r="C13" s="6" t="s">
        <v>37</v>
      </c>
      <c r="D13" s="6" t="s">
        <v>37</v>
      </c>
      <c r="E13" s="18" t="s">
        <v>38</v>
      </c>
      <c r="F13" s="19">
        <v>60</v>
      </c>
      <c r="G13" s="20">
        <v>40</v>
      </c>
      <c r="H13" s="20">
        <f t="shared" si="2"/>
        <v>2000</v>
      </c>
      <c r="I13" s="21">
        <v>50</v>
      </c>
      <c r="J13" s="21">
        <f t="shared" si="3"/>
        <v>1914.4240000000002</v>
      </c>
      <c r="K13" s="21">
        <f t="shared" si="12"/>
        <v>47.860600000000005</v>
      </c>
      <c r="L13" s="22">
        <v>1569.2</v>
      </c>
      <c r="M13" s="22">
        <f t="shared" si="4"/>
        <v>39.230000000000004</v>
      </c>
      <c r="N13" s="23">
        <f t="shared" si="13"/>
        <v>0.19</v>
      </c>
      <c r="O13" s="24">
        <f t="shared" si="5"/>
        <v>7.4537000000000004</v>
      </c>
      <c r="P13" s="25"/>
      <c r="Q13" s="24">
        <f t="shared" si="6"/>
        <v>0</v>
      </c>
      <c r="R13" s="26"/>
      <c r="S13" s="24">
        <f t="shared" si="7"/>
        <v>0</v>
      </c>
      <c r="T13" s="22">
        <f t="shared" si="8"/>
        <v>1271.0520000000001</v>
      </c>
      <c r="U13" s="22">
        <f t="shared" si="9"/>
        <v>31.776300000000003</v>
      </c>
      <c r="V13" s="22">
        <f t="shared" si="10"/>
        <v>228.78936000000002</v>
      </c>
      <c r="W13" s="22">
        <f t="shared" si="10"/>
        <v>5.7197339999999999</v>
      </c>
      <c r="X13" s="22">
        <f t="shared" si="0"/>
        <v>1499.8413600000001</v>
      </c>
      <c r="Y13" s="22">
        <f t="shared" si="0"/>
        <v>37.496034000000002</v>
      </c>
      <c r="AA13" s="22">
        <f t="shared" si="1"/>
        <v>2.4</v>
      </c>
    </row>
    <row r="14" spans="1:29" x14ac:dyDescent="0.35">
      <c r="A14" s="17">
        <f>+A13+1</f>
        <v>9</v>
      </c>
      <c r="B14" s="6"/>
      <c r="C14" s="6" t="s">
        <v>39</v>
      </c>
      <c r="D14" s="6" t="s">
        <v>39</v>
      </c>
      <c r="E14" s="18" t="s">
        <v>40</v>
      </c>
      <c r="F14" s="19">
        <v>60</v>
      </c>
      <c r="G14" s="20">
        <v>40</v>
      </c>
      <c r="H14" s="20">
        <f t="shared" si="2"/>
        <v>2000</v>
      </c>
      <c r="I14" s="21">
        <v>50</v>
      </c>
      <c r="J14" s="21">
        <f t="shared" si="3"/>
        <v>1914.4240000000002</v>
      </c>
      <c r="K14" s="21">
        <f t="shared" si="12"/>
        <v>47.860600000000005</v>
      </c>
      <c r="L14" s="22">
        <v>1569.2</v>
      </c>
      <c r="M14" s="22">
        <f t="shared" si="4"/>
        <v>39.230000000000004</v>
      </c>
      <c r="N14" s="23">
        <f t="shared" si="13"/>
        <v>0.19</v>
      </c>
      <c r="O14" s="24">
        <f t="shared" si="5"/>
        <v>7.4537000000000004</v>
      </c>
      <c r="P14" s="25"/>
      <c r="Q14" s="24">
        <f t="shared" si="6"/>
        <v>0</v>
      </c>
      <c r="R14" s="26"/>
      <c r="S14" s="24">
        <f t="shared" si="7"/>
        <v>0</v>
      </c>
      <c r="T14" s="22">
        <f t="shared" si="8"/>
        <v>1271.0520000000001</v>
      </c>
      <c r="U14" s="22">
        <f t="shared" si="9"/>
        <v>31.776300000000003</v>
      </c>
      <c r="V14" s="22">
        <f t="shared" si="10"/>
        <v>228.78936000000002</v>
      </c>
      <c r="W14" s="22">
        <f t="shared" si="10"/>
        <v>5.7197339999999999</v>
      </c>
      <c r="X14" s="22">
        <f t="shared" si="0"/>
        <v>1499.8413600000001</v>
      </c>
      <c r="Y14" s="22">
        <f t="shared" si="0"/>
        <v>37.496034000000002</v>
      </c>
      <c r="AA14" s="22">
        <f t="shared" si="1"/>
        <v>2.4</v>
      </c>
    </row>
    <row r="15" spans="1:29" s="38" customFormat="1" x14ac:dyDescent="0.35">
      <c r="A15" s="28">
        <f t="shared" ref="A15:A20" si="14">+A14+1</f>
        <v>10</v>
      </c>
      <c r="B15" s="29"/>
      <c r="C15" s="29"/>
      <c r="D15" s="29"/>
      <c r="E15" s="30"/>
      <c r="F15" s="31"/>
      <c r="G15" s="32"/>
      <c r="H15" s="32"/>
      <c r="I15" s="33"/>
      <c r="J15" s="33"/>
      <c r="K15" s="33"/>
      <c r="L15" s="33"/>
      <c r="M15" s="34"/>
      <c r="N15" s="35"/>
      <c r="O15" s="36"/>
      <c r="P15" s="35"/>
      <c r="Q15" s="36"/>
      <c r="R15" s="37"/>
      <c r="S15" s="36"/>
      <c r="T15" s="34"/>
      <c r="U15" s="34"/>
      <c r="V15" s="34"/>
      <c r="W15" s="34"/>
      <c r="X15" s="34"/>
      <c r="Y15" s="34"/>
      <c r="AA15" s="34"/>
    </row>
    <row r="16" spans="1:29" s="38" customFormat="1" x14ac:dyDescent="0.35">
      <c r="A16" s="28">
        <f t="shared" si="14"/>
        <v>11</v>
      </c>
      <c r="B16" s="29"/>
      <c r="C16" s="29"/>
      <c r="D16" s="29"/>
      <c r="E16" s="30"/>
      <c r="F16" s="31"/>
      <c r="G16" s="32"/>
      <c r="H16" s="32"/>
      <c r="I16" s="33"/>
      <c r="J16" s="33"/>
      <c r="K16" s="33"/>
      <c r="L16" s="33"/>
      <c r="M16" s="34"/>
      <c r="N16" s="35"/>
      <c r="O16" s="36"/>
      <c r="P16" s="35"/>
      <c r="Q16" s="36"/>
      <c r="R16" s="37"/>
      <c r="S16" s="36"/>
      <c r="T16" s="34"/>
      <c r="U16" s="34"/>
      <c r="V16" s="34"/>
      <c r="W16" s="34"/>
      <c r="X16" s="34"/>
      <c r="Y16" s="34"/>
      <c r="AA16" s="34"/>
    </row>
    <row r="17" spans="1:27" s="38" customFormat="1" x14ac:dyDescent="0.35">
      <c r="A17" s="28">
        <f t="shared" si="14"/>
        <v>12</v>
      </c>
      <c r="B17" s="29"/>
      <c r="C17" s="29"/>
      <c r="D17" s="29"/>
      <c r="E17" s="30"/>
      <c r="F17" s="31"/>
      <c r="G17" s="32"/>
      <c r="H17" s="32"/>
      <c r="I17" s="33"/>
      <c r="J17" s="33"/>
      <c r="K17" s="33"/>
      <c r="L17" s="33"/>
      <c r="M17" s="34"/>
      <c r="N17" s="35"/>
      <c r="O17" s="36"/>
      <c r="P17" s="35"/>
      <c r="Q17" s="36"/>
      <c r="R17" s="37"/>
      <c r="S17" s="36"/>
      <c r="T17" s="34"/>
      <c r="U17" s="34"/>
      <c r="V17" s="34"/>
      <c r="W17" s="34"/>
      <c r="X17" s="34"/>
      <c r="Y17" s="34"/>
      <c r="AA17" s="34"/>
    </row>
    <row r="18" spans="1:27" s="38" customFormat="1" x14ac:dyDescent="0.35">
      <c r="A18" s="28">
        <f t="shared" si="14"/>
        <v>13</v>
      </c>
      <c r="B18" s="29"/>
      <c r="C18" s="29"/>
      <c r="D18" s="29"/>
      <c r="E18" s="30"/>
      <c r="F18" s="31"/>
      <c r="G18" s="32"/>
      <c r="H18" s="32"/>
      <c r="I18" s="33"/>
      <c r="J18" s="33"/>
      <c r="K18" s="33"/>
      <c r="L18" s="33"/>
      <c r="M18" s="34"/>
      <c r="N18" s="35"/>
      <c r="O18" s="36"/>
      <c r="P18" s="35"/>
      <c r="Q18" s="36"/>
      <c r="R18" s="37"/>
      <c r="S18" s="36"/>
      <c r="T18" s="34"/>
      <c r="U18" s="34"/>
      <c r="V18" s="34"/>
      <c r="W18" s="34"/>
      <c r="X18" s="34"/>
      <c r="Y18" s="34"/>
      <c r="AA18" s="34"/>
    </row>
    <row r="19" spans="1:27" s="38" customFormat="1" x14ac:dyDescent="0.35">
      <c r="A19" s="28">
        <f t="shared" si="14"/>
        <v>14</v>
      </c>
      <c r="B19" s="29"/>
      <c r="C19" s="29"/>
      <c r="D19" s="29"/>
      <c r="E19" s="39"/>
      <c r="F19" s="31"/>
      <c r="G19" s="32"/>
      <c r="H19" s="32"/>
      <c r="I19" s="33"/>
      <c r="J19" s="33"/>
      <c r="K19" s="33"/>
      <c r="L19" s="33"/>
      <c r="M19" s="34"/>
      <c r="N19" s="35"/>
      <c r="O19" s="36"/>
      <c r="P19" s="35"/>
      <c r="Q19" s="36"/>
      <c r="R19" s="37"/>
      <c r="S19" s="36"/>
      <c r="T19" s="34"/>
      <c r="U19" s="34"/>
      <c r="V19" s="34"/>
      <c r="W19" s="34"/>
      <c r="X19" s="34"/>
      <c r="Y19" s="34"/>
      <c r="AA19" s="34"/>
    </row>
    <row r="20" spans="1:27" s="38" customFormat="1" x14ac:dyDescent="0.35">
      <c r="A20" s="28">
        <f t="shared" si="14"/>
        <v>15</v>
      </c>
      <c r="B20" s="29"/>
      <c r="C20" s="29"/>
      <c r="D20" s="29"/>
      <c r="E20" s="39"/>
      <c r="F20" s="31"/>
      <c r="G20" s="32"/>
      <c r="H20" s="32"/>
      <c r="I20" s="33"/>
      <c r="J20" s="33"/>
      <c r="K20" s="33"/>
      <c r="L20" s="33"/>
      <c r="M20" s="34"/>
      <c r="N20" s="35"/>
      <c r="O20" s="36"/>
      <c r="P20" s="35"/>
      <c r="Q20" s="36"/>
      <c r="R20" s="37"/>
      <c r="S20" s="36"/>
      <c r="T20" s="34"/>
      <c r="U20" s="34"/>
      <c r="V20" s="34"/>
      <c r="W20" s="34"/>
      <c r="X20" s="34"/>
      <c r="Y20" s="34"/>
      <c r="AA20" s="34"/>
    </row>
    <row r="21" spans="1:27" x14ac:dyDescent="0.35">
      <c r="A21" s="40"/>
      <c r="B21" s="41"/>
      <c r="C21" s="41"/>
      <c r="D21" s="41"/>
      <c r="E21" s="42"/>
      <c r="F21" s="43"/>
      <c r="G21" s="44"/>
      <c r="H21" s="44"/>
      <c r="I21" s="44"/>
      <c r="J21" s="45"/>
      <c r="K21" s="45"/>
      <c r="L21" s="45"/>
      <c r="M21" s="46"/>
      <c r="N21" s="47"/>
      <c r="O21" s="48"/>
      <c r="P21" s="47"/>
      <c r="Q21" s="48"/>
      <c r="R21" s="49"/>
      <c r="S21" s="48"/>
      <c r="T21" s="46"/>
      <c r="U21" s="46"/>
      <c r="V21" s="46"/>
      <c r="W21" s="46"/>
      <c r="X21" s="46"/>
      <c r="Y21" s="46"/>
      <c r="AA21" s="46"/>
    </row>
    <row r="22" spans="1:27" x14ac:dyDescent="0.35">
      <c r="A22" s="17">
        <f>+A20+1</f>
        <v>16</v>
      </c>
      <c r="B22" s="6"/>
      <c r="C22" s="6"/>
      <c r="D22" s="6"/>
      <c r="E22" s="18"/>
      <c r="F22" s="50"/>
      <c r="G22" s="20"/>
      <c r="H22" s="20"/>
      <c r="I22" s="20"/>
      <c r="J22" s="21"/>
      <c r="K22" s="21"/>
      <c r="L22" s="21"/>
      <c r="M22" s="22"/>
      <c r="N22" s="25"/>
      <c r="O22" s="24"/>
      <c r="P22" s="25"/>
      <c r="Q22" s="24"/>
      <c r="R22" s="26"/>
      <c r="S22" s="24"/>
      <c r="T22" s="22"/>
      <c r="U22" s="22"/>
      <c r="V22" s="22"/>
      <c r="W22" s="22"/>
      <c r="X22" s="22"/>
      <c r="Y22" s="22"/>
      <c r="AA22" s="22"/>
    </row>
    <row r="23" spans="1:27" x14ac:dyDescent="0.35">
      <c r="A23" s="17">
        <f t="shared" si="11"/>
        <v>17</v>
      </c>
      <c r="B23" s="6"/>
      <c r="C23" s="6"/>
      <c r="D23" s="6"/>
      <c r="E23" s="18"/>
      <c r="F23" s="50"/>
      <c r="G23" s="20"/>
      <c r="H23" s="20"/>
      <c r="I23" s="20"/>
      <c r="J23" s="21"/>
      <c r="K23" s="21"/>
      <c r="L23" s="21"/>
      <c r="M23" s="22"/>
      <c r="N23" s="25"/>
      <c r="O23" s="24"/>
      <c r="P23" s="25"/>
      <c r="Q23" s="24"/>
      <c r="R23" s="26"/>
      <c r="S23" s="24"/>
      <c r="T23" s="22"/>
      <c r="U23" s="22"/>
      <c r="V23" s="22"/>
      <c r="W23" s="22"/>
      <c r="X23" s="22"/>
      <c r="Y23" s="22"/>
      <c r="AA23" s="22"/>
    </row>
    <row r="24" spans="1:27" x14ac:dyDescent="0.35">
      <c r="A24" s="17">
        <f t="shared" si="11"/>
        <v>18</v>
      </c>
      <c r="B24" s="6"/>
      <c r="C24" s="6"/>
      <c r="D24" s="6"/>
      <c r="E24" s="18"/>
      <c r="F24" s="51"/>
      <c r="G24" s="20"/>
      <c r="H24" s="20"/>
      <c r="I24" s="21"/>
      <c r="J24" s="21"/>
      <c r="K24" s="21"/>
      <c r="L24" s="21"/>
      <c r="M24" s="22"/>
      <c r="N24" s="25"/>
      <c r="O24" s="24"/>
      <c r="P24" s="25"/>
      <c r="Q24" s="24"/>
      <c r="R24" s="26"/>
      <c r="S24" s="24"/>
      <c r="T24" s="22"/>
      <c r="U24" s="22"/>
      <c r="V24" s="22"/>
      <c r="W24" s="22"/>
      <c r="X24" s="22"/>
      <c r="Y24" s="22"/>
      <c r="AA24" s="22"/>
    </row>
    <row r="25" spans="1:27" x14ac:dyDescent="0.35">
      <c r="A25" s="17">
        <f t="shared" si="11"/>
        <v>19</v>
      </c>
      <c r="B25" s="6"/>
      <c r="C25" s="6"/>
      <c r="D25" s="6"/>
      <c r="E25" s="18"/>
      <c r="F25" s="50"/>
      <c r="G25" s="20"/>
      <c r="H25" s="20"/>
      <c r="I25" s="20"/>
      <c r="J25" s="21"/>
      <c r="K25" s="21"/>
      <c r="L25" s="21"/>
      <c r="M25" s="22"/>
      <c r="N25" s="25"/>
      <c r="O25" s="24"/>
      <c r="P25" s="25"/>
      <c r="Q25" s="24"/>
      <c r="R25" s="26"/>
      <c r="S25" s="24"/>
      <c r="T25" s="22"/>
      <c r="U25" s="22"/>
      <c r="V25" s="22"/>
      <c r="W25" s="22"/>
      <c r="X25" s="22"/>
      <c r="Y25" s="22"/>
      <c r="AA25" s="22"/>
    </row>
    <row r="26" spans="1:27" x14ac:dyDescent="0.35">
      <c r="A26" s="17">
        <f t="shared" si="11"/>
        <v>20</v>
      </c>
      <c r="B26" s="6"/>
      <c r="C26" s="6"/>
      <c r="D26" s="6"/>
      <c r="E26" s="18"/>
      <c r="F26" s="50"/>
      <c r="G26" s="20"/>
      <c r="H26" s="20"/>
      <c r="I26" s="20"/>
      <c r="J26" s="21"/>
      <c r="K26" s="21"/>
      <c r="L26" s="21"/>
      <c r="M26" s="22"/>
      <c r="N26" s="25"/>
      <c r="O26" s="24"/>
      <c r="P26" s="25"/>
      <c r="Q26" s="24"/>
      <c r="R26" s="26"/>
      <c r="S26" s="24"/>
      <c r="T26" s="22"/>
      <c r="U26" s="22"/>
      <c r="V26" s="22"/>
      <c r="W26" s="22"/>
      <c r="X26" s="22"/>
      <c r="Y26" s="22"/>
      <c r="AA26" s="22"/>
    </row>
    <row r="27" spans="1:27" x14ac:dyDescent="0.35">
      <c r="A27" s="17">
        <f t="shared" si="11"/>
        <v>21</v>
      </c>
      <c r="B27" s="6"/>
      <c r="C27" s="6"/>
      <c r="D27" s="6"/>
      <c r="E27" s="18"/>
      <c r="F27" s="52"/>
      <c r="G27" s="20"/>
      <c r="H27" s="20"/>
      <c r="I27" s="20"/>
      <c r="J27" s="21"/>
      <c r="K27" s="21"/>
      <c r="L27" s="21"/>
      <c r="M27" s="22"/>
      <c r="N27" s="25"/>
      <c r="O27" s="24"/>
      <c r="P27" s="25"/>
      <c r="Q27" s="24"/>
      <c r="R27" s="26"/>
      <c r="S27" s="24"/>
      <c r="T27" s="22"/>
      <c r="U27" s="22"/>
      <c r="V27" s="22"/>
      <c r="W27" s="22"/>
      <c r="X27" s="22"/>
      <c r="Y27" s="22"/>
      <c r="AA27" s="22"/>
    </row>
    <row r="28" spans="1:27" x14ac:dyDescent="0.35">
      <c r="A28" s="17">
        <f t="shared" si="11"/>
        <v>22</v>
      </c>
      <c r="B28" s="6"/>
      <c r="C28" s="6"/>
      <c r="D28" s="6"/>
      <c r="E28" s="18"/>
      <c r="F28" s="52"/>
      <c r="G28" s="20"/>
      <c r="H28" s="20"/>
      <c r="I28" s="20"/>
      <c r="J28" s="21"/>
      <c r="K28" s="21"/>
      <c r="L28" s="21"/>
      <c r="M28" s="22"/>
      <c r="N28" s="25"/>
      <c r="O28" s="24"/>
      <c r="P28" s="25"/>
      <c r="Q28" s="24"/>
      <c r="R28" s="26"/>
      <c r="S28" s="24"/>
      <c r="T28" s="22"/>
      <c r="U28" s="22"/>
      <c r="V28" s="22"/>
      <c r="W28" s="22"/>
      <c r="X28" s="22"/>
      <c r="Y28" s="22"/>
      <c r="AA28" s="22"/>
    </row>
    <row r="29" spans="1:27" x14ac:dyDescent="0.35">
      <c r="A29" s="17">
        <f t="shared" si="11"/>
        <v>23</v>
      </c>
      <c r="B29" s="6"/>
      <c r="C29" s="6"/>
      <c r="D29" s="6"/>
      <c r="E29" s="18"/>
      <c r="F29" s="50"/>
      <c r="G29" s="20"/>
      <c r="H29" s="20"/>
      <c r="I29" s="20"/>
      <c r="J29" s="21"/>
      <c r="K29" s="21"/>
      <c r="L29" s="21"/>
      <c r="M29" s="22"/>
      <c r="N29" s="25"/>
      <c r="O29" s="24"/>
      <c r="P29" s="25"/>
      <c r="Q29" s="24"/>
      <c r="R29" s="26"/>
      <c r="S29" s="24"/>
      <c r="T29" s="22"/>
      <c r="U29" s="22"/>
      <c r="V29" s="22"/>
      <c r="W29" s="22"/>
      <c r="X29" s="22"/>
      <c r="Y29" s="22"/>
      <c r="AA29" s="22"/>
    </row>
    <row r="30" spans="1:27" x14ac:dyDescent="0.35">
      <c r="A30" s="17">
        <f t="shared" si="11"/>
        <v>24</v>
      </c>
      <c r="B30" s="6"/>
      <c r="C30" s="6"/>
      <c r="D30" s="6"/>
      <c r="E30" s="18"/>
      <c r="F30" s="50"/>
      <c r="G30" s="20"/>
      <c r="H30" s="20"/>
      <c r="I30" s="20"/>
      <c r="J30" s="21"/>
      <c r="K30" s="21"/>
      <c r="L30" s="21"/>
      <c r="M30" s="22"/>
      <c r="N30" s="25"/>
      <c r="O30" s="24"/>
      <c r="P30" s="25"/>
      <c r="Q30" s="24"/>
      <c r="R30" s="26"/>
      <c r="S30" s="24"/>
      <c r="T30" s="22"/>
      <c r="U30" s="22"/>
      <c r="V30" s="22"/>
      <c r="W30" s="22"/>
      <c r="X30" s="22"/>
      <c r="Y30" s="22"/>
      <c r="AA30" s="22"/>
    </row>
    <row r="31" spans="1:27" x14ac:dyDescent="0.35">
      <c r="A31" s="17">
        <f t="shared" si="11"/>
        <v>25</v>
      </c>
      <c r="B31" s="6"/>
      <c r="C31" s="6"/>
      <c r="D31" s="6"/>
      <c r="E31" s="18"/>
      <c r="F31" s="50"/>
      <c r="G31" s="20"/>
      <c r="H31" s="20"/>
      <c r="I31" s="20"/>
      <c r="J31" s="21"/>
      <c r="K31" s="21"/>
      <c r="L31" s="21"/>
      <c r="M31" s="22"/>
      <c r="N31" s="25"/>
      <c r="O31" s="24"/>
      <c r="P31" s="25"/>
      <c r="Q31" s="24"/>
      <c r="R31" s="26"/>
      <c r="S31" s="24"/>
      <c r="T31" s="22"/>
      <c r="U31" s="22"/>
      <c r="V31" s="22"/>
      <c r="W31" s="22"/>
      <c r="X31" s="22"/>
      <c r="Y31" s="22"/>
      <c r="AA31" s="22"/>
    </row>
    <row r="32" spans="1:27" x14ac:dyDescent="0.35">
      <c r="A32" s="17">
        <f t="shared" si="11"/>
        <v>26</v>
      </c>
      <c r="B32" s="6"/>
      <c r="C32" s="6"/>
      <c r="D32" s="6"/>
      <c r="E32" s="18"/>
      <c r="F32" s="19"/>
      <c r="G32" s="20"/>
      <c r="H32" s="20"/>
      <c r="I32" s="20"/>
      <c r="J32" s="21"/>
      <c r="K32" s="21"/>
      <c r="L32" s="21"/>
      <c r="M32" s="22"/>
      <c r="N32" s="25"/>
      <c r="O32" s="24"/>
      <c r="P32" s="25"/>
      <c r="Q32" s="24"/>
      <c r="R32" s="26"/>
      <c r="S32" s="24"/>
      <c r="T32" s="22"/>
      <c r="U32" s="22"/>
      <c r="V32" s="22"/>
      <c r="W32" s="22"/>
      <c r="X32" s="22"/>
      <c r="Y32" s="22"/>
      <c r="AA32" s="22"/>
    </row>
    <row r="33" spans="1:27" x14ac:dyDescent="0.35">
      <c r="A33" s="17">
        <f t="shared" si="11"/>
        <v>27</v>
      </c>
      <c r="B33" s="6"/>
      <c r="C33" s="6"/>
      <c r="D33" s="6"/>
      <c r="E33" s="18"/>
      <c r="F33" s="19"/>
      <c r="G33" s="20"/>
      <c r="H33" s="20"/>
      <c r="I33" s="20"/>
      <c r="J33" s="21"/>
      <c r="K33" s="21"/>
      <c r="L33" s="21"/>
      <c r="M33" s="22"/>
      <c r="N33" s="25"/>
      <c r="O33" s="24"/>
      <c r="P33" s="25"/>
      <c r="Q33" s="24"/>
      <c r="R33" s="26"/>
      <c r="S33" s="24"/>
      <c r="T33" s="22"/>
      <c r="U33" s="22"/>
      <c r="V33" s="22"/>
      <c r="W33" s="22"/>
      <c r="X33" s="22"/>
      <c r="Y33" s="22"/>
      <c r="AA33" s="22"/>
    </row>
    <row r="34" spans="1:27" x14ac:dyDescent="0.35">
      <c r="A34" s="17">
        <f t="shared" si="11"/>
        <v>28</v>
      </c>
      <c r="B34" s="6"/>
      <c r="C34" s="6"/>
      <c r="D34" s="6"/>
      <c r="E34" s="18"/>
      <c r="F34" s="19"/>
      <c r="G34" s="20"/>
      <c r="H34" s="20"/>
      <c r="I34" s="20"/>
      <c r="J34" s="21"/>
      <c r="K34" s="21"/>
      <c r="L34" s="21"/>
      <c r="M34" s="22"/>
      <c r="N34" s="25"/>
      <c r="O34" s="24"/>
      <c r="P34" s="25"/>
      <c r="Q34" s="24"/>
      <c r="R34" s="26"/>
      <c r="S34" s="24"/>
      <c r="T34" s="22"/>
      <c r="U34" s="22"/>
      <c r="V34" s="22"/>
      <c r="W34" s="22"/>
      <c r="X34" s="22"/>
      <c r="Y34" s="22"/>
      <c r="AA34" s="22"/>
    </row>
    <row r="35" spans="1:27" x14ac:dyDescent="0.35">
      <c r="A35" s="40"/>
      <c r="B35" s="41"/>
      <c r="C35" s="41"/>
      <c r="D35" s="41"/>
      <c r="E35" s="42"/>
      <c r="F35" s="43"/>
      <c r="G35" s="44"/>
      <c r="H35" s="44"/>
      <c r="I35" s="44"/>
      <c r="J35" s="45"/>
      <c r="K35" s="45"/>
      <c r="L35" s="45"/>
      <c r="M35" s="46"/>
      <c r="N35" s="47"/>
      <c r="O35" s="48"/>
      <c r="P35" s="47"/>
      <c r="Q35" s="48"/>
      <c r="R35" s="49"/>
      <c r="S35" s="48"/>
      <c r="T35" s="46"/>
      <c r="U35" s="46"/>
      <c r="V35" s="46"/>
      <c r="W35" s="46"/>
      <c r="X35" s="46"/>
      <c r="Y35" s="46"/>
      <c r="AA35" s="46"/>
    </row>
    <row r="36" spans="1:27" x14ac:dyDescent="0.35">
      <c r="A36" s="17">
        <f>+A34+1</f>
        <v>29</v>
      </c>
      <c r="B36" s="6"/>
      <c r="C36" s="6"/>
      <c r="D36" s="6"/>
      <c r="E36" s="18"/>
      <c r="F36" s="19"/>
      <c r="G36" s="20"/>
      <c r="H36" s="20"/>
      <c r="I36" s="20"/>
      <c r="J36" s="21"/>
      <c r="K36" s="21"/>
      <c r="L36" s="21"/>
      <c r="M36" s="22"/>
      <c r="N36" s="25"/>
      <c r="O36" s="24"/>
      <c r="P36" s="25"/>
      <c r="Q36" s="24"/>
      <c r="R36" s="26"/>
      <c r="S36" s="24"/>
      <c r="T36" s="22"/>
      <c r="U36" s="22"/>
      <c r="V36" s="22"/>
      <c r="W36" s="22"/>
      <c r="X36" s="22"/>
      <c r="Y36" s="22"/>
      <c r="AA36" s="22"/>
    </row>
    <row r="37" spans="1:27" x14ac:dyDescent="0.35">
      <c r="A37" s="17">
        <f t="shared" si="11"/>
        <v>30</v>
      </c>
      <c r="B37" s="6"/>
      <c r="C37" s="6"/>
      <c r="D37" s="6"/>
      <c r="E37" s="18"/>
      <c r="F37" s="19"/>
      <c r="G37" s="20"/>
      <c r="H37" s="20"/>
      <c r="I37" s="20"/>
      <c r="J37" s="21"/>
      <c r="K37" s="21"/>
      <c r="L37" s="21"/>
      <c r="M37" s="22"/>
      <c r="N37" s="25"/>
      <c r="O37" s="24"/>
      <c r="P37" s="25"/>
      <c r="Q37" s="24"/>
      <c r="R37" s="26"/>
      <c r="S37" s="24"/>
      <c r="T37" s="22"/>
      <c r="U37" s="22"/>
      <c r="V37" s="22"/>
      <c r="W37" s="22"/>
      <c r="X37" s="22"/>
      <c r="Y37" s="22"/>
      <c r="AA37" s="22"/>
    </row>
    <row r="38" spans="1:27" x14ac:dyDescent="0.35">
      <c r="A38" s="17">
        <f t="shared" si="11"/>
        <v>31</v>
      </c>
      <c r="B38" s="6"/>
      <c r="C38" s="6"/>
      <c r="D38" s="6"/>
      <c r="E38" s="18"/>
      <c r="F38" s="19"/>
      <c r="G38" s="20"/>
      <c r="H38" s="20"/>
      <c r="I38" s="20"/>
      <c r="J38" s="21"/>
      <c r="K38" s="21"/>
      <c r="L38" s="21"/>
      <c r="M38" s="22"/>
      <c r="N38" s="25"/>
      <c r="O38" s="24"/>
      <c r="P38" s="25"/>
      <c r="Q38" s="24"/>
      <c r="R38" s="26"/>
      <c r="S38" s="24"/>
      <c r="T38" s="22"/>
      <c r="U38" s="22"/>
      <c r="V38" s="22"/>
      <c r="W38" s="22"/>
      <c r="X38" s="22"/>
      <c r="Y38" s="22"/>
      <c r="AA38" s="22"/>
    </row>
    <row r="39" spans="1:27" x14ac:dyDescent="0.35">
      <c r="A39" s="17">
        <f t="shared" si="11"/>
        <v>32</v>
      </c>
      <c r="B39" s="6"/>
      <c r="C39" s="6"/>
      <c r="D39" s="6"/>
      <c r="E39" s="18"/>
      <c r="F39" s="52"/>
      <c r="G39" s="20"/>
      <c r="H39" s="20"/>
      <c r="I39" s="20"/>
      <c r="J39" s="21"/>
      <c r="K39" s="21"/>
      <c r="L39" s="21"/>
      <c r="M39" s="22"/>
      <c r="N39" s="25"/>
      <c r="O39" s="24"/>
      <c r="P39" s="25"/>
      <c r="Q39" s="24"/>
      <c r="R39" s="26"/>
      <c r="S39" s="24"/>
      <c r="T39" s="22"/>
      <c r="U39" s="22"/>
      <c r="V39" s="22"/>
      <c r="W39" s="22"/>
      <c r="X39" s="22"/>
      <c r="Y39" s="22"/>
      <c r="AA39" s="22"/>
    </row>
    <row r="40" spans="1:27" x14ac:dyDescent="0.35">
      <c r="A40" s="17">
        <f t="shared" si="11"/>
        <v>33</v>
      </c>
      <c r="B40" s="6"/>
      <c r="C40" s="6"/>
      <c r="D40" s="6"/>
      <c r="E40" s="18"/>
      <c r="F40" s="52"/>
      <c r="G40" s="20"/>
      <c r="H40" s="20"/>
      <c r="I40" s="20"/>
      <c r="J40" s="21"/>
      <c r="K40" s="21"/>
      <c r="L40" s="21"/>
      <c r="M40" s="22"/>
      <c r="N40" s="25"/>
      <c r="O40" s="24"/>
      <c r="P40" s="25"/>
      <c r="Q40" s="24"/>
      <c r="R40" s="26"/>
      <c r="S40" s="24"/>
      <c r="T40" s="22"/>
      <c r="U40" s="22"/>
      <c r="V40" s="22"/>
      <c r="W40" s="22"/>
      <c r="X40" s="22"/>
      <c r="Y40" s="22"/>
      <c r="AA40" s="22"/>
    </row>
    <row r="41" spans="1:27" x14ac:dyDescent="0.35">
      <c r="A41" s="17">
        <f t="shared" si="11"/>
        <v>34</v>
      </c>
      <c r="B41" s="6"/>
      <c r="C41" s="6"/>
      <c r="D41" s="6"/>
      <c r="E41" s="18"/>
      <c r="F41" s="19"/>
      <c r="G41" s="20"/>
      <c r="H41" s="20"/>
      <c r="I41" s="20"/>
      <c r="J41" s="21"/>
      <c r="K41" s="21"/>
      <c r="L41" s="21"/>
      <c r="M41" s="22"/>
      <c r="N41" s="25"/>
      <c r="O41" s="24"/>
      <c r="P41" s="25"/>
      <c r="Q41" s="24"/>
      <c r="R41" s="26"/>
      <c r="S41" s="24"/>
      <c r="T41" s="22"/>
      <c r="U41" s="22"/>
      <c r="V41" s="22"/>
      <c r="W41" s="22"/>
      <c r="X41" s="22"/>
      <c r="Y41" s="22"/>
      <c r="AA41" s="22"/>
    </row>
    <row r="42" spans="1:27" x14ac:dyDescent="0.35">
      <c r="A42" s="17">
        <f t="shared" si="11"/>
        <v>35</v>
      </c>
      <c r="B42" s="6"/>
      <c r="C42" s="6"/>
      <c r="D42" s="6"/>
      <c r="E42" s="18"/>
      <c r="F42" s="19"/>
      <c r="G42" s="20"/>
      <c r="H42" s="20"/>
      <c r="I42" s="20"/>
      <c r="J42" s="21"/>
      <c r="K42" s="21"/>
      <c r="L42" s="21"/>
      <c r="M42" s="22"/>
      <c r="N42" s="25"/>
      <c r="O42" s="24"/>
      <c r="P42" s="25"/>
      <c r="Q42" s="24"/>
      <c r="R42" s="26"/>
      <c r="S42" s="24"/>
      <c r="T42" s="22"/>
      <c r="U42" s="22"/>
      <c r="V42" s="22"/>
      <c r="W42" s="22"/>
      <c r="X42" s="22"/>
      <c r="Y42" s="22"/>
      <c r="AA42" s="22"/>
    </row>
    <row r="43" spans="1:27" x14ac:dyDescent="0.35">
      <c r="A43" s="17">
        <f t="shared" si="11"/>
        <v>36</v>
      </c>
      <c r="B43" s="6"/>
      <c r="C43" s="6"/>
      <c r="D43" s="6"/>
      <c r="E43" s="18"/>
      <c r="F43" s="19"/>
      <c r="G43" s="20"/>
      <c r="H43" s="20"/>
      <c r="I43" s="20"/>
      <c r="J43" s="21"/>
      <c r="K43" s="21"/>
      <c r="L43" s="21"/>
      <c r="M43" s="22"/>
      <c r="N43" s="25"/>
      <c r="O43" s="24"/>
      <c r="P43" s="25"/>
      <c r="Q43" s="24"/>
      <c r="R43" s="26"/>
      <c r="S43" s="24"/>
      <c r="T43" s="22"/>
      <c r="U43" s="22"/>
      <c r="V43" s="22"/>
      <c r="W43" s="22"/>
      <c r="X43" s="22"/>
      <c r="Y43" s="22"/>
      <c r="AA43" s="22"/>
    </row>
    <row r="44" spans="1:27" x14ac:dyDescent="0.35">
      <c r="A44" s="17">
        <f t="shared" si="11"/>
        <v>37</v>
      </c>
      <c r="B44" s="6"/>
      <c r="C44" s="6"/>
      <c r="D44" s="6"/>
      <c r="E44" s="18"/>
      <c r="F44" s="19"/>
      <c r="G44" s="20"/>
      <c r="H44" s="20"/>
      <c r="I44" s="20"/>
      <c r="J44" s="21"/>
      <c r="K44" s="21"/>
      <c r="L44" s="21"/>
      <c r="M44" s="22"/>
      <c r="N44" s="25"/>
      <c r="O44" s="24"/>
      <c r="P44" s="25"/>
      <c r="Q44" s="24"/>
      <c r="R44" s="26"/>
      <c r="S44" s="24"/>
      <c r="T44" s="22"/>
      <c r="U44" s="22"/>
      <c r="V44" s="22"/>
      <c r="W44" s="22"/>
      <c r="X44" s="22"/>
      <c r="Y44" s="22"/>
      <c r="AA44" s="22"/>
    </row>
    <row r="45" spans="1:27" x14ac:dyDescent="0.35">
      <c r="A45" s="17">
        <f t="shared" si="11"/>
        <v>38</v>
      </c>
      <c r="B45" s="6"/>
      <c r="C45" s="6"/>
      <c r="D45" s="6"/>
      <c r="E45" s="18"/>
      <c r="F45" s="19"/>
      <c r="G45" s="20"/>
      <c r="H45" s="20"/>
      <c r="I45" s="20"/>
      <c r="J45" s="21"/>
      <c r="K45" s="21"/>
      <c r="L45" s="21"/>
      <c r="M45" s="22"/>
      <c r="N45" s="25"/>
      <c r="O45" s="24"/>
      <c r="P45" s="25"/>
      <c r="Q45" s="24"/>
      <c r="R45" s="26"/>
      <c r="S45" s="24"/>
      <c r="T45" s="22"/>
      <c r="U45" s="22"/>
      <c r="V45" s="22"/>
      <c r="W45" s="22"/>
      <c r="X45" s="22"/>
      <c r="Y45" s="22"/>
      <c r="AA45" s="22"/>
    </row>
    <row r="46" spans="1:27" x14ac:dyDescent="0.35">
      <c r="A46" s="40"/>
      <c r="B46" s="41"/>
      <c r="C46" s="41"/>
      <c r="D46" s="41"/>
      <c r="E46" s="42"/>
      <c r="F46" s="43"/>
      <c r="G46" s="44"/>
      <c r="H46" s="44"/>
      <c r="I46" s="44"/>
      <c r="J46" s="45"/>
      <c r="K46" s="45"/>
      <c r="L46" s="45"/>
      <c r="M46" s="46"/>
      <c r="N46" s="47"/>
      <c r="O46" s="48"/>
      <c r="P46" s="47"/>
      <c r="Q46" s="48"/>
      <c r="R46" s="49"/>
      <c r="S46" s="48"/>
      <c r="T46" s="46"/>
      <c r="U46" s="46"/>
      <c r="V46" s="46"/>
      <c r="W46" s="46"/>
      <c r="X46" s="46"/>
      <c r="Y46" s="46"/>
      <c r="AA46" s="46"/>
    </row>
    <row r="47" spans="1:27" x14ac:dyDescent="0.35">
      <c r="A47" s="17">
        <f>+A45+1</f>
        <v>39</v>
      </c>
      <c r="B47" s="6"/>
      <c r="C47" s="6"/>
      <c r="D47" s="6"/>
      <c r="E47" s="18"/>
      <c r="F47" s="52"/>
      <c r="G47" s="20"/>
      <c r="H47" s="20"/>
      <c r="I47" s="20"/>
      <c r="J47" s="21"/>
      <c r="K47" s="21"/>
      <c r="L47" s="21"/>
      <c r="M47" s="22"/>
      <c r="N47" s="25"/>
      <c r="O47" s="24"/>
      <c r="P47" s="25"/>
      <c r="Q47" s="24"/>
      <c r="R47" s="26"/>
      <c r="S47" s="24"/>
      <c r="T47" s="22"/>
      <c r="U47" s="22"/>
      <c r="V47" s="22"/>
      <c r="W47" s="22"/>
      <c r="X47" s="22"/>
      <c r="Y47" s="22"/>
      <c r="AA47" s="22"/>
    </row>
    <row r="48" spans="1:27" x14ac:dyDescent="0.35">
      <c r="A48" s="17">
        <f t="shared" si="11"/>
        <v>40</v>
      </c>
      <c r="B48" s="6"/>
      <c r="C48" s="6"/>
      <c r="D48" s="6"/>
      <c r="E48" s="18"/>
      <c r="F48" s="52"/>
      <c r="G48" s="20"/>
      <c r="H48" s="20"/>
      <c r="I48" s="20"/>
      <c r="J48" s="21"/>
      <c r="K48" s="21"/>
      <c r="L48" s="21"/>
      <c r="M48" s="22"/>
      <c r="N48" s="25"/>
      <c r="O48" s="24"/>
      <c r="P48" s="25"/>
      <c r="Q48" s="24"/>
      <c r="R48" s="26"/>
      <c r="S48" s="24"/>
      <c r="T48" s="22"/>
      <c r="U48" s="22"/>
      <c r="V48" s="22"/>
      <c r="W48" s="22"/>
      <c r="X48" s="22"/>
      <c r="Y48" s="22"/>
      <c r="AA48" s="22"/>
    </row>
    <row r="49" spans="1:27" x14ac:dyDescent="0.35">
      <c r="A49" s="40"/>
      <c r="B49" s="41"/>
      <c r="C49" s="41"/>
      <c r="D49" s="41"/>
      <c r="E49" s="42"/>
      <c r="F49" s="43"/>
      <c r="G49" s="44"/>
      <c r="H49" s="44"/>
      <c r="I49" s="44"/>
      <c r="J49" s="45"/>
      <c r="K49" s="45"/>
      <c r="L49" s="45"/>
      <c r="M49" s="46"/>
      <c r="N49" s="47"/>
      <c r="O49" s="48"/>
      <c r="P49" s="47"/>
      <c r="Q49" s="48"/>
      <c r="R49" s="49"/>
      <c r="S49" s="48"/>
      <c r="T49" s="46"/>
      <c r="U49" s="46"/>
      <c r="V49" s="46"/>
      <c r="W49" s="46"/>
      <c r="X49" s="46"/>
      <c r="Y49" s="46"/>
      <c r="AA49" s="46"/>
    </row>
    <row r="50" spans="1:27" x14ac:dyDescent="0.35">
      <c r="A50" s="17">
        <f>+A48+1</f>
        <v>41</v>
      </c>
      <c r="B50" s="6"/>
      <c r="C50" s="6"/>
      <c r="D50" s="6"/>
      <c r="E50" s="18"/>
      <c r="F50" s="19"/>
      <c r="G50" s="20"/>
      <c r="H50" s="20"/>
      <c r="I50" s="20"/>
      <c r="J50" s="21"/>
      <c r="K50" s="21"/>
      <c r="L50" s="21"/>
      <c r="M50" s="22"/>
      <c r="N50" s="25"/>
      <c r="O50" s="24"/>
      <c r="P50" s="25"/>
      <c r="Q50" s="24"/>
      <c r="R50" s="26"/>
      <c r="S50" s="24"/>
      <c r="T50" s="22"/>
      <c r="U50" s="22"/>
      <c r="V50" s="22"/>
      <c r="W50" s="22"/>
      <c r="X50" s="22"/>
      <c r="Y50" s="22"/>
      <c r="AA50" s="22"/>
    </row>
    <row r="51" spans="1:27" x14ac:dyDescent="0.35">
      <c r="A51" s="17">
        <f t="shared" si="11"/>
        <v>42</v>
      </c>
      <c r="B51" s="6"/>
      <c r="C51" s="6"/>
      <c r="D51" s="6"/>
      <c r="E51" s="18"/>
      <c r="F51" s="19"/>
      <c r="G51" s="20"/>
      <c r="H51" s="20"/>
      <c r="I51" s="20"/>
      <c r="J51" s="21"/>
      <c r="K51" s="21"/>
      <c r="L51" s="21"/>
      <c r="M51" s="22"/>
      <c r="N51" s="25"/>
      <c r="O51" s="24"/>
      <c r="P51" s="25"/>
      <c r="Q51" s="24"/>
      <c r="R51" s="26"/>
      <c r="S51" s="24"/>
      <c r="T51" s="22"/>
      <c r="U51" s="22"/>
      <c r="V51" s="22"/>
      <c r="W51" s="22"/>
      <c r="X51" s="22"/>
      <c r="Y51" s="22"/>
      <c r="AA51" s="22"/>
    </row>
    <row r="52" spans="1:27" x14ac:dyDescent="0.35">
      <c r="A52" s="17">
        <f t="shared" si="11"/>
        <v>43</v>
      </c>
      <c r="B52" s="6"/>
      <c r="C52" s="6"/>
      <c r="D52" s="6"/>
      <c r="E52" s="53"/>
      <c r="F52" s="19"/>
      <c r="G52" s="54"/>
      <c r="H52" s="54"/>
      <c r="I52" s="54"/>
      <c r="J52" s="21"/>
      <c r="K52" s="54"/>
      <c r="L52" s="54"/>
      <c r="M52" s="1"/>
      <c r="N52" s="25"/>
      <c r="O52" s="24"/>
      <c r="P52" s="25"/>
      <c r="Q52" s="24"/>
      <c r="R52" s="26"/>
      <c r="S52" s="24"/>
      <c r="T52" s="1"/>
      <c r="U52" s="1"/>
      <c r="V52" s="22"/>
      <c r="W52" s="22"/>
      <c r="X52" s="22"/>
      <c r="Y52" s="22"/>
      <c r="AA52" s="22"/>
    </row>
    <row r="53" spans="1:27" x14ac:dyDescent="0.35">
      <c r="E53" s="55"/>
      <c r="F53" s="43"/>
      <c r="G53" s="56"/>
      <c r="H53" s="56"/>
      <c r="I53" s="56"/>
      <c r="J53" s="56"/>
      <c r="K53" s="56"/>
      <c r="L53" s="56"/>
      <c r="M53" s="4"/>
      <c r="N53" s="57"/>
      <c r="O53" s="58"/>
      <c r="P53" s="57"/>
      <c r="Q53" s="58"/>
      <c r="R53" s="59"/>
      <c r="S53" s="58"/>
      <c r="T53" s="4"/>
      <c r="U53" s="4"/>
      <c r="V53" s="4"/>
      <c r="W53" s="4"/>
      <c r="X53" s="46"/>
      <c r="Y53" s="46"/>
      <c r="AA53" s="46"/>
    </row>
    <row r="54" spans="1:27" x14ac:dyDescent="0.35">
      <c r="A54" s="17">
        <f>+A52+1</f>
        <v>44</v>
      </c>
      <c r="B54" s="6"/>
      <c r="C54" s="6"/>
      <c r="D54" s="6"/>
      <c r="E54" s="53"/>
      <c r="F54" s="52"/>
      <c r="G54" s="54"/>
      <c r="H54" s="54"/>
      <c r="I54" s="54"/>
      <c r="J54" s="21"/>
      <c r="K54" s="54"/>
      <c r="L54" s="54"/>
      <c r="M54" s="1"/>
      <c r="N54" s="25"/>
      <c r="O54" s="24"/>
      <c r="P54" s="25"/>
      <c r="Q54" s="24"/>
      <c r="R54" s="26"/>
      <c r="S54" s="24"/>
      <c r="T54" s="1"/>
      <c r="U54" s="1"/>
      <c r="V54" s="22"/>
      <c r="W54" s="22"/>
      <c r="X54" s="22"/>
      <c r="Y54" s="22"/>
      <c r="AA54" s="22"/>
    </row>
    <row r="55" spans="1:27" x14ac:dyDescent="0.35">
      <c r="A55" s="17">
        <f t="shared" ref="A55:A58" si="15">+A54+1</f>
        <v>45</v>
      </c>
      <c r="B55" s="6"/>
      <c r="C55" s="6"/>
      <c r="D55" s="6"/>
      <c r="E55" s="53"/>
      <c r="F55" s="52"/>
      <c r="G55" s="54"/>
      <c r="H55" s="54"/>
      <c r="I55" s="54"/>
      <c r="J55" s="21"/>
      <c r="K55" s="54"/>
      <c r="L55" s="54"/>
      <c r="M55" s="1"/>
      <c r="N55" s="25"/>
      <c r="O55" s="24"/>
      <c r="P55" s="25"/>
      <c r="Q55" s="24"/>
      <c r="R55" s="26"/>
      <c r="S55" s="24"/>
      <c r="T55" s="1"/>
      <c r="U55" s="1"/>
      <c r="V55" s="22"/>
      <c r="W55" s="22"/>
      <c r="X55" s="22"/>
      <c r="Y55" s="22"/>
      <c r="AA55" s="22"/>
    </row>
    <row r="56" spans="1:27" x14ac:dyDescent="0.35">
      <c r="A56" s="17">
        <f t="shared" si="15"/>
        <v>46</v>
      </c>
      <c r="B56" s="6"/>
      <c r="C56" s="6"/>
      <c r="D56" s="6"/>
      <c r="E56" s="53"/>
      <c r="F56" s="52"/>
      <c r="G56" s="54"/>
      <c r="H56" s="54"/>
      <c r="I56" s="54"/>
      <c r="J56" s="21"/>
      <c r="K56" s="54"/>
      <c r="L56" s="54"/>
      <c r="M56" s="1"/>
      <c r="N56" s="25"/>
      <c r="O56" s="24"/>
      <c r="P56" s="25"/>
      <c r="Q56" s="24"/>
      <c r="R56" s="26"/>
      <c r="S56" s="24"/>
      <c r="T56" s="1"/>
      <c r="U56" s="1"/>
      <c r="V56" s="22"/>
      <c r="W56" s="22"/>
      <c r="X56" s="22"/>
      <c r="Y56" s="22"/>
      <c r="AA56" s="22"/>
    </row>
    <row r="57" spans="1:27" x14ac:dyDescent="0.35">
      <c r="A57" s="17">
        <f t="shared" si="15"/>
        <v>47</v>
      </c>
      <c r="B57" s="6"/>
      <c r="C57" s="6"/>
      <c r="D57" s="6"/>
      <c r="E57" s="53"/>
      <c r="F57" s="52"/>
      <c r="G57" s="54"/>
      <c r="H57" s="54"/>
      <c r="I57" s="54"/>
      <c r="J57" s="21"/>
      <c r="K57" s="54"/>
      <c r="L57" s="54"/>
      <c r="M57" s="1"/>
      <c r="N57" s="25"/>
      <c r="O57" s="24"/>
      <c r="P57" s="25"/>
      <c r="Q57" s="24"/>
      <c r="R57" s="26"/>
      <c r="S57" s="24"/>
      <c r="T57" s="1"/>
      <c r="U57" s="1"/>
      <c r="V57" s="22"/>
      <c r="W57" s="22"/>
      <c r="X57" s="22"/>
      <c r="Y57" s="22"/>
      <c r="AA57" s="22"/>
    </row>
    <row r="58" spans="1:27" x14ac:dyDescent="0.35">
      <c r="A58" s="17">
        <f t="shared" si="15"/>
        <v>48</v>
      </c>
      <c r="B58" s="6"/>
      <c r="C58" s="6"/>
      <c r="D58" s="6"/>
      <c r="E58" s="53"/>
      <c r="F58" s="52"/>
      <c r="G58" s="54"/>
      <c r="H58" s="54"/>
      <c r="I58" s="54"/>
      <c r="J58" s="21"/>
      <c r="K58" s="54"/>
      <c r="L58" s="54"/>
      <c r="M58" s="1"/>
      <c r="N58" s="25"/>
      <c r="O58" s="24"/>
      <c r="P58" s="25"/>
      <c r="Q58" s="24"/>
      <c r="R58" s="26"/>
      <c r="S58" s="24"/>
      <c r="T58" s="1"/>
      <c r="U58" s="1"/>
      <c r="V58" s="22"/>
      <c r="W58" s="22"/>
      <c r="X58" s="22"/>
      <c r="Y58" s="22"/>
      <c r="AA58" s="22"/>
    </row>
    <row r="59" spans="1:27" x14ac:dyDescent="0.35">
      <c r="F59" s="56"/>
      <c r="G59" s="56"/>
      <c r="H59" s="56"/>
      <c r="I59" s="56"/>
      <c r="J59" s="56"/>
      <c r="K59" s="56"/>
      <c r="L59" s="56"/>
      <c r="M59" s="56"/>
      <c r="N59" s="56"/>
      <c r="O59" s="56"/>
      <c r="P59" s="56"/>
      <c r="Q59" s="56"/>
      <c r="R59" s="56"/>
      <c r="S59" s="56"/>
      <c r="T59" s="56"/>
      <c r="U59" s="56"/>
      <c r="V59" s="56"/>
      <c r="W59" s="56"/>
      <c r="X59" s="56"/>
      <c r="Y59" s="56"/>
    </row>
    <row r="60" spans="1:27" s="62" customFormat="1" x14ac:dyDescent="0.35">
      <c r="A60" s="17">
        <f>+A58+1</f>
        <v>49</v>
      </c>
      <c r="B60" s="6"/>
      <c r="C60" s="6"/>
      <c r="D60" s="6"/>
      <c r="E60" s="18"/>
      <c r="F60" s="60"/>
      <c r="G60" s="20"/>
      <c r="H60" s="20"/>
      <c r="I60" s="20"/>
      <c r="J60" s="21"/>
      <c r="K60" s="21"/>
      <c r="L60" s="21"/>
      <c r="M60" s="22"/>
      <c r="N60" s="25"/>
      <c r="O60" s="24"/>
      <c r="P60" s="25"/>
      <c r="Q60" s="24"/>
      <c r="R60" s="26"/>
      <c r="S60" s="24"/>
      <c r="T60" s="22"/>
      <c r="U60" s="22"/>
      <c r="V60" s="22"/>
      <c r="W60" s="22"/>
      <c r="X60" s="22"/>
      <c r="Y60" s="22"/>
      <c r="Z60" s="61"/>
      <c r="AA60" s="22"/>
    </row>
    <row r="61" spans="1:27" s="62" customFormat="1" x14ac:dyDescent="0.35">
      <c r="A61" s="17">
        <f>+A60+1</f>
        <v>50</v>
      </c>
      <c r="B61" s="6"/>
      <c r="C61" s="6"/>
      <c r="D61" s="6"/>
      <c r="E61" s="18"/>
      <c r="F61" s="60"/>
      <c r="G61" s="20"/>
      <c r="H61" s="20"/>
      <c r="I61" s="20"/>
      <c r="J61" s="21"/>
      <c r="K61" s="21"/>
      <c r="L61" s="21"/>
      <c r="M61" s="22"/>
      <c r="N61" s="25"/>
      <c r="O61" s="24"/>
      <c r="P61" s="25"/>
      <c r="Q61" s="24"/>
      <c r="R61" s="26"/>
      <c r="S61" s="24"/>
      <c r="T61" s="22"/>
      <c r="U61" s="22"/>
      <c r="V61" s="22"/>
      <c r="W61" s="22"/>
      <c r="X61" s="22"/>
      <c r="Y61" s="22"/>
      <c r="Z61" s="61"/>
      <c r="AA61" s="22"/>
    </row>
    <row r="62" spans="1:27" s="62" customFormat="1" x14ac:dyDescent="0.35">
      <c r="A62" s="17">
        <f t="shared" ref="A62:A66" si="16">+A61+1</f>
        <v>51</v>
      </c>
      <c r="B62" s="6"/>
      <c r="C62" s="6"/>
      <c r="D62" s="6"/>
      <c r="E62" s="18"/>
      <c r="F62" s="60"/>
      <c r="G62" s="20"/>
      <c r="H62" s="20"/>
      <c r="I62" s="20"/>
      <c r="J62" s="21"/>
      <c r="K62" s="21"/>
      <c r="L62" s="21"/>
      <c r="M62" s="22"/>
      <c r="N62" s="25"/>
      <c r="O62" s="24"/>
      <c r="P62" s="25"/>
      <c r="Q62" s="24"/>
      <c r="R62" s="26"/>
      <c r="S62" s="24"/>
      <c r="T62" s="22"/>
      <c r="U62" s="22"/>
      <c r="V62" s="22"/>
      <c r="W62" s="22"/>
      <c r="X62" s="22"/>
      <c r="Y62" s="22"/>
      <c r="Z62" s="61"/>
      <c r="AA62" s="22"/>
    </row>
    <row r="63" spans="1:27" s="62" customFormat="1" x14ac:dyDescent="0.35">
      <c r="A63" s="17">
        <f t="shared" si="16"/>
        <v>52</v>
      </c>
      <c r="B63" s="6"/>
      <c r="C63" s="6"/>
      <c r="D63" s="6"/>
      <c r="E63" s="18"/>
      <c r="F63" s="60"/>
      <c r="G63" s="20"/>
      <c r="H63" s="20"/>
      <c r="I63" s="20"/>
      <c r="J63" s="21"/>
      <c r="K63" s="21"/>
      <c r="L63" s="21"/>
      <c r="M63" s="22"/>
      <c r="N63" s="25"/>
      <c r="O63" s="24"/>
      <c r="P63" s="25"/>
      <c r="Q63" s="24"/>
      <c r="R63" s="26"/>
      <c r="S63" s="24"/>
      <c r="T63" s="22"/>
      <c r="U63" s="22"/>
      <c r="V63" s="22"/>
      <c r="W63" s="22"/>
      <c r="X63" s="22"/>
      <c r="Y63" s="22"/>
      <c r="Z63" s="61"/>
      <c r="AA63" s="22"/>
    </row>
    <row r="64" spans="1:27" s="62" customFormat="1" x14ac:dyDescent="0.35">
      <c r="A64" s="17">
        <f t="shared" si="16"/>
        <v>53</v>
      </c>
      <c r="B64" s="6"/>
      <c r="C64" s="6"/>
      <c r="D64" s="6"/>
      <c r="E64" s="18"/>
      <c r="F64" s="60"/>
      <c r="G64" s="20"/>
      <c r="H64" s="20"/>
      <c r="I64" s="20"/>
      <c r="J64" s="21"/>
      <c r="K64" s="21"/>
      <c r="L64" s="21"/>
      <c r="M64" s="22"/>
      <c r="N64" s="25"/>
      <c r="O64" s="24"/>
      <c r="P64" s="25"/>
      <c r="Q64" s="24"/>
      <c r="R64" s="26"/>
      <c r="S64" s="24"/>
      <c r="T64" s="22"/>
      <c r="U64" s="22"/>
      <c r="V64" s="22"/>
      <c r="W64" s="22"/>
      <c r="X64" s="22"/>
      <c r="Y64" s="22"/>
      <c r="Z64" s="61"/>
      <c r="AA64" s="22"/>
    </row>
    <row r="65" spans="1:27" s="62" customFormat="1" x14ac:dyDescent="0.35">
      <c r="A65" s="17">
        <f t="shared" si="16"/>
        <v>54</v>
      </c>
      <c r="B65" s="6"/>
      <c r="C65" s="6"/>
      <c r="D65" s="6"/>
      <c r="E65" s="18"/>
      <c r="F65" s="60"/>
      <c r="G65" s="20"/>
      <c r="H65" s="20"/>
      <c r="I65" s="21"/>
      <c r="J65" s="21"/>
      <c r="K65" s="21"/>
      <c r="L65" s="21"/>
      <c r="M65" s="22"/>
      <c r="N65" s="25"/>
      <c r="O65" s="24"/>
      <c r="P65" s="25"/>
      <c r="Q65" s="24"/>
      <c r="R65" s="26"/>
      <c r="S65" s="24"/>
      <c r="T65" s="22"/>
      <c r="U65" s="22"/>
      <c r="V65" s="22"/>
      <c r="W65" s="22"/>
      <c r="X65" s="22"/>
      <c r="Y65" s="22"/>
      <c r="Z65" s="61"/>
      <c r="AA65" s="22"/>
    </row>
    <row r="66" spans="1:27" s="62" customFormat="1" x14ac:dyDescent="0.35">
      <c r="A66" s="17">
        <f t="shared" si="16"/>
        <v>55</v>
      </c>
      <c r="B66" s="6"/>
      <c r="C66" s="6"/>
      <c r="D66" s="6"/>
      <c r="E66" s="18"/>
      <c r="F66" s="63"/>
      <c r="G66" s="20"/>
      <c r="H66" s="20"/>
      <c r="I66" s="20"/>
      <c r="J66" s="21"/>
      <c r="K66" s="21"/>
      <c r="L66" s="21"/>
      <c r="M66" s="22"/>
      <c r="N66" s="25"/>
      <c r="O66" s="24"/>
      <c r="P66" s="25"/>
      <c r="Q66" s="24"/>
      <c r="R66" s="26"/>
      <c r="S66" s="24"/>
      <c r="T66" s="22"/>
      <c r="U66" s="22"/>
      <c r="V66" s="22"/>
      <c r="W66" s="22"/>
      <c r="X66" s="22"/>
      <c r="Y66" s="22"/>
      <c r="AA66" s="22"/>
    </row>
    <row r="67" spans="1:27" x14ac:dyDescent="0.35">
      <c r="L67" s="64"/>
    </row>
    <row r="68" spans="1:27" x14ac:dyDescent="0.35">
      <c r="A68" s="17">
        <f>+A66+1</f>
        <v>56</v>
      </c>
      <c r="B68" s="65"/>
      <c r="C68" s="6"/>
      <c r="D68" s="6"/>
      <c r="E68" s="18"/>
      <c r="F68" s="66"/>
      <c r="G68" s="20"/>
      <c r="H68" s="20"/>
      <c r="I68" s="20"/>
      <c r="J68" s="21"/>
      <c r="K68" s="21"/>
      <c r="L68" s="21"/>
      <c r="M68" s="67"/>
      <c r="N68" s="25"/>
      <c r="O68" s="24"/>
      <c r="P68" s="25"/>
      <c r="Q68" s="24"/>
      <c r="R68" s="26"/>
      <c r="S68" s="24"/>
      <c r="T68" s="22"/>
      <c r="U68" s="22"/>
      <c r="V68" s="22"/>
      <c r="W68" s="22"/>
      <c r="X68" s="22"/>
      <c r="Y68" s="22"/>
      <c r="AA68" s="22"/>
    </row>
    <row r="69" spans="1:27" x14ac:dyDescent="0.35">
      <c r="A69" s="17">
        <f t="shared" ref="A69:A70" si="17">+A68+1</f>
        <v>57</v>
      </c>
      <c r="B69" s="65"/>
      <c r="C69" s="6"/>
      <c r="D69" s="6"/>
      <c r="E69" s="18"/>
      <c r="F69" s="66"/>
      <c r="G69" s="20"/>
      <c r="H69" s="20"/>
      <c r="I69" s="20"/>
      <c r="J69" s="21"/>
      <c r="K69" s="21"/>
      <c r="L69" s="21"/>
      <c r="M69" s="67"/>
      <c r="N69" s="25"/>
      <c r="O69" s="24"/>
      <c r="P69" s="25"/>
      <c r="Q69" s="24"/>
      <c r="R69" s="26"/>
      <c r="S69" s="24"/>
      <c r="T69" s="22"/>
      <c r="U69" s="22"/>
      <c r="V69" s="22"/>
      <c r="W69" s="22"/>
      <c r="X69" s="22"/>
      <c r="Y69" s="22"/>
      <c r="AA69" s="22"/>
    </row>
    <row r="70" spans="1:27" x14ac:dyDescent="0.35">
      <c r="A70" s="17">
        <f t="shared" si="17"/>
        <v>58</v>
      </c>
      <c r="B70" s="65"/>
      <c r="C70" s="6"/>
      <c r="D70" s="6"/>
      <c r="E70" s="18"/>
      <c r="F70" s="66"/>
      <c r="G70" s="20"/>
      <c r="H70" s="20"/>
      <c r="I70" s="20"/>
      <c r="J70" s="21"/>
      <c r="K70" s="21"/>
      <c r="L70" s="21"/>
      <c r="M70" s="67"/>
      <c r="N70" s="25"/>
      <c r="O70" s="24"/>
      <c r="P70" s="25"/>
      <c r="Q70" s="24"/>
      <c r="R70" s="26"/>
      <c r="S70" s="24"/>
      <c r="T70" s="22"/>
      <c r="U70" s="22"/>
      <c r="V70" s="22"/>
      <c r="W70" s="22"/>
      <c r="X70" s="22"/>
      <c r="Y70" s="22"/>
      <c r="AA70" s="22"/>
    </row>
    <row r="71" spans="1:27" x14ac:dyDescent="0.35">
      <c r="B71" s="68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8" priority="9" stopIfTrue="1" operator="lessThan">
      <formula>1</formula>
    </cfRule>
  </conditionalFormatting>
  <conditionalFormatting sqref="A6:D67">
    <cfRule type="cellIs" dxfId="7" priority="6" stopIfTrue="1" operator="lessThan">
      <formula>1</formula>
    </cfRule>
  </conditionalFormatting>
  <conditionalFormatting sqref="A68:D70">
    <cfRule type="cellIs" dxfId="6" priority="3" stopIfTrue="1" operator="lessThan">
      <formula>1</formula>
    </cfRule>
  </conditionalFormatting>
  <conditionalFormatting sqref="A159:D163">
    <cfRule type="cellIs" dxfId="5" priority="8" stopIfTrue="1" operator="lessThan">
      <formula>1</formula>
    </cfRule>
  </conditionalFormatting>
  <conditionalFormatting sqref="A170:D172">
    <cfRule type="cellIs" dxfId="4" priority="7" stopIfTrue="1" operator="lessThan">
      <formula>1</formula>
    </cfRule>
  </conditionalFormatting>
  <conditionalFormatting sqref="C6:C12">
    <cfRule type="duplicateValues" dxfId="3" priority="1"/>
    <cfRule type="duplicateValues" dxfId="2" priority="2"/>
  </conditionalFormatting>
  <conditionalFormatting sqref="D1:D3 D71:D1048576 D6:D67">
    <cfRule type="duplicateValues" dxfId="1" priority="4"/>
  </conditionalFormatting>
  <conditionalFormatting sqref="D6:D66">
    <cfRule type="duplicateValues" dxfId="0" priority="5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2:XFD45"/>
  <sheetViews>
    <sheetView tabSelected="1" topLeftCell="A27" zoomScale="70" zoomScaleNormal="70" workbookViewId="0">
      <selection activeCell="T39" sqref="T3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hidden="1" customWidth="1"/>
    <col min="6" max="6" width="6.54296875" hidden="1" customWidth="1"/>
    <col min="7" max="7" width="4" hidden="1" customWidth="1"/>
    <col min="8" max="8" width="5" bestFit="1" customWidth="1"/>
    <col min="9" max="9" width="8.984375E-2" customWidth="1"/>
    <col min="10" max="10" width="7.453125" bestFit="1" customWidth="1"/>
    <col min="11" max="11" width="9.453125" hidden="1" customWidth="1"/>
    <col min="12" max="12" width="7.453125" hidden="1" customWidth="1"/>
    <col min="13" max="13" width="8" hidden="1" customWidth="1"/>
    <col min="14" max="14" width="10" style="69" hidden="1" customWidth="1"/>
    <col min="15" max="15" width="9.54296875" hidden="1" customWidth="1"/>
    <col min="16" max="16" width="9.7265625" hidden="1" customWidth="1"/>
    <col min="17" max="17" width="4.54296875" hidden="1" customWidth="1"/>
    <col min="18" max="18" width="7.26953125" hidden="1" customWidth="1"/>
    <col min="20" max="20" width="61.6328125" bestFit="1" customWidth="1"/>
    <col min="21" max="21" width="10.453125" bestFit="1" customWidth="1"/>
  </cols>
  <sheetData>
    <row r="2" spans="1:21 16383:16384" ht="21" x14ac:dyDescent="0.5">
      <c r="A2" s="254" t="s">
        <v>45</v>
      </c>
      <c r="B2" s="254"/>
      <c r="C2" s="254"/>
    </row>
    <row r="3" spans="1:21 16383:16384" ht="15" customHeight="1" x14ac:dyDescent="0.35">
      <c r="A3" s="239" t="s">
        <v>46</v>
      </c>
      <c r="B3" s="239"/>
      <c r="C3" s="239"/>
      <c r="F3" s="70"/>
      <c r="G3" s="71"/>
      <c r="K3" s="238" t="s">
        <v>47</v>
      </c>
      <c r="L3" s="238"/>
      <c r="M3" s="238"/>
      <c r="N3" s="239">
        <v>1</v>
      </c>
      <c r="O3" s="239"/>
      <c r="P3" s="239"/>
      <c r="R3" s="70"/>
      <c r="S3" s="71"/>
      <c r="XFC3" t="s">
        <v>48</v>
      </c>
      <c r="XFD3" s="72">
        <v>5.0000000000000001E-3</v>
      </c>
    </row>
    <row r="4" spans="1:21 16383:16384" ht="15" customHeight="1" x14ac:dyDescent="0.35">
      <c r="A4" s="239" t="s">
        <v>94</v>
      </c>
      <c r="B4" s="239"/>
      <c r="C4" s="239"/>
      <c r="F4" s="70"/>
      <c r="G4" s="71"/>
      <c r="K4" s="238" t="s">
        <v>49</v>
      </c>
      <c r="L4" s="238"/>
      <c r="M4" s="238"/>
      <c r="N4" s="252">
        <f ca="1">TODAY()</f>
        <v>46223</v>
      </c>
      <c r="O4" s="252"/>
      <c r="P4" s="252"/>
      <c r="R4" s="70"/>
      <c r="S4" s="71"/>
      <c r="XFC4" s="73" t="s">
        <v>50</v>
      </c>
      <c r="XFD4" s="72">
        <v>2.5000000000000001E-2</v>
      </c>
    </row>
    <row r="5" spans="1:21 16383:16384" ht="15" customHeight="1" x14ac:dyDescent="0.35">
      <c r="A5" s="253" t="s">
        <v>120</v>
      </c>
      <c r="B5" s="253"/>
      <c r="C5" s="253"/>
      <c r="F5" s="70"/>
      <c r="G5" s="71"/>
      <c r="K5" s="238" t="s">
        <v>51</v>
      </c>
      <c r="L5" s="238"/>
      <c r="M5" s="238"/>
      <c r="N5" s="252">
        <f ca="1">N4-1</f>
        <v>46222</v>
      </c>
      <c r="O5" s="239"/>
      <c r="P5" s="239"/>
      <c r="R5" s="70"/>
      <c r="S5" s="71"/>
    </row>
    <row r="6" spans="1:21 16383:16384" ht="15" customHeight="1" x14ac:dyDescent="0.35">
      <c r="A6" s="253"/>
      <c r="B6" s="253"/>
      <c r="C6" s="253"/>
      <c r="F6" s="70"/>
      <c r="G6" s="74"/>
      <c r="K6" s="238" t="s">
        <v>52</v>
      </c>
      <c r="L6" s="238"/>
      <c r="M6" s="238"/>
      <c r="N6" s="251" t="s">
        <v>42</v>
      </c>
      <c r="O6" s="251"/>
      <c r="P6" s="251"/>
      <c r="R6" s="70"/>
      <c r="S6" s="74"/>
      <c r="XFC6" t="s">
        <v>53</v>
      </c>
      <c r="XFD6" s="2">
        <v>0.18</v>
      </c>
    </row>
    <row r="7" spans="1:21 16383:16384" s="73" customFormat="1" hidden="1" x14ac:dyDescent="0.35">
      <c r="A7" s="238"/>
      <c r="B7" s="238"/>
      <c r="C7" s="238"/>
      <c r="F7" s="70"/>
      <c r="G7" s="74"/>
      <c r="K7" s="238"/>
      <c r="L7" s="238"/>
      <c r="M7" s="238"/>
      <c r="N7" s="251"/>
      <c r="O7" s="251"/>
      <c r="P7" s="251"/>
      <c r="R7" s="70"/>
      <c r="S7" s="74"/>
      <c r="XFC7" t="s">
        <v>54</v>
      </c>
      <c r="XFD7" s="2">
        <v>0.22</v>
      </c>
    </row>
    <row r="8" spans="1:21 16383:16384" ht="15" hidden="1" customHeight="1" x14ac:dyDescent="0.35">
      <c r="A8" s="250"/>
      <c r="B8" s="250"/>
      <c r="C8" s="250"/>
      <c r="F8" s="70"/>
      <c r="G8" s="74"/>
      <c r="K8" s="238"/>
      <c r="L8" s="238"/>
      <c r="M8" s="238"/>
      <c r="N8" s="251"/>
      <c r="O8" s="251"/>
      <c r="P8" s="251"/>
      <c r="R8" s="70"/>
      <c r="S8" s="74"/>
    </row>
    <row r="9" spans="1:21 16383:16384" hidden="1" x14ac:dyDescent="0.35">
      <c r="A9" s="250"/>
      <c r="B9" s="250"/>
      <c r="C9" s="250"/>
      <c r="F9" s="70"/>
      <c r="G9" s="74"/>
      <c r="K9" s="238"/>
      <c r="L9" s="238"/>
      <c r="M9" s="238"/>
      <c r="N9" s="251"/>
      <c r="O9" s="251"/>
      <c r="P9" s="251"/>
      <c r="R9" s="70"/>
      <c r="S9" s="74"/>
      <c r="XFD9" t="s">
        <v>55</v>
      </c>
    </row>
    <row r="10" spans="1:21 16383:16384" x14ac:dyDescent="0.35">
      <c r="A10" s="236"/>
      <c r="B10" s="75"/>
      <c r="C10" s="75"/>
      <c r="F10" s="70"/>
      <c r="G10" s="71"/>
      <c r="K10" s="238" t="s">
        <v>56</v>
      </c>
      <c r="L10" s="238"/>
      <c r="M10" s="238"/>
      <c r="N10" s="239" t="s">
        <v>57</v>
      </c>
      <c r="O10" s="239"/>
      <c r="P10" s="239"/>
      <c r="R10" s="70"/>
      <c r="S10" s="71"/>
      <c r="XFD10" t="s">
        <v>58</v>
      </c>
    </row>
    <row r="11" spans="1:21 16383:16384" ht="15" thickBot="1" x14ac:dyDescent="0.4">
      <c r="A11" s="236"/>
      <c r="B11" s="76"/>
      <c r="C11" s="77"/>
      <c r="F11" s="70"/>
      <c r="G11" s="71"/>
      <c r="K11" s="238" t="s">
        <v>59</v>
      </c>
      <c r="L11" s="238"/>
      <c r="M11" s="238"/>
      <c r="N11" s="239" t="s">
        <v>55</v>
      </c>
      <c r="O11" s="239"/>
      <c r="P11" s="239"/>
      <c r="R11" s="70"/>
      <c r="S11" s="71"/>
    </row>
    <row r="12" spans="1:21 16383:16384" ht="14.65" customHeight="1" x14ac:dyDescent="0.35">
      <c r="A12" s="236"/>
      <c r="B12" s="76"/>
      <c r="C12" s="77"/>
      <c r="F12" s="70"/>
      <c r="G12" s="71"/>
      <c r="K12" s="238" t="s">
        <v>61</v>
      </c>
      <c r="L12" s="238"/>
      <c r="M12" s="238"/>
      <c r="N12" s="239"/>
      <c r="O12" s="239"/>
      <c r="P12" s="239"/>
      <c r="R12" s="70"/>
      <c r="S12" s="71"/>
      <c r="T12" s="208" t="s">
        <v>121</v>
      </c>
      <c r="U12" s="209"/>
      <c r="XFD12" t="s">
        <v>62</v>
      </c>
    </row>
    <row r="13" spans="1:21 16383:16384" ht="15" thickBot="1" x14ac:dyDescent="0.4">
      <c r="A13" s="237"/>
      <c r="J13" s="78"/>
      <c r="K13" s="78"/>
      <c r="L13" s="79">
        <v>0.05</v>
      </c>
      <c r="T13" s="210"/>
      <c r="U13" s="211"/>
      <c r="XFD13" t="s">
        <v>63</v>
      </c>
    </row>
    <row r="14" spans="1:21 16383:16384" ht="29.25" customHeight="1" x14ac:dyDescent="0.6">
      <c r="A14" s="240" t="s">
        <v>64</v>
      </c>
      <c r="B14" s="241"/>
      <c r="C14" s="244" t="s">
        <v>65</v>
      </c>
      <c r="D14" s="80" t="s">
        <v>2</v>
      </c>
      <c r="E14" s="81" t="s">
        <v>66</v>
      </c>
      <c r="F14" s="82" t="s">
        <v>67</v>
      </c>
      <c r="G14" s="246" t="s">
        <v>68</v>
      </c>
      <c r="H14" s="247"/>
      <c r="I14" s="247" t="s">
        <v>69</v>
      </c>
      <c r="J14" s="247" t="s">
        <v>70</v>
      </c>
      <c r="K14" s="247"/>
      <c r="L14" s="249"/>
      <c r="M14" s="241" t="s">
        <v>71</v>
      </c>
      <c r="N14" s="83" t="s">
        <v>72</v>
      </c>
      <c r="O14" s="84" t="s">
        <v>73</v>
      </c>
      <c r="P14" s="85" t="s">
        <v>74</v>
      </c>
      <c r="T14" s="163" t="str">
        <f>+'1'!A5</f>
        <v xml:space="preserve">Customer Name : Al Faisal Mart </v>
      </c>
      <c r="U14" s="164">
        <f>+'1'!P35</f>
        <v>4657.31960832</v>
      </c>
      <c r="XFD14" t="s">
        <v>75</v>
      </c>
    </row>
    <row r="15" spans="1:21 16383:16384" ht="29.25" customHeight="1" thickBot="1" x14ac:dyDescent="0.65">
      <c r="A15" s="242"/>
      <c r="B15" s="243"/>
      <c r="C15" s="245"/>
      <c r="D15" s="86" t="s">
        <v>76</v>
      </c>
      <c r="E15" s="86" t="s">
        <v>3</v>
      </c>
      <c r="F15" s="87" t="s">
        <v>3</v>
      </c>
      <c r="G15" s="172" t="s">
        <v>2</v>
      </c>
      <c r="H15" s="170" t="s">
        <v>77</v>
      </c>
      <c r="I15" s="248"/>
      <c r="J15" s="170" t="s">
        <v>78</v>
      </c>
      <c r="K15" s="170" t="s">
        <v>79</v>
      </c>
      <c r="L15" s="173" t="s">
        <v>80</v>
      </c>
      <c r="M15" s="243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T15" s="163" t="str">
        <f>+'2'!A5</f>
        <v xml:space="preserve">Customer Name : MA Mart </v>
      </c>
      <c r="U15" s="164">
        <f>+'2'!P35</f>
        <v>819.91327680000006</v>
      </c>
      <c r="XFD15" t="s">
        <v>81</v>
      </c>
    </row>
    <row r="16" spans="1:21 16383:16384" ht="29.25" customHeight="1" x14ac:dyDescent="0.6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169">
        <f>VLOOKUP(A16,'[1]Cust. Price List'!D6:M14,10,0)</f>
        <v>52.462499999999999</v>
      </c>
      <c r="G16" s="114"/>
      <c r="H16" s="171">
        <f>+'1'!H16+'2'!H16+'4'!H16+'3'!H16+'5'!H16+'6'!H16+'7'!H16+'8'!H16+'9'!H16+'10'!H16+'11'!H16+'12'!H16+'13'!H16+'14'!H16+'15'!H16+'16'!H16+'17'!H16+'18'!H16+'19'!H16+'20'!H16</f>
        <v>86</v>
      </c>
      <c r="I16" s="1">
        <f>(G16*D16)*F16+H16*F16</f>
        <v>4511.7749999999996</v>
      </c>
      <c r="J16" s="171">
        <f>+'1'!J16+'2'!J16+'4'!J16+'3'!J16+'5'!J16+'6'!J16+'7'!J16+'8'!J16+'9'!J16+'10'!J16+'11'!J16+'12'!J16+'13'!J16+'14'!J16+'15'!J16+'16'!J16+'17'!J16+'18'!J16+'19'!J16+'20'!J16</f>
        <v>0</v>
      </c>
      <c r="K16" s="171">
        <f>+'1'!K16+'2'!K16+'4'!K16+'3'!K16+'5'!K16+'6'!K16+'7'!K16+'8'!K16+'9'!K16+'10'!K16</f>
        <v>157.912125</v>
      </c>
      <c r="L16" s="174">
        <f>+'1'!L16+'2'!L16+'4'!L16+'3'!L16+'5'!L16+'6'!L16+'7'!L16+'8'!L16+'9'!L16+'10'!L16</f>
        <v>360.94200000000001</v>
      </c>
      <c r="M16" s="106">
        <f>I16-K16-L16</f>
        <v>3992.9208749999998</v>
      </c>
      <c r="N16" s="101">
        <f>+'1'!N16+'2'!N16+'4'!N16+'3'!N16+'5'!N16+'6'!N16+'7'!N16+'8'!N16+'9'!N16+'10'!N16</f>
        <v>718.72575749999999</v>
      </c>
      <c r="O16" s="101">
        <f>+'1'!O16+'2'!O16+'4'!O16+'3'!O16+'5'!O16+'6'!O16+'7'!O16+'8'!O16+'9'!O16+'10'!O16</f>
        <v>117.7911658125</v>
      </c>
      <c r="P16" s="105">
        <f t="shared" ref="P16:P24" si="0">M16+N16+O16</f>
        <v>4829.4377983125005</v>
      </c>
      <c r="Q16" s="108"/>
      <c r="T16" s="163" t="str">
        <f>+'3'!A5</f>
        <v xml:space="preserve">Customer Name : Sheen Mart </v>
      </c>
      <c r="U16" s="164">
        <f>+'3'!P35</f>
        <v>6098.9793407999996</v>
      </c>
      <c r="XFD16" t="s">
        <v>82</v>
      </c>
    </row>
    <row r="17" spans="1:21 16384:16384" ht="29.25" customHeight="1" x14ac:dyDescent="0.6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71">
        <f>+'1'!H17+'2'!H17+'4'!H17+'3'!H17+'5'!H17+'6'!H17+'7'!H17+'8'!H17+'9'!H17+'10'!H17+'11'!H17+'12'!H17+'13'!H17+'14'!H17+'15'!H17+'16'!H17+'17'!H17+'18'!H17+'19'!H17+'20'!H17</f>
        <v>86</v>
      </c>
      <c r="I17" s="1">
        <f t="shared" ref="I17:I23" si="1">(G17*D17)*F17+H17*F17</f>
        <v>4511.7749999999996</v>
      </c>
      <c r="J17" s="171">
        <f>+'1'!J17+'2'!J17+'4'!J17+'3'!J17+'5'!J17+'6'!J17+'7'!J17+'8'!J17+'9'!J17+'10'!J17+'11'!J17+'12'!J17+'13'!J17+'14'!J17+'15'!J17+'16'!J17+'17'!J17+'18'!J17+'19'!J17+'20'!J17</f>
        <v>0</v>
      </c>
      <c r="K17" s="171">
        <f>+'1'!K17+'2'!K17+'4'!K17+'3'!K17+'5'!K17+'6'!K17+'7'!K17+'8'!K17+'9'!K17+'10'!K17</f>
        <v>157.912125</v>
      </c>
      <c r="L17" s="174">
        <f>+'1'!L17+'2'!L17+'4'!L17+'3'!L17+'5'!L17+'6'!L17+'7'!L17+'8'!L17+'9'!L17+'10'!L17</f>
        <v>360.94200000000001</v>
      </c>
      <c r="M17" s="118">
        <f t="shared" ref="M17:M23" si="2">I17-K17-L17</f>
        <v>3992.9208749999998</v>
      </c>
      <c r="N17" s="101">
        <f>+'1'!N17+'2'!N17+'4'!N17+'3'!N17+'5'!N17+'6'!N17+'7'!N17+'8'!N17+'9'!N17+'10'!N17</f>
        <v>718.72575749999999</v>
      </c>
      <c r="O17" s="101">
        <f>+'1'!O17+'2'!O17+'4'!O17+'3'!O17+'5'!O17+'6'!O17+'7'!O17+'8'!O17+'9'!O17+'10'!O17</f>
        <v>117.7911658125</v>
      </c>
      <c r="P17" s="120">
        <f t="shared" si="0"/>
        <v>4829.4377983125005</v>
      </c>
      <c r="S17" s="64"/>
      <c r="T17" s="163" t="str">
        <f>+'4'!A5</f>
        <v xml:space="preserve">Customer Name : Gujjar Mart </v>
      </c>
      <c r="U17" s="164">
        <f>+'4'!P35</f>
        <v>673.87504162499977</v>
      </c>
      <c r="XFD17" t="s">
        <v>83</v>
      </c>
    </row>
    <row r="18" spans="1:21 16384:16384" ht="29.25" customHeight="1" x14ac:dyDescent="0.6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71">
        <f>+'1'!H18+'2'!H18+'4'!H18+'3'!H18+'5'!H18+'6'!H18+'7'!H18+'8'!H18+'9'!H18+'10'!H18+'11'!H18+'12'!H18+'13'!H18+'14'!H18+'15'!H18+'16'!H18+'17'!H18+'18'!H18+'19'!H18+'20'!H18</f>
        <v>0</v>
      </c>
      <c r="I18" s="1">
        <f t="shared" si="1"/>
        <v>0</v>
      </c>
      <c r="J18" s="171">
        <f>+'1'!J18+'2'!J18+'4'!J18+'3'!J18+'5'!J18+'6'!J18+'7'!J18+'8'!J18+'9'!J18+'10'!J18+'11'!J18+'12'!J18+'13'!J18+'14'!J18+'15'!J18+'16'!J18+'17'!J18+'18'!J18+'19'!J18+'20'!J18</f>
        <v>0</v>
      </c>
      <c r="K18" s="171">
        <f>+'1'!K18+'2'!K18+'4'!K18+'3'!K18+'5'!K18+'6'!K18+'7'!K18+'8'!K18+'9'!K18+'10'!K18</f>
        <v>0</v>
      </c>
      <c r="L18" s="174">
        <f>+'1'!L18+'2'!L18+'4'!L18+'3'!L18+'5'!L18+'6'!L18+'7'!L18+'8'!L18+'9'!L18+'10'!L18</f>
        <v>0</v>
      </c>
      <c r="M18" s="118">
        <f t="shared" si="2"/>
        <v>0</v>
      </c>
      <c r="N18" s="101">
        <f>+'1'!N18+'2'!N18+'4'!N18+'3'!N18+'5'!N18+'6'!N18+'7'!N18+'8'!N18+'9'!N18+'10'!N18</f>
        <v>0</v>
      </c>
      <c r="O18" s="101">
        <f>+'1'!O18+'2'!O18+'4'!O18+'3'!O18+'5'!O18+'6'!O18+'7'!O18+'8'!O18+'9'!O18+'10'!O18</f>
        <v>0</v>
      </c>
      <c r="P18" s="120">
        <f t="shared" si="0"/>
        <v>0</v>
      </c>
      <c r="T18" s="163" t="str">
        <f>+'5'!A5</f>
        <v xml:space="preserve">Customer Name : SM Rice Mart </v>
      </c>
      <c r="U18" s="164">
        <f>+'5'!P35</f>
        <v>1639.8265536000001</v>
      </c>
    </row>
    <row r="19" spans="1:21 16384:16384" ht="29.25" customHeight="1" x14ac:dyDescent="0.6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71">
        <f>+'1'!H19+'2'!H19+'4'!H19+'3'!H19+'5'!H19+'6'!H19+'7'!H19+'8'!H19+'9'!H19+'10'!H19+'11'!H19+'12'!H19+'13'!H19+'14'!H19+'15'!H19+'16'!H19+'17'!H19+'18'!H19+'19'!H19+'20'!H19</f>
        <v>160</v>
      </c>
      <c r="I19" s="1">
        <f t="shared" si="1"/>
        <v>11622.4</v>
      </c>
      <c r="J19" s="171">
        <f>+'1'!J19+'2'!J19+'4'!J19+'3'!J19+'5'!J19+'6'!J19+'7'!J19+'8'!J19+'9'!J19+'10'!J19+'11'!J19+'12'!J19+'13'!J19+'14'!J19+'15'!J19+'16'!J19+'17'!J19+'18'!J19+'19'!J19+'20'!J19</f>
        <v>0</v>
      </c>
      <c r="K19" s="171">
        <f>+'1'!K19+'2'!K19+'4'!K19+'3'!K19+'5'!K19+'6'!K19+'7'!K19+'8'!K19+'9'!K19+'10'!K19</f>
        <v>406.78400000000005</v>
      </c>
      <c r="L19" s="174">
        <f>+'1'!L19+'2'!L19+'4'!L19+'3'!L19+'5'!L19+'6'!L19+'7'!L19+'8'!L19+'9'!L19+'10'!L19</f>
        <v>929.79200000000003</v>
      </c>
      <c r="M19" s="118">
        <f t="shared" si="2"/>
        <v>10285.824000000001</v>
      </c>
      <c r="N19" s="101">
        <f>+'1'!N19+'2'!N19+'4'!N19+'3'!N19+'5'!N19+'6'!N19+'7'!N19+'8'!N19+'9'!N19+'10'!N19</f>
        <v>1851.44832</v>
      </c>
      <c r="O19" s="101">
        <f>+'1'!O19+'2'!O19+'4'!O19+'3'!O19+'5'!O19+'6'!O19+'7'!O19+'8'!O19+'9'!O19+'10'!O19</f>
        <v>121.3727232</v>
      </c>
      <c r="P19" s="120">
        <f t="shared" si="0"/>
        <v>12258.6450432</v>
      </c>
      <c r="T19" s="163" t="str">
        <f>+'6'!A5</f>
        <v xml:space="preserve">Customer Name : Khan Mart </v>
      </c>
      <c r="U19" s="164">
        <f>+'6'!P35</f>
        <v>1639.8265536000001</v>
      </c>
    </row>
    <row r="20" spans="1:21 16384:16384" ht="29.25" customHeight="1" x14ac:dyDescent="0.6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71">
        <f>+'1'!H20+'2'!H20+'4'!H20+'3'!H20+'5'!H20+'6'!H20+'7'!H20+'8'!H20+'9'!H20+'10'!H20+'11'!H20+'12'!H20+'13'!H20+'14'!H20+'15'!H20+'16'!H20+'17'!H20+'18'!H20+'19'!H20+'20'!H20</f>
        <v>80</v>
      </c>
      <c r="I20" s="1">
        <f t="shared" si="1"/>
        <v>5811.2</v>
      </c>
      <c r="J20" s="171">
        <f>+'1'!J20+'2'!J20+'4'!J20+'3'!J20+'5'!J20+'6'!J20+'7'!J20+'8'!J20+'9'!J20+'10'!J20+'11'!J20+'12'!J20+'13'!J20+'14'!J20+'15'!J20+'16'!J20+'17'!J20+'18'!J20+'19'!J20+'20'!J20</f>
        <v>0</v>
      </c>
      <c r="K20" s="171">
        <f>+'1'!K20+'2'!K20+'4'!K20+'3'!K20+'5'!K20+'6'!K20+'7'!K20+'8'!K20+'9'!K20+'10'!K20</f>
        <v>203.39200000000002</v>
      </c>
      <c r="L20" s="174">
        <f>+'1'!L20+'2'!L20+'4'!L20+'3'!L20+'5'!L20+'6'!L20+'7'!L20+'8'!L20+'9'!L20+'10'!L20</f>
        <v>464.89600000000002</v>
      </c>
      <c r="M20" s="118">
        <f t="shared" si="2"/>
        <v>5142.9120000000003</v>
      </c>
      <c r="N20" s="101">
        <f>+'1'!N20+'2'!N20+'4'!N20+'3'!N20+'5'!N20+'6'!N20+'7'!N20+'8'!N20+'9'!N20+'10'!N20</f>
        <v>925.72415999999998</v>
      </c>
      <c r="O20" s="101">
        <f>+'1'!O20+'2'!O20+'4'!O20+'3'!O20+'5'!O20+'6'!O20+'7'!O20+'8'!O20+'9'!O20+'10'!O20</f>
        <v>91.029542399999997</v>
      </c>
      <c r="P20" s="120">
        <f t="shared" si="0"/>
        <v>6159.6657023999996</v>
      </c>
      <c r="T20" s="163" t="str">
        <f>+'7'!A5</f>
        <v xml:space="preserve">Customer Name : D Mart </v>
      </c>
      <c r="U20" s="164">
        <f>+'7'!P35</f>
        <v>10970.3546496</v>
      </c>
    </row>
    <row r="21" spans="1:21 16384:16384" ht="29.25" customHeight="1" x14ac:dyDescent="0.6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71">
        <f>+'1'!H21+'2'!H21+'4'!H21+'3'!H21+'5'!H21+'6'!H21+'7'!H21+'8'!H21+'9'!H21+'10'!H21+'11'!H21+'12'!H21+'13'!H21+'14'!H21+'15'!H21+'16'!H21+'17'!H21+'18'!H21+'19'!H21+'20'!H21</f>
        <v>80</v>
      </c>
      <c r="I21" s="1">
        <f t="shared" si="1"/>
        <v>5811.2</v>
      </c>
      <c r="J21" s="171">
        <f>+'1'!J21+'2'!J21+'4'!J21+'3'!J21+'5'!J21+'6'!J21+'7'!J21+'8'!J21+'9'!J21+'10'!J21+'11'!J21+'12'!J21+'13'!J21+'14'!J21+'15'!J21+'16'!J21+'17'!J21+'18'!J21+'19'!J21+'20'!J21</f>
        <v>0</v>
      </c>
      <c r="K21" s="171">
        <f>+'1'!K21+'2'!K21+'4'!K21+'3'!K21+'5'!K21+'6'!K21+'7'!K21+'8'!K21+'9'!K21+'10'!K21</f>
        <v>203.39200000000002</v>
      </c>
      <c r="L21" s="174">
        <f>+'1'!L21+'2'!L21+'4'!L21+'3'!L21+'5'!L21+'6'!L21+'7'!L21+'8'!L21+'9'!L21+'10'!L21</f>
        <v>464.89600000000002</v>
      </c>
      <c r="M21" s="118">
        <f t="shared" si="2"/>
        <v>5142.9120000000003</v>
      </c>
      <c r="N21" s="101">
        <f>+'1'!N21+'2'!N21+'4'!N21+'3'!N21+'5'!N21+'6'!N21+'7'!N21+'8'!N21+'9'!N21+'10'!N21</f>
        <v>925.72415999999998</v>
      </c>
      <c r="O21" s="101">
        <f>+'1'!O21+'2'!O21+'4'!O21+'3'!O21+'5'!O21+'6'!O21+'7'!O21+'8'!O21+'9'!O21+'10'!O21</f>
        <v>91.029542399999997</v>
      </c>
      <c r="P21" s="120">
        <f t="shared" si="0"/>
        <v>6159.6657023999996</v>
      </c>
      <c r="T21" s="163" t="str">
        <f>+'8'!A5</f>
        <v>Customer Name : Safe Cash &amp; Carry</v>
      </c>
      <c r="U21" s="164">
        <f>+'8'!P35</f>
        <v>7706.8092787199994</v>
      </c>
    </row>
    <row r="22" spans="1:21 16384:16384" ht="29.25" customHeight="1" x14ac:dyDescent="0.6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71">
        <f>+'1'!H22+'2'!H22+'4'!H22+'3'!H22+'5'!H22+'6'!H22+'7'!H22+'8'!H22+'9'!H22+'10'!H22+'11'!H22+'12'!H22+'13'!H22+'14'!H22+'15'!H22+'16'!H22+'17'!H22+'18'!H22+'19'!H22+'20'!H22</f>
        <v>420</v>
      </c>
      <c r="I22" s="1">
        <f t="shared" si="1"/>
        <v>16476.600000000002</v>
      </c>
      <c r="J22" s="171">
        <f>+'1'!J22+'2'!J22+'4'!J22+'3'!J22+'5'!J22+'6'!J22+'7'!J22+'8'!J22+'9'!J22+'10'!J22+'11'!J22+'12'!J22+'13'!J22+'14'!J22+'15'!J22+'16'!J22+'17'!J22+'18'!J22+'19'!J22+'20'!J22</f>
        <v>0</v>
      </c>
      <c r="K22" s="171">
        <f>+'1'!K22+'2'!K22+'4'!K22+'3'!K22+'5'!K22+'6'!K22+'7'!K22+'8'!K22+'9'!K22+'10'!K22</f>
        <v>1416.9875999999999</v>
      </c>
      <c r="L22" s="174">
        <f>+'1'!L22+'2'!L22+'4'!L22+'3'!L22+'5'!L22+'6'!L22+'7'!L22+'8'!L22+'9'!L22+'10'!L22</f>
        <v>823.83000000000015</v>
      </c>
      <c r="M22" s="118">
        <f t="shared" si="2"/>
        <v>14235.782400000002</v>
      </c>
      <c r="N22" s="101">
        <f>+'1'!N22+'2'!N22+'4'!N22+'3'!N22+'5'!N22+'6'!N22+'7'!N22+'8'!N22+'9'!N22+'10'!N22</f>
        <v>2562.4408320000002</v>
      </c>
      <c r="O22" s="101">
        <f>+'1'!O22+'2'!O22+'4'!O22+'3'!O22+'5'!O22+'6'!O22+'7'!O22+'8'!O22+'9'!O22+'10'!O22</f>
        <v>355.96234944000008</v>
      </c>
      <c r="P22" s="120">
        <f t="shared" si="0"/>
        <v>17154.185581440004</v>
      </c>
      <c r="T22" s="163" t="str">
        <f>+'9'!A5</f>
        <v xml:space="preserve">Customer Name : B.B Cash &amp; Carry </v>
      </c>
      <c r="U22" s="164">
        <f>+'9'!P35</f>
        <v>17184.133322999998</v>
      </c>
    </row>
    <row r="23" spans="1:21 16384:16384" ht="29.25" customHeight="1" x14ac:dyDescent="0.6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71">
        <f>+'1'!H23+'2'!H23+'4'!H23+'3'!H23+'5'!H23+'6'!H23+'7'!H23+'8'!H23+'9'!H23+'10'!H23+'11'!H23+'12'!H23+'13'!H23+'14'!H23+'15'!H23+'16'!H23+'17'!H23+'18'!H23+'19'!H23+'20'!H23</f>
        <v>0</v>
      </c>
      <c r="I23" s="1">
        <f t="shared" si="1"/>
        <v>0</v>
      </c>
      <c r="J23" s="171">
        <f>+'1'!J23+'2'!J23+'4'!J23+'3'!J23+'5'!J23+'6'!J23+'7'!J23+'8'!J23+'9'!J23+'10'!J23+'11'!J23+'12'!J23+'13'!J23+'14'!J23+'15'!J23+'16'!J23+'17'!J23+'18'!J23+'19'!J23+'20'!J23</f>
        <v>0</v>
      </c>
      <c r="K23" s="171">
        <f>+'1'!K23+'2'!K23+'4'!K23+'3'!K23+'5'!K23+'6'!K23+'7'!K23+'8'!K23+'9'!K23+'10'!K23</f>
        <v>0</v>
      </c>
      <c r="L23" s="174">
        <f>+'1'!L23+'2'!L23+'4'!L23+'3'!L23+'5'!L23+'6'!L23+'7'!L23+'8'!L23+'9'!L23+'10'!L23</f>
        <v>0</v>
      </c>
      <c r="M23" s="118">
        <f t="shared" si="2"/>
        <v>0</v>
      </c>
      <c r="N23" s="101">
        <f>+'1'!N23+'2'!N23+'4'!N23+'3'!N23+'5'!N23+'6'!N23+'7'!N23+'8'!N23+'9'!N23+'10'!N23</f>
        <v>0</v>
      </c>
      <c r="O23" s="101">
        <f>+'1'!O23+'2'!O23+'4'!O23+'3'!O23+'5'!O23+'6'!O23+'7'!O23+'8'!O23+'9'!O23+'10'!O23</f>
        <v>0</v>
      </c>
      <c r="P23" s="120">
        <f t="shared" si="0"/>
        <v>0</v>
      </c>
      <c r="T23" s="163" t="str">
        <f>+'10'!A5</f>
        <v>Customer Name : Sheen Groccery Store</v>
      </c>
      <c r="U23" s="164">
        <f>+'10'!P35</f>
        <v>0</v>
      </c>
    </row>
    <row r="24" spans="1:21 16384:16384" ht="29.25" customHeight="1" thickBot="1" x14ac:dyDescent="0.65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14"/>
      <c r="H24" s="171">
        <f>+'1'!H24+'2'!H24+'4'!H24+'3'!H24+'5'!H24+'6'!H24+'7'!H24+'8'!H24+'9'!H24+'10'!H24+'11'!H24+'12'!H24+'13'!H24+'14'!H24+'15'!H24+'16'!H24+'17'!H24+'18'!H24+'19'!H24+'20'!H24</f>
        <v>0</v>
      </c>
      <c r="I24" s="1">
        <f>(G24*D24)*F24+H24*F24</f>
        <v>0</v>
      </c>
      <c r="J24" s="171">
        <f>+'1'!J24+'2'!J24+'4'!J24+'3'!J24+'5'!J24+'6'!J24+'7'!J24+'8'!J24+'9'!J24+'10'!J24+'11'!J24+'12'!J24+'13'!J24+'14'!J24+'15'!J24+'16'!J24+'17'!J24+'18'!J24+'19'!J24+'20'!J24</f>
        <v>0</v>
      </c>
      <c r="K24" s="171">
        <f>+'1'!K24+'2'!K24+'4'!K24+'3'!K24+'5'!K24+'6'!K24+'7'!K24+'8'!K24+'9'!K24+'10'!K24</f>
        <v>0</v>
      </c>
      <c r="L24" s="174">
        <f>+'1'!L24+'2'!L24+'4'!L24+'3'!L24+'5'!L24+'6'!L24+'7'!L24+'8'!L24+'9'!L24+'10'!L24</f>
        <v>0</v>
      </c>
      <c r="M24" s="133">
        <f>I24-K24-L24</f>
        <v>0</v>
      </c>
      <c r="N24" s="101">
        <f>+'1'!N24+'2'!N24+'4'!N24+'3'!N24+'5'!N24+'6'!N24+'7'!N24+'8'!N24+'9'!N24+'10'!N24</f>
        <v>0</v>
      </c>
      <c r="O24" s="101">
        <f>+'1'!O24+'2'!O24+'4'!O24+'3'!O24+'5'!O24+'6'!O24+'7'!O24+'8'!O24+'9'!O24+'10'!O24</f>
        <v>0</v>
      </c>
      <c r="P24" s="132">
        <f t="shared" si="0"/>
        <v>0</v>
      </c>
      <c r="T24" s="163" t="str">
        <f>+'11'!A5</f>
        <v xml:space="preserve">Customer Name : </v>
      </c>
      <c r="U24" s="164">
        <f>+'11'!P35</f>
        <v>0</v>
      </c>
    </row>
    <row r="25" spans="1:21 16384:16384" ht="26.5" thickBot="1" x14ac:dyDescent="0.65">
      <c r="A25" s="218" t="s">
        <v>84</v>
      </c>
      <c r="B25" s="219"/>
      <c r="C25" s="220">
        <f>H25/40</f>
        <v>22.8</v>
      </c>
      <c r="D25" s="214"/>
      <c r="E25" s="214"/>
      <c r="F25" s="214"/>
      <c r="G25" s="175">
        <f t="shared" ref="G25:M25" si="3">SUM(G16:G24)</f>
        <v>0</v>
      </c>
      <c r="H25" s="176">
        <f t="shared" si="3"/>
        <v>912</v>
      </c>
      <c r="I25" s="177">
        <f t="shared" si="3"/>
        <v>48744.95</v>
      </c>
      <c r="J25" s="176">
        <f t="shared" si="3"/>
        <v>0</v>
      </c>
      <c r="K25" s="177">
        <f t="shared" si="3"/>
        <v>2546.3798500000003</v>
      </c>
      <c r="L25" s="178">
        <f t="shared" si="3"/>
        <v>3405.2980000000007</v>
      </c>
      <c r="M25" s="141">
        <f t="shared" si="3"/>
        <v>42793.272150000004</v>
      </c>
      <c r="N25" s="142">
        <f>SUM(N16:N24)</f>
        <v>7702.7889869999999</v>
      </c>
      <c r="O25" s="143">
        <f>SUM(O16:O24)</f>
        <v>894.97648906500012</v>
      </c>
      <c r="P25" s="144">
        <f>SUM(P16:P24)</f>
        <v>51391.037626065008</v>
      </c>
      <c r="T25" s="163" t="str">
        <f>+'12'!A5</f>
        <v xml:space="preserve">Customer Name : </v>
      </c>
      <c r="U25" s="164">
        <f>+'12'!P35</f>
        <v>0</v>
      </c>
    </row>
    <row r="26" spans="1:21 16384:16384" ht="26" x14ac:dyDescent="0.6">
      <c r="A26" s="145"/>
      <c r="B26" s="145"/>
      <c r="C26" s="145"/>
      <c r="D26" s="145"/>
      <c r="E26" s="145"/>
      <c r="F26" s="145"/>
      <c r="G26" s="146"/>
      <c r="H26" s="146"/>
      <c r="I26" s="147"/>
      <c r="J26" s="146"/>
      <c r="K26" s="147"/>
      <c r="L26" s="148"/>
      <c r="M26" s="146"/>
      <c r="N26" s="146"/>
      <c r="O26" s="148"/>
      <c r="P26" s="147"/>
      <c r="T26" s="163" t="str">
        <f>+'13'!A5</f>
        <v xml:space="preserve">Customer Name : </v>
      </c>
      <c r="U26" s="164">
        <f>+'13'!P35</f>
        <v>0</v>
      </c>
    </row>
    <row r="27" spans="1:21 16384:16384" ht="26" x14ac:dyDescent="0.6">
      <c r="A27" s="145"/>
      <c r="B27" s="145"/>
      <c r="C27" s="145"/>
      <c r="D27" s="145"/>
      <c r="E27" s="145"/>
      <c r="F27" s="145"/>
      <c r="G27" s="146"/>
      <c r="H27" s="146"/>
      <c r="I27" s="147"/>
      <c r="J27" s="146"/>
      <c r="K27" s="147"/>
      <c r="L27" s="148"/>
      <c r="M27" s="146"/>
      <c r="N27" s="146"/>
      <c r="O27" s="148"/>
      <c r="P27" s="147"/>
      <c r="T27" s="163" t="str">
        <f>+'14'!A5</f>
        <v xml:space="preserve">Customer Name : </v>
      </c>
      <c r="U27" s="164">
        <f>+'14'!P35</f>
        <v>0</v>
      </c>
    </row>
    <row r="28" spans="1:21 16384:16384" ht="26" x14ac:dyDescent="0.6">
      <c r="A28" s="145"/>
      <c r="B28" s="145"/>
      <c r="C28" s="145"/>
      <c r="D28" s="145"/>
      <c r="E28" s="145"/>
      <c r="F28" s="145"/>
      <c r="G28" s="146"/>
      <c r="H28" s="146"/>
      <c r="I28" s="147"/>
      <c r="J28" s="146"/>
      <c r="K28" s="147"/>
      <c r="L28" s="148"/>
      <c r="M28" s="146"/>
      <c r="N28" s="146"/>
      <c r="O28" s="148"/>
      <c r="P28" s="147"/>
      <c r="T28" s="163" t="str">
        <f>+'15'!A5</f>
        <v xml:space="preserve">Customer Name : </v>
      </c>
      <c r="U28" s="180">
        <f>+'15'!P35</f>
        <v>0</v>
      </c>
    </row>
    <row r="29" spans="1:21 16384:16384" ht="26" x14ac:dyDescent="0.6">
      <c r="A29" s="145"/>
      <c r="B29" s="145"/>
      <c r="C29" s="145"/>
      <c r="D29" s="145"/>
      <c r="E29" s="145"/>
      <c r="F29" s="145"/>
      <c r="G29" s="146"/>
      <c r="H29" s="146"/>
      <c r="I29" s="147"/>
      <c r="J29" s="146"/>
      <c r="K29" s="147"/>
      <c r="L29" s="148"/>
      <c r="M29" s="146"/>
      <c r="N29" s="146"/>
      <c r="O29" s="148"/>
      <c r="P29" s="147"/>
      <c r="T29" s="179" t="str">
        <f>+'16'!A5</f>
        <v xml:space="preserve">Customer Name : </v>
      </c>
      <c r="U29" s="180">
        <f>+'16'!P35</f>
        <v>0</v>
      </c>
    </row>
    <row r="30" spans="1:21 16384:16384" ht="26" x14ac:dyDescent="0.6">
      <c r="A30" s="145"/>
      <c r="B30" s="145"/>
      <c r="C30" s="145"/>
      <c r="D30" s="145"/>
      <c r="E30" s="145"/>
      <c r="F30" s="145"/>
      <c r="G30" s="146"/>
      <c r="H30" s="146"/>
      <c r="I30" s="147"/>
      <c r="J30" s="146"/>
      <c r="K30" s="147"/>
      <c r="L30" s="148"/>
      <c r="M30" s="146"/>
      <c r="N30" s="146"/>
      <c r="O30" s="148"/>
      <c r="P30" s="147"/>
      <c r="T30" s="179" t="str">
        <f>+'17'!A5</f>
        <v xml:space="preserve">Customer Name : </v>
      </c>
      <c r="U30" s="180">
        <f>+'17'!P35</f>
        <v>0</v>
      </c>
    </row>
    <row r="31" spans="1:21 16384:16384" ht="26" x14ac:dyDescent="0.6">
      <c r="A31" s="145"/>
      <c r="B31" s="145"/>
      <c r="C31" s="145"/>
      <c r="D31" s="145"/>
      <c r="E31" s="145"/>
      <c r="F31" s="145"/>
      <c r="G31" s="146"/>
      <c r="H31" s="146"/>
      <c r="I31" s="147"/>
      <c r="J31" s="146"/>
      <c r="K31" s="147"/>
      <c r="L31" s="148"/>
      <c r="M31" s="146"/>
      <c r="N31" s="146"/>
      <c r="O31" s="148"/>
      <c r="P31" s="147"/>
      <c r="T31" s="179" t="str">
        <f>+'18'!A5</f>
        <v xml:space="preserve">Customer Name : </v>
      </c>
      <c r="U31" s="180">
        <f>+'18'!P35</f>
        <v>0</v>
      </c>
    </row>
    <row r="32" spans="1:21 16384:16384" ht="26" x14ac:dyDescent="0.6">
      <c r="A32" s="145"/>
      <c r="B32" s="145"/>
      <c r="C32" s="145"/>
      <c r="D32" s="145"/>
      <c r="E32" s="145"/>
      <c r="F32" s="145"/>
      <c r="G32" s="146"/>
      <c r="H32" s="146"/>
      <c r="I32" s="147"/>
      <c r="J32" s="146"/>
      <c r="K32" s="147"/>
      <c r="L32" s="148"/>
      <c r="M32" s="146"/>
      <c r="N32" s="146"/>
      <c r="O32" s="148"/>
      <c r="P32" s="147"/>
      <c r="T32" s="179" t="str">
        <f>+'19'!A5</f>
        <v xml:space="preserve">Customer Name : </v>
      </c>
      <c r="U32" s="180">
        <f>+'19'!P35</f>
        <v>0</v>
      </c>
    </row>
    <row r="33" spans="1:21" ht="26" x14ac:dyDescent="0.6">
      <c r="A33" s="145"/>
      <c r="B33" s="145"/>
      <c r="C33" s="145"/>
      <c r="D33" s="145"/>
      <c r="E33" s="145"/>
      <c r="F33" s="145"/>
      <c r="G33" s="146"/>
      <c r="H33" s="146"/>
      <c r="I33" s="147"/>
      <c r="J33" s="146"/>
      <c r="K33" s="147"/>
      <c r="L33" s="148"/>
      <c r="M33" s="146"/>
      <c r="N33" s="146"/>
      <c r="O33" s="148"/>
      <c r="P33" s="147"/>
      <c r="T33" s="179" t="str">
        <f>+'20'!A5</f>
        <v xml:space="preserve">Customer Name : </v>
      </c>
      <c r="U33" s="180">
        <f>+'20'!P35</f>
        <v>0</v>
      </c>
    </row>
    <row r="34" spans="1:21" ht="26.5" thickBot="1" x14ac:dyDescent="0.65">
      <c r="A34" s="145"/>
      <c r="B34" s="145"/>
      <c r="C34" s="145"/>
      <c r="D34" s="145"/>
      <c r="E34" s="145"/>
      <c r="F34" s="145"/>
      <c r="G34" s="146"/>
      <c r="H34" s="146"/>
      <c r="I34" s="147"/>
      <c r="K34" s="148"/>
      <c r="L34" s="148"/>
      <c r="M34" s="148"/>
      <c r="N34" s="148"/>
      <c r="O34" s="149"/>
      <c r="P34" s="148"/>
      <c r="T34" s="166" t="s">
        <v>84</v>
      </c>
      <c r="U34" s="165">
        <f>SUM(U14:U33)</f>
        <v>51391.037626064994</v>
      </c>
    </row>
    <row r="35" spans="1:21" ht="15" thickBot="1" x14ac:dyDescent="0.4">
      <c r="A35" s="69"/>
      <c r="B35" s="69"/>
      <c r="C35" s="150"/>
      <c r="D35" s="150"/>
      <c r="E35" s="150"/>
      <c r="F35" s="150"/>
      <c r="G35" s="151"/>
      <c r="H35" s="151"/>
    </row>
    <row r="36" spans="1:21" x14ac:dyDescent="0.35">
      <c r="B36" s="221" t="s">
        <v>85</v>
      </c>
      <c r="C36" s="222"/>
      <c r="D36" s="222"/>
      <c r="E36" s="222"/>
      <c r="F36" s="222"/>
      <c r="G36" s="222"/>
      <c r="H36" s="222"/>
      <c r="I36" s="222"/>
      <c r="J36" s="222"/>
      <c r="K36" s="222"/>
      <c r="L36" s="223"/>
      <c r="N36" s="230" t="s">
        <v>86</v>
      </c>
      <c r="O36" s="231"/>
      <c r="P36" s="152">
        <f>I25</f>
        <v>48744.95</v>
      </c>
    </row>
    <row r="37" spans="1:21" ht="15" customHeight="1" x14ac:dyDescent="0.35">
      <c r="B37" s="224"/>
      <c r="C37" s="225"/>
      <c r="D37" s="225"/>
      <c r="E37" s="225"/>
      <c r="F37" s="225"/>
      <c r="G37" s="225"/>
      <c r="H37" s="225"/>
      <c r="I37" s="225"/>
      <c r="J37" s="225"/>
      <c r="K37" s="225"/>
      <c r="L37" s="226"/>
      <c r="N37" s="232" t="s">
        <v>87</v>
      </c>
      <c r="O37" s="233"/>
      <c r="P37" s="153">
        <f>L25</f>
        <v>3405.2980000000007</v>
      </c>
    </row>
    <row r="38" spans="1:21" ht="15" customHeight="1" x14ac:dyDescent="0.35">
      <c r="B38" s="224"/>
      <c r="C38" s="225"/>
      <c r="D38" s="225"/>
      <c r="E38" s="225"/>
      <c r="F38" s="225"/>
      <c r="G38" s="225"/>
      <c r="H38" s="225"/>
      <c r="I38" s="225"/>
      <c r="J38" s="225"/>
      <c r="K38" s="225"/>
      <c r="L38" s="226"/>
      <c r="N38" s="232" t="s">
        <v>4</v>
      </c>
      <c r="O38" s="233"/>
      <c r="P38" s="154">
        <f>K25</f>
        <v>2546.3798500000003</v>
      </c>
    </row>
    <row r="39" spans="1:21" ht="15" customHeight="1" x14ac:dyDescent="0.35">
      <c r="B39" s="224"/>
      <c r="C39" s="225"/>
      <c r="D39" s="225"/>
      <c r="E39" s="225"/>
      <c r="F39" s="225"/>
      <c r="G39" s="225"/>
      <c r="H39" s="225"/>
      <c r="I39" s="225"/>
      <c r="J39" s="225"/>
      <c r="K39" s="225"/>
      <c r="L39" s="226"/>
      <c r="M39" s="2"/>
      <c r="N39" s="232" t="s">
        <v>88</v>
      </c>
      <c r="O39" s="233"/>
      <c r="P39" s="153">
        <f>P36-P37-P38</f>
        <v>42793.272149999997</v>
      </c>
    </row>
    <row r="40" spans="1:21" ht="15" customHeight="1" x14ac:dyDescent="0.35">
      <c r="B40" s="224"/>
      <c r="C40" s="225"/>
      <c r="D40" s="225"/>
      <c r="E40" s="225"/>
      <c r="F40" s="225"/>
      <c r="G40" s="225"/>
      <c r="H40" s="225"/>
      <c r="I40" s="225"/>
      <c r="J40" s="225"/>
      <c r="K40" s="225"/>
      <c r="L40" s="226"/>
      <c r="M40" s="2"/>
      <c r="N40" s="155" t="s">
        <v>89</v>
      </c>
      <c r="O40" s="156">
        <f>IF(B12="Registered",18%,22%)</f>
        <v>0.22</v>
      </c>
      <c r="P40" s="153">
        <f>N25</f>
        <v>7702.7889869999999</v>
      </c>
    </row>
    <row r="41" spans="1:21" ht="15" customHeight="1" x14ac:dyDescent="0.35">
      <c r="B41" s="224"/>
      <c r="C41" s="225"/>
      <c r="D41" s="225"/>
      <c r="E41" s="225"/>
      <c r="F41" s="225"/>
      <c r="G41" s="225"/>
      <c r="H41" s="225"/>
      <c r="I41" s="225"/>
      <c r="J41" s="225"/>
      <c r="K41" s="225"/>
      <c r="L41" s="226"/>
      <c r="M41" s="2"/>
      <c r="N41" s="234" t="s">
        <v>90</v>
      </c>
      <c r="O41" s="235"/>
      <c r="P41" s="153">
        <f>P39+P40</f>
        <v>50496.061136999997</v>
      </c>
    </row>
    <row r="42" spans="1:21" ht="15" customHeight="1" thickBot="1" x14ac:dyDescent="0.4">
      <c r="B42" s="227"/>
      <c r="C42" s="228"/>
      <c r="D42" s="228"/>
      <c r="E42" s="228"/>
      <c r="F42" s="228"/>
      <c r="G42" s="228"/>
      <c r="H42" s="228"/>
      <c r="I42" s="228"/>
      <c r="J42" s="228"/>
      <c r="K42" s="228"/>
      <c r="L42" s="229"/>
      <c r="M42" s="157"/>
      <c r="N42" s="158" t="s">
        <v>91</v>
      </c>
      <c r="O42" s="159">
        <f>IF(B11="Filer",0.5%,2.5%)</f>
        <v>2.5000000000000001E-2</v>
      </c>
      <c r="P42" s="153">
        <f>O42*P41</f>
        <v>1262.4015284249999</v>
      </c>
    </row>
    <row r="43" spans="1:21" ht="15.75" customHeight="1" thickBot="1" x14ac:dyDescent="0.4">
      <c r="N43" s="212" t="s">
        <v>92</v>
      </c>
      <c r="O43" s="213"/>
      <c r="P43" s="160">
        <f>P41+P42</f>
        <v>51758.462665424995</v>
      </c>
    </row>
    <row r="44" spans="1:21" ht="15" thickBot="1" x14ac:dyDescent="0.4">
      <c r="B44" s="161" t="s">
        <v>93</v>
      </c>
      <c r="C44" s="214"/>
      <c r="D44" s="214"/>
      <c r="E44" s="214"/>
      <c r="F44" s="214"/>
      <c r="G44" s="214"/>
      <c r="H44" s="214"/>
      <c r="I44" s="215"/>
      <c r="J44" s="216"/>
      <c r="K44" s="217"/>
    </row>
    <row r="45" spans="1:21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K5:M5"/>
    <mergeCell ref="N5:P5"/>
    <mergeCell ref="K6:M6"/>
    <mergeCell ref="N6:P6"/>
    <mergeCell ref="A5:C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C14:C15"/>
    <mergeCell ref="G14:H14"/>
    <mergeCell ref="I14:I15"/>
    <mergeCell ref="J14:L14"/>
    <mergeCell ref="M14:M15"/>
    <mergeCell ref="T12:U13"/>
    <mergeCell ref="N43:O43"/>
    <mergeCell ref="C44:I44"/>
    <mergeCell ref="J44:K44"/>
    <mergeCell ref="A25:B25"/>
    <mergeCell ref="C25:F25"/>
    <mergeCell ref="B36:L42"/>
    <mergeCell ref="N36:O36"/>
    <mergeCell ref="N37:O37"/>
    <mergeCell ref="N38:O38"/>
    <mergeCell ref="N39:O39"/>
    <mergeCell ref="N41:O41"/>
    <mergeCell ref="A12:A13"/>
    <mergeCell ref="K12:M12"/>
    <mergeCell ref="N12:P12"/>
    <mergeCell ref="A14:B15"/>
  </mergeCells>
  <dataValidations count="3">
    <dataValidation type="list" allowBlank="1" showInputMessage="1" showErrorMessage="1" sqref="N9:P9" xr:uid="{00000000-0002-0000-0200-000000000000}">
      <formula1>$XFD$12:$XFD$17</formula1>
    </dataValidation>
    <dataValidation type="list" allowBlank="1" showInputMessage="1" showErrorMessage="1" sqref="B12" xr:uid="{00000000-0002-0000-0200-000001000000}">
      <formula1>$XFC$6:$XFC$7</formula1>
    </dataValidation>
    <dataValidation type="list" allowBlank="1" showInputMessage="1" showErrorMessage="1" sqref="B11" xr:uid="{00000000-0002-0000-0200-000002000000}">
      <formula1>$XFC$3:$XFC$4</formula1>
    </dataValidation>
  </dataValidations>
  <pageMargins left="0.7" right="0.7" top="0.75" bottom="0.75" header="0.3" footer="0.3"/>
  <pageSetup scale="10" orientation="portrait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200-000003000000}">
          <x14:formula1>
            <xm:f>Sheet2!$B$5:$B$10</xm:f>
          </x14:formula1>
          <xm:sqref>N6:P6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2:XFD37"/>
  <sheetViews>
    <sheetView topLeftCell="A20" workbookViewId="0">
      <selection sqref="A1:P3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9.26953125" customWidth="1"/>
    <col min="17" max="17" width="4.54296875" bestFit="1" customWidth="1"/>
    <col min="18" max="18" width="7.26953125" bestFit="1" customWidth="1"/>
    <col min="19" max="19" width="7.453125" bestFit="1" customWidth="1"/>
    <col min="20" max="20" width="7.81640625" bestFit="1" customWidth="1"/>
    <col min="21" max="21" width="12.54296875" bestFit="1" customWidth="1"/>
    <col min="22" max="22" width="6.6328125" customWidth="1"/>
    <col min="23" max="23" width="5.453125" bestFit="1" customWidth="1"/>
    <col min="24" max="24" width="8" bestFit="1" customWidth="1"/>
    <col min="25" max="25" width="10.08984375" bestFit="1" customWidth="1"/>
    <col min="26" max="26" width="6.81640625" bestFit="1" customWidth="1"/>
  </cols>
  <sheetData>
    <row r="2" spans="1:26 16383:16384" ht="21" x14ac:dyDescent="0.5">
      <c r="A2" s="254" t="s">
        <v>45</v>
      </c>
      <c r="B2" s="254"/>
      <c r="C2" s="254"/>
    </row>
    <row r="3" spans="1:26 16383:16384" ht="15" customHeight="1" x14ac:dyDescent="0.35">
      <c r="A3" s="239" t="s">
        <v>46</v>
      </c>
      <c r="B3" s="239"/>
      <c r="C3" s="239"/>
      <c r="F3" s="70"/>
      <c r="G3" s="71"/>
      <c r="K3" s="238" t="s">
        <v>47</v>
      </c>
      <c r="L3" s="238"/>
      <c r="M3" s="238"/>
      <c r="N3" s="239">
        <v>1</v>
      </c>
      <c r="O3" s="239"/>
      <c r="P3" s="239"/>
      <c r="R3" s="70"/>
      <c r="S3" s="71"/>
      <c r="XFC3" t="s">
        <v>48</v>
      </c>
      <c r="XFD3" s="72">
        <v>5.0000000000000001E-3</v>
      </c>
    </row>
    <row r="4" spans="1:26 16383:16384" ht="15" customHeight="1" x14ac:dyDescent="0.35">
      <c r="A4" s="239" t="s">
        <v>94</v>
      </c>
      <c r="B4" s="239"/>
      <c r="C4" s="239"/>
      <c r="F4" s="70"/>
      <c r="G4" s="71"/>
      <c r="K4" s="238" t="s">
        <v>49</v>
      </c>
      <c r="L4" s="238"/>
      <c r="M4" s="238"/>
      <c r="N4" s="252">
        <f ca="1">TODAY()</f>
        <v>46223</v>
      </c>
      <c r="O4" s="252"/>
      <c r="P4" s="252"/>
      <c r="R4" s="70"/>
      <c r="S4" s="71"/>
      <c r="XFC4" s="73" t="s">
        <v>50</v>
      </c>
      <c r="XFD4" s="72">
        <v>2.5000000000000001E-2</v>
      </c>
    </row>
    <row r="5" spans="1:26 16383:16384" ht="15" customHeight="1" x14ac:dyDescent="0.35">
      <c r="A5" s="265" t="s">
        <v>122</v>
      </c>
      <c r="B5" s="265"/>
      <c r="C5" s="265"/>
      <c r="F5" s="70"/>
      <c r="G5" s="71"/>
      <c r="K5" s="238" t="s">
        <v>51</v>
      </c>
      <c r="L5" s="238"/>
      <c r="M5" s="238"/>
      <c r="N5" s="252">
        <f ca="1">N4-1</f>
        <v>46222</v>
      </c>
      <c r="O5" s="239"/>
      <c r="P5" s="239"/>
      <c r="R5" s="70"/>
      <c r="S5" s="71"/>
    </row>
    <row r="6" spans="1:26 16383:16384" ht="15" customHeight="1" x14ac:dyDescent="0.35">
      <c r="A6" s="238" t="s">
        <v>123</v>
      </c>
      <c r="B6" s="238"/>
      <c r="C6" s="238"/>
      <c r="F6" s="70"/>
      <c r="G6" s="74"/>
      <c r="K6" s="238" t="s">
        <v>52</v>
      </c>
      <c r="L6" s="238"/>
      <c r="M6" s="238"/>
      <c r="N6" s="251" t="s">
        <v>104</v>
      </c>
      <c r="O6" s="251"/>
      <c r="P6" s="251"/>
      <c r="R6" s="70"/>
      <c r="S6" s="74"/>
      <c r="XFC6" t="s">
        <v>53</v>
      </c>
      <c r="XFD6" s="2">
        <v>0.18</v>
      </c>
    </row>
    <row r="7" spans="1:26 16383:16384" s="73" customFormat="1" x14ac:dyDescent="0.35">
      <c r="A7" s="238"/>
      <c r="B7" s="238"/>
      <c r="C7" s="238"/>
      <c r="F7" s="70"/>
      <c r="G7" s="74"/>
      <c r="K7" s="238"/>
      <c r="L7" s="238"/>
      <c r="M7" s="238"/>
      <c r="N7" s="251"/>
      <c r="O7" s="251"/>
      <c r="P7" s="251"/>
      <c r="R7" s="70"/>
      <c r="S7" s="74"/>
      <c r="XFC7" t="s">
        <v>54</v>
      </c>
      <c r="XFD7" s="2">
        <v>0.22</v>
      </c>
    </row>
    <row r="8" spans="1:26 16383:16384" ht="15" customHeight="1" x14ac:dyDescent="0.35">
      <c r="A8" s="250"/>
      <c r="B8" s="250"/>
      <c r="C8" s="250"/>
      <c r="F8" s="70"/>
      <c r="G8" s="74"/>
      <c r="K8" s="238"/>
      <c r="L8" s="238"/>
      <c r="M8" s="238"/>
      <c r="N8" s="251"/>
      <c r="O8" s="251"/>
      <c r="P8" s="251"/>
      <c r="R8" s="70"/>
      <c r="S8" s="74"/>
    </row>
    <row r="9" spans="1:26 16383:16384" x14ac:dyDescent="0.35">
      <c r="A9" s="250"/>
      <c r="B9" s="250"/>
      <c r="C9" s="250"/>
      <c r="F9" s="70"/>
      <c r="G9" s="74"/>
      <c r="K9" s="238"/>
      <c r="L9" s="238"/>
      <c r="M9" s="238"/>
      <c r="N9" s="251"/>
      <c r="O9" s="251"/>
      <c r="P9" s="251"/>
      <c r="R9" s="70"/>
      <c r="S9" s="74"/>
      <c r="XFD9" t="s">
        <v>55</v>
      </c>
    </row>
    <row r="10" spans="1:26 16383:16384" x14ac:dyDescent="0.35">
      <c r="A10" s="236" t="s">
        <v>95</v>
      </c>
      <c r="B10" s="75" t="s">
        <v>124</v>
      </c>
      <c r="C10" s="75"/>
      <c r="F10" s="70"/>
      <c r="G10" s="71"/>
      <c r="K10" s="238" t="s">
        <v>56</v>
      </c>
      <c r="L10" s="238"/>
      <c r="M10" s="238"/>
      <c r="N10" s="239" t="s">
        <v>57</v>
      </c>
      <c r="O10" s="239"/>
      <c r="P10" s="239"/>
      <c r="R10" s="70"/>
      <c r="S10" s="71"/>
      <c r="XFD10" t="s">
        <v>58</v>
      </c>
    </row>
    <row r="11" spans="1:26 16383:16384" x14ac:dyDescent="0.35">
      <c r="A11" s="236"/>
      <c r="B11" s="76" t="s">
        <v>48</v>
      </c>
      <c r="C11" s="77" t="str">
        <f>IF($O34&gt;2.49%,"No","Yes")</f>
        <v>Yes</v>
      </c>
      <c r="F11" s="70"/>
      <c r="G11" s="71"/>
      <c r="K11" s="238" t="s">
        <v>59</v>
      </c>
      <c r="L11" s="238"/>
      <c r="M11" s="238"/>
      <c r="N11" s="239" t="s">
        <v>55</v>
      </c>
      <c r="O11" s="239"/>
      <c r="P11" s="239"/>
      <c r="R11" s="70"/>
      <c r="S11" s="71"/>
    </row>
    <row r="12" spans="1:26 16383:16384" ht="14.65" customHeight="1" x14ac:dyDescent="0.35">
      <c r="A12" s="236" t="s">
        <v>60</v>
      </c>
      <c r="B12" s="76" t="s">
        <v>53</v>
      </c>
      <c r="C12" s="77" t="str">
        <f>IF($O32&gt;21.99%,"No","Yes")</f>
        <v>Yes</v>
      </c>
      <c r="F12" s="70"/>
      <c r="G12" s="71"/>
      <c r="K12" s="238" t="s">
        <v>61</v>
      </c>
      <c r="L12" s="238"/>
      <c r="M12" s="238"/>
      <c r="N12" s="239"/>
      <c r="O12" s="239"/>
      <c r="P12" s="239"/>
      <c r="R12" s="70"/>
      <c r="S12" s="71"/>
      <c r="XFD12" t="s">
        <v>62</v>
      </c>
    </row>
    <row r="13" spans="1:26 16383:16384" ht="15" thickBot="1" x14ac:dyDescent="0.4">
      <c r="A13" s="237"/>
      <c r="B13" s="167"/>
      <c r="J13" s="78"/>
      <c r="K13" s="78"/>
      <c r="L13" s="79">
        <v>0.05</v>
      </c>
      <c r="XFD13" t="s">
        <v>63</v>
      </c>
    </row>
    <row r="14" spans="1:26 16383:16384" ht="20.65" customHeight="1" thickBot="1" x14ac:dyDescent="0.4">
      <c r="A14" s="240" t="s">
        <v>64</v>
      </c>
      <c r="B14" s="241"/>
      <c r="C14" s="244" t="s">
        <v>65</v>
      </c>
      <c r="D14" s="80" t="s">
        <v>2</v>
      </c>
      <c r="E14" s="81" t="s">
        <v>66</v>
      </c>
      <c r="F14" s="82" t="s">
        <v>67</v>
      </c>
      <c r="G14" s="260" t="s">
        <v>68</v>
      </c>
      <c r="H14" s="261"/>
      <c r="I14" s="262" t="s">
        <v>69</v>
      </c>
      <c r="J14" s="260" t="s">
        <v>70</v>
      </c>
      <c r="K14" s="264"/>
      <c r="L14" s="261"/>
      <c r="M14" s="262" t="s">
        <v>71</v>
      </c>
      <c r="N14" s="83" t="s">
        <v>72</v>
      </c>
      <c r="O14" s="84" t="s">
        <v>73</v>
      </c>
      <c r="P14" s="85" t="s">
        <v>74</v>
      </c>
      <c r="S14" s="255" t="s">
        <v>117</v>
      </c>
      <c r="T14" s="255"/>
      <c r="U14" s="255"/>
      <c r="V14" s="255"/>
      <c r="W14" s="256" t="s">
        <v>119</v>
      </c>
      <c r="X14" s="256"/>
      <c r="Y14" s="256"/>
      <c r="Z14" s="256"/>
      <c r="XFD14" t="s">
        <v>75</v>
      </c>
    </row>
    <row r="15" spans="1:26 16383:16384" ht="15" thickBot="1" x14ac:dyDescent="0.4">
      <c r="A15" s="242"/>
      <c r="B15" s="243"/>
      <c r="C15" s="245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3"/>
      <c r="J15" s="88" t="s">
        <v>78</v>
      </c>
      <c r="K15" s="90" t="s">
        <v>79</v>
      </c>
      <c r="L15" s="91" t="s">
        <v>80</v>
      </c>
      <c r="M15" s="263"/>
      <c r="N15" s="92">
        <f>IF(B12="Registered",18%,22%)</f>
        <v>0.18</v>
      </c>
      <c r="O15" s="93">
        <f>IF(B11="Filer",0.5%,2.5%)</f>
        <v>5.0000000000000001E-3</v>
      </c>
      <c r="P15" s="94" t="s">
        <v>1</v>
      </c>
      <c r="S15" s="183" t="s">
        <v>109</v>
      </c>
      <c r="T15" s="183" t="s">
        <v>110</v>
      </c>
      <c r="U15" s="183" t="s">
        <v>114</v>
      </c>
      <c r="V15" s="183" t="s">
        <v>115</v>
      </c>
      <c r="W15" s="184" t="s">
        <v>109</v>
      </c>
      <c r="X15" s="184" t="s">
        <v>110</v>
      </c>
      <c r="Y15" s="184" t="s">
        <v>114</v>
      </c>
      <c r="Z15" s="184" t="s">
        <v>115</v>
      </c>
      <c r="XFD15" t="s">
        <v>81</v>
      </c>
    </row>
    <row r="16" spans="1:26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 t="shared" ref="O16:O24" si="1">(N16+M16)*$O$15</f>
        <v>0</v>
      </c>
      <c r="P16" s="105">
        <f t="shared" ref="P16:P24" si="2">M16+N16+O16</f>
        <v>0</v>
      </c>
      <c r="Q16" s="108"/>
      <c r="S16" s="181" t="s">
        <v>106</v>
      </c>
      <c r="T16" s="181">
        <v>1697</v>
      </c>
      <c r="U16" s="181" t="s">
        <v>111</v>
      </c>
      <c r="V16" s="181">
        <f>T16/40</f>
        <v>42.424999999999997</v>
      </c>
      <c r="W16" s="185" t="s">
        <v>106</v>
      </c>
      <c r="X16" s="185">
        <v>1664</v>
      </c>
      <c r="Y16" s="185" t="s">
        <v>111</v>
      </c>
      <c r="Z16" s="185">
        <f>X16/40</f>
        <v>41.6</v>
      </c>
      <c r="XFD16" t="s">
        <v>82</v>
      </c>
    </row>
    <row r="17" spans="1:26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3">(G17*D17)*F17+H17*F17</f>
        <v>0</v>
      </c>
      <c r="J17" s="117"/>
      <c r="K17" s="104">
        <f t="shared" ref="K17:K21" si="4">I17*3.5%</f>
        <v>0</v>
      </c>
      <c r="L17" s="105">
        <f t="shared" ref="L17:L21" si="5">I17*8%</f>
        <v>0</v>
      </c>
      <c r="M17" s="118">
        <f t="shared" ref="M17:M23" si="6">I17-K17-L17</f>
        <v>0</v>
      </c>
      <c r="N17" s="118">
        <f t="shared" si="0"/>
        <v>0</v>
      </c>
      <c r="O17" s="119">
        <f t="shared" si="1"/>
        <v>0</v>
      </c>
      <c r="P17" s="120">
        <f t="shared" si="2"/>
        <v>0</v>
      </c>
      <c r="S17" s="182" t="s">
        <v>108</v>
      </c>
      <c r="T17" s="181">
        <v>2322</v>
      </c>
      <c r="U17" s="181" t="s">
        <v>112</v>
      </c>
      <c r="V17" s="181">
        <f t="shared" ref="V17:V18" si="7">T17/40</f>
        <v>58.05</v>
      </c>
      <c r="W17" s="186" t="s">
        <v>108</v>
      </c>
      <c r="X17" s="185">
        <v>2277</v>
      </c>
      <c r="Y17" s="185" t="s">
        <v>112</v>
      </c>
      <c r="Z17" s="185">
        <f t="shared" ref="Z17:Z18" si="8">X17/40</f>
        <v>56.924999999999997</v>
      </c>
      <c r="XFD17" t="s">
        <v>83</v>
      </c>
    </row>
    <row r="18" spans="1:26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3"/>
        <v>0</v>
      </c>
      <c r="J18" s="117"/>
      <c r="K18" s="104">
        <f t="shared" si="4"/>
        <v>0</v>
      </c>
      <c r="L18" s="105">
        <f t="shared" si="5"/>
        <v>0</v>
      </c>
      <c r="M18" s="118">
        <f t="shared" si="6"/>
        <v>0</v>
      </c>
      <c r="N18" s="118">
        <f t="shared" si="0"/>
        <v>0</v>
      </c>
      <c r="O18" s="119">
        <f t="shared" si="1"/>
        <v>0</v>
      </c>
      <c r="P18" s="120">
        <f t="shared" si="2"/>
        <v>0</v>
      </c>
      <c r="S18" s="181" t="s">
        <v>107</v>
      </c>
      <c r="T18" s="181">
        <v>3216</v>
      </c>
      <c r="U18" s="181" t="s">
        <v>113</v>
      </c>
      <c r="V18" s="181">
        <f t="shared" si="7"/>
        <v>80.400000000000006</v>
      </c>
      <c r="W18" s="185" t="s">
        <v>107</v>
      </c>
      <c r="X18" s="185">
        <v>3153</v>
      </c>
      <c r="Y18" s="185" t="s">
        <v>113</v>
      </c>
      <c r="Z18" s="185">
        <f t="shared" si="8"/>
        <v>78.825000000000003</v>
      </c>
    </row>
    <row r="19" spans="1:26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40</v>
      </c>
      <c r="I19" s="116">
        <f t="shared" si="3"/>
        <v>2905.6</v>
      </c>
      <c r="J19" s="117"/>
      <c r="K19" s="104">
        <f t="shared" si="4"/>
        <v>101.69600000000001</v>
      </c>
      <c r="L19" s="105">
        <f t="shared" si="5"/>
        <v>232.44800000000001</v>
      </c>
      <c r="M19" s="118">
        <f t="shared" si="6"/>
        <v>2571.4560000000001</v>
      </c>
      <c r="N19" s="118">
        <f t="shared" si="0"/>
        <v>462.86207999999999</v>
      </c>
      <c r="O19" s="119">
        <f t="shared" si="1"/>
        <v>15.171590399999999</v>
      </c>
      <c r="P19" s="120">
        <f t="shared" si="2"/>
        <v>3049.4896703999998</v>
      </c>
      <c r="S19" s="257" t="s">
        <v>118</v>
      </c>
      <c r="T19" s="257"/>
      <c r="U19" s="257"/>
      <c r="V19" s="257"/>
      <c r="W19" s="258" t="s">
        <v>116</v>
      </c>
      <c r="X19" s="258"/>
      <c r="Y19" s="258"/>
      <c r="Z19" s="258"/>
    </row>
    <row r="20" spans="1:26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3"/>
        <v>0</v>
      </c>
      <c r="J20" s="117"/>
      <c r="K20" s="104">
        <f t="shared" si="4"/>
        <v>0</v>
      </c>
      <c r="L20" s="105">
        <f t="shared" si="5"/>
        <v>0</v>
      </c>
      <c r="M20" s="118">
        <f t="shared" si="6"/>
        <v>0</v>
      </c>
      <c r="N20" s="118">
        <f t="shared" si="0"/>
        <v>0</v>
      </c>
      <c r="O20" s="119">
        <f t="shared" si="1"/>
        <v>0</v>
      </c>
      <c r="P20" s="120">
        <f t="shared" si="2"/>
        <v>0</v>
      </c>
      <c r="S20" s="183" t="s">
        <v>109</v>
      </c>
      <c r="T20" s="183" t="s">
        <v>110</v>
      </c>
      <c r="U20" s="183" t="s">
        <v>114</v>
      </c>
      <c r="V20" s="183" t="s">
        <v>115</v>
      </c>
      <c r="W20" s="183" t="s">
        <v>109</v>
      </c>
      <c r="X20" s="183" t="s">
        <v>110</v>
      </c>
      <c r="Y20" s="183" t="s">
        <v>114</v>
      </c>
      <c r="Z20" s="183" t="s">
        <v>115</v>
      </c>
    </row>
    <row r="21" spans="1:26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3"/>
        <v>0</v>
      </c>
      <c r="J21" s="117"/>
      <c r="K21" s="104">
        <f t="shared" si="4"/>
        <v>0</v>
      </c>
      <c r="L21" s="105">
        <f t="shared" si="5"/>
        <v>0</v>
      </c>
      <c r="M21" s="118">
        <f t="shared" si="6"/>
        <v>0</v>
      </c>
      <c r="N21" s="118">
        <f t="shared" si="0"/>
        <v>0</v>
      </c>
      <c r="O21" s="119">
        <f t="shared" si="1"/>
        <v>0</v>
      </c>
      <c r="P21" s="120">
        <f t="shared" si="2"/>
        <v>0</v>
      </c>
      <c r="S21" s="187" t="s">
        <v>106</v>
      </c>
      <c r="T21" s="187">
        <v>1610</v>
      </c>
      <c r="U21" s="187" t="s">
        <v>111</v>
      </c>
      <c r="V21" s="187">
        <f>T21/40</f>
        <v>40.25</v>
      </c>
      <c r="W21" s="189" t="s">
        <v>106</v>
      </c>
      <c r="X21" s="189">
        <v>1642</v>
      </c>
      <c r="Y21" s="189" t="s">
        <v>111</v>
      </c>
      <c r="Z21" s="189">
        <f>X21/40</f>
        <v>41.05</v>
      </c>
    </row>
    <row r="22" spans="1:26 16384:16384" ht="15" thickBot="1" x14ac:dyDescent="0.4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40</v>
      </c>
      <c r="I22" s="116">
        <f t="shared" si="3"/>
        <v>1569.2000000000003</v>
      </c>
      <c r="J22" s="117"/>
      <c r="K22" s="104">
        <f>I22*8.6%</f>
        <v>134.9512</v>
      </c>
      <c r="L22" s="120">
        <f>I22*5%</f>
        <v>78.460000000000022</v>
      </c>
      <c r="M22" s="118">
        <f t="shared" si="6"/>
        <v>1355.7888000000003</v>
      </c>
      <c r="N22" s="118">
        <f t="shared" si="0"/>
        <v>244.04198400000004</v>
      </c>
      <c r="O22" s="119">
        <f t="shared" si="1"/>
        <v>7.9991539200000012</v>
      </c>
      <c r="P22" s="120">
        <f t="shared" si="2"/>
        <v>1607.8299379200002</v>
      </c>
      <c r="S22" s="188" t="s">
        <v>108</v>
      </c>
      <c r="T22" s="187">
        <v>2202</v>
      </c>
      <c r="U22" s="187" t="s">
        <v>112</v>
      </c>
      <c r="V22" s="187">
        <f t="shared" ref="V22:V25" si="9">T22/40</f>
        <v>55.05</v>
      </c>
      <c r="W22" s="190" t="s">
        <v>108</v>
      </c>
      <c r="X22" s="189">
        <v>2246</v>
      </c>
      <c r="Y22" s="189" t="s">
        <v>112</v>
      </c>
      <c r="Z22" s="189">
        <f t="shared" ref="Z22:Z25" si="10">X22/40</f>
        <v>56.15</v>
      </c>
    </row>
    <row r="23" spans="1:26 16384:16384" ht="15" hidden="1" customHeight="1" thickBot="1" x14ac:dyDescent="0.4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3"/>
        <v>0</v>
      </c>
      <c r="J23" s="117"/>
      <c r="K23" s="1">
        <f t="shared" ref="K23:K24" si="11">I23*3.5%</f>
        <v>0</v>
      </c>
      <c r="L23" s="120">
        <f t="shared" ref="L23:L24" si="12">I23*$L$13</f>
        <v>0</v>
      </c>
      <c r="M23" s="118">
        <f t="shared" si="6"/>
        <v>0</v>
      </c>
      <c r="N23" s="118">
        <f t="shared" si="0"/>
        <v>0</v>
      </c>
      <c r="O23" s="119">
        <f t="shared" si="1"/>
        <v>0</v>
      </c>
      <c r="P23" s="120">
        <f t="shared" si="2"/>
        <v>0</v>
      </c>
      <c r="S23" s="187" t="s">
        <v>107</v>
      </c>
      <c r="T23" s="187">
        <v>3216</v>
      </c>
      <c r="U23" s="187" t="s">
        <v>113</v>
      </c>
      <c r="V23" s="187">
        <f t="shared" si="9"/>
        <v>80.400000000000006</v>
      </c>
      <c r="W23" s="189" t="s">
        <v>107</v>
      </c>
      <c r="X23" s="189">
        <v>3216</v>
      </c>
      <c r="Y23" s="189" t="s">
        <v>112</v>
      </c>
      <c r="Z23" s="189">
        <f t="shared" si="10"/>
        <v>80.400000000000006</v>
      </c>
    </row>
    <row r="24" spans="1:26 16384:16384" ht="15" hidden="1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11"/>
        <v>0</v>
      </c>
      <c r="L24" s="132">
        <f t="shared" si="12"/>
        <v>0</v>
      </c>
      <c r="M24" s="133">
        <f>I24-K24-L24</f>
        <v>0</v>
      </c>
      <c r="N24" s="133">
        <f t="shared" si="0"/>
        <v>0</v>
      </c>
      <c r="O24" s="134">
        <f t="shared" si="1"/>
        <v>0</v>
      </c>
      <c r="P24" s="132">
        <f t="shared" si="2"/>
        <v>0</v>
      </c>
      <c r="S24" s="187" t="s">
        <v>107</v>
      </c>
      <c r="T24" s="187">
        <v>3216</v>
      </c>
      <c r="U24" s="187" t="s">
        <v>113</v>
      </c>
      <c r="V24" s="187">
        <f t="shared" si="9"/>
        <v>80.400000000000006</v>
      </c>
      <c r="W24" s="189"/>
      <c r="X24" s="189"/>
      <c r="Y24" s="189" t="s">
        <v>112</v>
      </c>
      <c r="Z24" s="189">
        <f t="shared" si="10"/>
        <v>0</v>
      </c>
    </row>
    <row r="25" spans="1:26 16384:16384" ht="15" thickBot="1" x14ac:dyDescent="0.4">
      <c r="A25" s="218" t="s">
        <v>84</v>
      </c>
      <c r="B25" s="219"/>
      <c r="C25" s="220"/>
      <c r="D25" s="214"/>
      <c r="E25" s="214"/>
      <c r="F25" s="259"/>
      <c r="G25" s="135">
        <f t="shared" ref="G25:M25" si="13">SUM(G16:G24)</f>
        <v>0</v>
      </c>
      <c r="H25" s="136">
        <f t="shared" si="13"/>
        <v>80</v>
      </c>
      <c r="I25" s="137">
        <f t="shared" si="13"/>
        <v>4474.8</v>
      </c>
      <c r="J25" s="138"/>
      <c r="K25" s="139">
        <f t="shared" si="13"/>
        <v>236.6472</v>
      </c>
      <c r="L25" s="140">
        <f t="shared" si="13"/>
        <v>310.90800000000002</v>
      </c>
      <c r="M25" s="141">
        <f t="shared" si="13"/>
        <v>3927.2448000000004</v>
      </c>
      <c r="N25" s="142">
        <f>SUM(N16:N24)</f>
        <v>706.90406400000006</v>
      </c>
      <c r="O25" s="143">
        <f>SUM(O16:O24)</f>
        <v>23.170744320000001</v>
      </c>
      <c r="P25" s="144">
        <f>SUM(P16:P24)</f>
        <v>4657.31960832</v>
      </c>
      <c r="S25" s="187" t="s">
        <v>107</v>
      </c>
      <c r="T25" s="187">
        <v>3216</v>
      </c>
      <c r="U25" s="187" t="s">
        <v>113</v>
      </c>
      <c r="V25" s="187">
        <f t="shared" si="9"/>
        <v>80.400000000000006</v>
      </c>
      <c r="W25" s="189" t="s">
        <v>107</v>
      </c>
      <c r="X25" s="189">
        <v>3110</v>
      </c>
      <c r="Y25" s="189" t="s">
        <v>113</v>
      </c>
      <c r="Z25" s="189">
        <f t="shared" si="10"/>
        <v>77.75</v>
      </c>
    </row>
    <row r="26" spans="1:26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26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26 16384:16384" x14ac:dyDescent="0.35">
      <c r="B28" s="221" t="s">
        <v>85</v>
      </c>
      <c r="C28" s="222"/>
      <c r="D28" s="222"/>
      <c r="E28" s="222"/>
      <c r="F28" s="222"/>
      <c r="G28" s="222"/>
      <c r="H28" s="222"/>
      <c r="I28" s="222"/>
      <c r="J28" s="222"/>
      <c r="K28" s="222"/>
      <c r="L28" s="223"/>
      <c r="N28" s="230" t="s">
        <v>86</v>
      </c>
      <c r="O28" s="231"/>
      <c r="P28" s="152">
        <f>I25</f>
        <v>4474.8</v>
      </c>
    </row>
    <row r="29" spans="1:26 16384:16384" ht="15" customHeight="1" x14ac:dyDescent="0.35">
      <c r="B29" s="224"/>
      <c r="C29" s="225"/>
      <c r="D29" s="225"/>
      <c r="E29" s="225"/>
      <c r="F29" s="225"/>
      <c r="G29" s="225"/>
      <c r="H29" s="225"/>
      <c r="I29" s="225"/>
      <c r="J29" s="225"/>
      <c r="K29" s="225"/>
      <c r="L29" s="226"/>
      <c r="N29" s="232" t="s">
        <v>87</v>
      </c>
      <c r="O29" s="233"/>
      <c r="P29" s="153">
        <f>L25</f>
        <v>310.90800000000002</v>
      </c>
    </row>
    <row r="30" spans="1:26 16384:16384" ht="15" customHeight="1" x14ac:dyDescent="0.35">
      <c r="B30" s="224"/>
      <c r="C30" s="225"/>
      <c r="D30" s="225"/>
      <c r="E30" s="225"/>
      <c r="F30" s="225"/>
      <c r="G30" s="225"/>
      <c r="H30" s="225"/>
      <c r="I30" s="225"/>
      <c r="J30" s="225"/>
      <c r="K30" s="225"/>
      <c r="L30" s="226"/>
      <c r="N30" s="232" t="s">
        <v>4</v>
      </c>
      <c r="O30" s="233"/>
      <c r="P30" s="154">
        <f>K25</f>
        <v>236.6472</v>
      </c>
    </row>
    <row r="31" spans="1:26 16384:16384" ht="15" customHeight="1" x14ac:dyDescent="0.35">
      <c r="B31" s="224"/>
      <c r="C31" s="225"/>
      <c r="D31" s="225"/>
      <c r="E31" s="225"/>
      <c r="F31" s="225"/>
      <c r="G31" s="225"/>
      <c r="H31" s="225"/>
      <c r="I31" s="225"/>
      <c r="J31" s="225"/>
      <c r="K31" s="225"/>
      <c r="L31" s="226"/>
      <c r="M31" s="2"/>
      <c r="N31" s="232" t="s">
        <v>88</v>
      </c>
      <c r="O31" s="233"/>
      <c r="P31" s="153">
        <f>P28-P29-P30</f>
        <v>3927.2447999999999</v>
      </c>
    </row>
    <row r="32" spans="1:26 16384:16384" ht="15" customHeight="1" x14ac:dyDescent="0.35">
      <c r="B32" s="224"/>
      <c r="C32" s="225"/>
      <c r="D32" s="225"/>
      <c r="E32" s="225"/>
      <c r="F32" s="225"/>
      <c r="G32" s="225"/>
      <c r="H32" s="225"/>
      <c r="I32" s="225"/>
      <c r="J32" s="225"/>
      <c r="K32" s="225"/>
      <c r="L32" s="226"/>
      <c r="M32" s="2"/>
      <c r="N32" s="155" t="s">
        <v>89</v>
      </c>
      <c r="O32" s="156">
        <f>IF(B12="Registered",18%,22%)</f>
        <v>0.18</v>
      </c>
      <c r="P32" s="153">
        <f>N25</f>
        <v>706.90406400000006</v>
      </c>
    </row>
    <row r="33" spans="2:16" ht="15" customHeight="1" x14ac:dyDescent="0.35">
      <c r="B33" s="224"/>
      <c r="C33" s="225"/>
      <c r="D33" s="225"/>
      <c r="E33" s="225"/>
      <c r="F33" s="225"/>
      <c r="G33" s="225"/>
      <c r="H33" s="225"/>
      <c r="I33" s="225"/>
      <c r="J33" s="225"/>
      <c r="K33" s="225"/>
      <c r="L33" s="226"/>
      <c r="M33" s="2"/>
      <c r="N33" s="234" t="s">
        <v>90</v>
      </c>
      <c r="O33" s="235"/>
      <c r="P33" s="153">
        <f>P31+P32</f>
        <v>4634.1488639999998</v>
      </c>
    </row>
    <row r="34" spans="2:16" ht="15" customHeight="1" thickBot="1" x14ac:dyDescent="0.4">
      <c r="B34" s="227"/>
      <c r="C34" s="228"/>
      <c r="D34" s="228"/>
      <c r="E34" s="228"/>
      <c r="F34" s="228"/>
      <c r="G34" s="228"/>
      <c r="H34" s="228"/>
      <c r="I34" s="228"/>
      <c r="J34" s="228"/>
      <c r="K34" s="228"/>
      <c r="L34" s="229"/>
      <c r="M34" s="157"/>
      <c r="N34" s="158" t="s">
        <v>91</v>
      </c>
      <c r="O34" s="159">
        <f>IF(B11="Filer",0.5%,2.5%)</f>
        <v>5.0000000000000001E-3</v>
      </c>
      <c r="P34" s="153">
        <f>O34*P33</f>
        <v>23.170744320000001</v>
      </c>
    </row>
    <row r="35" spans="2:16" ht="15.75" customHeight="1" thickBot="1" x14ac:dyDescent="0.4">
      <c r="N35" s="212" t="s">
        <v>92</v>
      </c>
      <c r="O35" s="213"/>
      <c r="P35" s="160">
        <f>P33+P34</f>
        <v>4657.31960832</v>
      </c>
    </row>
    <row r="36" spans="2:16" ht="15" thickBot="1" x14ac:dyDescent="0.4">
      <c r="B36" s="161" t="s">
        <v>93</v>
      </c>
      <c r="C36" s="214"/>
      <c r="D36" s="214"/>
      <c r="E36" s="214"/>
      <c r="F36" s="214"/>
      <c r="G36" s="214"/>
      <c r="H36" s="214"/>
      <c r="I36" s="215"/>
      <c r="J36" s="216"/>
      <c r="K36" s="217"/>
    </row>
    <row r="37" spans="2:16" ht="15.75" customHeight="1" x14ac:dyDescent="0.35"/>
  </sheetData>
  <mergeCells count="51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C36:I36"/>
    <mergeCell ref="J36:K36"/>
    <mergeCell ref="A25:B25"/>
    <mergeCell ref="C25:F25"/>
    <mergeCell ref="B28:L34"/>
    <mergeCell ref="S14:V14"/>
    <mergeCell ref="W14:Z14"/>
    <mergeCell ref="S19:V19"/>
    <mergeCell ref="W19:Z19"/>
    <mergeCell ref="N35:O35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300-000000000000}">
      <formula1>$XFC$3:$XFC$4</formula1>
    </dataValidation>
    <dataValidation type="list" allowBlank="1" showInputMessage="1" showErrorMessage="1" sqref="B12" xr:uid="{00000000-0002-0000-0300-000001000000}">
      <formula1>$XFC$6:$XFC$7</formula1>
    </dataValidation>
    <dataValidation type="list" allowBlank="1" showInputMessage="1" showErrorMessage="1" sqref="N9:P9" xr:uid="{00000000-0002-0000-0300-000002000000}">
      <formula1>$XFD$12:$XFD$17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3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7"/>
  <sheetViews>
    <sheetView topLeftCell="A6" workbookViewId="0">
      <selection sqref="A1:P3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4" t="s">
        <v>45</v>
      </c>
      <c r="B2" s="254"/>
      <c r="C2" s="254"/>
    </row>
    <row r="3" spans="1:19 16383:16384" ht="15" customHeight="1" x14ac:dyDescent="0.35">
      <c r="A3" s="239" t="s">
        <v>46</v>
      </c>
      <c r="B3" s="239"/>
      <c r="C3" s="239"/>
      <c r="F3" s="70"/>
      <c r="G3" s="71"/>
      <c r="K3" s="238" t="s">
        <v>47</v>
      </c>
      <c r="L3" s="238"/>
      <c r="M3" s="238"/>
      <c r="N3" s="239">
        <v>2</v>
      </c>
      <c r="O3" s="239"/>
      <c r="P3" s="23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9" t="s">
        <v>94</v>
      </c>
      <c r="B4" s="239"/>
      <c r="C4" s="239"/>
      <c r="F4" s="70"/>
      <c r="G4" s="71"/>
      <c r="K4" s="238" t="s">
        <v>49</v>
      </c>
      <c r="L4" s="238"/>
      <c r="M4" s="238"/>
      <c r="N4" s="252">
        <f ca="1">TODAY()</f>
        <v>46223</v>
      </c>
      <c r="O4" s="252"/>
      <c r="P4" s="25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5" t="s">
        <v>125</v>
      </c>
      <c r="B5" s="265"/>
      <c r="C5" s="265"/>
      <c r="F5" s="70"/>
      <c r="G5" s="71"/>
      <c r="K5" s="238" t="s">
        <v>51</v>
      </c>
      <c r="L5" s="238"/>
      <c r="M5" s="238"/>
      <c r="N5" s="252">
        <f ca="1">N4-1</f>
        <v>46222</v>
      </c>
      <c r="O5" s="239"/>
      <c r="P5" s="239"/>
      <c r="R5" s="70"/>
      <c r="S5" s="71"/>
    </row>
    <row r="6" spans="1:19 16383:16384" ht="15" customHeight="1" x14ac:dyDescent="0.35">
      <c r="A6" s="238" t="s">
        <v>123</v>
      </c>
      <c r="B6" s="238"/>
      <c r="C6" s="238"/>
      <c r="F6" s="70"/>
      <c r="G6" s="74"/>
      <c r="K6" s="238" t="s">
        <v>52</v>
      </c>
      <c r="L6" s="238"/>
      <c r="M6" s="238"/>
      <c r="N6" s="251" t="s">
        <v>104</v>
      </c>
      <c r="O6" s="251"/>
      <c r="P6" s="251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8"/>
      <c r="B7" s="238"/>
      <c r="C7" s="238"/>
      <c r="F7" s="70"/>
      <c r="G7" s="74"/>
      <c r="K7" s="238"/>
      <c r="L7" s="238"/>
      <c r="M7" s="238"/>
      <c r="N7" s="251"/>
      <c r="O7" s="251"/>
      <c r="P7" s="251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0"/>
      <c r="B8" s="250"/>
      <c r="C8" s="250"/>
      <c r="F8" s="70"/>
      <c r="G8" s="74"/>
      <c r="K8" s="238"/>
      <c r="L8" s="238"/>
      <c r="M8" s="238"/>
      <c r="N8" s="251"/>
      <c r="O8" s="251"/>
      <c r="P8" s="251"/>
      <c r="R8" s="70"/>
      <c r="S8" s="74"/>
    </row>
    <row r="9" spans="1:19 16383:16384" x14ac:dyDescent="0.35">
      <c r="A9" s="250"/>
      <c r="B9" s="250"/>
      <c r="C9" s="250"/>
      <c r="F9" s="70"/>
      <c r="G9" s="74"/>
      <c r="K9" s="238"/>
      <c r="L9" s="238"/>
      <c r="M9" s="238"/>
      <c r="N9" s="251"/>
      <c r="O9" s="251"/>
      <c r="P9" s="251"/>
      <c r="R9" s="70"/>
      <c r="S9" s="74"/>
      <c r="XFD9" t="s">
        <v>55</v>
      </c>
    </row>
    <row r="10" spans="1:19 16383:16384" ht="17.5" x14ac:dyDescent="0.35">
      <c r="A10" s="236" t="s">
        <v>95</v>
      </c>
      <c r="B10" s="191"/>
      <c r="C10" s="75"/>
      <c r="F10" s="70"/>
      <c r="G10" s="71"/>
      <c r="K10" s="238" t="s">
        <v>56</v>
      </c>
      <c r="L10" s="238"/>
      <c r="M10" s="238"/>
      <c r="N10" s="239" t="s">
        <v>57</v>
      </c>
      <c r="O10" s="239"/>
      <c r="P10" s="239"/>
      <c r="R10" s="70"/>
      <c r="S10" s="71"/>
      <c r="XFD10" t="s">
        <v>58</v>
      </c>
    </row>
    <row r="11" spans="1:19 16383:16384" x14ac:dyDescent="0.35">
      <c r="A11" s="236"/>
      <c r="B11" s="76" t="s">
        <v>50</v>
      </c>
      <c r="C11" s="77" t="str">
        <f>IF($O34&gt;2.49%,"No","Yes")</f>
        <v>No</v>
      </c>
      <c r="F11" s="70"/>
      <c r="G11" s="71"/>
      <c r="K11" s="238" t="s">
        <v>59</v>
      </c>
      <c r="L11" s="238"/>
      <c r="M11" s="238"/>
      <c r="N11" s="239" t="s">
        <v>55</v>
      </c>
      <c r="O11" s="239"/>
      <c r="P11" s="239"/>
      <c r="R11" s="70"/>
      <c r="S11" s="71"/>
    </row>
    <row r="12" spans="1:19 16383:16384" ht="14.65" customHeight="1" x14ac:dyDescent="0.35">
      <c r="A12" s="236" t="s">
        <v>60</v>
      </c>
      <c r="B12" s="76" t="s">
        <v>53</v>
      </c>
      <c r="C12" s="77" t="str">
        <f>IF($O32&gt;21.99%,"No","Yes")</f>
        <v>Yes</v>
      </c>
      <c r="F12" s="70"/>
      <c r="G12" s="71"/>
      <c r="K12" s="238" t="s">
        <v>61</v>
      </c>
      <c r="L12" s="238"/>
      <c r="M12" s="238"/>
      <c r="N12" s="239"/>
      <c r="O12" s="239"/>
      <c r="P12" s="239"/>
      <c r="R12" s="70"/>
      <c r="S12" s="71"/>
      <c r="XFD12" t="s">
        <v>62</v>
      </c>
    </row>
    <row r="13" spans="1:19 16383:16384" ht="15" thickBot="1" x14ac:dyDescent="0.4">
      <c r="A13" s="237"/>
      <c r="B13" s="167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0" t="s">
        <v>64</v>
      </c>
      <c r="B14" s="241"/>
      <c r="C14" s="244" t="s">
        <v>65</v>
      </c>
      <c r="D14" s="80" t="s">
        <v>2</v>
      </c>
      <c r="E14" s="81" t="s">
        <v>66</v>
      </c>
      <c r="F14" s="82" t="s">
        <v>67</v>
      </c>
      <c r="G14" s="260" t="s">
        <v>68</v>
      </c>
      <c r="H14" s="261"/>
      <c r="I14" s="262" t="s">
        <v>69</v>
      </c>
      <c r="J14" s="260" t="s">
        <v>70</v>
      </c>
      <c r="K14" s="264"/>
      <c r="L14" s="261"/>
      <c r="M14" s="262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2"/>
      <c r="B15" s="243"/>
      <c r="C15" s="245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3"/>
      <c r="J15" s="88" t="s">
        <v>78</v>
      </c>
      <c r="K15" s="90" t="s">
        <v>79</v>
      </c>
      <c r="L15" s="91" t="s">
        <v>80</v>
      </c>
      <c r="M15" s="263"/>
      <c r="N15" s="92">
        <f>IF(B12="Registered",18%,22%)</f>
        <v>0.18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20</v>
      </c>
      <c r="I22" s="116">
        <f t="shared" si="2"/>
        <v>784.60000000000014</v>
      </c>
      <c r="J22" s="117"/>
      <c r="K22" s="104">
        <f>I22*8.6%</f>
        <v>67.4756</v>
      </c>
      <c r="L22" s="120">
        <f>I22*5%</f>
        <v>39.230000000000011</v>
      </c>
      <c r="M22" s="118">
        <f t="shared" si="5"/>
        <v>677.89440000000013</v>
      </c>
      <c r="N22" s="118">
        <f t="shared" si="0"/>
        <v>122.02099200000002</v>
      </c>
      <c r="O22" s="119">
        <f t="shared" si="6"/>
        <v>19.997884800000005</v>
      </c>
      <c r="P22" s="120">
        <f t="shared" si="1"/>
        <v>819.91327680000006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8" t="s">
        <v>84</v>
      </c>
      <c r="B25" s="219"/>
      <c r="C25" s="220"/>
      <c r="D25" s="214"/>
      <c r="E25" s="214"/>
      <c r="F25" s="259"/>
      <c r="G25" s="135">
        <f t="shared" ref="G25:M25" si="9">SUM(G16:G24)</f>
        <v>0</v>
      </c>
      <c r="H25" s="136">
        <f t="shared" si="9"/>
        <v>20</v>
      </c>
      <c r="I25" s="137">
        <f t="shared" si="9"/>
        <v>784.60000000000014</v>
      </c>
      <c r="J25" s="138"/>
      <c r="K25" s="139">
        <f t="shared" si="9"/>
        <v>67.4756</v>
      </c>
      <c r="L25" s="140">
        <f t="shared" si="9"/>
        <v>39.230000000000011</v>
      </c>
      <c r="M25" s="141">
        <f t="shared" si="9"/>
        <v>677.89440000000013</v>
      </c>
      <c r="N25" s="142">
        <f>SUM(N16:N24)</f>
        <v>122.02099200000002</v>
      </c>
      <c r="O25" s="143">
        <f>SUM(O16:O24)</f>
        <v>19.997884800000005</v>
      </c>
      <c r="P25" s="144">
        <f>SUM(P16:P24)</f>
        <v>819.91327680000006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1" t="s">
        <v>85</v>
      </c>
      <c r="C28" s="222"/>
      <c r="D28" s="222"/>
      <c r="E28" s="222"/>
      <c r="F28" s="222"/>
      <c r="G28" s="222"/>
      <c r="H28" s="222"/>
      <c r="I28" s="222"/>
      <c r="J28" s="222"/>
      <c r="K28" s="222"/>
      <c r="L28" s="223"/>
      <c r="N28" s="230" t="s">
        <v>86</v>
      </c>
      <c r="O28" s="231"/>
      <c r="P28" s="152">
        <f>I25</f>
        <v>784.60000000000014</v>
      </c>
    </row>
    <row r="29" spans="1:19 16384:16384" ht="15" customHeight="1" x14ac:dyDescent="0.35">
      <c r="B29" s="224"/>
      <c r="C29" s="225"/>
      <c r="D29" s="225"/>
      <c r="E29" s="225"/>
      <c r="F29" s="225"/>
      <c r="G29" s="225"/>
      <c r="H29" s="225"/>
      <c r="I29" s="225"/>
      <c r="J29" s="225"/>
      <c r="K29" s="225"/>
      <c r="L29" s="226"/>
      <c r="N29" s="232" t="s">
        <v>87</v>
      </c>
      <c r="O29" s="233"/>
      <c r="P29" s="153">
        <f>L25</f>
        <v>39.230000000000011</v>
      </c>
    </row>
    <row r="30" spans="1:19 16384:16384" ht="15" customHeight="1" x14ac:dyDescent="0.35">
      <c r="B30" s="224"/>
      <c r="C30" s="225"/>
      <c r="D30" s="225"/>
      <c r="E30" s="225"/>
      <c r="F30" s="225"/>
      <c r="G30" s="225"/>
      <c r="H30" s="225"/>
      <c r="I30" s="225"/>
      <c r="J30" s="225"/>
      <c r="K30" s="225"/>
      <c r="L30" s="226"/>
      <c r="N30" s="232" t="s">
        <v>4</v>
      </c>
      <c r="O30" s="233"/>
      <c r="P30" s="154">
        <f>K25</f>
        <v>67.4756</v>
      </c>
    </row>
    <row r="31" spans="1:19 16384:16384" ht="15" customHeight="1" x14ac:dyDescent="0.35">
      <c r="B31" s="224"/>
      <c r="C31" s="225"/>
      <c r="D31" s="225"/>
      <c r="E31" s="225"/>
      <c r="F31" s="225"/>
      <c r="G31" s="225"/>
      <c r="H31" s="225"/>
      <c r="I31" s="225"/>
      <c r="J31" s="225"/>
      <c r="K31" s="225"/>
      <c r="L31" s="226"/>
      <c r="M31" s="2"/>
      <c r="N31" s="232" t="s">
        <v>88</v>
      </c>
      <c r="O31" s="233"/>
      <c r="P31" s="153">
        <f>P28-P29-P30</f>
        <v>677.89440000000013</v>
      </c>
    </row>
    <row r="32" spans="1:19 16384:16384" ht="15" customHeight="1" x14ac:dyDescent="0.35">
      <c r="B32" s="224"/>
      <c r="C32" s="225"/>
      <c r="D32" s="225"/>
      <c r="E32" s="225"/>
      <c r="F32" s="225"/>
      <c r="G32" s="225"/>
      <c r="H32" s="225"/>
      <c r="I32" s="225"/>
      <c r="J32" s="225"/>
      <c r="K32" s="225"/>
      <c r="L32" s="226"/>
      <c r="M32" s="2"/>
      <c r="N32" s="155" t="s">
        <v>89</v>
      </c>
      <c r="O32" s="156">
        <f>IF(B12="Registered",18%,22%)</f>
        <v>0.18</v>
      </c>
      <c r="P32" s="153">
        <f>N25</f>
        <v>122.02099200000002</v>
      </c>
    </row>
    <row r="33" spans="2:16" ht="15" customHeight="1" x14ac:dyDescent="0.35">
      <c r="B33" s="224"/>
      <c r="C33" s="225"/>
      <c r="D33" s="225"/>
      <c r="E33" s="225"/>
      <c r="F33" s="225"/>
      <c r="G33" s="225"/>
      <c r="H33" s="225"/>
      <c r="I33" s="225"/>
      <c r="J33" s="225"/>
      <c r="K33" s="225"/>
      <c r="L33" s="226"/>
      <c r="M33" s="2"/>
      <c r="N33" s="234" t="s">
        <v>90</v>
      </c>
      <c r="O33" s="235"/>
      <c r="P33" s="153">
        <f>P31+P32</f>
        <v>799.91539200000011</v>
      </c>
    </row>
    <row r="34" spans="2:16" ht="15" customHeight="1" thickBot="1" x14ac:dyDescent="0.4">
      <c r="B34" s="227"/>
      <c r="C34" s="228"/>
      <c r="D34" s="228"/>
      <c r="E34" s="228"/>
      <c r="F34" s="228"/>
      <c r="G34" s="228"/>
      <c r="H34" s="228"/>
      <c r="I34" s="228"/>
      <c r="J34" s="228"/>
      <c r="K34" s="228"/>
      <c r="L34" s="229"/>
      <c r="M34" s="157"/>
      <c r="N34" s="158" t="s">
        <v>91</v>
      </c>
      <c r="O34" s="159">
        <f>IF(B11="Filer",0.5%,2.5%)</f>
        <v>2.5000000000000001E-2</v>
      </c>
      <c r="P34" s="153">
        <f>O34*P33</f>
        <v>19.997884800000005</v>
      </c>
    </row>
    <row r="35" spans="2:16" ht="15.75" customHeight="1" thickBot="1" x14ac:dyDescent="0.4">
      <c r="N35" s="212" t="s">
        <v>92</v>
      </c>
      <c r="O35" s="213"/>
      <c r="P35" s="160">
        <f>P33+P34</f>
        <v>819.91327680000006</v>
      </c>
    </row>
    <row r="36" spans="2:16" ht="15" thickBot="1" x14ac:dyDescent="0.4">
      <c r="B36" s="161" t="s">
        <v>93</v>
      </c>
      <c r="C36" s="214"/>
      <c r="D36" s="214"/>
      <c r="E36" s="214"/>
      <c r="F36" s="214"/>
      <c r="G36" s="214"/>
      <c r="H36" s="214"/>
      <c r="I36" s="215"/>
      <c r="J36" s="216"/>
      <c r="K36" s="217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400-000000000000}">
      <formula1>$XFD$12:$XFD$17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B11" xr:uid="{00000000-0002-0000-0400-000002000000}">
      <formula1>$XFC$3:$XFC$4</formula1>
    </dataValidation>
  </dataValidations>
  <pageMargins left="0.7" right="0.7" top="0.75" bottom="0.75" header="0.3" footer="0.3"/>
  <pageSetup scale="88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4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7"/>
  <sheetViews>
    <sheetView workbookViewId="0">
      <selection sqref="A1:P3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4" t="s">
        <v>45</v>
      </c>
      <c r="B2" s="254"/>
      <c r="C2" s="254"/>
    </row>
    <row r="3" spans="1:19 16383:16384" ht="15" customHeight="1" x14ac:dyDescent="0.35">
      <c r="A3" s="239" t="s">
        <v>46</v>
      </c>
      <c r="B3" s="239"/>
      <c r="C3" s="239"/>
      <c r="F3" s="70"/>
      <c r="G3" s="71"/>
      <c r="K3" s="238" t="s">
        <v>47</v>
      </c>
      <c r="L3" s="238"/>
      <c r="M3" s="238"/>
      <c r="N3" s="239">
        <v>4</v>
      </c>
      <c r="O3" s="239"/>
      <c r="P3" s="23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9" t="s">
        <v>94</v>
      </c>
      <c r="B4" s="239"/>
      <c r="C4" s="239"/>
      <c r="F4" s="70"/>
      <c r="G4" s="71"/>
      <c r="K4" s="238" t="s">
        <v>49</v>
      </c>
      <c r="L4" s="238"/>
      <c r="M4" s="238"/>
      <c r="N4" s="252">
        <f ca="1">TODAY()</f>
        <v>46223</v>
      </c>
      <c r="O4" s="252"/>
      <c r="P4" s="25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5" t="s">
        <v>126</v>
      </c>
      <c r="B5" s="265"/>
      <c r="C5" s="265"/>
      <c r="F5" s="70"/>
      <c r="G5" s="71"/>
      <c r="K5" s="238" t="s">
        <v>51</v>
      </c>
      <c r="L5" s="238"/>
      <c r="M5" s="238"/>
      <c r="N5" s="252">
        <f ca="1">N4-1</f>
        <v>46222</v>
      </c>
      <c r="O5" s="239"/>
      <c r="P5" s="239"/>
      <c r="R5" s="70"/>
      <c r="S5" s="71"/>
    </row>
    <row r="6" spans="1:19 16383:16384" ht="15" customHeight="1" x14ac:dyDescent="0.35">
      <c r="A6" s="238" t="s">
        <v>127</v>
      </c>
      <c r="B6" s="238"/>
      <c r="C6" s="238"/>
      <c r="F6" s="70"/>
      <c r="G6" s="74"/>
      <c r="K6" s="238" t="s">
        <v>52</v>
      </c>
      <c r="L6" s="238"/>
      <c r="M6" s="238"/>
      <c r="N6" s="251" t="s">
        <v>104</v>
      </c>
      <c r="O6" s="251"/>
      <c r="P6" s="251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8"/>
      <c r="B7" s="238"/>
      <c r="C7" s="238"/>
      <c r="F7" s="70"/>
      <c r="G7" s="74"/>
      <c r="K7" s="238"/>
      <c r="L7" s="238"/>
      <c r="M7" s="238"/>
      <c r="N7" s="251"/>
      <c r="O7" s="251"/>
      <c r="P7" s="251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0"/>
      <c r="B8" s="250"/>
      <c r="C8" s="250"/>
      <c r="F8" s="70"/>
      <c r="G8" s="74"/>
      <c r="K8" s="238"/>
      <c r="L8" s="238"/>
      <c r="M8" s="238"/>
      <c r="N8" s="251"/>
      <c r="O8" s="251"/>
      <c r="P8" s="251"/>
      <c r="R8" s="70"/>
      <c r="S8" s="74"/>
    </row>
    <row r="9" spans="1:19 16383:16384" x14ac:dyDescent="0.35">
      <c r="A9" s="250"/>
      <c r="B9" s="250"/>
      <c r="C9" s="250"/>
      <c r="F9" s="70"/>
      <c r="G9" s="74"/>
      <c r="K9" s="238"/>
      <c r="L9" s="238"/>
      <c r="M9" s="238"/>
      <c r="N9" s="251"/>
      <c r="O9" s="251"/>
      <c r="P9" s="251"/>
      <c r="R9" s="70"/>
      <c r="S9" s="74"/>
      <c r="XFD9" t="s">
        <v>55</v>
      </c>
    </row>
    <row r="10" spans="1:19 16383:16384" x14ac:dyDescent="0.35">
      <c r="A10" s="236" t="s">
        <v>95</v>
      </c>
      <c r="B10" s="168" t="s">
        <v>136</v>
      </c>
      <c r="C10" s="75"/>
      <c r="F10" s="70"/>
      <c r="G10" s="71"/>
      <c r="K10" s="238" t="s">
        <v>56</v>
      </c>
      <c r="L10" s="238"/>
      <c r="M10" s="238"/>
      <c r="N10" s="239" t="s">
        <v>57</v>
      </c>
      <c r="O10" s="239"/>
      <c r="P10" s="239"/>
      <c r="R10" s="70"/>
      <c r="S10" s="71"/>
      <c r="XFD10" t="s">
        <v>58</v>
      </c>
    </row>
    <row r="11" spans="1:19 16383:16384" x14ac:dyDescent="0.35">
      <c r="A11" s="236"/>
      <c r="B11" s="76" t="s">
        <v>48</v>
      </c>
      <c r="C11" s="77" t="str">
        <f>IF($O34&gt;2.49%,"No","Yes")</f>
        <v>Yes</v>
      </c>
      <c r="F11" s="70"/>
      <c r="G11" s="71"/>
      <c r="K11" s="238" t="s">
        <v>59</v>
      </c>
      <c r="L11" s="238"/>
      <c r="M11" s="238"/>
      <c r="N11" s="239" t="s">
        <v>55</v>
      </c>
      <c r="O11" s="239"/>
      <c r="P11" s="239"/>
      <c r="R11" s="70"/>
      <c r="S11" s="71"/>
    </row>
    <row r="12" spans="1:19 16383:16384" ht="14.65" customHeight="1" x14ac:dyDescent="0.35">
      <c r="A12" s="236" t="s">
        <v>60</v>
      </c>
      <c r="B12" s="76" t="s">
        <v>53</v>
      </c>
      <c r="C12" s="77" t="str">
        <f>IF($O32&gt;21.99%,"No","Yes")</f>
        <v>Yes</v>
      </c>
      <c r="F12" s="70"/>
      <c r="G12" s="71"/>
      <c r="K12" s="238" t="s">
        <v>61</v>
      </c>
      <c r="L12" s="238"/>
      <c r="M12" s="238"/>
      <c r="N12" s="239"/>
      <c r="O12" s="239"/>
      <c r="P12" s="239"/>
      <c r="R12" s="70"/>
      <c r="S12" s="71"/>
      <c r="XFD12" t="s">
        <v>62</v>
      </c>
    </row>
    <row r="13" spans="1:19 16383:16384" ht="15" thickBot="1" x14ac:dyDescent="0.4">
      <c r="A13" s="237"/>
      <c r="B13" s="56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0" t="s">
        <v>64</v>
      </c>
      <c r="B14" s="241"/>
      <c r="C14" s="244" t="s">
        <v>65</v>
      </c>
      <c r="D14" s="80" t="s">
        <v>2</v>
      </c>
      <c r="E14" s="81" t="s">
        <v>66</v>
      </c>
      <c r="F14" s="82" t="s">
        <v>67</v>
      </c>
      <c r="G14" s="260" t="s">
        <v>68</v>
      </c>
      <c r="H14" s="261"/>
      <c r="I14" s="262" t="s">
        <v>69</v>
      </c>
      <c r="J14" s="260" t="s">
        <v>70</v>
      </c>
      <c r="K14" s="264"/>
      <c r="L14" s="261"/>
      <c r="M14" s="262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2"/>
      <c r="B15" s="243"/>
      <c r="C15" s="245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3"/>
      <c r="J15" s="88" t="s">
        <v>78</v>
      </c>
      <c r="K15" s="90" t="s">
        <v>79</v>
      </c>
      <c r="L15" s="91" t="s">
        <v>80</v>
      </c>
      <c r="M15" s="263"/>
      <c r="N15" s="92">
        <f>IF(B12="Registered",18%,22%)</f>
        <v>0.18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40</v>
      </c>
      <c r="I19" s="116">
        <f t="shared" si="2"/>
        <v>2905.6</v>
      </c>
      <c r="J19" s="117"/>
      <c r="K19" s="104">
        <f t="shared" si="3"/>
        <v>101.69600000000001</v>
      </c>
      <c r="L19" s="105">
        <f t="shared" si="4"/>
        <v>232.44800000000001</v>
      </c>
      <c r="M19" s="118">
        <f t="shared" si="5"/>
        <v>2571.4560000000001</v>
      </c>
      <c r="N19" s="118">
        <f t="shared" si="0"/>
        <v>462.86207999999999</v>
      </c>
      <c r="O19" s="119">
        <f t="shared" si="6"/>
        <v>15.171590399999999</v>
      </c>
      <c r="P19" s="120">
        <f t="shared" si="1"/>
        <v>3049.4896703999998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>
        <v>40</v>
      </c>
      <c r="I20" s="116">
        <f t="shared" si="2"/>
        <v>2905.6</v>
      </c>
      <c r="J20" s="117"/>
      <c r="K20" s="104">
        <f t="shared" si="3"/>
        <v>101.69600000000001</v>
      </c>
      <c r="L20" s="105">
        <f t="shared" si="4"/>
        <v>232.44800000000001</v>
      </c>
      <c r="M20" s="118">
        <f t="shared" si="5"/>
        <v>2571.4560000000001</v>
      </c>
      <c r="N20" s="118">
        <f t="shared" si="0"/>
        <v>462.86207999999999</v>
      </c>
      <c r="O20" s="119">
        <f t="shared" si="6"/>
        <v>15.171590399999999</v>
      </c>
      <c r="P20" s="120">
        <f t="shared" si="1"/>
        <v>3049.4896703999998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8" t="s">
        <v>84</v>
      </c>
      <c r="B25" s="219"/>
      <c r="C25" s="220"/>
      <c r="D25" s="214"/>
      <c r="E25" s="214"/>
      <c r="F25" s="259"/>
      <c r="G25" s="135">
        <f t="shared" ref="G25:M25" si="9">SUM(G16:G24)</f>
        <v>0</v>
      </c>
      <c r="H25" s="136">
        <f t="shared" si="9"/>
        <v>80</v>
      </c>
      <c r="I25" s="137">
        <f t="shared" si="9"/>
        <v>5811.2</v>
      </c>
      <c r="J25" s="138"/>
      <c r="K25" s="139">
        <f t="shared" si="9"/>
        <v>203.39200000000002</v>
      </c>
      <c r="L25" s="140">
        <f t="shared" si="9"/>
        <v>464.89600000000002</v>
      </c>
      <c r="M25" s="141">
        <f t="shared" si="9"/>
        <v>5142.9120000000003</v>
      </c>
      <c r="N25" s="142">
        <f>SUM(N16:N24)</f>
        <v>925.72415999999998</v>
      </c>
      <c r="O25" s="143">
        <f>SUM(O16:O24)</f>
        <v>30.343180799999999</v>
      </c>
      <c r="P25" s="144">
        <f>SUM(P16:P24)</f>
        <v>6098.9793407999996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1" t="s">
        <v>85</v>
      </c>
      <c r="C28" s="222"/>
      <c r="D28" s="222"/>
      <c r="E28" s="222"/>
      <c r="F28" s="222"/>
      <c r="G28" s="222"/>
      <c r="H28" s="222"/>
      <c r="I28" s="222"/>
      <c r="J28" s="222"/>
      <c r="K28" s="222"/>
      <c r="L28" s="223"/>
      <c r="N28" s="230" t="s">
        <v>86</v>
      </c>
      <c r="O28" s="231"/>
      <c r="P28" s="152">
        <f>I25</f>
        <v>5811.2</v>
      </c>
    </row>
    <row r="29" spans="1:19 16384:16384" ht="15" customHeight="1" x14ac:dyDescent="0.35">
      <c r="B29" s="224"/>
      <c r="C29" s="225"/>
      <c r="D29" s="225"/>
      <c r="E29" s="225"/>
      <c r="F29" s="225"/>
      <c r="G29" s="225"/>
      <c r="H29" s="225"/>
      <c r="I29" s="225"/>
      <c r="J29" s="225"/>
      <c r="K29" s="225"/>
      <c r="L29" s="226"/>
      <c r="N29" s="232" t="s">
        <v>87</v>
      </c>
      <c r="O29" s="233"/>
      <c r="P29" s="153">
        <f>L25</f>
        <v>464.89600000000002</v>
      </c>
    </row>
    <row r="30" spans="1:19 16384:16384" ht="15" customHeight="1" x14ac:dyDescent="0.35">
      <c r="B30" s="224"/>
      <c r="C30" s="225"/>
      <c r="D30" s="225"/>
      <c r="E30" s="225"/>
      <c r="F30" s="225"/>
      <c r="G30" s="225"/>
      <c r="H30" s="225"/>
      <c r="I30" s="225"/>
      <c r="J30" s="225"/>
      <c r="K30" s="225"/>
      <c r="L30" s="226"/>
      <c r="N30" s="232" t="s">
        <v>4</v>
      </c>
      <c r="O30" s="233"/>
      <c r="P30" s="154">
        <f>K25</f>
        <v>203.39200000000002</v>
      </c>
    </row>
    <row r="31" spans="1:19 16384:16384" ht="15" customHeight="1" x14ac:dyDescent="0.35">
      <c r="B31" s="224"/>
      <c r="C31" s="225"/>
      <c r="D31" s="225"/>
      <c r="E31" s="225"/>
      <c r="F31" s="225"/>
      <c r="G31" s="225"/>
      <c r="H31" s="225"/>
      <c r="I31" s="225"/>
      <c r="J31" s="225"/>
      <c r="K31" s="225"/>
      <c r="L31" s="226"/>
      <c r="M31" s="2"/>
      <c r="N31" s="232" t="s">
        <v>88</v>
      </c>
      <c r="O31" s="233"/>
      <c r="P31" s="153">
        <f>P28-P29-P30</f>
        <v>5142.9120000000003</v>
      </c>
    </row>
    <row r="32" spans="1:19 16384:16384" ht="15" customHeight="1" x14ac:dyDescent="0.35">
      <c r="B32" s="224"/>
      <c r="C32" s="225"/>
      <c r="D32" s="225"/>
      <c r="E32" s="225"/>
      <c r="F32" s="225"/>
      <c r="G32" s="225"/>
      <c r="H32" s="225"/>
      <c r="I32" s="225"/>
      <c r="J32" s="225"/>
      <c r="K32" s="225"/>
      <c r="L32" s="226"/>
      <c r="M32" s="2"/>
      <c r="N32" s="155" t="s">
        <v>89</v>
      </c>
      <c r="O32" s="156">
        <f>IF(B12="Registered",18%,22%)</f>
        <v>0.18</v>
      </c>
      <c r="P32" s="153">
        <f>N25</f>
        <v>925.72415999999998</v>
      </c>
    </row>
    <row r="33" spans="2:16" ht="15" customHeight="1" x14ac:dyDescent="0.35">
      <c r="B33" s="224"/>
      <c r="C33" s="225"/>
      <c r="D33" s="225"/>
      <c r="E33" s="225"/>
      <c r="F33" s="225"/>
      <c r="G33" s="225"/>
      <c r="H33" s="225"/>
      <c r="I33" s="225"/>
      <c r="J33" s="225"/>
      <c r="K33" s="225"/>
      <c r="L33" s="226"/>
      <c r="M33" s="2"/>
      <c r="N33" s="234" t="s">
        <v>90</v>
      </c>
      <c r="O33" s="235"/>
      <c r="P33" s="153">
        <f>P31+P32</f>
        <v>6068.63616</v>
      </c>
    </row>
    <row r="34" spans="2:16" ht="15" customHeight="1" thickBot="1" x14ac:dyDescent="0.4">
      <c r="B34" s="227"/>
      <c r="C34" s="228"/>
      <c r="D34" s="228"/>
      <c r="E34" s="228"/>
      <c r="F34" s="228"/>
      <c r="G34" s="228"/>
      <c r="H34" s="228"/>
      <c r="I34" s="228"/>
      <c r="J34" s="228"/>
      <c r="K34" s="228"/>
      <c r="L34" s="229"/>
      <c r="M34" s="157"/>
      <c r="N34" s="158" t="s">
        <v>91</v>
      </c>
      <c r="O34" s="159">
        <f>IF(B11="Filer",0.5%,2.5%)</f>
        <v>5.0000000000000001E-3</v>
      </c>
      <c r="P34" s="153">
        <f>O34*P33</f>
        <v>30.343180799999999</v>
      </c>
    </row>
    <row r="35" spans="2:16" ht="15.75" customHeight="1" thickBot="1" x14ac:dyDescent="0.4">
      <c r="N35" s="212" t="s">
        <v>92</v>
      </c>
      <c r="O35" s="213"/>
      <c r="P35" s="160">
        <f>P33+P34</f>
        <v>6098.9793407999996</v>
      </c>
    </row>
    <row r="36" spans="2:16" ht="15" thickBot="1" x14ac:dyDescent="0.4">
      <c r="B36" s="161" t="s">
        <v>93</v>
      </c>
      <c r="C36" s="214"/>
      <c r="D36" s="214"/>
      <c r="E36" s="214"/>
      <c r="F36" s="214"/>
      <c r="G36" s="214"/>
      <c r="H36" s="214"/>
      <c r="I36" s="215"/>
      <c r="J36" s="216"/>
      <c r="K36" s="217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600-000000000000}">
      <formula1>$XFD$12:$XFD$17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B11" xr:uid="{00000000-0002-0000-06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7"/>
  <sheetViews>
    <sheetView topLeftCell="A4" workbookViewId="0">
      <selection sqref="A1:P3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6" width="9.5429687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4" t="s">
        <v>45</v>
      </c>
      <c r="B2" s="254"/>
      <c r="C2" s="254"/>
    </row>
    <row r="3" spans="1:19 16383:16384" ht="15" customHeight="1" x14ac:dyDescent="0.35">
      <c r="A3" s="239" t="s">
        <v>46</v>
      </c>
      <c r="B3" s="239"/>
      <c r="C3" s="239"/>
      <c r="F3" s="70"/>
      <c r="G3" s="71"/>
      <c r="K3" s="238" t="s">
        <v>47</v>
      </c>
      <c r="L3" s="238"/>
      <c r="M3" s="238"/>
      <c r="N3" s="239">
        <v>3</v>
      </c>
      <c r="O3" s="239"/>
      <c r="P3" s="23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9" t="s">
        <v>94</v>
      </c>
      <c r="B4" s="239"/>
      <c r="C4" s="239"/>
      <c r="F4" s="70"/>
      <c r="G4" s="71"/>
      <c r="K4" s="238" t="s">
        <v>49</v>
      </c>
      <c r="L4" s="238"/>
      <c r="M4" s="238"/>
      <c r="N4" s="252">
        <f ca="1">TODAY()</f>
        <v>46223</v>
      </c>
      <c r="O4" s="252"/>
      <c r="P4" s="25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5" t="s">
        <v>128</v>
      </c>
      <c r="B5" s="265"/>
      <c r="C5" s="265"/>
      <c r="F5" s="70"/>
      <c r="G5" s="71"/>
      <c r="K5" s="238" t="s">
        <v>51</v>
      </c>
      <c r="L5" s="238"/>
      <c r="M5" s="238"/>
      <c r="N5" s="252">
        <f ca="1">N4-1</f>
        <v>46222</v>
      </c>
      <c r="O5" s="239"/>
      <c r="P5" s="239"/>
      <c r="R5" s="70"/>
      <c r="S5" s="71"/>
    </row>
    <row r="6" spans="1:19 16383:16384" ht="15" customHeight="1" x14ac:dyDescent="0.35">
      <c r="A6" s="238" t="s">
        <v>127</v>
      </c>
      <c r="B6" s="238"/>
      <c r="C6" s="238"/>
      <c r="F6" s="70"/>
      <c r="G6" s="74"/>
      <c r="K6" s="238" t="s">
        <v>52</v>
      </c>
      <c r="L6" s="238"/>
      <c r="M6" s="238"/>
      <c r="N6" s="251" t="s">
        <v>104</v>
      </c>
      <c r="O6" s="251"/>
      <c r="P6" s="251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8"/>
      <c r="B7" s="238"/>
      <c r="C7" s="238"/>
      <c r="F7" s="70"/>
      <c r="G7" s="74"/>
      <c r="K7" s="238"/>
      <c r="L7" s="238"/>
      <c r="M7" s="238"/>
      <c r="N7" s="251"/>
      <c r="O7" s="251"/>
      <c r="P7" s="251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0"/>
      <c r="B8" s="250"/>
      <c r="C8" s="250"/>
      <c r="F8" s="70"/>
      <c r="G8" s="74"/>
      <c r="K8" s="238"/>
      <c r="L8" s="238"/>
      <c r="M8" s="238"/>
      <c r="N8" s="251"/>
      <c r="O8" s="251"/>
      <c r="P8" s="251"/>
      <c r="R8" s="70"/>
      <c r="S8" s="74"/>
    </row>
    <row r="9" spans="1:19 16383:16384" x14ac:dyDescent="0.35">
      <c r="A9" s="250"/>
      <c r="B9" s="250"/>
      <c r="C9" s="250"/>
      <c r="F9" s="70"/>
      <c r="G9" s="74"/>
      <c r="K9" s="238"/>
      <c r="L9" s="238"/>
      <c r="M9" s="238"/>
      <c r="N9" s="251"/>
      <c r="O9" s="251"/>
      <c r="P9" s="251"/>
      <c r="R9" s="70"/>
      <c r="S9" s="74"/>
      <c r="XFD9" t="s">
        <v>55</v>
      </c>
    </row>
    <row r="10" spans="1:19 16383:16384" ht="17.5" x14ac:dyDescent="0.35">
      <c r="A10" s="236" t="s">
        <v>95</v>
      </c>
      <c r="B10" s="191"/>
      <c r="C10" s="75"/>
      <c r="F10" s="70"/>
      <c r="G10" s="71"/>
      <c r="K10" s="238" t="s">
        <v>56</v>
      </c>
      <c r="L10" s="238"/>
      <c r="M10" s="238"/>
      <c r="N10" s="239" t="s">
        <v>57</v>
      </c>
      <c r="O10" s="239"/>
      <c r="P10" s="239"/>
      <c r="R10" s="70"/>
      <c r="S10" s="71"/>
      <c r="XFD10" t="s">
        <v>58</v>
      </c>
    </row>
    <row r="11" spans="1:19 16383:16384" x14ac:dyDescent="0.35">
      <c r="A11" s="236"/>
      <c r="B11" s="76" t="s">
        <v>50</v>
      </c>
      <c r="C11" s="77" t="str">
        <f>IF($O34&gt;2.49%,"No","Yes")</f>
        <v>No</v>
      </c>
      <c r="F11" s="70"/>
      <c r="G11" s="71"/>
      <c r="K11" s="238" t="s">
        <v>59</v>
      </c>
      <c r="L11" s="238"/>
      <c r="M11" s="238"/>
      <c r="N11" s="239" t="s">
        <v>55</v>
      </c>
      <c r="O11" s="239"/>
      <c r="P11" s="239"/>
      <c r="R11" s="70"/>
      <c r="S11" s="71"/>
    </row>
    <row r="12" spans="1:19 16383:16384" ht="14.65" customHeight="1" x14ac:dyDescent="0.35">
      <c r="A12" s="236" t="s">
        <v>60</v>
      </c>
      <c r="B12" s="76" t="s">
        <v>53</v>
      </c>
      <c r="C12" s="77" t="str">
        <f>IF($O32&gt;21.99%,"No","Yes")</f>
        <v>Yes</v>
      </c>
      <c r="F12" s="70"/>
      <c r="G12" s="71"/>
      <c r="K12" s="238" t="s">
        <v>61</v>
      </c>
      <c r="L12" s="238"/>
      <c r="M12" s="238"/>
      <c r="N12" s="239"/>
      <c r="O12" s="239"/>
      <c r="P12" s="239"/>
      <c r="R12" s="70"/>
      <c r="S12" s="71"/>
      <c r="XFD12" t="s">
        <v>62</v>
      </c>
    </row>
    <row r="13" spans="1:19 16383:16384" ht="15" thickBot="1" x14ac:dyDescent="0.4">
      <c r="A13" s="237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0" t="s">
        <v>64</v>
      </c>
      <c r="B14" s="241"/>
      <c r="C14" s="244" t="s">
        <v>65</v>
      </c>
      <c r="D14" s="80" t="s">
        <v>2</v>
      </c>
      <c r="E14" s="81" t="s">
        <v>66</v>
      </c>
      <c r="F14" s="82" t="s">
        <v>67</v>
      </c>
      <c r="G14" s="260" t="s">
        <v>68</v>
      </c>
      <c r="H14" s="261"/>
      <c r="I14" s="262" t="s">
        <v>69</v>
      </c>
      <c r="J14" s="260" t="s">
        <v>70</v>
      </c>
      <c r="K14" s="264"/>
      <c r="L14" s="261"/>
      <c r="M14" s="262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2"/>
      <c r="B15" s="243"/>
      <c r="C15" s="245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3"/>
      <c r="J15" s="88" t="s">
        <v>78</v>
      </c>
      <c r="K15" s="90" t="s">
        <v>79</v>
      </c>
      <c r="L15" s="91" t="s">
        <v>80</v>
      </c>
      <c r="M15" s="263"/>
      <c r="N15" s="92">
        <f>IF(B12="Registered",18%,22%)</f>
        <v>0.18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>
        <v>6</v>
      </c>
      <c r="I16" s="102">
        <f>(G16*D16)*F16+H16*F16</f>
        <v>314.77499999999998</v>
      </c>
      <c r="J16" s="103"/>
      <c r="K16" s="104">
        <f>I16*3.5%</f>
        <v>11.017125</v>
      </c>
      <c r="L16" s="105">
        <f>I16*8%</f>
        <v>25.181999999999999</v>
      </c>
      <c r="M16" s="106">
        <f>I16-K16-L16</f>
        <v>278.57587499999994</v>
      </c>
      <c r="N16" s="106">
        <f t="shared" ref="N16:N24" si="0">(M16*$N$15)+(J16*F16)*$N$15</f>
        <v>50.143657499999989</v>
      </c>
      <c r="O16" s="107">
        <f>(N16+M16)*$O$15</f>
        <v>8.2179883124999975</v>
      </c>
      <c r="P16" s="105">
        <f t="shared" ref="P16:P24" si="1">M16+N16+O16</f>
        <v>336.93752081249988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>
        <v>6</v>
      </c>
      <c r="I17" s="116">
        <f t="shared" ref="I17:I23" si="2">(G17*D17)*F17+H17*F17</f>
        <v>314.77499999999998</v>
      </c>
      <c r="J17" s="117"/>
      <c r="K17" s="104">
        <f t="shared" ref="K17:K21" si="3">I17*3.5%</f>
        <v>11.017125</v>
      </c>
      <c r="L17" s="105">
        <f t="shared" ref="L17:L21" si="4">I17*8%</f>
        <v>25.181999999999999</v>
      </c>
      <c r="M17" s="118">
        <f t="shared" ref="M17:M23" si="5">I17-K17-L17</f>
        <v>278.57587499999994</v>
      </c>
      <c r="N17" s="118">
        <f t="shared" si="0"/>
        <v>50.143657499999989</v>
      </c>
      <c r="O17" s="119">
        <f t="shared" ref="O17:O24" si="6">(N17+M17)*$O$15</f>
        <v>8.2179883124999975</v>
      </c>
      <c r="P17" s="120">
        <f t="shared" si="1"/>
        <v>336.93752081249988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ht="15" thickBot="1" x14ac:dyDescent="0.4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hidden="1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hidden="1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8" t="s">
        <v>84</v>
      </c>
      <c r="B25" s="219"/>
      <c r="C25" s="220"/>
      <c r="D25" s="214"/>
      <c r="E25" s="214"/>
      <c r="F25" s="259"/>
      <c r="G25" s="135">
        <f t="shared" ref="G25:M25" si="9">SUM(G16:G24)</f>
        <v>0</v>
      </c>
      <c r="H25" s="136">
        <f t="shared" si="9"/>
        <v>12</v>
      </c>
      <c r="I25" s="137">
        <f t="shared" si="9"/>
        <v>629.54999999999995</v>
      </c>
      <c r="J25" s="138"/>
      <c r="K25" s="139">
        <f t="shared" si="9"/>
        <v>22.03425</v>
      </c>
      <c r="L25" s="140">
        <f t="shared" si="9"/>
        <v>50.363999999999997</v>
      </c>
      <c r="M25" s="141">
        <f t="shared" si="9"/>
        <v>557.15174999999988</v>
      </c>
      <c r="N25" s="142">
        <f>SUM(N16:N24)</f>
        <v>100.28731499999998</v>
      </c>
      <c r="O25" s="143">
        <f>SUM(O16:O24)</f>
        <v>16.435976624999995</v>
      </c>
      <c r="P25" s="144">
        <f>SUM(P16:P24)</f>
        <v>673.87504162499977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1" t="s">
        <v>85</v>
      </c>
      <c r="C28" s="222"/>
      <c r="D28" s="222"/>
      <c r="E28" s="222"/>
      <c r="F28" s="222"/>
      <c r="G28" s="222"/>
      <c r="H28" s="222"/>
      <c r="I28" s="222"/>
      <c r="J28" s="222"/>
      <c r="K28" s="222"/>
      <c r="L28" s="223"/>
      <c r="N28" s="230" t="s">
        <v>86</v>
      </c>
      <c r="O28" s="231"/>
      <c r="P28" s="152">
        <f>I25</f>
        <v>629.54999999999995</v>
      </c>
    </row>
    <row r="29" spans="1:19 16384:16384" ht="15" customHeight="1" x14ac:dyDescent="0.35">
      <c r="B29" s="224"/>
      <c r="C29" s="225"/>
      <c r="D29" s="225"/>
      <c r="E29" s="225"/>
      <c r="F29" s="225"/>
      <c r="G29" s="225"/>
      <c r="H29" s="225"/>
      <c r="I29" s="225"/>
      <c r="J29" s="225"/>
      <c r="K29" s="225"/>
      <c r="L29" s="226"/>
      <c r="N29" s="232" t="s">
        <v>87</v>
      </c>
      <c r="O29" s="233"/>
      <c r="P29" s="153">
        <f>L25</f>
        <v>50.363999999999997</v>
      </c>
    </row>
    <row r="30" spans="1:19 16384:16384" ht="15" customHeight="1" x14ac:dyDescent="0.35">
      <c r="B30" s="224"/>
      <c r="C30" s="225"/>
      <c r="D30" s="225"/>
      <c r="E30" s="225"/>
      <c r="F30" s="225"/>
      <c r="G30" s="225"/>
      <c r="H30" s="225"/>
      <c r="I30" s="225"/>
      <c r="J30" s="225"/>
      <c r="K30" s="225"/>
      <c r="L30" s="226"/>
      <c r="N30" s="232" t="s">
        <v>4</v>
      </c>
      <c r="O30" s="233"/>
      <c r="P30" s="154">
        <f>K25</f>
        <v>22.03425</v>
      </c>
    </row>
    <row r="31" spans="1:19 16384:16384" ht="15" customHeight="1" x14ac:dyDescent="0.35">
      <c r="B31" s="224"/>
      <c r="C31" s="225"/>
      <c r="D31" s="225"/>
      <c r="E31" s="225"/>
      <c r="F31" s="225"/>
      <c r="G31" s="225"/>
      <c r="H31" s="225"/>
      <c r="I31" s="225"/>
      <c r="J31" s="225"/>
      <c r="K31" s="225"/>
      <c r="L31" s="226"/>
      <c r="M31" s="2"/>
      <c r="N31" s="232" t="s">
        <v>88</v>
      </c>
      <c r="O31" s="233"/>
      <c r="P31" s="153">
        <f>P28-P29-P30</f>
        <v>557.15174999999988</v>
      </c>
    </row>
    <row r="32" spans="1:19 16384:16384" ht="15" customHeight="1" x14ac:dyDescent="0.35">
      <c r="B32" s="224"/>
      <c r="C32" s="225"/>
      <c r="D32" s="225"/>
      <c r="E32" s="225"/>
      <c r="F32" s="225"/>
      <c r="G32" s="225"/>
      <c r="H32" s="225"/>
      <c r="I32" s="225"/>
      <c r="J32" s="225"/>
      <c r="K32" s="225"/>
      <c r="L32" s="226"/>
      <c r="M32" s="2"/>
      <c r="N32" s="155" t="s">
        <v>89</v>
      </c>
      <c r="O32" s="156">
        <f>IF(B12="Registered",18%,22%)</f>
        <v>0.18</v>
      </c>
      <c r="P32" s="153">
        <f>N25</f>
        <v>100.28731499999998</v>
      </c>
    </row>
    <row r="33" spans="2:16" ht="15" customHeight="1" x14ac:dyDescent="0.35">
      <c r="B33" s="224"/>
      <c r="C33" s="225"/>
      <c r="D33" s="225"/>
      <c r="E33" s="225"/>
      <c r="F33" s="225"/>
      <c r="G33" s="225"/>
      <c r="H33" s="225"/>
      <c r="I33" s="225"/>
      <c r="J33" s="225"/>
      <c r="K33" s="225"/>
      <c r="L33" s="226"/>
      <c r="M33" s="2"/>
      <c r="N33" s="234" t="s">
        <v>90</v>
      </c>
      <c r="O33" s="235"/>
      <c r="P33" s="153">
        <f>P31+P32</f>
        <v>657.4390649999998</v>
      </c>
    </row>
    <row r="34" spans="2:16" ht="15" customHeight="1" thickBot="1" x14ac:dyDescent="0.4">
      <c r="B34" s="227"/>
      <c r="C34" s="228"/>
      <c r="D34" s="228"/>
      <c r="E34" s="228"/>
      <c r="F34" s="228"/>
      <c r="G34" s="228"/>
      <c r="H34" s="228"/>
      <c r="I34" s="228"/>
      <c r="J34" s="228"/>
      <c r="K34" s="228"/>
      <c r="L34" s="229"/>
      <c r="M34" s="157"/>
      <c r="N34" s="158" t="s">
        <v>91</v>
      </c>
      <c r="O34" s="159">
        <f>IF(B11="Filer",0.5%,2.5%)</f>
        <v>2.5000000000000001E-2</v>
      </c>
      <c r="P34" s="153">
        <f>O34*P33</f>
        <v>16.435976624999995</v>
      </c>
    </row>
    <row r="35" spans="2:16" ht="15.75" customHeight="1" thickBot="1" x14ac:dyDescent="0.4">
      <c r="N35" s="212" t="s">
        <v>92</v>
      </c>
      <c r="O35" s="213"/>
      <c r="P35" s="160">
        <f>P33+P34</f>
        <v>673.87504162499977</v>
      </c>
    </row>
    <row r="36" spans="2:16" ht="15" thickBot="1" x14ac:dyDescent="0.4">
      <c r="B36" s="161" t="s">
        <v>93</v>
      </c>
      <c r="C36" s="214"/>
      <c r="D36" s="214"/>
      <c r="E36" s="214"/>
      <c r="F36" s="214"/>
      <c r="G36" s="214"/>
      <c r="H36" s="214"/>
      <c r="I36" s="215"/>
      <c r="J36" s="216"/>
      <c r="K36" s="217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500-000000000000}">
      <formula1>$XFC$3:$XFC$4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N9:P9" xr:uid="{00000000-0002-0000-05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7"/>
  <sheetViews>
    <sheetView workbookViewId="0">
      <selection sqref="A1:P3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8.726562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4" t="s">
        <v>45</v>
      </c>
      <c r="B2" s="254"/>
      <c r="C2" s="254"/>
    </row>
    <row r="3" spans="1:19 16383:16384" ht="15" customHeight="1" x14ac:dyDescent="0.35">
      <c r="A3" s="239" t="s">
        <v>46</v>
      </c>
      <c r="B3" s="239"/>
      <c r="C3" s="239"/>
      <c r="F3" s="70"/>
      <c r="G3" s="71"/>
      <c r="K3" s="238" t="s">
        <v>47</v>
      </c>
      <c r="L3" s="238"/>
      <c r="M3" s="238"/>
      <c r="N3" s="239">
        <v>5</v>
      </c>
      <c r="O3" s="239"/>
      <c r="P3" s="23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9" t="s">
        <v>94</v>
      </c>
      <c r="B4" s="239"/>
      <c r="C4" s="239"/>
      <c r="F4" s="70"/>
      <c r="G4" s="71"/>
      <c r="K4" s="238" t="s">
        <v>49</v>
      </c>
      <c r="L4" s="238"/>
      <c r="M4" s="238"/>
      <c r="N4" s="252">
        <f ca="1">TODAY()</f>
        <v>46223</v>
      </c>
      <c r="O4" s="252"/>
      <c r="P4" s="25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5" t="s">
        <v>129</v>
      </c>
      <c r="B5" s="265"/>
      <c r="C5" s="265"/>
      <c r="F5" s="70"/>
      <c r="G5" s="71"/>
      <c r="K5" s="238" t="s">
        <v>51</v>
      </c>
      <c r="L5" s="238"/>
      <c r="M5" s="238"/>
      <c r="N5" s="252">
        <f ca="1">N4-1</f>
        <v>46222</v>
      </c>
      <c r="O5" s="239"/>
      <c r="P5" s="239"/>
      <c r="R5" s="70"/>
      <c r="S5" s="71"/>
    </row>
    <row r="6" spans="1:19 16383:16384" ht="15" customHeight="1" x14ac:dyDescent="0.35">
      <c r="A6" s="238" t="s">
        <v>127</v>
      </c>
      <c r="B6" s="238"/>
      <c r="C6" s="238"/>
      <c r="F6" s="70"/>
      <c r="G6" s="74"/>
      <c r="K6" s="238" t="s">
        <v>52</v>
      </c>
      <c r="L6" s="238"/>
      <c r="M6" s="238"/>
      <c r="N6" s="251" t="s">
        <v>104</v>
      </c>
      <c r="O6" s="251"/>
      <c r="P6" s="251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8"/>
      <c r="B7" s="238"/>
      <c r="C7" s="238"/>
      <c r="F7" s="70"/>
      <c r="G7" s="74"/>
      <c r="K7" s="238"/>
      <c r="L7" s="238"/>
      <c r="M7" s="238"/>
      <c r="N7" s="251"/>
      <c r="O7" s="251"/>
      <c r="P7" s="251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0"/>
      <c r="B8" s="250"/>
      <c r="C8" s="250"/>
      <c r="F8" s="70"/>
      <c r="G8" s="74"/>
      <c r="K8" s="238"/>
      <c r="L8" s="238"/>
      <c r="M8" s="238"/>
      <c r="N8" s="251"/>
      <c r="O8" s="251"/>
      <c r="P8" s="251"/>
      <c r="R8" s="70"/>
      <c r="S8" s="74"/>
    </row>
    <row r="9" spans="1:19 16383:16384" x14ac:dyDescent="0.35">
      <c r="A9" s="250"/>
      <c r="B9" s="250"/>
      <c r="C9" s="250"/>
      <c r="F9" s="70"/>
      <c r="G9" s="74"/>
      <c r="K9" s="238"/>
      <c r="L9" s="238"/>
      <c r="M9" s="238"/>
      <c r="N9" s="251"/>
      <c r="O9" s="251"/>
      <c r="P9" s="251"/>
      <c r="R9" s="70"/>
      <c r="S9" s="74"/>
      <c r="XFD9" t="s">
        <v>55</v>
      </c>
    </row>
    <row r="10" spans="1:19 16383:16384" ht="17.5" x14ac:dyDescent="0.35">
      <c r="A10" s="236" t="s">
        <v>95</v>
      </c>
      <c r="B10" s="191"/>
      <c r="C10" s="75"/>
      <c r="F10" s="70"/>
      <c r="G10" s="71"/>
      <c r="K10" s="238" t="s">
        <v>56</v>
      </c>
      <c r="L10" s="238"/>
      <c r="M10" s="238"/>
      <c r="N10" s="239" t="s">
        <v>57</v>
      </c>
      <c r="O10" s="239"/>
      <c r="P10" s="239"/>
      <c r="R10" s="70"/>
      <c r="S10" s="71"/>
      <c r="XFD10" t="s">
        <v>58</v>
      </c>
    </row>
    <row r="11" spans="1:19 16383:16384" x14ac:dyDescent="0.35">
      <c r="A11" s="236"/>
      <c r="B11" s="76" t="s">
        <v>50</v>
      </c>
      <c r="C11" s="77" t="str">
        <f>IF($O34&gt;2.49%,"No","Yes")</f>
        <v>No</v>
      </c>
      <c r="F11" s="70"/>
      <c r="G11" s="71"/>
      <c r="K11" s="238" t="s">
        <v>59</v>
      </c>
      <c r="L11" s="238"/>
      <c r="M11" s="238"/>
      <c r="N11" s="239" t="s">
        <v>55</v>
      </c>
      <c r="O11" s="239"/>
      <c r="P11" s="239"/>
      <c r="R11" s="70"/>
      <c r="S11" s="71"/>
    </row>
    <row r="12" spans="1:19 16383:16384" ht="14.65" customHeight="1" x14ac:dyDescent="0.35">
      <c r="A12" s="236" t="s">
        <v>60</v>
      </c>
      <c r="B12" s="76" t="s">
        <v>53</v>
      </c>
      <c r="C12" s="77" t="str">
        <f>IF($O32&gt;21.99%,"No","Yes")</f>
        <v>Yes</v>
      </c>
      <c r="F12" s="70"/>
      <c r="G12" s="71"/>
      <c r="K12" s="238" t="s">
        <v>61</v>
      </c>
      <c r="L12" s="238"/>
      <c r="M12" s="238"/>
      <c r="N12" s="239"/>
      <c r="O12" s="239"/>
      <c r="P12" s="239"/>
      <c r="R12" s="70"/>
      <c r="S12" s="71"/>
      <c r="XFD12" t="s">
        <v>62</v>
      </c>
    </row>
    <row r="13" spans="1:19 16383:16384" ht="15" thickBot="1" x14ac:dyDescent="0.4">
      <c r="A13" s="237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0" t="s">
        <v>64</v>
      </c>
      <c r="B14" s="241"/>
      <c r="C14" s="244" t="s">
        <v>65</v>
      </c>
      <c r="D14" s="80" t="s">
        <v>2</v>
      </c>
      <c r="E14" s="81" t="s">
        <v>66</v>
      </c>
      <c r="F14" s="82" t="s">
        <v>67</v>
      </c>
      <c r="G14" s="260" t="s">
        <v>68</v>
      </c>
      <c r="H14" s="261"/>
      <c r="I14" s="262" t="s">
        <v>69</v>
      </c>
      <c r="J14" s="260" t="s">
        <v>70</v>
      </c>
      <c r="K14" s="264"/>
      <c r="L14" s="261"/>
      <c r="M14" s="262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2"/>
      <c r="B15" s="243"/>
      <c r="C15" s="245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3"/>
      <c r="J15" s="88" t="s">
        <v>78</v>
      </c>
      <c r="K15" s="90" t="s">
        <v>79</v>
      </c>
      <c r="L15" s="91" t="s">
        <v>80</v>
      </c>
      <c r="M15" s="263"/>
      <c r="N15" s="92">
        <f>IF(B12="Registered",18%,22%)</f>
        <v>0.18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40</v>
      </c>
      <c r="I22" s="116">
        <f t="shared" si="2"/>
        <v>1569.2000000000003</v>
      </c>
      <c r="J22" s="117"/>
      <c r="K22" s="104">
        <f>I22*8.6%</f>
        <v>134.9512</v>
      </c>
      <c r="L22" s="120">
        <f>I22*5%</f>
        <v>78.460000000000022</v>
      </c>
      <c r="M22" s="118">
        <f t="shared" si="5"/>
        <v>1355.7888000000003</v>
      </c>
      <c r="N22" s="118">
        <f t="shared" si="0"/>
        <v>244.04198400000004</v>
      </c>
      <c r="O22" s="119">
        <f t="shared" si="6"/>
        <v>39.99576960000001</v>
      </c>
      <c r="P22" s="120">
        <f t="shared" si="1"/>
        <v>1639.8265536000001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8" t="s">
        <v>84</v>
      </c>
      <c r="B25" s="219"/>
      <c r="C25" s="220"/>
      <c r="D25" s="214"/>
      <c r="E25" s="214"/>
      <c r="F25" s="259"/>
      <c r="G25" s="135">
        <f t="shared" ref="G25:M25" si="9">SUM(G16:G24)</f>
        <v>0</v>
      </c>
      <c r="H25" s="136">
        <f t="shared" si="9"/>
        <v>40</v>
      </c>
      <c r="I25" s="137">
        <f t="shared" si="9"/>
        <v>1569.2000000000003</v>
      </c>
      <c r="J25" s="138"/>
      <c r="K25" s="139">
        <f t="shared" si="9"/>
        <v>134.9512</v>
      </c>
      <c r="L25" s="140">
        <f t="shared" si="9"/>
        <v>78.460000000000022</v>
      </c>
      <c r="M25" s="141">
        <f t="shared" si="9"/>
        <v>1355.7888000000003</v>
      </c>
      <c r="N25" s="142">
        <f>SUM(N16:N24)</f>
        <v>244.04198400000004</v>
      </c>
      <c r="O25" s="143">
        <f>SUM(O16:O24)</f>
        <v>39.99576960000001</v>
      </c>
      <c r="P25" s="144">
        <f>SUM(P16:P24)</f>
        <v>1639.8265536000001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1" t="s">
        <v>85</v>
      </c>
      <c r="C28" s="222"/>
      <c r="D28" s="222"/>
      <c r="E28" s="222"/>
      <c r="F28" s="222"/>
      <c r="G28" s="222"/>
      <c r="H28" s="222"/>
      <c r="I28" s="222"/>
      <c r="J28" s="222"/>
      <c r="K28" s="222"/>
      <c r="L28" s="223"/>
      <c r="N28" s="230" t="s">
        <v>86</v>
      </c>
      <c r="O28" s="231"/>
      <c r="P28" s="152">
        <f>I25</f>
        <v>1569.2000000000003</v>
      </c>
    </row>
    <row r="29" spans="1:19 16384:16384" ht="15" customHeight="1" x14ac:dyDescent="0.35">
      <c r="B29" s="224"/>
      <c r="C29" s="225"/>
      <c r="D29" s="225"/>
      <c r="E29" s="225"/>
      <c r="F29" s="225"/>
      <c r="G29" s="225"/>
      <c r="H29" s="225"/>
      <c r="I29" s="225"/>
      <c r="J29" s="225"/>
      <c r="K29" s="225"/>
      <c r="L29" s="226"/>
      <c r="N29" s="232" t="s">
        <v>87</v>
      </c>
      <c r="O29" s="233"/>
      <c r="P29" s="153">
        <f>L25</f>
        <v>78.460000000000022</v>
      </c>
    </row>
    <row r="30" spans="1:19 16384:16384" ht="15" customHeight="1" x14ac:dyDescent="0.35">
      <c r="B30" s="224"/>
      <c r="C30" s="225"/>
      <c r="D30" s="225"/>
      <c r="E30" s="225"/>
      <c r="F30" s="225"/>
      <c r="G30" s="225"/>
      <c r="H30" s="225"/>
      <c r="I30" s="225"/>
      <c r="J30" s="225"/>
      <c r="K30" s="225"/>
      <c r="L30" s="226"/>
      <c r="N30" s="232" t="s">
        <v>4</v>
      </c>
      <c r="O30" s="233"/>
      <c r="P30" s="154">
        <f>K25</f>
        <v>134.9512</v>
      </c>
    </row>
    <row r="31" spans="1:19 16384:16384" ht="15" customHeight="1" x14ac:dyDescent="0.35">
      <c r="B31" s="224"/>
      <c r="C31" s="225"/>
      <c r="D31" s="225"/>
      <c r="E31" s="225"/>
      <c r="F31" s="225"/>
      <c r="G31" s="225"/>
      <c r="H31" s="225"/>
      <c r="I31" s="225"/>
      <c r="J31" s="225"/>
      <c r="K31" s="225"/>
      <c r="L31" s="226"/>
      <c r="M31" s="2"/>
      <c r="N31" s="232" t="s">
        <v>88</v>
      </c>
      <c r="O31" s="233"/>
      <c r="P31" s="153">
        <f>P28-P29-P30</f>
        <v>1355.7888000000003</v>
      </c>
    </row>
    <row r="32" spans="1:19 16384:16384" ht="15" customHeight="1" x14ac:dyDescent="0.35">
      <c r="B32" s="224"/>
      <c r="C32" s="225"/>
      <c r="D32" s="225"/>
      <c r="E32" s="225"/>
      <c r="F32" s="225"/>
      <c r="G32" s="225"/>
      <c r="H32" s="225"/>
      <c r="I32" s="225"/>
      <c r="J32" s="225"/>
      <c r="K32" s="225"/>
      <c r="L32" s="226"/>
      <c r="M32" s="2"/>
      <c r="N32" s="155" t="s">
        <v>89</v>
      </c>
      <c r="O32" s="156">
        <f>IF(B12="Registered",18%,22%)</f>
        <v>0.18</v>
      </c>
      <c r="P32" s="153">
        <f>N25</f>
        <v>244.04198400000004</v>
      </c>
    </row>
    <row r="33" spans="2:16" ht="15" customHeight="1" x14ac:dyDescent="0.35">
      <c r="B33" s="224"/>
      <c r="C33" s="225"/>
      <c r="D33" s="225"/>
      <c r="E33" s="225"/>
      <c r="F33" s="225"/>
      <c r="G33" s="225"/>
      <c r="H33" s="225"/>
      <c r="I33" s="225"/>
      <c r="J33" s="225"/>
      <c r="K33" s="225"/>
      <c r="L33" s="226"/>
      <c r="M33" s="2"/>
      <c r="N33" s="234" t="s">
        <v>90</v>
      </c>
      <c r="O33" s="235"/>
      <c r="P33" s="153">
        <f>P31+P32</f>
        <v>1599.8307840000002</v>
      </c>
    </row>
    <row r="34" spans="2:16" ht="15" customHeight="1" thickBot="1" x14ac:dyDescent="0.4">
      <c r="B34" s="227"/>
      <c r="C34" s="228"/>
      <c r="D34" s="228"/>
      <c r="E34" s="228"/>
      <c r="F34" s="228"/>
      <c r="G34" s="228"/>
      <c r="H34" s="228"/>
      <c r="I34" s="228"/>
      <c r="J34" s="228"/>
      <c r="K34" s="228"/>
      <c r="L34" s="229"/>
      <c r="M34" s="157"/>
      <c r="N34" s="158" t="s">
        <v>91</v>
      </c>
      <c r="O34" s="159">
        <f>IF(B11="Filer",0.5%,2.5%)</f>
        <v>2.5000000000000001E-2</v>
      </c>
      <c r="P34" s="153">
        <f>O34*P33</f>
        <v>39.99576960000001</v>
      </c>
    </row>
    <row r="35" spans="2:16" ht="15.75" customHeight="1" thickBot="1" x14ac:dyDescent="0.4">
      <c r="N35" s="212" t="s">
        <v>92</v>
      </c>
      <c r="O35" s="213"/>
      <c r="P35" s="160">
        <f>P33+P34</f>
        <v>1639.8265536000001</v>
      </c>
    </row>
    <row r="36" spans="2:16" ht="15" thickBot="1" x14ac:dyDescent="0.4">
      <c r="B36" s="161" t="s">
        <v>93</v>
      </c>
      <c r="C36" s="214"/>
      <c r="D36" s="214"/>
      <c r="E36" s="214"/>
      <c r="F36" s="214"/>
      <c r="G36" s="214"/>
      <c r="H36" s="214"/>
      <c r="I36" s="215"/>
      <c r="J36" s="216"/>
      <c r="K36" s="217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700-000000000000}">
      <formula1>$XFC$3:$XFC$4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N9:P9" xr:uid="{00000000-0002-0000-07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7"/>
  <sheetViews>
    <sheetView workbookViewId="0">
      <selection sqref="A1:P3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4" t="s">
        <v>45</v>
      </c>
      <c r="B2" s="254"/>
      <c r="C2" s="254"/>
    </row>
    <row r="3" spans="1:19 16383:16384" ht="15" customHeight="1" x14ac:dyDescent="0.35">
      <c r="A3" s="239" t="s">
        <v>46</v>
      </c>
      <c r="B3" s="239"/>
      <c r="C3" s="239"/>
      <c r="F3" s="70"/>
      <c r="G3" s="71"/>
      <c r="K3" s="238" t="s">
        <v>47</v>
      </c>
      <c r="L3" s="238"/>
      <c r="M3" s="238"/>
      <c r="N3" s="239">
        <v>6</v>
      </c>
      <c r="O3" s="239"/>
      <c r="P3" s="23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9" t="s">
        <v>94</v>
      </c>
      <c r="B4" s="239"/>
      <c r="C4" s="239"/>
      <c r="F4" s="70"/>
      <c r="G4" s="71"/>
      <c r="K4" s="238" t="s">
        <v>49</v>
      </c>
      <c r="L4" s="238"/>
      <c r="M4" s="238"/>
      <c r="N4" s="252">
        <f ca="1">TODAY()</f>
        <v>46223</v>
      </c>
      <c r="O4" s="252"/>
      <c r="P4" s="25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5" t="s">
        <v>130</v>
      </c>
      <c r="B5" s="265"/>
      <c r="C5" s="265"/>
      <c r="F5" s="70"/>
      <c r="G5" s="71"/>
      <c r="K5" s="238" t="s">
        <v>51</v>
      </c>
      <c r="L5" s="238"/>
      <c r="M5" s="238"/>
      <c r="N5" s="252">
        <f ca="1">N4-1</f>
        <v>46222</v>
      </c>
      <c r="O5" s="239"/>
      <c r="P5" s="239"/>
      <c r="R5" s="70"/>
      <c r="S5" s="71"/>
    </row>
    <row r="6" spans="1:19 16383:16384" ht="15" customHeight="1" x14ac:dyDescent="0.35">
      <c r="A6" s="238" t="s">
        <v>127</v>
      </c>
      <c r="B6" s="238"/>
      <c r="C6" s="238"/>
      <c r="F6" s="70"/>
      <c r="G6" s="74"/>
      <c r="K6" s="238" t="s">
        <v>52</v>
      </c>
      <c r="L6" s="238"/>
      <c r="M6" s="238"/>
      <c r="N6" s="251" t="s">
        <v>104</v>
      </c>
      <c r="O6" s="251"/>
      <c r="P6" s="251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8"/>
      <c r="B7" s="238"/>
      <c r="C7" s="238"/>
      <c r="F7" s="70"/>
      <c r="G7" s="74"/>
      <c r="K7" s="238"/>
      <c r="L7" s="238"/>
      <c r="M7" s="238"/>
      <c r="N7" s="251"/>
      <c r="O7" s="251"/>
      <c r="P7" s="251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0"/>
      <c r="B8" s="250"/>
      <c r="C8" s="250"/>
      <c r="F8" s="70"/>
      <c r="G8" s="74"/>
      <c r="K8" s="238"/>
      <c r="L8" s="238"/>
      <c r="M8" s="238"/>
      <c r="N8" s="251"/>
      <c r="O8" s="251"/>
      <c r="P8" s="251"/>
      <c r="R8" s="70"/>
      <c r="S8" s="74"/>
    </row>
    <row r="9" spans="1:19 16383:16384" x14ac:dyDescent="0.35">
      <c r="A9" s="250"/>
      <c r="B9" s="250"/>
      <c r="C9" s="250"/>
      <c r="F9" s="70"/>
      <c r="G9" s="74"/>
      <c r="K9" s="238"/>
      <c r="L9" s="238"/>
      <c r="M9" s="238"/>
      <c r="N9" s="251"/>
      <c r="O9" s="251"/>
      <c r="P9" s="251"/>
      <c r="R9" s="70"/>
      <c r="S9" s="74"/>
      <c r="XFD9" t="s">
        <v>55</v>
      </c>
    </row>
    <row r="10" spans="1:19 16383:16384" ht="17.5" x14ac:dyDescent="0.35">
      <c r="A10" s="236" t="s">
        <v>95</v>
      </c>
      <c r="B10" s="191"/>
      <c r="C10" s="75"/>
      <c r="F10" s="70"/>
      <c r="G10" s="71"/>
      <c r="K10" s="238" t="s">
        <v>56</v>
      </c>
      <c r="L10" s="238"/>
      <c r="M10" s="238"/>
      <c r="N10" s="239" t="s">
        <v>57</v>
      </c>
      <c r="O10" s="239"/>
      <c r="P10" s="239"/>
      <c r="R10" s="70"/>
      <c r="S10" s="71"/>
      <c r="XFD10" t="s">
        <v>58</v>
      </c>
    </row>
    <row r="11" spans="1:19 16383:16384" x14ac:dyDescent="0.35">
      <c r="A11" s="236"/>
      <c r="B11" s="76" t="s">
        <v>50</v>
      </c>
      <c r="C11" s="77" t="str">
        <f>IF($O34&gt;2.49%,"No","Yes")</f>
        <v>No</v>
      </c>
      <c r="F11" s="70"/>
      <c r="G11" s="71"/>
      <c r="K11" s="238" t="s">
        <v>59</v>
      </c>
      <c r="L11" s="238"/>
      <c r="M11" s="238"/>
      <c r="N11" s="239" t="s">
        <v>55</v>
      </c>
      <c r="O11" s="239"/>
      <c r="P11" s="239"/>
      <c r="R11" s="70"/>
      <c r="S11" s="71"/>
    </row>
    <row r="12" spans="1:19 16383:16384" ht="14.65" customHeight="1" x14ac:dyDescent="0.35">
      <c r="A12" s="236" t="s">
        <v>60</v>
      </c>
      <c r="B12" s="76" t="s">
        <v>53</v>
      </c>
      <c r="C12" s="77" t="str">
        <f>IF($O32&gt;21.99%,"No","Yes")</f>
        <v>Yes</v>
      </c>
      <c r="F12" s="70"/>
      <c r="G12" s="71"/>
      <c r="K12" s="238" t="s">
        <v>61</v>
      </c>
      <c r="L12" s="238"/>
      <c r="M12" s="238"/>
      <c r="N12" s="239"/>
      <c r="O12" s="239"/>
      <c r="P12" s="239"/>
      <c r="R12" s="70"/>
      <c r="S12" s="71"/>
      <c r="XFD12" t="s">
        <v>62</v>
      </c>
    </row>
    <row r="13" spans="1:19 16383:16384" ht="15" thickBot="1" x14ac:dyDescent="0.4">
      <c r="A13" s="237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0" t="s">
        <v>64</v>
      </c>
      <c r="B14" s="241"/>
      <c r="C14" s="244" t="s">
        <v>65</v>
      </c>
      <c r="D14" s="80" t="s">
        <v>2</v>
      </c>
      <c r="E14" s="81" t="s">
        <v>66</v>
      </c>
      <c r="F14" s="82" t="s">
        <v>67</v>
      </c>
      <c r="G14" s="260" t="s">
        <v>68</v>
      </c>
      <c r="H14" s="261"/>
      <c r="I14" s="262" t="s">
        <v>69</v>
      </c>
      <c r="J14" s="260" t="s">
        <v>70</v>
      </c>
      <c r="K14" s="264"/>
      <c r="L14" s="261"/>
      <c r="M14" s="262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2"/>
      <c r="B15" s="243"/>
      <c r="C15" s="245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3"/>
      <c r="J15" s="88" t="s">
        <v>78</v>
      </c>
      <c r="K15" s="90" t="s">
        <v>79</v>
      </c>
      <c r="L15" s="91" t="s">
        <v>80</v>
      </c>
      <c r="M15" s="263"/>
      <c r="N15" s="92">
        <f>IF(B12="Registered",18%,22%)</f>
        <v>0.18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40</v>
      </c>
      <c r="I22" s="116">
        <f t="shared" si="2"/>
        <v>1569.2000000000003</v>
      </c>
      <c r="J22" s="117"/>
      <c r="K22" s="104">
        <f>I22*8.6%</f>
        <v>134.9512</v>
      </c>
      <c r="L22" s="120">
        <f>I22*5%</f>
        <v>78.460000000000022</v>
      </c>
      <c r="M22" s="118">
        <f t="shared" si="5"/>
        <v>1355.7888000000003</v>
      </c>
      <c r="N22" s="118">
        <f t="shared" si="0"/>
        <v>244.04198400000004</v>
      </c>
      <c r="O22" s="119">
        <f t="shared" si="6"/>
        <v>39.99576960000001</v>
      </c>
      <c r="P22" s="120">
        <f t="shared" si="1"/>
        <v>1639.8265536000001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8" t="s">
        <v>84</v>
      </c>
      <c r="B25" s="219"/>
      <c r="C25" s="220"/>
      <c r="D25" s="214"/>
      <c r="E25" s="214"/>
      <c r="F25" s="259"/>
      <c r="G25" s="135">
        <f t="shared" ref="G25:M25" si="9">SUM(G16:G24)</f>
        <v>0</v>
      </c>
      <c r="H25" s="136">
        <f t="shared" si="9"/>
        <v>40</v>
      </c>
      <c r="I25" s="137">
        <f t="shared" si="9"/>
        <v>1569.2000000000003</v>
      </c>
      <c r="J25" s="138"/>
      <c r="K25" s="139">
        <f t="shared" si="9"/>
        <v>134.9512</v>
      </c>
      <c r="L25" s="140">
        <f t="shared" si="9"/>
        <v>78.460000000000022</v>
      </c>
      <c r="M25" s="141">
        <f t="shared" si="9"/>
        <v>1355.7888000000003</v>
      </c>
      <c r="N25" s="142">
        <f>SUM(N16:N24)</f>
        <v>244.04198400000004</v>
      </c>
      <c r="O25" s="143">
        <f>SUM(O16:O24)</f>
        <v>39.99576960000001</v>
      </c>
      <c r="P25" s="144">
        <f>SUM(P16:P24)</f>
        <v>1639.8265536000001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1" t="s">
        <v>85</v>
      </c>
      <c r="C28" s="222"/>
      <c r="D28" s="222"/>
      <c r="E28" s="222"/>
      <c r="F28" s="222"/>
      <c r="G28" s="222"/>
      <c r="H28" s="222"/>
      <c r="I28" s="222"/>
      <c r="J28" s="222"/>
      <c r="K28" s="222"/>
      <c r="L28" s="223"/>
      <c r="N28" s="230" t="s">
        <v>86</v>
      </c>
      <c r="O28" s="231"/>
      <c r="P28" s="152">
        <f>I25</f>
        <v>1569.2000000000003</v>
      </c>
    </row>
    <row r="29" spans="1:19 16384:16384" ht="15" customHeight="1" x14ac:dyDescent="0.35">
      <c r="B29" s="224"/>
      <c r="C29" s="225"/>
      <c r="D29" s="225"/>
      <c r="E29" s="225"/>
      <c r="F29" s="225"/>
      <c r="G29" s="225"/>
      <c r="H29" s="225"/>
      <c r="I29" s="225"/>
      <c r="J29" s="225"/>
      <c r="K29" s="225"/>
      <c r="L29" s="226"/>
      <c r="N29" s="232" t="s">
        <v>87</v>
      </c>
      <c r="O29" s="233"/>
      <c r="P29" s="153">
        <f>L25</f>
        <v>78.460000000000022</v>
      </c>
    </row>
    <row r="30" spans="1:19 16384:16384" ht="15" customHeight="1" x14ac:dyDescent="0.35">
      <c r="B30" s="224"/>
      <c r="C30" s="225"/>
      <c r="D30" s="225"/>
      <c r="E30" s="225"/>
      <c r="F30" s="225"/>
      <c r="G30" s="225"/>
      <c r="H30" s="225"/>
      <c r="I30" s="225"/>
      <c r="J30" s="225"/>
      <c r="K30" s="225"/>
      <c r="L30" s="226"/>
      <c r="N30" s="232" t="s">
        <v>4</v>
      </c>
      <c r="O30" s="233"/>
      <c r="P30" s="154">
        <f>K25</f>
        <v>134.9512</v>
      </c>
    </row>
    <row r="31" spans="1:19 16384:16384" ht="15" customHeight="1" x14ac:dyDescent="0.35">
      <c r="B31" s="224"/>
      <c r="C31" s="225"/>
      <c r="D31" s="225"/>
      <c r="E31" s="225"/>
      <c r="F31" s="225"/>
      <c r="G31" s="225"/>
      <c r="H31" s="225"/>
      <c r="I31" s="225"/>
      <c r="J31" s="225"/>
      <c r="K31" s="225"/>
      <c r="L31" s="226"/>
      <c r="M31" s="2"/>
      <c r="N31" s="232" t="s">
        <v>88</v>
      </c>
      <c r="O31" s="233"/>
      <c r="P31" s="153">
        <f>P28-P29-P30</f>
        <v>1355.7888000000003</v>
      </c>
    </row>
    <row r="32" spans="1:19 16384:16384" ht="15" customHeight="1" x14ac:dyDescent="0.35">
      <c r="B32" s="224"/>
      <c r="C32" s="225"/>
      <c r="D32" s="225"/>
      <c r="E32" s="225"/>
      <c r="F32" s="225"/>
      <c r="G32" s="225"/>
      <c r="H32" s="225"/>
      <c r="I32" s="225"/>
      <c r="J32" s="225"/>
      <c r="K32" s="225"/>
      <c r="L32" s="226"/>
      <c r="M32" s="2"/>
      <c r="N32" s="155" t="s">
        <v>89</v>
      </c>
      <c r="O32" s="156">
        <f>IF(B12="Registered",18%,22%)</f>
        <v>0.18</v>
      </c>
      <c r="P32" s="153">
        <f>N25</f>
        <v>244.04198400000004</v>
      </c>
    </row>
    <row r="33" spans="2:16" ht="15" customHeight="1" x14ac:dyDescent="0.35">
      <c r="B33" s="224"/>
      <c r="C33" s="225"/>
      <c r="D33" s="225"/>
      <c r="E33" s="225"/>
      <c r="F33" s="225"/>
      <c r="G33" s="225"/>
      <c r="H33" s="225"/>
      <c r="I33" s="225"/>
      <c r="J33" s="225"/>
      <c r="K33" s="225"/>
      <c r="L33" s="226"/>
      <c r="M33" s="2"/>
      <c r="N33" s="234" t="s">
        <v>90</v>
      </c>
      <c r="O33" s="235"/>
      <c r="P33" s="153">
        <f>P31+P32</f>
        <v>1599.8307840000002</v>
      </c>
    </row>
    <row r="34" spans="2:16" ht="15" customHeight="1" thickBot="1" x14ac:dyDescent="0.4">
      <c r="B34" s="227"/>
      <c r="C34" s="228"/>
      <c r="D34" s="228"/>
      <c r="E34" s="228"/>
      <c r="F34" s="228"/>
      <c r="G34" s="228"/>
      <c r="H34" s="228"/>
      <c r="I34" s="228"/>
      <c r="J34" s="228"/>
      <c r="K34" s="228"/>
      <c r="L34" s="229"/>
      <c r="M34" s="157"/>
      <c r="N34" s="158" t="s">
        <v>91</v>
      </c>
      <c r="O34" s="159">
        <f>IF(B11="Filer",0.5%,2.5%)</f>
        <v>2.5000000000000001E-2</v>
      </c>
      <c r="P34" s="153">
        <f>O34*P33</f>
        <v>39.99576960000001</v>
      </c>
    </row>
    <row r="35" spans="2:16" ht="15.75" customHeight="1" thickBot="1" x14ac:dyDescent="0.4">
      <c r="N35" s="212" t="s">
        <v>92</v>
      </c>
      <c r="O35" s="213"/>
      <c r="P35" s="160">
        <f>P33+P34</f>
        <v>1639.8265536000001</v>
      </c>
    </row>
    <row r="36" spans="2:16" ht="15" thickBot="1" x14ac:dyDescent="0.4">
      <c r="B36" s="161" t="s">
        <v>93</v>
      </c>
      <c r="C36" s="214"/>
      <c r="D36" s="214"/>
      <c r="E36" s="214"/>
      <c r="F36" s="214"/>
      <c r="G36" s="214"/>
      <c r="H36" s="214"/>
      <c r="I36" s="215"/>
      <c r="J36" s="216"/>
      <c r="K36" s="217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800-000000000000}">
      <formula1>$XFD$12:$XFD$17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B11" xr:uid="{00000000-0002-0000-08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7"/>
  <sheetViews>
    <sheetView workbookViewId="0">
      <selection sqref="A1:P3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9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4" t="s">
        <v>45</v>
      </c>
      <c r="B2" s="254"/>
      <c r="C2" s="254"/>
    </row>
    <row r="3" spans="1:19 16383:16384" ht="15" customHeight="1" x14ac:dyDescent="0.35">
      <c r="A3" s="239" t="s">
        <v>46</v>
      </c>
      <c r="B3" s="239"/>
      <c r="C3" s="239"/>
      <c r="F3" s="70"/>
      <c r="G3" s="71"/>
      <c r="K3" s="238" t="s">
        <v>47</v>
      </c>
      <c r="L3" s="238"/>
      <c r="M3" s="238"/>
      <c r="N3" s="239">
        <v>7</v>
      </c>
      <c r="O3" s="239"/>
      <c r="P3" s="23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9" t="s">
        <v>94</v>
      </c>
      <c r="B4" s="239"/>
      <c r="C4" s="239"/>
      <c r="F4" s="70"/>
      <c r="G4" s="71"/>
      <c r="K4" s="238" t="s">
        <v>49</v>
      </c>
      <c r="L4" s="238"/>
      <c r="M4" s="238"/>
      <c r="N4" s="252">
        <f ca="1">TODAY()</f>
        <v>46223</v>
      </c>
      <c r="O4" s="252"/>
      <c r="P4" s="25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5" t="s">
        <v>131</v>
      </c>
      <c r="B5" s="265"/>
      <c r="C5" s="265"/>
      <c r="F5" s="70"/>
      <c r="G5" s="71"/>
      <c r="K5" s="238" t="s">
        <v>51</v>
      </c>
      <c r="L5" s="238"/>
      <c r="M5" s="238"/>
      <c r="N5" s="252">
        <f ca="1">N4-1</f>
        <v>46222</v>
      </c>
      <c r="O5" s="239"/>
      <c r="P5" s="239"/>
      <c r="R5" s="70"/>
      <c r="S5" s="71"/>
    </row>
    <row r="6" spans="1:19 16383:16384" ht="15" customHeight="1" x14ac:dyDescent="0.35">
      <c r="A6" s="238" t="s">
        <v>127</v>
      </c>
      <c r="B6" s="238"/>
      <c r="C6" s="238"/>
      <c r="F6" s="70"/>
      <c r="G6" s="74"/>
      <c r="K6" s="238" t="s">
        <v>52</v>
      </c>
      <c r="L6" s="238"/>
      <c r="M6" s="238"/>
      <c r="N6" s="251" t="s">
        <v>104</v>
      </c>
      <c r="O6" s="251"/>
      <c r="P6" s="251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8"/>
      <c r="B7" s="238"/>
      <c r="C7" s="238"/>
      <c r="F7" s="70"/>
      <c r="G7" s="74"/>
      <c r="K7" s="238"/>
      <c r="L7" s="238"/>
      <c r="M7" s="238"/>
      <c r="N7" s="251"/>
      <c r="O7" s="251"/>
      <c r="P7" s="251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0"/>
      <c r="B8" s="250"/>
      <c r="C8" s="250"/>
      <c r="F8" s="70"/>
      <c r="G8" s="74"/>
      <c r="K8" s="238"/>
      <c r="L8" s="238"/>
      <c r="M8" s="238"/>
      <c r="N8" s="251"/>
      <c r="O8" s="251"/>
      <c r="P8" s="251"/>
      <c r="R8" s="70"/>
      <c r="S8" s="74"/>
    </row>
    <row r="9" spans="1:19 16383:16384" x14ac:dyDescent="0.35">
      <c r="A9" s="250"/>
      <c r="B9" s="250"/>
      <c r="C9" s="250"/>
      <c r="F9" s="70"/>
      <c r="G9" s="74"/>
      <c r="K9" s="238"/>
      <c r="L9" s="238"/>
      <c r="M9" s="238"/>
      <c r="N9" s="251"/>
      <c r="O9" s="251"/>
      <c r="P9" s="251"/>
      <c r="R9" s="70"/>
      <c r="S9" s="74"/>
      <c r="XFD9" t="s">
        <v>55</v>
      </c>
    </row>
    <row r="10" spans="1:19 16383:16384" ht="17.5" x14ac:dyDescent="0.35">
      <c r="A10" s="236" t="s">
        <v>95</v>
      </c>
      <c r="B10" s="191"/>
      <c r="C10" s="75"/>
      <c r="F10" s="70"/>
      <c r="G10" s="71"/>
      <c r="K10" s="238" t="s">
        <v>56</v>
      </c>
      <c r="L10" s="238"/>
      <c r="M10" s="238"/>
      <c r="N10" s="239" t="s">
        <v>57</v>
      </c>
      <c r="O10" s="239"/>
      <c r="P10" s="239"/>
      <c r="R10" s="70"/>
      <c r="S10" s="71"/>
      <c r="XFD10" t="s">
        <v>58</v>
      </c>
    </row>
    <row r="11" spans="1:19 16383:16384" x14ac:dyDescent="0.35">
      <c r="A11" s="236"/>
      <c r="B11" s="76" t="s">
        <v>50</v>
      </c>
      <c r="C11" s="77" t="str">
        <f>IF($O34&gt;2.49%,"No","Yes")</f>
        <v>No</v>
      </c>
      <c r="F11" s="70"/>
      <c r="G11" s="71"/>
      <c r="K11" s="238" t="s">
        <v>59</v>
      </c>
      <c r="L11" s="238"/>
      <c r="M11" s="238"/>
      <c r="N11" s="239" t="s">
        <v>55</v>
      </c>
      <c r="O11" s="239"/>
      <c r="P11" s="239"/>
      <c r="R11" s="70"/>
      <c r="S11" s="71"/>
    </row>
    <row r="12" spans="1:19 16383:16384" ht="14.65" customHeight="1" x14ac:dyDescent="0.35">
      <c r="A12" s="236" t="s">
        <v>60</v>
      </c>
      <c r="B12" s="76" t="s">
        <v>53</v>
      </c>
      <c r="C12" s="77" t="str">
        <f>IF($O32&gt;21.99%,"No","Yes")</f>
        <v>Yes</v>
      </c>
      <c r="F12" s="70"/>
      <c r="G12" s="71"/>
      <c r="K12" s="238" t="s">
        <v>61</v>
      </c>
      <c r="L12" s="238"/>
      <c r="M12" s="238"/>
      <c r="N12" s="239"/>
      <c r="O12" s="239"/>
      <c r="P12" s="239"/>
      <c r="R12" s="70"/>
      <c r="S12" s="71"/>
      <c r="XFD12" t="s">
        <v>62</v>
      </c>
    </row>
    <row r="13" spans="1:19 16383:16384" ht="18" thickBot="1" x14ac:dyDescent="0.4">
      <c r="A13" s="237"/>
      <c r="B13" s="191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0" t="s">
        <v>64</v>
      </c>
      <c r="B14" s="241"/>
      <c r="C14" s="244" t="s">
        <v>65</v>
      </c>
      <c r="D14" s="80" t="s">
        <v>2</v>
      </c>
      <c r="E14" s="81" t="s">
        <v>66</v>
      </c>
      <c r="F14" s="82" t="s">
        <v>67</v>
      </c>
      <c r="G14" s="260" t="s">
        <v>68</v>
      </c>
      <c r="H14" s="261"/>
      <c r="I14" s="262" t="s">
        <v>69</v>
      </c>
      <c r="J14" s="260" t="s">
        <v>70</v>
      </c>
      <c r="K14" s="264"/>
      <c r="L14" s="261"/>
      <c r="M14" s="262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2"/>
      <c r="B15" s="243"/>
      <c r="C15" s="245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3"/>
      <c r="J15" s="88" t="s">
        <v>78</v>
      </c>
      <c r="K15" s="90" t="s">
        <v>79</v>
      </c>
      <c r="L15" s="91" t="s">
        <v>80</v>
      </c>
      <c r="M15" s="263"/>
      <c r="N15" s="92">
        <f>IF(B12="Registered",18%,22%)</f>
        <v>0.18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40</v>
      </c>
      <c r="I19" s="116">
        <f t="shared" si="2"/>
        <v>2905.6</v>
      </c>
      <c r="J19" s="117"/>
      <c r="K19" s="104">
        <f t="shared" si="3"/>
        <v>101.69600000000001</v>
      </c>
      <c r="L19" s="105">
        <f t="shared" si="4"/>
        <v>232.44800000000001</v>
      </c>
      <c r="M19" s="118">
        <f t="shared" si="5"/>
        <v>2571.4560000000001</v>
      </c>
      <c r="N19" s="118">
        <f t="shared" si="0"/>
        <v>462.86207999999999</v>
      </c>
      <c r="O19" s="119">
        <f t="shared" si="6"/>
        <v>75.857951999999997</v>
      </c>
      <c r="P19" s="120">
        <f t="shared" si="1"/>
        <v>3110.1760319999999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>
        <v>40</v>
      </c>
      <c r="I20" s="116">
        <f t="shared" si="2"/>
        <v>2905.6</v>
      </c>
      <c r="J20" s="117"/>
      <c r="K20" s="104">
        <f t="shared" si="3"/>
        <v>101.69600000000001</v>
      </c>
      <c r="L20" s="105">
        <f t="shared" si="4"/>
        <v>232.44800000000001</v>
      </c>
      <c r="M20" s="118">
        <f t="shared" si="5"/>
        <v>2571.4560000000001</v>
      </c>
      <c r="N20" s="118">
        <f t="shared" si="0"/>
        <v>462.86207999999999</v>
      </c>
      <c r="O20" s="119">
        <f t="shared" si="6"/>
        <v>75.857951999999997</v>
      </c>
      <c r="P20" s="120">
        <f t="shared" si="1"/>
        <v>3110.1760319999999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40</v>
      </c>
      <c r="I21" s="116">
        <f t="shared" si="2"/>
        <v>2905.6</v>
      </c>
      <c r="J21" s="117"/>
      <c r="K21" s="104">
        <f t="shared" si="3"/>
        <v>101.69600000000001</v>
      </c>
      <c r="L21" s="105">
        <f t="shared" si="4"/>
        <v>232.44800000000001</v>
      </c>
      <c r="M21" s="118">
        <f t="shared" si="5"/>
        <v>2571.4560000000001</v>
      </c>
      <c r="N21" s="118">
        <f t="shared" si="0"/>
        <v>462.86207999999999</v>
      </c>
      <c r="O21" s="119">
        <f t="shared" si="6"/>
        <v>75.857951999999997</v>
      </c>
      <c r="P21" s="120">
        <f t="shared" si="1"/>
        <v>3110.1760319999999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40</v>
      </c>
      <c r="I22" s="116">
        <f t="shared" si="2"/>
        <v>1569.2000000000003</v>
      </c>
      <c r="J22" s="117"/>
      <c r="K22" s="104">
        <f>I22*8.6%</f>
        <v>134.9512</v>
      </c>
      <c r="L22" s="120">
        <f>I22*5%</f>
        <v>78.460000000000022</v>
      </c>
      <c r="M22" s="118">
        <f t="shared" si="5"/>
        <v>1355.7888000000003</v>
      </c>
      <c r="N22" s="118">
        <f t="shared" si="0"/>
        <v>244.04198400000004</v>
      </c>
      <c r="O22" s="119">
        <f t="shared" si="6"/>
        <v>39.99576960000001</v>
      </c>
      <c r="P22" s="120">
        <f t="shared" si="1"/>
        <v>1639.8265536000001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8" t="s">
        <v>84</v>
      </c>
      <c r="B25" s="219"/>
      <c r="C25" s="220"/>
      <c r="D25" s="214"/>
      <c r="E25" s="214"/>
      <c r="F25" s="259"/>
      <c r="G25" s="135">
        <f t="shared" ref="G25:M25" si="9">SUM(G16:G24)</f>
        <v>0</v>
      </c>
      <c r="H25" s="136">
        <f t="shared" si="9"/>
        <v>160</v>
      </c>
      <c r="I25" s="137">
        <f t="shared" si="9"/>
        <v>10286</v>
      </c>
      <c r="J25" s="138"/>
      <c r="K25" s="139">
        <f t="shared" si="9"/>
        <v>440.03920000000005</v>
      </c>
      <c r="L25" s="140">
        <f t="shared" si="9"/>
        <v>775.80400000000009</v>
      </c>
      <c r="M25" s="141">
        <f t="shared" si="9"/>
        <v>9070.1568000000007</v>
      </c>
      <c r="N25" s="142">
        <f>SUM(N16:N24)</f>
        <v>1632.628224</v>
      </c>
      <c r="O25" s="143">
        <f>SUM(O16:O24)</f>
        <v>267.56962559999999</v>
      </c>
      <c r="P25" s="144">
        <f>SUM(P16:P24)</f>
        <v>10970.3546496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1" t="s">
        <v>85</v>
      </c>
      <c r="C28" s="222"/>
      <c r="D28" s="222"/>
      <c r="E28" s="222"/>
      <c r="F28" s="222"/>
      <c r="G28" s="222"/>
      <c r="H28" s="222"/>
      <c r="I28" s="222"/>
      <c r="J28" s="222"/>
      <c r="K28" s="222"/>
      <c r="L28" s="223"/>
      <c r="N28" s="230" t="s">
        <v>86</v>
      </c>
      <c r="O28" s="231"/>
      <c r="P28" s="152">
        <f>I25</f>
        <v>10286</v>
      </c>
    </row>
    <row r="29" spans="1:19 16384:16384" ht="15" customHeight="1" x14ac:dyDescent="0.35">
      <c r="B29" s="224"/>
      <c r="C29" s="225"/>
      <c r="D29" s="225"/>
      <c r="E29" s="225"/>
      <c r="F29" s="225"/>
      <c r="G29" s="225"/>
      <c r="H29" s="225"/>
      <c r="I29" s="225"/>
      <c r="J29" s="225"/>
      <c r="K29" s="225"/>
      <c r="L29" s="226"/>
      <c r="N29" s="232" t="s">
        <v>87</v>
      </c>
      <c r="O29" s="233"/>
      <c r="P29" s="153">
        <f>L25</f>
        <v>775.80400000000009</v>
      </c>
    </row>
    <row r="30" spans="1:19 16384:16384" ht="15" customHeight="1" x14ac:dyDescent="0.35">
      <c r="B30" s="224"/>
      <c r="C30" s="225"/>
      <c r="D30" s="225"/>
      <c r="E30" s="225"/>
      <c r="F30" s="225"/>
      <c r="G30" s="225"/>
      <c r="H30" s="225"/>
      <c r="I30" s="225"/>
      <c r="J30" s="225"/>
      <c r="K30" s="225"/>
      <c r="L30" s="226"/>
      <c r="N30" s="232" t="s">
        <v>4</v>
      </c>
      <c r="O30" s="233"/>
      <c r="P30" s="154">
        <f>K25</f>
        <v>440.03920000000005</v>
      </c>
    </row>
    <row r="31" spans="1:19 16384:16384" ht="15" customHeight="1" x14ac:dyDescent="0.35">
      <c r="B31" s="224"/>
      <c r="C31" s="225"/>
      <c r="D31" s="225"/>
      <c r="E31" s="225"/>
      <c r="F31" s="225"/>
      <c r="G31" s="225"/>
      <c r="H31" s="225"/>
      <c r="I31" s="225"/>
      <c r="J31" s="225"/>
      <c r="K31" s="225"/>
      <c r="L31" s="226"/>
      <c r="M31" s="2"/>
      <c r="N31" s="232" t="s">
        <v>88</v>
      </c>
      <c r="O31" s="233"/>
      <c r="P31" s="153">
        <f>P28-P29-P30</f>
        <v>9070.1568000000007</v>
      </c>
    </row>
    <row r="32" spans="1:19 16384:16384" ht="15" customHeight="1" x14ac:dyDescent="0.35">
      <c r="B32" s="224"/>
      <c r="C32" s="225"/>
      <c r="D32" s="225"/>
      <c r="E32" s="225"/>
      <c r="F32" s="225"/>
      <c r="G32" s="225"/>
      <c r="H32" s="225"/>
      <c r="I32" s="225"/>
      <c r="J32" s="225"/>
      <c r="K32" s="225"/>
      <c r="L32" s="226"/>
      <c r="M32" s="2"/>
      <c r="N32" s="155" t="s">
        <v>89</v>
      </c>
      <c r="O32" s="156">
        <f>IF(B12="Registered",18%,22%)</f>
        <v>0.18</v>
      </c>
      <c r="P32" s="153">
        <f>N25</f>
        <v>1632.628224</v>
      </c>
    </row>
    <row r="33" spans="2:16" ht="15" customHeight="1" x14ac:dyDescent="0.35">
      <c r="B33" s="224"/>
      <c r="C33" s="225"/>
      <c r="D33" s="225"/>
      <c r="E33" s="225"/>
      <c r="F33" s="225"/>
      <c r="G33" s="225"/>
      <c r="H33" s="225"/>
      <c r="I33" s="225"/>
      <c r="J33" s="225"/>
      <c r="K33" s="225"/>
      <c r="L33" s="226"/>
      <c r="M33" s="2"/>
      <c r="N33" s="234" t="s">
        <v>90</v>
      </c>
      <c r="O33" s="235"/>
      <c r="P33" s="153">
        <f>P31+P32</f>
        <v>10702.785024000001</v>
      </c>
    </row>
    <row r="34" spans="2:16" ht="15" customHeight="1" thickBot="1" x14ac:dyDescent="0.4">
      <c r="B34" s="227"/>
      <c r="C34" s="228"/>
      <c r="D34" s="228"/>
      <c r="E34" s="228"/>
      <c r="F34" s="228"/>
      <c r="G34" s="228"/>
      <c r="H34" s="228"/>
      <c r="I34" s="228"/>
      <c r="J34" s="228"/>
      <c r="K34" s="228"/>
      <c r="L34" s="229"/>
      <c r="M34" s="157"/>
      <c r="N34" s="158" t="s">
        <v>91</v>
      </c>
      <c r="O34" s="159">
        <f>IF(B11="Filer",0.5%,2.5%)</f>
        <v>2.5000000000000001E-2</v>
      </c>
      <c r="P34" s="153">
        <f>O34*P33</f>
        <v>267.56962560000005</v>
      </c>
    </row>
    <row r="35" spans="2:16" ht="15.75" customHeight="1" thickBot="1" x14ac:dyDescent="0.4">
      <c r="N35" s="212" t="s">
        <v>92</v>
      </c>
      <c r="O35" s="213"/>
      <c r="P35" s="160">
        <f>P33+P34</f>
        <v>10970.3546496</v>
      </c>
    </row>
    <row r="36" spans="2:16" ht="15" thickBot="1" x14ac:dyDescent="0.4">
      <c r="B36" s="161" t="s">
        <v>93</v>
      </c>
      <c r="C36" s="214"/>
      <c r="D36" s="214"/>
      <c r="E36" s="214"/>
      <c r="F36" s="214"/>
      <c r="G36" s="214"/>
      <c r="H36" s="214"/>
      <c r="I36" s="215"/>
      <c r="J36" s="216"/>
      <c r="K36" s="217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900-000000000000}">
      <formula1>$XFC$3:$XFC$4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N9:P9" xr:uid="{00000000-0002-0000-09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7"/>
  <sheetViews>
    <sheetView workbookViewId="0">
      <selection sqref="A1:P3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4" t="s">
        <v>45</v>
      </c>
      <c r="B2" s="254"/>
      <c r="C2" s="254"/>
    </row>
    <row r="3" spans="1:19 16383:16384" ht="15" customHeight="1" x14ac:dyDescent="0.35">
      <c r="A3" s="239" t="s">
        <v>46</v>
      </c>
      <c r="B3" s="239"/>
      <c r="C3" s="239"/>
      <c r="F3" s="70"/>
      <c r="G3" s="71"/>
      <c r="K3" s="238" t="s">
        <v>47</v>
      </c>
      <c r="L3" s="238"/>
      <c r="M3" s="238"/>
      <c r="N3" s="239">
        <v>8</v>
      </c>
      <c r="O3" s="239"/>
      <c r="P3" s="23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9" t="s">
        <v>94</v>
      </c>
      <c r="B4" s="239"/>
      <c r="C4" s="239"/>
      <c r="F4" s="70"/>
      <c r="G4" s="71"/>
      <c r="K4" s="238" t="s">
        <v>49</v>
      </c>
      <c r="L4" s="238"/>
      <c r="M4" s="238"/>
      <c r="N4" s="252">
        <f ca="1">TODAY()</f>
        <v>46223</v>
      </c>
      <c r="O4" s="252"/>
      <c r="P4" s="25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5" t="s">
        <v>132</v>
      </c>
      <c r="B5" s="265"/>
      <c r="C5" s="265"/>
      <c r="F5" s="70"/>
      <c r="G5" s="71"/>
      <c r="K5" s="238" t="s">
        <v>51</v>
      </c>
      <c r="L5" s="238"/>
      <c r="M5" s="238"/>
      <c r="N5" s="252">
        <f ca="1">N4-1</f>
        <v>46222</v>
      </c>
      <c r="O5" s="239"/>
      <c r="P5" s="239"/>
      <c r="R5" s="70"/>
      <c r="S5" s="71"/>
    </row>
    <row r="6" spans="1:19 16383:16384" ht="15" customHeight="1" x14ac:dyDescent="0.35">
      <c r="A6" s="238" t="s">
        <v>127</v>
      </c>
      <c r="B6" s="238"/>
      <c r="C6" s="238"/>
      <c r="F6" s="70"/>
      <c r="G6" s="74"/>
      <c r="K6" s="238" t="s">
        <v>52</v>
      </c>
      <c r="L6" s="238"/>
      <c r="M6" s="238"/>
      <c r="N6" s="251" t="s">
        <v>104</v>
      </c>
      <c r="O6" s="251"/>
      <c r="P6" s="251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8"/>
      <c r="B7" s="238"/>
      <c r="C7" s="238"/>
      <c r="F7" s="70"/>
      <c r="G7" s="74"/>
      <c r="K7" s="238"/>
      <c r="L7" s="238"/>
      <c r="M7" s="238"/>
      <c r="N7" s="251"/>
      <c r="O7" s="251"/>
      <c r="P7" s="251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0"/>
      <c r="B8" s="250"/>
      <c r="C8" s="250"/>
      <c r="F8" s="70"/>
      <c r="G8" s="74"/>
      <c r="K8" s="238"/>
      <c r="L8" s="238"/>
      <c r="M8" s="238"/>
      <c r="N8" s="251"/>
      <c r="O8" s="251"/>
      <c r="P8" s="251"/>
      <c r="R8" s="70"/>
      <c r="S8" s="74"/>
    </row>
    <row r="9" spans="1:19 16383:16384" x14ac:dyDescent="0.35">
      <c r="A9" s="250"/>
      <c r="B9" s="250"/>
      <c r="C9" s="250"/>
      <c r="F9" s="70"/>
      <c r="G9" s="74"/>
      <c r="K9" s="238"/>
      <c r="L9" s="238"/>
      <c r="M9" s="238"/>
      <c r="N9" s="251"/>
      <c r="O9" s="251"/>
      <c r="P9" s="251"/>
      <c r="R9" s="70"/>
      <c r="S9" s="74"/>
      <c r="XFD9" t="s">
        <v>55</v>
      </c>
    </row>
    <row r="10" spans="1:19 16383:16384" x14ac:dyDescent="0.35">
      <c r="A10" s="236" t="s">
        <v>95</v>
      </c>
      <c r="B10" s="75">
        <v>35201945420090</v>
      </c>
      <c r="C10" s="75"/>
      <c r="F10" s="70"/>
      <c r="G10" s="71"/>
      <c r="K10" s="238" t="s">
        <v>56</v>
      </c>
      <c r="L10" s="238"/>
      <c r="M10" s="238"/>
      <c r="N10" s="239" t="s">
        <v>57</v>
      </c>
      <c r="O10" s="239"/>
      <c r="P10" s="239"/>
      <c r="R10" s="70"/>
      <c r="S10" s="71"/>
      <c r="XFD10" t="s">
        <v>58</v>
      </c>
    </row>
    <row r="11" spans="1:19 16383:16384" x14ac:dyDescent="0.35">
      <c r="A11" s="236"/>
      <c r="B11" s="76" t="s">
        <v>48</v>
      </c>
      <c r="C11" s="77" t="str">
        <f>IF($O34&gt;2.49%,"No","Yes")</f>
        <v>Yes</v>
      </c>
      <c r="F11" s="70"/>
      <c r="G11" s="71"/>
      <c r="K11" s="238" t="s">
        <v>59</v>
      </c>
      <c r="L11" s="238"/>
      <c r="M11" s="238"/>
      <c r="N11" s="239" t="s">
        <v>55</v>
      </c>
      <c r="O11" s="239"/>
      <c r="P11" s="239"/>
      <c r="R11" s="70"/>
      <c r="S11" s="71"/>
    </row>
    <row r="12" spans="1:19 16383:16384" ht="14.65" customHeight="1" x14ac:dyDescent="0.35">
      <c r="A12" s="236" t="s">
        <v>60</v>
      </c>
      <c r="B12" s="76" t="s">
        <v>53</v>
      </c>
      <c r="C12" s="77" t="str">
        <f>IF($O32&gt;21.99%,"No","Yes")</f>
        <v>Yes</v>
      </c>
      <c r="F12" s="70"/>
      <c r="G12" s="71"/>
      <c r="K12" s="238" t="s">
        <v>61</v>
      </c>
      <c r="L12" s="238"/>
      <c r="M12" s="238"/>
      <c r="N12" s="239"/>
      <c r="O12" s="239"/>
      <c r="P12" s="239"/>
      <c r="R12" s="70"/>
      <c r="S12" s="71"/>
      <c r="XFD12" t="s">
        <v>62</v>
      </c>
    </row>
    <row r="13" spans="1:19 16383:16384" ht="15" thickBot="1" x14ac:dyDescent="0.4">
      <c r="A13" s="237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0" t="s">
        <v>64</v>
      </c>
      <c r="B14" s="241"/>
      <c r="C14" s="244" t="s">
        <v>65</v>
      </c>
      <c r="D14" s="80" t="s">
        <v>2</v>
      </c>
      <c r="E14" s="81" t="s">
        <v>66</v>
      </c>
      <c r="F14" s="82" t="s">
        <v>67</v>
      </c>
      <c r="G14" s="260" t="s">
        <v>68</v>
      </c>
      <c r="H14" s="261"/>
      <c r="I14" s="262" t="s">
        <v>69</v>
      </c>
      <c r="J14" s="260" t="s">
        <v>70</v>
      </c>
      <c r="K14" s="264"/>
      <c r="L14" s="261"/>
      <c r="M14" s="262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2"/>
      <c r="B15" s="243"/>
      <c r="C15" s="245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3"/>
      <c r="J15" s="88" t="s">
        <v>78</v>
      </c>
      <c r="K15" s="90" t="s">
        <v>79</v>
      </c>
      <c r="L15" s="91" t="s">
        <v>80</v>
      </c>
      <c r="M15" s="263"/>
      <c r="N15" s="92">
        <f>IF(B12="Registered",18%,22%)</f>
        <v>0.18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40</v>
      </c>
      <c r="I19" s="116">
        <f t="shared" si="2"/>
        <v>2905.6</v>
      </c>
      <c r="J19" s="117"/>
      <c r="K19" s="104">
        <f t="shared" si="3"/>
        <v>101.69600000000001</v>
      </c>
      <c r="L19" s="105">
        <f t="shared" si="4"/>
        <v>232.44800000000001</v>
      </c>
      <c r="M19" s="118">
        <f t="shared" si="5"/>
        <v>2571.4560000000001</v>
      </c>
      <c r="N19" s="118">
        <f t="shared" si="0"/>
        <v>462.86207999999999</v>
      </c>
      <c r="O19" s="119">
        <f t="shared" si="6"/>
        <v>15.171590399999999</v>
      </c>
      <c r="P19" s="120">
        <f t="shared" si="1"/>
        <v>3049.4896703999998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40</v>
      </c>
      <c r="I21" s="116">
        <f t="shared" si="2"/>
        <v>2905.6</v>
      </c>
      <c r="J21" s="117"/>
      <c r="K21" s="104">
        <f t="shared" si="3"/>
        <v>101.69600000000001</v>
      </c>
      <c r="L21" s="105">
        <f t="shared" si="4"/>
        <v>232.44800000000001</v>
      </c>
      <c r="M21" s="118">
        <f t="shared" si="5"/>
        <v>2571.4560000000001</v>
      </c>
      <c r="N21" s="118">
        <f t="shared" si="0"/>
        <v>462.86207999999999</v>
      </c>
      <c r="O21" s="119">
        <f t="shared" si="6"/>
        <v>15.171590399999999</v>
      </c>
      <c r="P21" s="120">
        <f t="shared" si="1"/>
        <v>3049.4896703999998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40</v>
      </c>
      <c r="I22" s="116">
        <f t="shared" si="2"/>
        <v>1569.2000000000003</v>
      </c>
      <c r="J22" s="117"/>
      <c r="K22" s="104">
        <f>I22*8.6%</f>
        <v>134.9512</v>
      </c>
      <c r="L22" s="120">
        <f>I22*5%</f>
        <v>78.460000000000022</v>
      </c>
      <c r="M22" s="118">
        <f t="shared" si="5"/>
        <v>1355.7888000000003</v>
      </c>
      <c r="N22" s="118">
        <f t="shared" si="0"/>
        <v>244.04198400000004</v>
      </c>
      <c r="O22" s="119">
        <f t="shared" si="6"/>
        <v>7.9991539200000012</v>
      </c>
      <c r="P22" s="120">
        <f t="shared" si="1"/>
        <v>1607.8299379200002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8" t="s">
        <v>84</v>
      </c>
      <c r="B25" s="219"/>
      <c r="C25" s="220"/>
      <c r="D25" s="214"/>
      <c r="E25" s="214"/>
      <c r="F25" s="259"/>
      <c r="G25" s="135">
        <f t="shared" ref="G25:M25" si="9">SUM(G16:G24)</f>
        <v>0</v>
      </c>
      <c r="H25" s="136">
        <f t="shared" si="9"/>
        <v>120</v>
      </c>
      <c r="I25" s="137">
        <f t="shared" si="9"/>
        <v>7380.4</v>
      </c>
      <c r="J25" s="138"/>
      <c r="K25" s="139">
        <f t="shared" si="9"/>
        <v>338.34320000000002</v>
      </c>
      <c r="L25" s="140">
        <f t="shared" si="9"/>
        <v>543.35599999999999</v>
      </c>
      <c r="M25" s="141">
        <f t="shared" si="9"/>
        <v>6498.7008000000005</v>
      </c>
      <c r="N25" s="142">
        <f>SUM(N16:N24)</f>
        <v>1169.7661439999999</v>
      </c>
      <c r="O25" s="143">
        <f>SUM(O16:O24)</f>
        <v>38.342334719999997</v>
      </c>
      <c r="P25" s="144">
        <f>SUM(P16:P24)</f>
        <v>7706.8092787200003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1" t="s">
        <v>85</v>
      </c>
      <c r="C28" s="222"/>
      <c r="D28" s="222"/>
      <c r="E28" s="222"/>
      <c r="F28" s="222"/>
      <c r="G28" s="222"/>
      <c r="H28" s="222"/>
      <c r="I28" s="222"/>
      <c r="J28" s="222"/>
      <c r="K28" s="222"/>
      <c r="L28" s="223"/>
      <c r="N28" s="230" t="s">
        <v>86</v>
      </c>
      <c r="O28" s="231"/>
      <c r="P28" s="152">
        <f>I25</f>
        <v>7380.4</v>
      </c>
    </row>
    <row r="29" spans="1:19 16384:16384" ht="15" customHeight="1" x14ac:dyDescent="0.35">
      <c r="B29" s="224"/>
      <c r="C29" s="225"/>
      <c r="D29" s="225"/>
      <c r="E29" s="225"/>
      <c r="F29" s="225"/>
      <c r="G29" s="225"/>
      <c r="H29" s="225"/>
      <c r="I29" s="225"/>
      <c r="J29" s="225"/>
      <c r="K29" s="225"/>
      <c r="L29" s="226"/>
      <c r="N29" s="232" t="s">
        <v>87</v>
      </c>
      <c r="O29" s="233"/>
      <c r="P29" s="153">
        <f>L25</f>
        <v>543.35599999999999</v>
      </c>
    </row>
    <row r="30" spans="1:19 16384:16384" ht="15" customHeight="1" x14ac:dyDescent="0.35">
      <c r="B30" s="224"/>
      <c r="C30" s="225"/>
      <c r="D30" s="225"/>
      <c r="E30" s="225"/>
      <c r="F30" s="225"/>
      <c r="G30" s="225"/>
      <c r="H30" s="225"/>
      <c r="I30" s="225"/>
      <c r="J30" s="225"/>
      <c r="K30" s="225"/>
      <c r="L30" s="226"/>
      <c r="N30" s="232" t="s">
        <v>4</v>
      </c>
      <c r="O30" s="233"/>
      <c r="P30" s="154">
        <f>K25</f>
        <v>338.34320000000002</v>
      </c>
    </row>
    <row r="31" spans="1:19 16384:16384" ht="15" customHeight="1" x14ac:dyDescent="0.35">
      <c r="B31" s="224"/>
      <c r="C31" s="225"/>
      <c r="D31" s="225"/>
      <c r="E31" s="225"/>
      <c r="F31" s="225"/>
      <c r="G31" s="225"/>
      <c r="H31" s="225"/>
      <c r="I31" s="225"/>
      <c r="J31" s="225"/>
      <c r="K31" s="225"/>
      <c r="L31" s="226"/>
      <c r="M31" s="2"/>
      <c r="N31" s="232" t="s">
        <v>88</v>
      </c>
      <c r="O31" s="233"/>
      <c r="P31" s="153">
        <f>P28-P29-P30</f>
        <v>6498.7007999999996</v>
      </c>
    </row>
    <row r="32" spans="1:19 16384:16384" ht="15" customHeight="1" x14ac:dyDescent="0.35">
      <c r="B32" s="224"/>
      <c r="C32" s="225"/>
      <c r="D32" s="225"/>
      <c r="E32" s="225"/>
      <c r="F32" s="225"/>
      <c r="G32" s="225"/>
      <c r="H32" s="225"/>
      <c r="I32" s="225"/>
      <c r="J32" s="225"/>
      <c r="K32" s="225"/>
      <c r="L32" s="226"/>
      <c r="M32" s="2"/>
      <c r="N32" s="155" t="s">
        <v>89</v>
      </c>
      <c r="O32" s="156">
        <f>IF(B12="Registered",18%,22%)</f>
        <v>0.18</v>
      </c>
      <c r="P32" s="153">
        <f>N25</f>
        <v>1169.7661439999999</v>
      </c>
    </row>
    <row r="33" spans="2:16" ht="15" customHeight="1" x14ac:dyDescent="0.35">
      <c r="B33" s="224"/>
      <c r="C33" s="225"/>
      <c r="D33" s="225"/>
      <c r="E33" s="225"/>
      <c r="F33" s="225"/>
      <c r="G33" s="225"/>
      <c r="H33" s="225"/>
      <c r="I33" s="225"/>
      <c r="J33" s="225"/>
      <c r="K33" s="225"/>
      <c r="L33" s="226"/>
      <c r="M33" s="2"/>
      <c r="N33" s="234" t="s">
        <v>90</v>
      </c>
      <c r="O33" s="235"/>
      <c r="P33" s="153">
        <f>P31+P32</f>
        <v>7668.4669439999998</v>
      </c>
    </row>
    <row r="34" spans="2:16" ht="15" customHeight="1" thickBot="1" x14ac:dyDescent="0.4">
      <c r="B34" s="227"/>
      <c r="C34" s="228"/>
      <c r="D34" s="228"/>
      <c r="E34" s="228"/>
      <c r="F34" s="228"/>
      <c r="G34" s="228"/>
      <c r="H34" s="228"/>
      <c r="I34" s="228"/>
      <c r="J34" s="228"/>
      <c r="K34" s="228"/>
      <c r="L34" s="229"/>
      <c r="M34" s="157"/>
      <c r="N34" s="158" t="s">
        <v>91</v>
      </c>
      <c r="O34" s="159">
        <f>IF(B11="Filer",0.5%,2.5%)</f>
        <v>5.0000000000000001E-3</v>
      </c>
      <c r="P34" s="153">
        <f>O34*P33</f>
        <v>38.342334719999997</v>
      </c>
    </row>
    <row r="35" spans="2:16" ht="15.75" customHeight="1" thickBot="1" x14ac:dyDescent="0.4">
      <c r="N35" s="212" t="s">
        <v>92</v>
      </c>
      <c r="O35" s="213"/>
      <c r="P35" s="160">
        <f>P33+P34</f>
        <v>7706.8092787199994</v>
      </c>
    </row>
    <row r="36" spans="2:16" ht="15" thickBot="1" x14ac:dyDescent="0.4">
      <c r="B36" s="161" t="s">
        <v>93</v>
      </c>
      <c r="C36" s="214"/>
      <c r="D36" s="214"/>
      <c r="E36" s="214"/>
      <c r="F36" s="214"/>
      <c r="G36" s="214"/>
      <c r="H36" s="214"/>
      <c r="I36" s="215"/>
      <c r="J36" s="216"/>
      <c r="K36" s="217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A00-000000000000}">
      <formula1>$XFD$12:$XFD$17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B11" xr:uid="{00000000-0002-0000-0A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7"/>
  <sheetViews>
    <sheetView topLeftCell="A7" workbookViewId="0">
      <selection sqref="A1:P3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4" t="s">
        <v>45</v>
      </c>
      <c r="B2" s="254"/>
      <c r="C2" s="254"/>
    </row>
    <row r="3" spans="1:19 16383:16384" ht="15" customHeight="1" x14ac:dyDescent="0.35">
      <c r="A3" s="239" t="s">
        <v>46</v>
      </c>
      <c r="B3" s="239"/>
      <c r="C3" s="239"/>
      <c r="F3" s="70"/>
      <c r="G3" s="71"/>
      <c r="K3" s="238" t="s">
        <v>47</v>
      </c>
      <c r="L3" s="238"/>
      <c r="M3" s="238"/>
      <c r="N3" s="239">
        <v>9</v>
      </c>
      <c r="O3" s="239"/>
      <c r="P3" s="23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9" t="s">
        <v>94</v>
      </c>
      <c r="B4" s="239"/>
      <c r="C4" s="239"/>
      <c r="F4" s="70"/>
      <c r="G4" s="71"/>
      <c r="K4" s="238" t="s">
        <v>49</v>
      </c>
      <c r="L4" s="238"/>
      <c r="M4" s="238"/>
      <c r="N4" s="252">
        <f ca="1">TODAY()</f>
        <v>46223</v>
      </c>
      <c r="O4" s="252"/>
      <c r="P4" s="25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5" t="s">
        <v>133</v>
      </c>
      <c r="B5" s="265"/>
      <c r="C5" s="265"/>
      <c r="F5" s="70"/>
      <c r="G5" s="71"/>
      <c r="K5" s="238" t="s">
        <v>51</v>
      </c>
      <c r="L5" s="238"/>
      <c r="M5" s="238"/>
      <c r="N5" s="252">
        <f ca="1">N4-1</f>
        <v>46222</v>
      </c>
      <c r="O5" s="239"/>
      <c r="P5" s="239"/>
      <c r="R5" s="70"/>
      <c r="S5" s="71"/>
    </row>
    <row r="6" spans="1:19 16383:16384" ht="15" customHeight="1" x14ac:dyDescent="0.35">
      <c r="A6" s="238" t="s">
        <v>134</v>
      </c>
      <c r="B6" s="238"/>
      <c r="C6" s="238"/>
      <c r="F6" s="70"/>
      <c r="G6" s="74"/>
      <c r="K6" s="238" t="s">
        <v>52</v>
      </c>
      <c r="L6" s="238"/>
      <c r="M6" s="238"/>
      <c r="N6" s="251" t="s">
        <v>104</v>
      </c>
      <c r="O6" s="251"/>
      <c r="P6" s="251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8"/>
      <c r="B7" s="238"/>
      <c r="C7" s="238"/>
      <c r="F7" s="70"/>
      <c r="G7" s="74"/>
      <c r="K7" s="238"/>
      <c r="L7" s="238"/>
      <c r="M7" s="238"/>
      <c r="N7" s="251"/>
      <c r="O7" s="251"/>
      <c r="P7" s="251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0"/>
      <c r="B8" s="250"/>
      <c r="C8" s="250"/>
      <c r="F8" s="70"/>
      <c r="G8" s="74"/>
      <c r="K8" s="238"/>
      <c r="L8" s="238"/>
      <c r="M8" s="238"/>
      <c r="N8" s="251"/>
      <c r="O8" s="251"/>
      <c r="P8" s="251"/>
      <c r="R8" s="70"/>
      <c r="S8" s="74"/>
    </row>
    <row r="9" spans="1:19 16383:16384" x14ac:dyDescent="0.35">
      <c r="A9" s="250"/>
      <c r="B9" s="250"/>
      <c r="C9" s="250"/>
      <c r="F9" s="70"/>
      <c r="G9" s="74"/>
      <c r="K9" s="238"/>
      <c r="L9" s="238"/>
      <c r="M9" s="238"/>
      <c r="N9" s="251"/>
      <c r="O9" s="251"/>
      <c r="P9" s="251"/>
      <c r="R9" s="70"/>
      <c r="S9" s="74"/>
      <c r="XFD9" t="s">
        <v>55</v>
      </c>
    </row>
    <row r="10" spans="1:19 16383:16384" ht="17.5" x14ac:dyDescent="0.35">
      <c r="A10" s="236" t="s">
        <v>95</v>
      </c>
      <c r="B10" s="191"/>
      <c r="C10" s="75"/>
      <c r="F10" s="70"/>
      <c r="G10" s="71"/>
      <c r="K10" s="238" t="s">
        <v>56</v>
      </c>
      <c r="L10" s="238"/>
      <c r="M10" s="238"/>
      <c r="N10" s="239" t="s">
        <v>57</v>
      </c>
      <c r="O10" s="239"/>
      <c r="P10" s="239"/>
      <c r="R10" s="70"/>
      <c r="S10" s="71"/>
      <c r="XFD10" t="s">
        <v>58</v>
      </c>
    </row>
    <row r="11" spans="1:19 16383:16384" x14ac:dyDescent="0.35">
      <c r="A11" s="236"/>
      <c r="B11" s="76" t="s">
        <v>50</v>
      </c>
      <c r="C11" s="77" t="str">
        <f>IF($O34&gt;2.49%,"No","Yes")</f>
        <v>No</v>
      </c>
      <c r="F11" s="70"/>
      <c r="G11" s="71"/>
      <c r="K11" s="238" t="s">
        <v>59</v>
      </c>
      <c r="L11" s="238"/>
      <c r="M11" s="238"/>
      <c r="N11" s="239" t="s">
        <v>55</v>
      </c>
      <c r="O11" s="239"/>
      <c r="P11" s="239"/>
      <c r="R11" s="70"/>
      <c r="S11" s="71"/>
    </row>
    <row r="12" spans="1:19 16383:16384" ht="14.65" customHeight="1" x14ac:dyDescent="0.35">
      <c r="A12" s="236" t="s">
        <v>60</v>
      </c>
      <c r="B12" s="76" t="s">
        <v>53</v>
      </c>
      <c r="C12" s="77" t="str">
        <f>IF($O32&gt;21.99%,"No","Yes")</f>
        <v>Yes</v>
      </c>
      <c r="F12" s="70"/>
      <c r="G12" s="71"/>
      <c r="K12" s="238" t="s">
        <v>61</v>
      </c>
      <c r="L12" s="238"/>
      <c r="M12" s="238"/>
      <c r="N12" s="239"/>
      <c r="O12" s="239"/>
      <c r="P12" s="239"/>
      <c r="R12" s="70"/>
      <c r="S12" s="71"/>
      <c r="XFD12" t="s">
        <v>62</v>
      </c>
    </row>
    <row r="13" spans="1:19 16383:16384" ht="15" thickBot="1" x14ac:dyDescent="0.4">
      <c r="A13" s="237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0" t="s">
        <v>64</v>
      </c>
      <c r="B14" s="241"/>
      <c r="C14" s="244" t="s">
        <v>65</v>
      </c>
      <c r="D14" s="80" t="s">
        <v>2</v>
      </c>
      <c r="E14" s="81" t="s">
        <v>66</v>
      </c>
      <c r="F14" s="82" t="s">
        <v>67</v>
      </c>
      <c r="G14" s="260" t="s">
        <v>68</v>
      </c>
      <c r="H14" s="261"/>
      <c r="I14" s="262" t="s">
        <v>69</v>
      </c>
      <c r="J14" s="260" t="s">
        <v>70</v>
      </c>
      <c r="K14" s="264"/>
      <c r="L14" s="261"/>
      <c r="M14" s="262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2"/>
      <c r="B15" s="243"/>
      <c r="C15" s="245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3"/>
      <c r="J15" s="88" t="s">
        <v>78</v>
      </c>
      <c r="K15" s="90" t="s">
        <v>79</v>
      </c>
      <c r="L15" s="91" t="s">
        <v>80</v>
      </c>
      <c r="M15" s="263"/>
      <c r="N15" s="92">
        <f>IF(B12="Registered",18%,22%)</f>
        <v>0.18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>
        <v>80</v>
      </c>
      <c r="I16" s="102">
        <f>(G16*D16)*F16+H16*F16</f>
        <v>4197</v>
      </c>
      <c r="J16" s="103"/>
      <c r="K16" s="104">
        <f>I16*3.5%</f>
        <v>146.89500000000001</v>
      </c>
      <c r="L16" s="105">
        <f>I16*8%</f>
        <v>335.76</v>
      </c>
      <c r="M16" s="106">
        <f>I16-K16-L16</f>
        <v>3714.3450000000003</v>
      </c>
      <c r="N16" s="106">
        <f t="shared" ref="N16:N24" si="0">(M16*$N$15)+(J16*F16)*$N$15</f>
        <v>668.58209999999997</v>
      </c>
      <c r="O16" s="107">
        <f>(N16+M16)*$O$15</f>
        <v>109.5731775</v>
      </c>
      <c r="P16" s="105">
        <f t="shared" ref="P16:P24" si="1">M16+N16+O16</f>
        <v>4492.5002775000003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>
        <v>80</v>
      </c>
      <c r="I17" s="116">
        <f t="shared" ref="I17:I23" si="2">(G17*D17)*F17+H17*F17</f>
        <v>4197</v>
      </c>
      <c r="J17" s="117"/>
      <c r="K17" s="104">
        <f t="shared" ref="K17:K21" si="3">I17*3.5%</f>
        <v>146.89500000000001</v>
      </c>
      <c r="L17" s="105">
        <f t="shared" ref="L17:L21" si="4">I17*8%</f>
        <v>335.76</v>
      </c>
      <c r="M17" s="118">
        <f t="shared" ref="M17:M23" si="5">I17-K17-L17</f>
        <v>3714.3450000000003</v>
      </c>
      <c r="N17" s="118">
        <f t="shared" si="0"/>
        <v>668.58209999999997</v>
      </c>
      <c r="O17" s="119">
        <f t="shared" ref="O17:O24" si="6">(N17+M17)*$O$15</f>
        <v>109.5731775</v>
      </c>
      <c r="P17" s="120">
        <f t="shared" si="1"/>
        <v>4492.5002775000003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200</v>
      </c>
      <c r="I22" s="116">
        <f t="shared" si="2"/>
        <v>7846.0000000000009</v>
      </c>
      <c r="J22" s="117"/>
      <c r="K22" s="104">
        <f>I22*8.6%</f>
        <v>674.75599999999997</v>
      </c>
      <c r="L22" s="120">
        <f>I22*5%</f>
        <v>392.30000000000007</v>
      </c>
      <c r="M22" s="118">
        <f t="shared" si="5"/>
        <v>6778.9440000000004</v>
      </c>
      <c r="N22" s="118">
        <f t="shared" si="0"/>
        <v>1220.20992</v>
      </c>
      <c r="O22" s="119">
        <f t="shared" si="6"/>
        <v>199.97884800000003</v>
      </c>
      <c r="P22" s="120">
        <f t="shared" si="1"/>
        <v>8199.1327680000013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8" t="s">
        <v>84</v>
      </c>
      <c r="B25" s="219"/>
      <c r="C25" s="220"/>
      <c r="D25" s="214"/>
      <c r="E25" s="214"/>
      <c r="F25" s="259"/>
      <c r="G25" s="135">
        <f t="shared" ref="G25:M25" si="9">SUM(G16:G24)</f>
        <v>0</v>
      </c>
      <c r="H25" s="136">
        <f t="shared" si="9"/>
        <v>360</v>
      </c>
      <c r="I25" s="137">
        <f t="shared" si="9"/>
        <v>16240</v>
      </c>
      <c r="J25" s="138"/>
      <c r="K25" s="139">
        <f t="shared" si="9"/>
        <v>968.54600000000005</v>
      </c>
      <c r="L25" s="140">
        <f t="shared" si="9"/>
        <v>1063.8200000000002</v>
      </c>
      <c r="M25" s="141">
        <f t="shared" si="9"/>
        <v>14207.634000000002</v>
      </c>
      <c r="N25" s="142">
        <f>SUM(N16:N24)</f>
        <v>2557.3741199999999</v>
      </c>
      <c r="O25" s="143">
        <f>SUM(O16:O24)</f>
        <v>419.12520300000006</v>
      </c>
      <c r="P25" s="144">
        <f>SUM(P16:P24)</f>
        <v>17184.133323000002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1" t="s">
        <v>85</v>
      </c>
      <c r="C28" s="222"/>
      <c r="D28" s="222"/>
      <c r="E28" s="222"/>
      <c r="F28" s="222"/>
      <c r="G28" s="222"/>
      <c r="H28" s="222"/>
      <c r="I28" s="222"/>
      <c r="J28" s="222"/>
      <c r="K28" s="222"/>
      <c r="L28" s="223"/>
      <c r="N28" s="230" t="s">
        <v>86</v>
      </c>
      <c r="O28" s="231"/>
      <c r="P28" s="152">
        <f>I25</f>
        <v>16240</v>
      </c>
    </row>
    <row r="29" spans="1:19 16384:16384" ht="15" customHeight="1" x14ac:dyDescent="0.35">
      <c r="B29" s="224"/>
      <c r="C29" s="225"/>
      <c r="D29" s="225"/>
      <c r="E29" s="225"/>
      <c r="F29" s="225"/>
      <c r="G29" s="225"/>
      <c r="H29" s="225"/>
      <c r="I29" s="225"/>
      <c r="J29" s="225"/>
      <c r="K29" s="225"/>
      <c r="L29" s="226"/>
      <c r="N29" s="232" t="s">
        <v>87</v>
      </c>
      <c r="O29" s="233"/>
      <c r="P29" s="153">
        <f>L25</f>
        <v>1063.8200000000002</v>
      </c>
    </row>
    <row r="30" spans="1:19 16384:16384" ht="15" customHeight="1" x14ac:dyDescent="0.35">
      <c r="B30" s="224"/>
      <c r="C30" s="225"/>
      <c r="D30" s="225"/>
      <c r="E30" s="225"/>
      <c r="F30" s="225"/>
      <c r="G30" s="225"/>
      <c r="H30" s="225"/>
      <c r="I30" s="225"/>
      <c r="J30" s="225"/>
      <c r="K30" s="225"/>
      <c r="L30" s="226"/>
      <c r="N30" s="232" t="s">
        <v>4</v>
      </c>
      <c r="O30" s="233"/>
      <c r="P30" s="154">
        <f>K25</f>
        <v>968.54600000000005</v>
      </c>
    </row>
    <row r="31" spans="1:19 16384:16384" ht="15" customHeight="1" x14ac:dyDescent="0.35">
      <c r="B31" s="224"/>
      <c r="C31" s="225"/>
      <c r="D31" s="225"/>
      <c r="E31" s="225"/>
      <c r="F31" s="225"/>
      <c r="G31" s="225"/>
      <c r="H31" s="225"/>
      <c r="I31" s="225"/>
      <c r="J31" s="225"/>
      <c r="K31" s="225"/>
      <c r="L31" s="226"/>
      <c r="M31" s="2"/>
      <c r="N31" s="232" t="s">
        <v>88</v>
      </c>
      <c r="O31" s="233"/>
      <c r="P31" s="153">
        <f>P28-P29-P30</f>
        <v>14207.634</v>
      </c>
    </row>
    <row r="32" spans="1:19 16384:16384" ht="15" customHeight="1" x14ac:dyDescent="0.35">
      <c r="B32" s="224"/>
      <c r="C32" s="225"/>
      <c r="D32" s="225"/>
      <c r="E32" s="225"/>
      <c r="F32" s="225"/>
      <c r="G32" s="225"/>
      <c r="H32" s="225"/>
      <c r="I32" s="225"/>
      <c r="J32" s="225"/>
      <c r="K32" s="225"/>
      <c r="L32" s="226"/>
      <c r="M32" s="2"/>
      <c r="N32" s="155" t="s">
        <v>89</v>
      </c>
      <c r="O32" s="156">
        <f>IF(B12="Registered",18%,22%)</f>
        <v>0.18</v>
      </c>
      <c r="P32" s="153">
        <f>N25</f>
        <v>2557.3741199999999</v>
      </c>
    </row>
    <row r="33" spans="2:16" ht="15" customHeight="1" x14ac:dyDescent="0.35">
      <c r="B33" s="224"/>
      <c r="C33" s="225"/>
      <c r="D33" s="225"/>
      <c r="E33" s="225"/>
      <c r="F33" s="225"/>
      <c r="G33" s="225"/>
      <c r="H33" s="225"/>
      <c r="I33" s="225"/>
      <c r="J33" s="225"/>
      <c r="K33" s="225"/>
      <c r="L33" s="226"/>
      <c r="M33" s="2"/>
      <c r="N33" s="234" t="s">
        <v>90</v>
      </c>
      <c r="O33" s="235"/>
      <c r="P33" s="153">
        <f>P31+P32</f>
        <v>16765.008119999999</v>
      </c>
    </row>
    <row r="34" spans="2:16" ht="15" customHeight="1" thickBot="1" x14ac:dyDescent="0.4">
      <c r="B34" s="227"/>
      <c r="C34" s="228"/>
      <c r="D34" s="228"/>
      <c r="E34" s="228"/>
      <c r="F34" s="228"/>
      <c r="G34" s="228"/>
      <c r="H34" s="228"/>
      <c r="I34" s="228"/>
      <c r="J34" s="228"/>
      <c r="K34" s="228"/>
      <c r="L34" s="229"/>
      <c r="M34" s="157"/>
      <c r="N34" s="158" t="s">
        <v>91</v>
      </c>
      <c r="O34" s="159">
        <f>IF(B11="Filer",0.5%,2.5%)</f>
        <v>2.5000000000000001E-2</v>
      </c>
      <c r="P34" s="153">
        <f>O34*P33</f>
        <v>419.125203</v>
      </c>
    </row>
    <row r="35" spans="2:16" ht="15.75" customHeight="1" thickBot="1" x14ac:dyDescent="0.4">
      <c r="N35" s="212" t="s">
        <v>92</v>
      </c>
      <c r="O35" s="213"/>
      <c r="P35" s="160">
        <f>P33+P34</f>
        <v>17184.133322999998</v>
      </c>
    </row>
    <row r="36" spans="2:16" ht="15" thickBot="1" x14ac:dyDescent="0.4">
      <c r="B36" s="161" t="s">
        <v>93</v>
      </c>
      <c r="C36" s="214"/>
      <c r="D36" s="214"/>
      <c r="E36" s="214"/>
      <c r="F36" s="214"/>
      <c r="G36" s="214"/>
      <c r="H36" s="214"/>
      <c r="I36" s="215"/>
      <c r="J36" s="216"/>
      <c r="K36" s="217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B00-000000000000}">
      <formula1>$XFC$3:$XFC$4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N9:P9" xr:uid="{00000000-0002-0000-0B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7"/>
  <sheetViews>
    <sheetView topLeftCell="A2" workbookViewId="0">
      <selection activeCell="A7" sqref="A7:C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4" t="s">
        <v>45</v>
      </c>
      <c r="B2" s="254"/>
      <c r="C2" s="254"/>
    </row>
    <row r="3" spans="1:19 16383:16384" ht="15" customHeight="1" x14ac:dyDescent="0.35">
      <c r="A3" s="239" t="s">
        <v>46</v>
      </c>
      <c r="B3" s="239"/>
      <c r="C3" s="239"/>
      <c r="F3" s="70"/>
      <c r="G3" s="71"/>
      <c r="K3" s="238" t="s">
        <v>47</v>
      </c>
      <c r="L3" s="238"/>
      <c r="M3" s="238"/>
      <c r="N3" s="239">
        <v>10</v>
      </c>
      <c r="O3" s="239"/>
      <c r="P3" s="23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9" t="s">
        <v>94</v>
      </c>
      <c r="B4" s="239"/>
      <c r="C4" s="239"/>
      <c r="F4" s="70"/>
      <c r="G4" s="71"/>
      <c r="K4" s="238" t="s">
        <v>49</v>
      </c>
      <c r="L4" s="238"/>
      <c r="M4" s="238"/>
      <c r="N4" s="252">
        <f ca="1">TODAY()</f>
        <v>46223</v>
      </c>
      <c r="O4" s="252"/>
      <c r="P4" s="25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5" t="s">
        <v>135</v>
      </c>
      <c r="B5" s="265"/>
      <c r="C5" s="265"/>
      <c r="F5" s="70"/>
      <c r="G5" s="71"/>
      <c r="K5" s="238" t="s">
        <v>51</v>
      </c>
      <c r="L5" s="238"/>
      <c r="M5" s="238"/>
      <c r="N5" s="252">
        <f ca="1">N4-1</f>
        <v>46222</v>
      </c>
      <c r="O5" s="239"/>
      <c r="P5" s="239"/>
      <c r="R5" s="70"/>
      <c r="S5" s="71"/>
    </row>
    <row r="6" spans="1:19 16383:16384" ht="15" customHeight="1" x14ac:dyDescent="0.35">
      <c r="A6" s="238" t="s">
        <v>127</v>
      </c>
      <c r="B6" s="238"/>
      <c r="C6" s="238"/>
      <c r="F6" s="70"/>
      <c r="G6" s="74"/>
      <c r="K6" s="238" t="s">
        <v>52</v>
      </c>
      <c r="L6" s="238"/>
      <c r="M6" s="238"/>
      <c r="N6" s="251" t="s">
        <v>104</v>
      </c>
      <c r="O6" s="251"/>
      <c r="P6" s="251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8"/>
      <c r="B7" s="238"/>
      <c r="C7" s="238"/>
      <c r="F7" s="70"/>
      <c r="G7" s="74"/>
      <c r="K7" s="238"/>
      <c r="L7" s="238"/>
      <c r="M7" s="238"/>
      <c r="N7" s="251"/>
      <c r="O7" s="251"/>
      <c r="P7" s="251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0"/>
      <c r="B8" s="250"/>
      <c r="C8" s="250"/>
      <c r="F8" s="70"/>
      <c r="G8" s="74"/>
      <c r="K8" s="238"/>
      <c r="L8" s="238"/>
      <c r="M8" s="238"/>
      <c r="N8" s="251"/>
      <c r="O8" s="251"/>
      <c r="P8" s="251"/>
      <c r="R8" s="70"/>
      <c r="S8" s="74"/>
    </row>
    <row r="9" spans="1:19 16383:16384" x14ac:dyDescent="0.35">
      <c r="A9" s="250"/>
      <c r="B9" s="250"/>
      <c r="C9" s="250"/>
      <c r="F9" s="70"/>
      <c r="G9" s="74"/>
      <c r="K9" s="238"/>
      <c r="L9" s="238"/>
      <c r="M9" s="238"/>
      <c r="N9" s="251"/>
      <c r="O9" s="251"/>
      <c r="P9" s="251"/>
      <c r="R9" s="70"/>
      <c r="S9" s="74"/>
      <c r="XFD9" t="s">
        <v>55</v>
      </c>
    </row>
    <row r="10" spans="1:19 16383:16384" ht="17.5" x14ac:dyDescent="0.35">
      <c r="A10" s="236" t="s">
        <v>95</v>
      </c>
      <c r="B10" s="191"/>
      <c r="C10" s="75"/>
      <c r="F10" s="70"/>
      <c r="G10" s="71"/>
      <c r="K10" s="238" t="s">
        <v>56</v>
      </c>
      <c r="L10" s="238"/>
      <c r="M10" s="238"/>
      <c r="N10" s="239" t="s">
        <v>57</v>
      </c>
      <c r="O10" s="239"/>
      <c r="P10" s="239"/>
      <c r="R10" s="70"/>
      <c r="S10" s="71"/>
      <c r="XFD10" t="s">
        <v>58</v>
      </c>
    </row>
    <row r="11" spans="1:19 16383:16384" x14ac:dyDescent="0.35">
      <c r="A11" s="236"/>
      <c r="B11" s="76" t="s">
        <v>48</v>
      </c>
      <c r="C11" s="77" t="str">
        <f>IF($O34&gt;2.49%,"No","Yes")</f>
        <v>Yes</v>
      </c>
      <c r="F11" s="70"/>
      <c r="G11" s="71"/>
      <c r="K11" s="238" t="s">
        <v>59</v>
      </c>
      <c r="L11" s="238"/>
      <c r="M11" s="238"/>
      <c r="N11" s="239" t="s">
        <v>55</v>
      </c>
      <c r="O11" s="239"/>
      <c r="P11" s="239"/>
      <c r="R11" s="70"/>
      <c r="S11" s="71"/>
    </row>
    <row r="12" spans="1:19 16383:16384" ht="14.65" customHeight="1" x14ac:dyDescent="0.35">
      <c r="A12" s="236" t="s">
        <v>60</v>
      </c>
      <c r="B12" s="76" t="s">
        <v>54</v>
      </c>
      <c r="C12" s="77" t="str">
        <f>IF($O32&gt;21.99%,"No","Yes")</f>
        <v>No</v>
      </c>
      <c r="F12" s="70"/>
      <c r="G12" s="71"/>
      <c r="K12" s="238" t="s">
        <v>61</v>
      </c>
      <c r="L12" s="238"/>
      <c r="M12" s="238"/>
      <c r="N12" s="239"/>
      <c r="O12" s="239"/>
      <c r="P12" s="239"/>
      <c r="R12" s="70"/>
      <c r="S12" s="71"/>
      <c r="XFD12" t="s">
        <v>62</v>
      </c>
    </row>
    <row r="13" spans="1:19 16383:16384" ht="15" thickBot="1" x14ac:dyDescent="0.4">
      <c r="A13" s="237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0" t="s">
        <v>64</v>
      </c>
      <c r="B14" s="241"/>
      <c r="C14" s="244" t="s">
        <v>65</v>
      </c>
      <c r="D14" s="80" t="s">
        <v>2</v>
      </c>
      <c r="E14" s="81" t="s">
        <v>66</v>
      </c>
      <c r="F14" s="82" t="s">
        <v>67</v>
      </c>
      <c r="G14" s="260" t="s">
        <v>68</v>
      </c>
      <c r="H14" s="261"/>
      <c r="I14" s="262" t="s">
        <v>69</v>
      </c>
      <c r="J14" s="260" t="s">
        <v>70</v>
      </c>
      <c r="K14" s="264"/>
      <c r="L14" s="261"/>
      <c r="M14" s="262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2"/>
      <c r="B15" s="243"/>
      <c r="C15" s="245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3"/>
      <c r="J15" s="88" t="s">
        <v>78</v>
      </c>
      <c r="K15" s="90" t="s">
        <v>79</v>
      </c>
      <c r="L15" s="91" t="s">
        <v>80</v>
      </c>
      <c r="M15" s="263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8" t="s">
        <v>84</v>
      </c>
      <c r="B25" s="219"/>
      <c r="C25" s="220"/>
      <c r="D25" s="214"/>
      <c r="E25" s="214"/>
      <c r="F25" s="259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1" t="s">
        <v>85</v>
      </c>
      <c r="C28" s="222"/>
      <c r="D28" s="222"/>
      <c r="E28" s="222"/>
      <c r="F28" s="222"/>
      <c r="G28" s="222"/>
      <c r="H28" s="222"/>
      <c r="I28" s="222"/>
      <c r="J28" s="222"/>
      <c r="K28" s="222"/>
      <c r="L28" s="223"/>
      <c r="N28" s="230" t="s">
        <v>86</v>
      </c>
      <c r="O28" s="231"/>
      <c r="P28" s="152">
        <f>I25</f>
        <v>0</v>
      </c>
    </row>
    <row r="29" spans="1:19 16384:16384" ht="15" customHeight="1" x14ac:dyDescent="0.35">
      <c r="B29" s="224"/>
      <c r="C29" s="225"/>
      <c r="D29" s="225"/>
      <c r="E29" s="225"/>
      <c r="F29" s="225"/>
      <c r="G29" s="225"/>
      <c r="H29" s="225"/>
      <c r="I29" s="225"/>
      <c r="J29" s="225"/>
      <c r="K29" s="225"/>
      <c r="L29" s="226"/>
      <c r="N29" s="232" t="s">
        <v>87</v>
      </c>
      <c r="O29" s="233"/>
      <c r="P29" s="153">
        <f>L25</f>
        <v>0</v>
      </c>
    </row>
    <row r="30" spans="1:19 16384:16384" ht="15" customHeight="1" x14ac:dyDescent="0.35">
      <c r="B30" s="224"/>
      <c r="C30" s="225"/>
      <c r="D30" s="225"/>
      <c r="E30" s="225"/>
      <c r="F30" s="225"/>
      <c r="G30" s="225"/>
      <c r="H30" s="225"/>
      <c r="I30" s="225"/>
      <c r="J30" s="225"/>
      <c r="K30" s="225"/>
      <c r="L30" s="226"/>
      <c r="N30" s="232" t="s">
        <v>4</v>
      </c>
      <c r="O30" s="233"/>
      <c r="P30" s="154">
        <f>K25</f>
        <v>0</v>
      </c>
    </row>
    <row r="31" spans="1:19 16384:16384" ht="15" customHeight="1" x14ac:dyDescent="0.35">
      <c r="B31" s="224"/>
      <c r="C31" s="225"/>
      <c r="D31" s="225"/>
      <c r="E31" s="225"/>
      <c r="F31" s="225"/>
      <c r="G31" s="225"/>
      <c r="H31" s="225"/>
      <c r="I31" s="225"/>
      <c r="J31" s="225"/>
      <c r="K31" s="225"/>
      <c r="L31" s="226"/>
      <c r="M31" s="2"/>
      <c r="N31" s="232" t="s">
        <v>88</v>
      </c>
      <c r="O31" s="233"/>
      <c r="P31" s="153">
        <f>P28-P29-P30</f>
        <v>0</v>
      </c>
    </row>
    <row r="32" spans="1:19 16384:16384" ht="15" customHeight="1" x14ac:dyDescent="0.35">
      <c r="B32" s="224"/>
      <c r="C32" s="225"/>
      <c r="D32" s="225"/>
      <c r="E32" s="225"/>
      <c r="F32" s="225"/>
      <c r="G32" s="225"/>
      <c r="H32" s="225"/>
      <c r="I32" s="225"/>
      <c r="J32" s="225"/>
      <c r="K32" s="225"/>
      <c r="L32" s="226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24"/>
      <c r="C33" s="225"/>
      <c r="D33" s="225"/>
      <c r="E33" s="225"/>
      <c r="F33" s="225"/>
      <c r="G33" s="225"/>
      <c r="H33" s="225"/>
      <c r="I33" s="225"/>
      <c r="J33" s="225"/>
      <c r="K33" s="225"/>
      <c r="L33" s="226"/>
      <c r="M33" s="2"/>
      <c r="N33" s="234" t="s">
        <v>90</v>
      </c>
      <c r="O33" s="235"/>
      <c r="P33" s="153">
        <f>P31+P32</f>
        <v>0</v>
      </c>
    </row>
    <row r="34" spans="2:16" ht="15" customHeight="1" thickBot="1" x14ac:dyDescent="0.4">
      <c r="B34" s="227"/>
      <c r="C34" s="228"/>
      <c r="D34" s="228"/>
      <c r="E34" s="228"/>
      <c r="F34" s="228"/>
      <c r="G34" s="228"/>
      <c r="H34" s="228"/>
      <c r="I34" s="228"/>
      <c r="J34" s="228"/>
      <c r="K34" s="228"/>
      <c r="L34" s="229"/>
      <c r="M34" s="157"/>
      <c r="N34" s="158" t="s">
        <v>91</v>
      </c>
      <c r="O34" s="159">
        <f>IF(B11="Filer",0.5%,2.5%)</f>
        <v>5.0000000000000001E-3</v>
      </c>
      <c r="P34" s="153">
        <f>O34*P33</f>
        <v>0</v>
      </c>
    </row>
    <row r="35" spans="2:16" ht="15.75" customHeight="1" thickBot="1" x14ac:dyDescent="0.4">
      <c r="N35" s="212" t="s">
        <v>92</v>
      </c>
      <c r="O35" s="213"/>
      <c r="P35" s="160">
        <f>P33+P34</f>
        <v>0</v>
      </c>
    </row>
    <row r="36" spans="2:16" ht="15" thickBot="1" x14ac:dyDescent="0.4">
      <c r="B36" s="161" t="s">
        <v>93</v>
      </c>
      <c r="C36" s="214"/>
      <c r="D36" s="214"/>
      <c r="E36" s="214"/>
      <c r="F36" s="214"/>
      <c r="G36" s="214"/>
      <c r="H36" s="214"/>
      <c r="I36" s="215"/>
      <c r="J36" s="216"/>
      <c r="K36" s="217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C00-000000000000}">
      <formula1>$XFD$12:$XFD$17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B11" xr:uid="{00000000-0002-0000-0C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7"/>
  <sheetViews>
    <sheetView topLeftCell="A6" workbookViewId="0">
      <selection activeCell="D39" sqref="D3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4" t="s">
        <v>45</v>
      </c>
      <c r="B2" s="254"/>
      <c r="C2" s="254"/>
    </row>
    <row r="3" spans="1:19 16383:16384" ht="15" customHeight="1" x14ac:dyDescent="0.35">
      <c r="A3" s="239" t="s">
        <v>46</v>
      </c>
      <c r="B3" s="239"/>
      <c r="C3" s="239"/>
      <c r="F3" s="70"/>
      <c r="G3" s="71"/>
      <c r="K3" s="238" t="s">
        <v>47</v>
      </c>
      <c r="L3" s="238"/>
      <c r="M3" s="238"/>
      <c r="N3" s="239">
        <v>10</v>
      </c>
      <c r="O3" s="239"/>
      <c r="P3" s="23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9" t="s">
        <v>94</v>
      </c>
      <c r="B4" s="239"/>
      <c r="C4" s="239"/>
      <c r="F4" s="70"/>
      <c r="G4" s="71"/>
      <c r="K4" s="238" t="s">
        <v>49</v>
      </c>
      <c r="L4" s="238"/>
      <c r="M4" s="238"/>
      <c r="N4" s="252">
        <f ca="1">TODAY()</f>
        <v>46223</v>
      </c>
      <c r="O4" s="252"/>
      <c r="P4" s="25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5" t="s">
        <v>102</v>
      </c>
      <c r="B5" s="265"/>
      <c r="C5" s="265"/>
      <c r="F5" s="70"/>
      <c r="G5" s="71"/>
      <c r="K5" s="238" t="s">
        <v>51</v>
      </c>
      <c r="L5" s="238"/>
      <c r="M5" s="238"/>
      <c r="N5" s="252">
        <f ca="1">N4-1</f>
        <v>46222</v>
      </c>
      <c r="O5" s="239"/>
      <c r="P5" s="239"/>
      <c r="R5" s="70"/>
      <c r="S5" s="71"/>
    </row>
    <row r="6" spans="1:19 16383:16384" ht="15" customHeight="1" x14ac:dyDescent="0.35">
      <c r="A6" s="238" t="s">
        <v>103</v>
      </c>
      <c r="B6" s="238"/>
      <c r="C6" s="238"/>
      <c r="F6" s="70"/>
      <c r="G6" s="74"/>
      <c r="K6" s="238" t="s">
        <v>52</v>
      </c>
      <c r="L6" s="238"/>
      <c r="M6" s="238"/>
      <c r="N6" s="251" t="s">
        <v>98</v>
      </c>
      <c r="O6" s="251"/>
      <c r="P6" s="251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8"/>
      <c r="B7" s="238"/>
      <c r="C7" s="238"/>
      <c r="F7" s="70"/>
      <c r="G7" s="74"/>
      <c r="K7" s="238"/>
      <c r="L7" s="238"/>
      <c r="M7" s="238"/>
      <c r="N7" s="251"/>
      <c r="O7" s="251"/>
      <c r="P7" s="251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0"/>
      <c r="B8" s="250"/>
      <c r="C8" s="250"/>
      <c r="F8" s="70"/>
      <c r="G8" s="74"/>
      <c r="K8" s="238"/>
      <c r="L8" s="238"/>
      <c r="M8" s="238"/>
      <c r="N8" s="251"/>
      <c r="O8" s="251"/>
      <c r="P8" s="251"/>
      <c r="R8" s="70"/>
      <c r="S8" s="74"/>
    </row>
    <row r="9" spans="1:19 16383:16384" x14ac:dyDescent="0.35">
      <c r="A9" s="250"/>
      <c r="B9" s="250"/>
      <c r="C9" s="250"/>
      <c r="F9" s="70"/>
      <c r="G9" s="74"/>
      <c r="K9" s="238"/>
      <c r="L9" s="238"/>
      <c r="M9" s="238"/>
      <c r="N9" s="251"/>
      <c r="O9" s="251"/>
      <c r="P9" s="251"/>
      <c r="R9" s="70"/>
      <c r="S9" s="74"/>
      <c r="XFD9" t="s">
        <v>55</v>
      </c>
    </row>
    <row r="10" spans="1:19 16383:16384" ht="17.5" x14ac:dyDescent="0.35">
      <c r="A10" s="236" t="s">
        <v>95</v>
      </c>
      <c r="B10" s="191"/>
      <c r="C10" s="75"/>
      <c r="F10" s="70"/>
      <c r="G10" s="71"/>
      <c r="K10" s="238" t="s">
        <v>56</v>
      </c>
      <c r="L10" s="238"/>
      <c r="M10" s="238"/>
      <c r="N10" s="239" t="s">
        <v>57</v>
      </c>
      <c r="O10" s="239"/>
      <c r="P10" s="239"/>
      <c r="R10" s="70"/>
      <c r="S10" s="71"/>
      <c r="XFD10" t="s">
        <v>58</v>
      </c>
    </row>
    <row r="11" spans="1:19 16383:16384" x14ac:dyDescent="0.35">
      <c r="A11" s="236"/>
      <c r="B11" s="76" t="s">
        <v>48</v>
      </c>
      <c r="C11" s="77" t="str">
        <f>IF($O34&gt;2.49%,"No","Yes")</f>
        <v>Yes</v>
      </c>
      <c r="F11" s="70"/>
      <c r="G11" s="71"/>
      <c r="K11" s="238" t="s">
        <v>59</v>
      </c>
      <c r="L11" s="238"/>
      <c r="M11" s="238"/>
      <c r="N11" s="239" t="s">
        <v>55</v>
      </c>
      <c r="O11" s="239"/>
      <c r="P11" s="239"/>
      <c r="R11" s="70"/>
      <c r="S11" s="71"/>
    </row>
    <row r="12" spans="1:19 16383:16384" ht="14.65" customHeight="1" x14ac:dyDescent="0.35">
      <c r="A12" s="236" t="s">
        <v>60</v>
      </c>
      <c r="B12" s="76" t="s">
        <v>54</v>
      </c>
      <c r="C12" s="77" t="str">
        <f>IF($O32&gt;21.99%,"No","Yes")</f>
        <v>No</v>
      </c>
      <c r="F12" s="70"/>
      <c r="G12" s="71"/>
      <c r="K12" s="238" t="s">
        <v>61</v>
      </c>
      <c r="L12" s="238"/>
      <c r="M12" s="238"/>
      <c r="N12" s="239"/>
      <c r="O12" s="239"/>
      <c r="P12" s="239"/>
      <c r="R12" s="70"/>
      <c r="S12" s="71"/>
      <c r="XFD12" t="s">
        <v>62</v>
      </c>
    </row>
    <row r="13" spans="1:19 16383:16384" ht="15" thickBot="1" x14ac:dyDescent="0.4">
      <c r="A13" s="237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0" t="s">
        <v>64</v>
      </c>
      <c r="B14" s="241"/>
      <c r="C14" s="244" t="s">
        <v>65</v>
      </c>
      <c r="D14" s="80" t="s">
        <v>2</v>
      </c>
      <c r="E14" s="81" t="s">
        <v>66</v>
      </c>
      <c r="F14" s="82" t="s">
        <v>67</v>
      </c>
      <c r="G14" s="260" t="s">
        <v>68</v>
      </c>
      <c r="H14" s="261"/>
      <c r="I14" s="262" t="s">
        <v>69</v>
      </c>
      <c r="J14" s="260" t="s">
        <v>70</v>
      </c>
      <c r="K14" s="264"/>
      <c r="L14" s="261"/>
      <c r="M14" s="262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2"/>
      <c r="B15" s="243"/>
      <c r="C15" s="245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3"/>
      <c r="J15" s="88" t="s">
        <v>78</v>
      </c>
      <c r="K15" s="90" t="s">
        <v>79</v>
      </c>
      <c r="L15" s="91" t="s">
        <v>80</v>
      </c>
      <c r="M15" s="263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8" t="s">
        <v>84</v>
      </c>
      <c r="B25" s="219"/>
      <c r="C25" s="220"/>
      <c r="D25" s="214"/>
      <c r="E25" s="214"/>
      <c r="F25" s="259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1" t="s">
        <v>85</v>
      </c>
      <c r="C28" s="222"/>
      <c r="D28" s="222"/>
      <c r="E28" s="222"/>
      <c r="F28" s="222"/>
      <c r="G28" s="222"/>
      <c r="H28" s="222"/>
      <c r="I28" s="222"/>
      <c r="J28" s="222"/>
      <c r="K28" s="222"/>
      <c r="L28" s="223"/>
      <c r="N28" s="230" t="s">
        <v>86</v>
      </c>
      <c r="O28" s="231"/>
      <c r="P28" s="152">
        <f>I25</f>
        <v>0</v>
      </c>
    </row>
    <row r="29" spans="1:19 16384:16384" ht="15" customHeight="1" x14ac:dyDescent="0.35">
      <c r="B29" s="224"/>
      <c r="C29" s="225"/>
      <c r="D29" s="225"/>
      <c r="E29" s="225"/>
      <c r="F29" s="225"/>
      <c r="G29" s="225"/>
      <c r="H29" s="225"/>
      <c r="I29" s="225"/>
      <c r="J29" s="225"/>
      <c r="K29" s="225"/>
      <c r="L29" s="226"/>
      <c r="N29" s="232" t="s">
        <v>87</v>
      </c>
      <c r="O29" s="233"/>
      <c r="P29" s="153">
        <f>L25</f>
        <v>0</v>
      </c>
    </row>
    <row r="30" spans="1:19 16384:16384" ht="15" customHeight="1" x14ac:dyDescent="0.35">
      <c r="B30" s="224"/>
      <c r="C30" s="225"/>
      <c r="D30" s="225"/>
      <c r="E30" s="225"/>
      <c r="F30" s="225"/>
      <c r="G30" s="225"/>
      <c r="H30" s="225"/>
      <c r="I30" s="225"/>
      <c r="J30" s="225"/>
      <c r="K30" s="225"/>
      <c r="L30" s="226"/>
      <c r="N30" s="232" t="s">
        <v>4</v>
      </c>
      <c r="O30" s="233"/>
      <c r="P30" s="154">
        <f>K25</f>
        <v>0</v>
      </c>
    </row>
    <row r="31" spans="1:19 16384:16384" ht="15" customHeight="1" x14ac:dyDescent="0.35">
      <c r="B31" s="224"/>
      <c r="C31" s="225"/>
      <c r="D31" s="225"/>
      <c r="E31" s="225"/>
      <c r="F31" s="225"/>
      <c r="G31" s="225"/>
      <c r="H31" s="225"/>
      <c r="I31" s="225"/>
      <c r="J31" s="225"/>
      <c r="K31" s="225"/>
      <c r="L31" s="226"/>
      <c r="M31" s="2"/>
      <c r="N31" s="232" t="s">
        <v>88</v>
      </c>
      <c r="O31" s="233"/>
      <c r="P31" s="153">
        <f>P28-P29-P30</f>
        <v>0</v>
      </c>
    </row>
    <row r="32" spans="1:19 16384:16384" ht="15" customHeight="1" x14ac:dyDescent="0.35">
      <c r="B32" s="224"/>
      <c r="C32" s="225"/>
      <c r="D32" s="225"/>
      <c r="E32" s="225"/>
      <c r="F32" s="225"/>
      <c r="G32" s="225"/>
      <c r="H32" s="225"/>
      <c r="I32" s="225"/>
      <c r="J32" s="225"/>
      <c r="K32" s="225"/>
      <c r="L32" s="226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24"/>
      <c r="C33" s="225"/>
      <c r="D33" s="225"/>
      <c r="E33" s="225"/>
      <c r="F33" s="225"/>
      <c r="G33" s="225"/>
      <c r="H33" s="225"/>
      <c r="I33" s="225"/>
      <c r="J33" s="225"/>
      <c r="K33" s="225"/>
      <c r="L33" s="226"/>
      <c r="M33" s="2"/>
      <c r="N33" s="234" t="s">
        <v>90</v>
      </c>
      <c r="O33" s="235"/>
      <c r="P33" s="153">
        <f>P31+P32</f>
        <v>0</v>
      </c>
    </row>
    <row r="34" spans="2:16" ht="15" customHeight="1" thickBot="1" x14ac:dyDescent="0.4">
      <c r="B34" s="227"/>
      <c r="C34" s="228"/>
      <c r="D34" s="228"/>
      <c r="E34" s="228"/>
      <c r="F34" s="228"/>
      <c r="G34" s="228"/>
      <c r="H34" s="228"/>
      <c r="I34" s="228"/>
      <c r="J34" s="228"/>
      <c r="K34" s="228"/>
      <c r="L34" s="229"/>
      <c r="M34" s="157"/>
      <c r="N34" s="158" t="s">
        <v>91</v>
      </c>
      <c r="O34" s="159">
        <f>IF(B11="Filer",0.5%,2.5%)</f>
        <v>5.0000000000000001E-3</v>
      </c>
      <c r="P34" s="153">
        <f>O34*P33</f>
        <v>0</v>
      </c>
    </row>
    <row r="35" spans="2:16" ht="15.75" customHeight="1" thickBot="1" x14ac:dyDescent="0.4">
      <c r="N35" s="212" t="s">
        <v>92</v>
      </c>
      <c r="O35" s="213"/>
      <c r="P35" s="160">
        <f>P33+P34</f>
        <v>0</v>
      </c>
    </row>
    <row r="36" spans="2:16" ht="15" thickBot="1" x14ac:dyDescent="0.4">
      <c r="B36" s="161" t="s">
        <v>93</v>
      </c>
      <c r="C36" s="214"/>
      <c r="D36" s="214"/>
      <c r="E36" s="214"/>
      <c r="F36" s="214"/>
      <c r="G36" s="214"/>
      <c r="H36" s="214"/>
      <c r="I36" s="215"/>
      <c r="J36" s="216"/>
      <c r="K36" s="217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D00-000000000000}">
      <formula1>$XFC$3:$XFC$4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N9:P9" xr:uid="{00000000-0002-0000-0D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7"/>
  <sheetViews>
    <sheetView workbookViewId="0">
      <selection activeCell="D39" sqref="D3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4" t="s">
        <v>45</v>
      </c>
      <c r="B2" s="254"/>
      <c r="C2" s="254"/>
    </row>
    <row r="3" spans="1:19 16383:16384" ht="15" customHeight="1" x14ac:dyDescent="0.35">
      <c r="A3" s="239" t="s">
        <v>46</v>
      </c>
      <c r="B3" s="239"/>
      <c r="C3" s="239"/>
      <c r="F3" s="70"/>
      <c r="G3" s="71"/>
      <c r="K3" s="238" t="s">
        <v>47</v>
      </c>
      <c r="L3" s="238"/>
      <c r="M3" s="238"/>
      <c r="N3" s="239">
        <v>10</v>
      </c>
      <c r="O3" s="239"/>
      <c r="P3" s="23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9" t="s">
        <v>94</v>
      </c>
      <c r="B4" s="239"/>
      <c r="C4" s="239"/>
      <c r="F4" s="70"/>
      <c r="G4" s="71"/>
      <c r="K4" s="238" t="s">
        <v>49</v>
      </c>
      <c r="L4" s="238"/>
      <c r="M4" s="238"/>
      <c r="N4" s="252">
        <f ca="1">TODAY()</f>
        <v>46223</v>
      </c>
      <c r="O4" s="252"/>
      <c r="P4" s="25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5" t="s">
        <v>102</v>
      </c>
      <c r="B5" s="265"/>
      <c r="C5" s="265"/>
      <c r="F5" s="70"/>
      <c r="G5" s="71"/>
      <c r="K5" s="238" t="s">
        <v>51</v>
      </c>
      <c r="L5" s="238"/>
      <c r="M5" s="238"/>
      <c r="N5" s="252">
        <f ca="1">N4-1</f>
        <v>46222</v>
      </c>
      <c r="O5" s="239"/>
      <c r="P5" s="239"/>
      <c r="R5" s="70"/>
      <c r="S5" s="71"/>
    </row>
    <row r="6" spans="1:19 16383:16384" ht="15" customHeight="1" x14ac:dyDescent="0.35">
      <c r="A6" s="238" t="s">
        <v>103</v>
      </c>
      <c r="B6" s="238"/>
      <c r="C6" s="238"/>
      <c r="F6" s="70"/>
      <c r="G6" s="74"/>
      <c r="K6" s="238" t="s">
        <v>52</v>
      </c>
      <c r="L6" s="238"/>
      <c r="M6" s="238"/>
      <c r="N6" s="251" t="s">
        <v>98</v>
      </c>
      <c r="O6" s="251"/>
      <c r="P6" s="251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8"/>
      <c r="B7" s="238"/>
      <c r="C7" s="238"/>
      <c r="F7" s="70"/>
      <c r="G7" s="74"/>
      <c r="K7" s="238"/>
      <c r="L7" s="238"/>
      <c r="M7" s="238"/>
      <c r="N7" s="251"/>
      <c r="O7" s="251"/>
      <c r="P7" s="251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0"/>
      <c r="B8" s="250"/>
      <c r="C8" s="250"/>
      <c r="F8" s="70"/>
      <c r="G8" s="74"/>
      <c r="K8" s="238"/>
      <c r="L8" s="238"/>
      <c r="M8" s="238"/>
      <c r="N8" s="251"/>
      <c r="O8" s="251"/>
      <c r="P8" s="251"/>
      <c r="R8" s="70"/>
      <c r="S8" s="74"/>
    </row>
    <row r="9" spans="1:19 16383:16384" x14ac:dyDescent="0.35">
      <c r="A9" s="250"/>
      <c r="B9" s="250"/>
      <c r="C9" s="250"/>
      <c r="F9" s="70"/>
      <c r="G9" s="74"/>
      <c r="K9" s="238"/>
      <c r="L9" s="238"/>
      <c r="M9" s="238"/>
      <c r="N9" s="251"/>
      <c r="O9" s="251"/>
      <c r="P9" s="251"/>
      <c r="R9" s="70"/>
      <c r="S9" s="74"/>
      <c r="XFD9" t="s">
        <v>55</v>
      </c>
    </row>
    <row r="10" spans="1:19 16383:16384" ht="17.5" x14ac:dyDescent="0.35">
      <c r="A10" s="236" t="s">
        <v>95</v>
      </c>
      <c r="B10" s="191"/>
      <c r="C10" s="75"/>
      <c r="F10" s="70"/>
      <c r="G10" s="71"/>
      <c r="K10" s="238" t="s">
        <v>56</v>
      </c>
      <c r="L10" s="238"/>
      <c r="M10" s="238"/>
      <c r="N10" s="239" t="s">
        <v>57</v>
      </c>
      <c r="O10" s="239"/>
      <c r="P10" s="239"/>
      <c r="R10" s="70"/>
      <c r="S10" s="71"/>
      <c r="XFD10" t="s">
        <v>58</v>
      </c>
    </row>
    <row r="11" spans="1:19 16383:16384" x14ac:dyDescent="0.35">
      <c r="A11" s="236"/>
      <c r="B11" s="76" t="s">
        <v>48</v>
      </c>
      <c r="C11" s="77" t="str">
        <f>IF($O34&gt;2.49%,"No","Yes")</f>
        <v>Yes</v>
      </c>
      <c r="F11" s="70"/>
      <c r="G11" s="71"/>
      <c r="K11" s="238" t="s">
        <v>59</v>
      </c>
      <c r="L11" s="238"/>
      <c r="M11" s="238"/>
      <c r="N11" s="239" t="s">
        <v>55</v>
      </c>
      <c r="O11" s="239"/>
      <c r="P11" s="239"/>
      <c r="R11" s="70"/>
      <c r="S11" s="71"/>
    </row>
    <row r="12" spans="1:19 16383:16384" ht="14.65" customHeight="1" x14ac:dyDescent="0.35">
      <c r="A12" s="236" t="s">
        <v>60</v>
      </c>
      <c r="B12" s="76" t="s">
        <v>54</v>
      </c>
      <c r="C12" s="77" t="str">
        <f>IF($O32&gt;21.99%,"No","Yes")</f>
        <v>No</v>
      </c>
      <c r="F12" s="70"/>
      <c r="G12" s="71"/>
      <c r="K12" s="238" t="s">
        <v>61</v>
      </c>
      <c r="L12" s="238"/>
      <c r="M12" s="238"/>
      <c r="N12" s="239"/>
      <c r="O12" s="239"/>
      <c r="P12" s="239"/>
      <c r="R12" s="70"/>
      <c r="S12" s="71"/>
      <c r="XFD12" t="s">
        <v>62</v>
      </c>
    </row>
    <row r="13" spans="1:19 16383:16384" ht="15" thickBot="1" x14ac:dyDescent="0.4">
      <c r="A13" s="237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0" t="s">
        <v>64</v>
      </c>
      <c r="B14" s="241"/>
      <c r="C14" s="244" t="s">
        <v>65</v>
      </c>
      <c r="D14" s="80" t="s">
        <v>2</v>
      </c>
      <c r="E14" s="81" t="s">
        <v>66</v>
      </c>
      <c r="F14" s="82" t="s">
        <v>67</v>
      </c>
      <c r="G14" s="260" t="s">
        <v>68</v>
      </c>
      <c r="H14" s="261"/>
      <c r="I14" s="262" t="s">
        <v>69</v>
      </c>
      <c r="J14" s="260" t="s">
        <v>70</v>
      </c>
      <c r="K14" s="264"/>
      <c r="L14" s="261"/>
      <c r="M14" s="262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2"/>
      <c r="B15" s="243"/>
      <c r="C15" s="245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3"/>
      <c r="J15" s="88" t="s">
        <v>78</v>
      </c>
      <c r="K15" s="90" t="s">
        <v>79</v>
      </c>
      <c r="L15" s="91" t="s">
        <v>80</v>
      </c>
      <c r="M15" s="263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8" t="s">
        <v>84</v>
      </c>
      <c r="B25" s="219"/>
      <c r="C25" s="220"/>
      <c r="D25" s="214"/>
      <c r="E25" s="214"/>
      <c r="F25" s="259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1" t="s">
        <v>85</v>
      </c>
      <c r="C28" s="222"/>
      <c r="D28" s="222"/>
      <c r="E28" s="222"/>
      <c r="F28" s="222"/>
      <c r="G28" s="222"/>
      <c r="H28" s="222"/>
      <c r="I28" s="222"/>
      <c r="J28" s="222"/>
      <c r="K28" s="222"/>
      <c r="L28" s="223"/>
      <c r="N28" s="230" t="s">
        <v>86</v>
      </c>
      <c r="O28" s="231"/>
      <c r="P28" s="152">
        <f>I25</f>
        <v>0</v>
      </c>
    </row>
    <row r="29" spans="1:19 16384:16384" ht="15" customHeight="1" x14ac:dyDescent="0.35">
      <c r="B29" s="224"/>
      <c r="C29" s="225"/>
      <c r="D29" s="225"/>
      <c r="E29" s="225"/>
      <c r="F29" s="225"/>
      <c r="G29" s="225"/>
      <c r="H29" s="225"/>
      <c r="I29" s="225"/>
      <c r="J29" s="225"/>
      <c r="K29" s="225"/>
      <c r="L29" s="226"/>
      <c r="N29" s="232" t="s">
        <v>87</v>
      </c>
      <c r="O29" s="233"/>
      <c r="P29" s="153">
        <f>L25</f>
        <v>0</v>
      </c>
    </row>
    <row r="30" spans="1:19 16384:16384" ht="15" customHeight="1" x14ac:dyDescent="0.35">
      <c r="B30" s="224"/>
      <c r="C30" s="225"/>
      <c r="D30" s="225"/>
      <c r="E30" s="225"/>
      <c r="F30" s="225"/>
      <c r="G30" s="225"/>
      <c r="H30" s="225"/>
      <c r="I30" s="225"/>
      <c r="J30" s="225"/>
      <c r="K30" s="225"/>
      <c r="L30" s="226"/>
      <c r="N30" s="232" t="s">
        <v>4</v>
      </c>
      <c r="O30" s="233"/>
      <c r="P30" s="154">
        <f>K25</f>
        <v>0</v>
      </c>
    </row>
    <row r="31" spans="1:19 16384:16384" ht="15" customHeight="1" x14ac:dyDescent="0.35">
      <c r="B31" s="224"/>
      <c r="C31" s="225"/>
      <c r="D31" s="225"/>
      <c r="E31" s="225"/>
      <c r="F31" s="225"/>
      <c r="G31" s="225"/>
      <c r="H31" s="225"/>
      <c r="I31" s="225"/>
      <c r="J31" s="225"/>
      <c r="K31" s="225"/>
      <c r="L31" s="226"/>
      <c r="M31" s="2"/>
      <c r="N31" s="232" t="s">
        <v>88</v>
      </c>
      <c r="O31" s="233"/>
      <c r="P31" s="153">
        <f>P28-P29-P30</f>
        <v>0</v>
      </c>
    </row>
    <row r="32" spans="1:19 16384:16384" ht="15" customHeight="1" x14ac:dyDescent="0.35">
      <c r="B32" s="224"/>
      <c r="C32" s="225"/>
      <c r="D32" s="225"/>
      <c r="E32" s="225"/>
      <c r="F32" s="225"/>
      <c r="G32" s="225"/>
      <c r="H32" s="225"/>
      <c r="I32" s="225"/>
      <c r="J32" s="225"/>
      <c r="K32" s="225"/>
      <c r="L32" s="226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24"/>
      <c r="C33" s="225"/>
      <c r="D33" s="225"/>
      <c r="E33" s="225"/>
      <c r="F33" s="225"/>
      <c r="G33" s="225"/>
      <c r="H33" s="225"/>
      <c r="I33" s="225"/>
      <c r="J33" s="225"/>
      <c r="K33" s="225"/>
      <c r="L33" s="226"/>
      <c r="M33" s="2"/>
      <c r="N33" s="234" t="s">
        <v>90</v>
      </c>
      <c r="O33" s="235"/>
      <c r="P33" s="153">
        <f>P31+P32</f>
        <v>0</v>
      </c>
    </row>
    <row r="34" spans="2:16" ht="15" customHeight="1" thickBot="1" x14ac:dyDescent="0.4">
      <c r="B34" s="227"/>
      <c r="C34" s="228"/>
      <c r="D34" s="228"/>
      <c r="E34" s="228"/>
      <c r="F34" s="228"/>
      <c r="G34" s="228"/>
      <c r="H34" s="228"/>
      <c r="I34" s="228"/>
      <c r="J34" s="228"/>
      <c r="K34" s="228"/>
      <c r="L34" s="229"/>
      <c r="M34" s="157"/>
      <c r="N34" s="158" t="s">
        <v>91</v>
      </c>
      <c r="O34" s="159">
        <f>IF(B11="Filer",0.5%,2.5%)</f>
        <v>5.0000000000000001E-3</v>
      </c>
      <c r="P34" s="153">
        <f>O34*P33</f>
        <v>0</v>
      </c>
    </row>
    <row r="35" spans="2:16" ht="15.75" customHeight="1" thickBot="1" x14ac:dyDescent="0.4">
      <c r="N35" s="212" t="s">
        <v>92</v>
      </c>
      <c r="O35" s="213"/>
      <c r="P35" s="160">
        <f>P33+P34</f>
        <v>0</v>
      </c>
    </row>
    <row r="36" spans="2:16" ht="15" thickBot="1" x14ac:dyDescent="0.4">
      <c r="B36" s="161" t="s">
        <v>93</v>
      </c>
      <c r="C36" s="214"/>
      <c r="D36" s="214"/>
      <c r="E36" s="214"/>
      <c r="F36" s="214"/>
      <c r="G36" s="214"/>
      <c r="H36" s="214"/>
      <c r="I36" s="215"/>
      <c r="J36" s="216"/>
      <c r="K36" s="217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E00-000000000000}">
      <formula1>$XFD$12:$XFD$17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B11" xr:uid="{00000000-0002-0000-0E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4AD9D7-26F8-4D13-8E06-3E07C043467B}">
  <sheetPr>
    <pageSetUpPr fitToPage="1"/>
  </sheetPr>
  <dimension ref="A2:XFD37"/>
  <sheetViews>
    <sheetView topLeftCell="A21" workbookViewId="0">
      <selection activeCell="D39" sqref="D3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4" t="s">
        <v>45</v>
      </c>
      <c r="B2" s="254"/>
      <c r="C2" s="254"/>
    </row>
    <row r="3" spans="1:19 16383:16384" ht="15" customHeight="1" x14ac:dyDescent="0.35">
      <c r="A3" s="239" t="s">
        <v>46</v>
      </c>
      <c r="B3" s="239"/>
      <c r="C3" s="239"/>
      <c r="F3" s="70"/>
      <c r="G3" s="71"/>
      <c r="K3" s="238" t="s">
        <v>47</v>
      </c>
      <c r="L3" s="238"/>
      <c r="M3" s="238"/>
      <c r="N3" s="239">
        <v>10</v>
      </c>
      <c r="O3" s="239"/>
      <c r="P3" s="23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9" t="s">
        <v>94</v>
      </c>
      <c r="B4" s="239"/>
      <c r="C4" s="239"/>
      <c r="F4" s="70"/>
      <c r="G4" s="71"/>
      <c r="K4" s="238" t="s">
        <v>49</v>
      </c>
      <c r="L4" s="238"/>
      <c r="M4" s="238"/>
      <c r="N4" s="252">
        <f ca="1">TODAY()</f>
        <v>46223</v>
      </c>
      <c r="O4" s="252"/>
      <c r="P4" s="25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5" t="s">
        <v>102</v>
      </c>
      <c r="B5" s="265"/>
      <c r="C5" s="265"/>
      <c r="F5" s="70"/>
      <c r="G5" s="71"/>
      <c r="K5" s="238" t="s">
        <v>51</v>
      </c>
      <c r="L5" s="238"/>
      <c r="M5" s="238"/>
      <c r="N5" s="252">
        <f ca="1">N4-1</f>
        <v>46222</v>
      </c>
      <c r="O5" s="239"/>
      <c r="P5" s="239"/>
      <c r="R5" s="70"/>
      <c r="S5" s="71"/>
    </row>
    <row r="6" spans="1:19 16383:16384" ht="15" customHeight="1" x14ac:dyDescent="0.35">
      <c r="A6" s="238" t="s">
        <v>103</v>
      </c>
      <c r="B6" s="238"/>
      <c r="C6" s="238"/>
      <c r="F6" s="70"/>
      <c r="G6" s="74"/>
      <c r="K6" s="238" t="s">
        <v>52</v>
      </c>
      <c r="L6" s="238"/>
      <c r="M6" s="238"/>
      <c r="N6" s="251" t="s">
        <v>98</v>
      </c>
      <c r="O6" s="251"/>
      <c r="P6" s="251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8"/>
      <c r="B7" s="238"/>
      <c r="C7" s="238"/>
      <c r="F7" s="70"/>
      <c r="G7" s="74"/>
      <c r="K7" s="238"/>
      <c r="L7" s="238"/>
      <c r="M7" s="238"/>
      <c r="N7" s="251"/>
      <c r="O7" s="251"/>
      <c r="P7" s="251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0"/>
      <c r="B8" s="250"/>
      <c r="C8" s="250"/>
      <c r="F8" s="70"/>
      <c r="G8" s="74"/>
      <c r="K8" s="238"/>
      <c r="L8" s="238"/>
      <c r="M8" s="238"/>
      <c r="N8" s="251"/>
      <c r="O8" s="251"/>
      <c r="P8" s="251"/>
      <c r="R8" s="70"/>
      <c r="S8" s="74"/>
    </row>
    <row r="9" spans="1:19 16383:16384" x14ac:dyDescent="0.35">
      <c r="A9" s="250"/>
      <c r="B9" s="250"/>
      <c r="C9" s="250"/>
      <c r="F9" s="70"/>
      <c r="G9" s="74"/>
      <c r="K9" s="238"/>
      <c r="L9" s="238"/>
      <c r="M9" s="238"/>
      <c r="N9" s="251"/>
      <c r="O9" s="251"/>
      <c r="P9" s="251"/>
      <c r="R9" s="70"/>
      <c r="S9" s="74"/>
      <c r="XFD9" t="s">
        <v>55</v>
      </c>
    </row>
    <row r="10" spans="1:19 16383:16384" ht="17.5" x14ac:dyDescent="0.35">
      <c r="A10" s="236" t="s">
        <v>95</v>
      </c>
      <c r="B10" s="191"/>
      <c r="C10" s="75"/>
      <c r="F10" s="70"/>
      <c r="G10" s="71"/>
      <c r="K10" s="238" t="s">
        <v>56</v>
      </c>
      <c r="L10" s="238"/>
      <c r="M10" s="238"/>
      <c r="N10" s="239" t="s">
        <v>57</v>
      </c>
      <c r="O10" s="239"/>
      <c r="P10" s="239"/>
      <c r="R10" s="70"/>
      <c r="S10" s="71"/>
      <c r="XFD10" t="s">
        <v>58</v>
      </c>
    </row>
    <row r="11" spans="1:19 16383:16384" x14ac:dyDescent="0.35">
      <c r="A11" s="236"/>
      <c r="B11" s="76" t="s">
        <v>48</v>
      </c>
      <c r="C11" s="77" t="str">
        <f>IF($O34&gt;2.49%,"No","Yes")</f>
        <v>Yes</v>
      </c>
      <c r="F11" s="70"/>
      <c r="G11" s="71"/>
      <c r="K11" s="238" t="s">
        <v>59</v>
      </c>
      <c r="L11" s="238"/>
      <c r="M11" s="238"/>
      <c r="N11" s="239" t="s">
        <v>55</v>
      </c>
      <c r="O11" s="239"/>
      <c r="P11" s="239"/>
      <c r="R11" s="70"/>
      <c r="S11" s="71"/>
    </row>
    <row r="12" spans="1:19 16383:16384" ht="14.65" customHeight="1" x14ac:dyDescent="0.35">
      <c r="A12" s="236" t="s">
        <v>60</v>
      </c>
      <c r="B12" s="76" t="s">
        <v>54</v>
      </c>
      <c r="C12" s="77" t="str">
        <f>IF($O32&gt;21.99%,"No","Yes")</f>
        <v>No</v>
      </c>
      <c r="F12" s="70"/>
      <c r="G12" s="71"/>
      <c r="K12" s="238" t="s">
        <v>61</v>
      </c>
      <c r="L12" s="238"/>
      <c r="M12" s="238"/>
      <c r="N12" s="239"/>
      <c r="O12" s="239"/>
      <c r="P12" s="239"/>
      <c r="R12" s="70"/>
      <c r="S12" s="71"/>
      <c r="XFD12" t="s">
        <v>62</v>
      </c>
    </row>
    <row r="13" spans="1:19 16383:16384" ht="15" thickBot="1" x14ac:dyDescent="0.4">
      <c r="A13" s="237"/>
      <c r="B13" s="75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0" t="s">
        <v>64</v>
      </c>
      <c r="B14" s="241"/>
      <c r="C14" s="244" t="s">
        <v>65</v>
      </c>
      <c r="D14" s="80" t="s">
        <v>2</v>
      </c>
      <c r="E14" s="81" t="s">
        <v>66</v>
      </c>
      <c r="F14" s="82" t="s">
        <v>67</v>
      </c>
      <c r="G14" s="260" t="s">
        <v>68</v>
      </c>
      <c r="H14" s="261"/>
      <c r="I14" s="262" t="s">
        <v>69</v>
      </c>
      <c r="J14" s="260" t="s">
        <v>70</v>
      </c>
      <c r="K14" s="264"/>
      <c r="L14" s="261"/>
      <c r="M14" s="262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2"/>
      <c r="B15" s="243"/>
      <c r="C15" s="245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3"/>
      <c r="J15" s="88" t="s">
        <v>78</v>
      </c>
      <c r="K15" s="90" t="s">
        <v>79</v>
      </c>
      <c r="L15" s="91" t="s">
        <v>80</v>
      </c>
      <c r="M15" s="263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8" t="s">
        <v>84</v>
      </c>
      <c r="B25" s="219"/>
      <c r="C25" s="220"/>
      <c r="D25" s="214"/>
      <c r="E25" s="214"/>
      <c r="F25" s="259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1" t="s">
        <v>85</v>
      </c>
      <c r="C28" s="222"/>
      <c r="D28" s="222"/>
      <c r="E28" s="222"/>
      <c r="F28" s="222"/>
      <c r="G28" s="222"/>
      <c r="H28" s="222"/>
      <c r="I28" s="222"/>
      <c r="J28" s="222"/>
      <c r="K28" s="222"/>
      <c r="L28" s="223"/>
      <c r="N28" s="230" t="s">
        <v>86</v>
      </c>
      <c r="O28" s="231"/>
      <c r="P28" s="152">
        <f>I25</f>
        <v>0</v>
      </c>
    </row>
    <row r="29" spans="1:19 16384:16384" ht="15" customHeight="1" x14ac:dyDescent="0.35">
      <c r="B29" s="224"/>
      <c r="C29" s="225"/>
      <c r="D29" s="225"/>
      <c r="E29" s="225"/>
      <c r="F29" s="225"/>
      <c r="G29" s="225"/>
      <c r="H29" s="225"/>
      <c r="I29" s="225"/>
      <c r="J29" s="225"/>
      <c r="K29" s="225"/>
      <c r="L29" s="226"/>
      <c r="N29" s="232" t="s">
        <v>87</v>
      </c>
      <c r="O29" s="233"/>
      <c r="P29" s="153">
        <f>L25</f>
        <v>0</v>
      </c>
    </row>
    <row r="30" spans="1:19 16384:16384" ht="15" customHeight="1" x14ac:dyDescent="0.35">
      <c r="B30" s="224"/>
      <c r="C30" s="225"/>
      <c r="D30" s="225"/>
      <c r="E30" s="225"/>
      <c r="F30" s="225"/>
      <c r="G30" s="225"/>
      <c r="H30" s="225"/>
      <c r="I30" s="225"/>
      <c r="J30" s="225"/>
      <c r="K30" s="225"/>
      <c r="L30" s="226"/>
      <c r="N30" s="232" t="s">
        <v>4</v>
      </c>
      <c r="O30" s="233"/>
      <c r="P30" s="154">
        <f>K25</f>
        <v>0</v>
      </c>
    </row>
    <row r="31" spans="1:19 16384:16384" ht="15" customHeight="1" x14ac:dyDescent="0.35">
      <c r="B31" s="224"/>
      <c r="C31" s="225"/>
      <c r="D31" s="225"/>
      <c r="E31" s="225"/>
      <c r="F31" s="225"/>
      <c r="G31" s="225"/>
      <c r="H31" s="225"/>
      <c r="I31" s="225"/>
      <c r="J31" s="225"/>
      <c r="K31" s="225"/>
      <c r="L31" s="226"/>
      <c r="M31" s="2"/>
      <c r="N31" s="232" t="s">
        <v>88</v>
      </c>
      <c r="O31" s="233"/>
      <c r="P31" s="153">
        <f>P28-P29-P30</f>
        <v>0</v>
      </c>
    </row>
    <row r="32" spans="1:19 16384:16384" ht="15" customHeight="1" x14ac:dyDescent="0.35">
      <c r="B32" s="224"/>
      <c r="C32" s="225"/>
      <c r="D32" s="225"/>
      <c r="E32" s="225"/>
      <c r="F32" s="225"/>
      <c r="G32" s="225"/>
      <c r="H32" s="225"/>
      <c r="I32" s="225"/>
      <c r="J32" s="225"/>
      <c r="K32" s="225"/>
      <c r="L32" s="226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24"/>
      <c r="C33" s="225"/>
      <c r="D33" s="225"/>
      <c r="E33" s="225"/>
      <c r="F33" s="225"/>
      <c r="G33" s="225"/>
      <c r="H33" s="225"/>
      <c r="I33" s="225"/>
      <c r="J33" s="225"/>
      <c r="K33" s="225"/>
      <c r="L33" s="226"/>
      <c r="M33" s="2"/>
      <c r="N33" s="234" t="s">
        <v>90</v>
      </c>
      <c r="O33" s="235"/>
      <c r="P33" s="153">
        <f>P31+P32</f>
        <v>0</v>
      </c>
    </row>
    <row r="34" spans="2:16" ht="15" customHeight="1" thickBot="1" x14ac:dyDescent="0.4">
      <c r="B34" s="227"/>
      <c r="C34" s="228"/>
      <c r="D34" s="228"/>
      <c r="E34" s="228"/>
      <c r="F34" s="228"/>
      <c r="G34" s="228"/>
      <c r="H34" s="228"/>
      <c r="I34" s="228"/>
      <c r="J34" s="228"/>
      <c r="K34" s="228"/>
      <c r="L34" s="229"/>
      <c r="M34" s="157"/>
      <c r="N34" s="158" t="s">
        <v>91</v>
      </c>
      <c r="O34" s="159">
        <f>IF(B11="Filer",0.5%,2.5%)</f>
        <v>5.0000000000000001E-3</v>
      </c>
      <c r="P34" s="153">
        <f>O34*P33</f>
        <v>0</v>
      </c>
    </row>
    <row r="35" spans="2:16" ht="15.75" customHeight="1" thickBot="1" x14ac:dyDescent="0.4">
      <c r="N35" s="212" t="s">
        <v>92</v>
      </c>
      <c r="O35" s="213"/>
      <c r="P35" s="160">
        <f>P33+P34</f>
        <v>0</v>
      </c>
    </row>
    <row r="36" spans="2:16" ht="15" thickBot="1" x14ac:dyDescent="0.4">
      <c r="B36" s="161" t="s">
        <v>93</v>
      </c>
      <c r="C36" s="214"/>
      <c r="D36" s="214"/>
      <c r="E36" s="214"/>
      <c r="F36" s="214"/>
      <c r="G36" s="214"/>
      <c r="H36" s="214"/>
      <c r="I36" s="215"/>
      <c r="J36" s="216"/>
      <c r="K36" s="217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DACC4BFB-D2FD-4B85-9170-5FC11C604CE7}">
      <formula1>$XFC$3:$XFC$4</formula1>
    </dataValidation>
    <dataValidation type="list" allowBlank="1" showInputMessage="1" showErrorMessage="1" sqref="B12" xr:uid="{4ACE5615-FB96-432A-8149-EB19F837FDF9}">
      <formula1>$XFC$6:$XFC$7</formula1>
    </dataValidation>
    <dataValidation type="list" allowBlank="1" showInputMessage="1" showErrorMessage="1" sqref="N9:P9" xr:uid="{09194E7A-16CF-4355-89AE-57A1E22AC60B}">
      <formula1>$XFD$12:$XFD$17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B2B7378E-BBD6-4F2F-AC14-E19890274D1D}">
          <x14:formula1>
            <xm:f>Sheet2!$B$6:$B$13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2D6A30-7B31-48A7-9CD0-C85ECB9F85E2}">
  <sheetPr>
    <pageSetUpPr fitToPage="1"/>
  </sheetPr>
  <dimension ref="A2:XFD37"/>
  <sheetViews>
    <sheetView workbookViewId="0">
      <selection activeCell="D39" sqref="D3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4" t="s">
        <v>45</v>
      </c>
      <c r="B2" s="254"/>
      <c r="C2" s="254"/>
    </row>
    <row r="3" spans="1:19 16383:16384" ht="15" customHeight="1" x14ac:dyDescent="0.35">
      <c r="A3" s="239" t="s">
        <v>46</v>
      </c>
      <c r="B3" s="239"/>
      <c r="C3" s="239"/>
      <c r="F3" s="70"/>
      <c r="G3" s="71"/>
      <c r="K3" s="238" t="s">
        <v>47</v>
      </c>
      <c r="L3" s="238"/>
      <c r="M3" s="238"/>
      <c r="N3" s="239">
        <v>10</v>
      </c>
      <c r="O3" s="239"/>
      <c r="P3" s="23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9" t="s">
        <v>94</v>
      </c>
      <c r="B4" s="239"/>
      <c r="C4" s="239"/>
      <c r="F4" s="70"/>
      <c r="G4" s="71"/>
      <c r="K4" s="238" t="s">
        <v>49</v>
      </c>
      <c r="L4" s="238"/>
      <c r="M4" s="238"/>
      <c r="N4" s="252">
        <f ca="1">TODAY()</f>
        <v>46223</v>
      </c>
      <c r="O4" s="252"/>
      <c r="P4" s="25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5" t="s">
        <v>102</v>
      </c>
      <c r="B5" s="265"/>
      <c r="C5" s="265"/>
      <c r="F5" s="70"/>
      <c r="G5" s="71"/>
      <c r="K5" s="238" t="s">
        <v>51</v>
      </c>
      <c r="L5" s="238"/>
      <c r="M5" s="238"/>
      <c r="N5" s="252">
        <f ca="1">N4-1</f>
        <v>46222</v>
      </c>
      <c r="O5" s="239"/>
      <c r="P5" s="239"/>
      <c r="R5" s="70"/>
      <c r="S5" s="71"/>
    </row>
    <row r="6" spans="1:19 16383:16384" ht="15" customHeight="1" x14ac:dyDescent="0.35">
      <c r="A6" s="238" t="s">
        <v>103</v>
      </c>
      <c r="B6" s="238"/>
      <c r="C6" s="238"/>
      <c r="F6" s="70"/>
      <c r="G6" s="74"/>
      <c r="K6" s="238" t="s">
        <v>52</v>
      </c>
      <c r="L6" s="238"/>
      <c r="M6" s="238"/>
      <c r="N6" s="251" t="s">
        <v>98</v>
      </c>
      <c r="O6" s="251"/>
      <c r="P6" s="251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8"/>
      <c r="B7" s="238"/>
      <c r="C7" s="238"/>
      <c r="F7" s="70"/>
      <c r="G7" s="74"/>
      <c r="K7" s="238"/>
      <c r="L7" s="238"/>
      <c r="M7" s="238"/>
      <c r="N7" s="251"/>
      <c r="O7" s="251"/>
      <c r="P7" s="251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0"/>
      <c r="B8" s="250"/>
      <c r="C8" s="250"/>
      <c r="F8" s="70"/>
      <c r="G8" s="74"/>
      <c r="K8" s="238"/>
      <c r="L8" s="238"/>
      <c r="M8" s="238"/>
      <c r="N8" s="251"/>
      <c r="O8" s="251"/>
      <c r="P8" s="251"/>
      <c r="R8" s="70"/>
      <c r="S8" s="74"/>
    </row>
    <row r="9" spans="1:19 16383:16384" x14ac:dyDescent="0.35">
      <c r="A9" s="250"/>
      <c r="B9" s="250"/>
      <c r="C9" s="250"/>
      <c r="F9" s="70"/>
      <c r="G9" s="74"/>
      <c r="K9" s="238"/>
      <c r="L9" s="238"/>
      <c r="M9" s="238"/>
      <c r="N9" s="251"/>
      <c r="O9" s="251"/>
      <c r="P9" s="251"/>
      <c r="R9" s="70"/>
      <c r="S9" s="74"/>
      <c r="XFD9" t="s">
        <v>55</v>
      </c>
    </row>
    <row r="10" spans="1:19 16383:16384" ht="17.5" x14ac:dyDescent="0.35">
      <c r="A10" s="236" t="s">
        <v>95</v>
      </c>
      <c r="B10" s="191"/>
      <c r="C10" s="75"/>
      <c r="F10" s="70"/>
      <c r="G10" s="71"/>
      <c r="K10" s="238" t="s">
        <v>56</v>
      </c>
      <c r="L10" s="238"/>
      <c r="M10" s="238"/>
      <c r="N10" s="239" t="s">
        <v>57</v>
      </c>
      <c r="O10" s="239"/>
      <c r="P10" s="239"/>
      <c r="R10" s="70"/>
      <c r="S10" s="71"/>
      <c r="XFD10" t="s">
        <v>58</v>
      </c>
    </row>
    <row r="11" spans="1:19 16383:16384" x14ac:dyDescent="0.35">
      <c r="A11" s="236"/>
      <c r="B11" s="76" t="s">
        <v>48</v>
      </c>
      <c r="C11" s="77" t="str">
        <f>IF($O34&gt;2.49%,"No","Yes")</f>
        <v>Yes</v>
      </c>
      <c r="F11" s="70"/>
      <c r="G11" s="71"/>
      <c r="K11" s="238" t="s">
        <v>59</v>
      </c>
      <c r="L11" s="238"/>
      <c r="M11" s="238"/>
      <c r="N11" s="239" t="s">
        <v>55</v>
      </c>
      <c r="O11" s="239"/>
      <c r="P11" s="239"/>
      <c r="R11" s="70"/>
      <c r="S11" s="71"/>
    </row>
    <row r="12" spans="1:19 16383:16384" ht="14.65" customHeight="1" x14ac:dyDescent="0.35">
      <c r="A12" s="236" t="s">
        <v>60</v>
      </c>
      <c r="B12" s="76" t="s">
        <v>54</v>
      </c>
      <c r="C12" s="77" t="str">
        <f>IF($O32&gt;21.99%,"No","Yes")</f>
        <v>No</v>
      </c>
      <c r="F12" s="70"/>
      <c r="G12" s="71"/>
      <c r="K12" s="238" t="s">
        <v>61</v>
      </c>
      <c r="L12" s="238"/>
      <c r="M12" s="238"/>
      <c r="N12" s="239"/>
      <c r="O12" s="239"/>
      <c r="P12" s="239"/>
      <c r="R12" s="70"/>
      <c r="S12" s="71"/>
      <c r="XFD12" t="s">
        <v>62</v>
      </c>
    </row>
    <row r="13" spans="1:19 16383:16384" ht="15" thickBot="1" x14ac:dyDescent="0.4">
      <c r="A13" s="237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0" t="s">
        <v>64</v>
      </c>
      <c r="B14" s="241"/>
      <c r="C14" s="244" t="s">
        <v>65</v>
      </c>
      <c r="D14" s="80" t="s">
        <v>2</v>
      </c>
      <c r="E14" s="81" t="s">
        <v>66</v>
      </c>
      <c r="F14" s="82" t="s">
        <v>67</v>
      </c>
      <c r="G14" s="260" t="s">
        <v>68</v>
      </c>
      <c r="H14" s="261"/>
      <c r="I14" s="262" t="s">
        <v>69</v>
      </c>
      <c r="J14" s="260" t="s">
        <v>70</v>
      </c>
      <c r="K14" s="264"/>
      <c r="L14" s="261"/>
      <c r="M14" s="262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2"/>
      <c r="B15" s="243"/>
      <c r="C15" s="245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3"/>
      <c r="J15" s="88" t="s">
        <v>78</v>
      </c>
      <c r="K15" s="90" t="s">
        <v>79</v>
      </c>
      <c r="L15" s="91" t="s">
        <v>80</v>
      </c>
      <c r="M15" s="263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8" t="s">
        <v>84</v>
      </c>
      <c r="B25" s="219"/>
      <c r="C25" s="220"/>
      <c r="D25" s="214"/>
      <c r="E25" s="214"/>
      <c r="F25" s="259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1" t="s">
        <v>85</v>
      </c>
      <c r="C28" s="222"/>
      <c r="D28" s="222"/>
      <c r="E28" s="222"/>
      <c r="F28" s="222"/>
      <c r="G28" s="222"/>
      <c r="H28" s="222"/>
      <c r="I28" s="222"/>
      <c r="J28" s="222"/>
      <c r="K28" s="222"/>
      <c r="L28" s="223"/>
      <c r="N28" s="230" t="s">
        <v>86</v>
      </c>
      <c r="O28" s="231"/>
      <c r="P28" s="152">
        <f>I25</f>
        <v>0</v>
      </c>
    </row>
    <row r="29" spans="1:19 16384:16384" ht="15" customHeight="1" x14ac:dyDescent="0.35">
      <c r="B29" s="224"/>
      <c r="C29" s="225"/>
      <c r="D29" s="225"/>
      <c r="E29" s="225"/>
      <c r="F29" s="225"/>
      <c r="G29" s="225"/>
      <c r="H29" s="225"/>
      <c r="I29" s="225"/>
      <c r="J29" s="225"/>
      <c r="K29" s="225"/>
      <c r="L29" s="226"/>
      <c r="N29" s="232" t="s">
        <v>87</v>
      </c>
      <c r="O29" s="233"/>
      <c r="P29" s="153">
        <f>L25</f>
        <v>0</v>
      </c>
    </row>
    <row r="30" spans="1:19 16384:16384" ht="15" customHeight="1" x14ac:dyDescent="0.35">
      <c r="B30" s="224"/>
      <c r="C30" s="225"/>
      <c r="D30" s="225"/>
      <c r="E30" s="225"/>
      <c r="F30" s="225"/>
      <c r="G30" s="225"/>
      <c r="H30" s="225"/>
      <c r="I30" s="225"/>
      <c r="J30" s="225"/>
      <c r="K30" s="225"/>
      <c r="L30" s="226"/>
      <c r="N30" s="232" t="s">
        <v>4</v>
      </c>
      <c r="O30" s="233"/>
      <c r="P30" s="154">
        <f>K25</f>
        <v>0</v>
      </c>
    </row>
    <row r="31" spans="1:19 16384:16384" ht="15" customHeight="1" x14ac:dyDescent="0.35">
      <c r="B31" s="224"/>
      <c r="C31" s="225"/>
      <c r="D31" s="225"/>
      <c r="E31" s="225"/>
      <c r="F31" s="225"/>
      <c r="G31" s="225"/>
      <c r="H31" s="225"/>
      <c r="I31" s="225"/>
      <c r="J31" s="225"/>
      <c r="K31" s="225"/>
      <c r="L31" s="226"/>
      <c r="M31" s="2"/>
      <c r="N31" s="232" t="s">
        <v>88</v>
      </c>
      <c r="O31" s="233"/>
      <c r="P31" s="153">
        <f>P28-P29-P30</f>
        <v>0</v>
      </c>
    </row>
    <row r="32" spans="1:19 16384:16384" ht="15" customHeight="1" x14ac:dyDescent="0.35">
      <c r="B32" s="224"/>
      <c r="C32" s="225"/>
      <c r="D32" s="225"/>
      <c r="E32" s="225"/>
      <c r="F32" s="225"/>
      <c r="G32" s="225"/>
      <c r="H32" s="225"/>
      <c r="I32" s="225"/>
      <c r="J32" s="225"/>
      <c r="K32" s="225"/>
      <c r="L32" s="226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24"/>
      <c r="C33" s="225"/>
      <c r="D33" s="225"/>
      <c r="E33" s="225"/>
      <c r="F33" s="225"/>
      <c r="G33" s="225"/>
      <c r="H33" s="225"/>
      <c r="I33" s="225"/>
      <c r="J33" s="225"/>
      <c r="K33" s="225"/>
      <c r="L33" s="226"/>
      <c r="M33" s="2"/>
      <c r="N33" s="234" t="s">
        <v>90</v>
      </c>
      <c r="O33" s="235"/>
      <c r="P33" s="153">
        <f>P31+P32</f>
        <v>0</v>
      </c>
    </row>
    <row r="34" spans="2:16" ht="15" customHeight="1" thickBot="1" x14ac:dyDescent="0.4">
      <c r="B34" s="227"/>
      <c r="C34" s="228"/>
      <c r="D34" s="228"/>
      <c r="E34" s="228"/>
      <c r="F34" s="228"/>
      <c r="G34" s="228"/>
      <c r="H34" s="228"/>
      <c r="I34" s="228"/>
      <c r="J34" s="228"/>
      <c r="K34" s="228"/>
      <c r="L34" s="229"/>
      <c r="M34" s="157"/>
      <c r="N34" s="158" t="s">
        <v>91</v>
      </c>
      <c r="O34" s="159">
        <f>IF(B11="Filer",0.5%,2.5%)</f>
        <v>5.0000000000000001E-3</v>
      </c>
      <c r="P34" s="153">
        <f>O34*P33</f>
        <v>0</v>
      </c>
    </row>
    <row r="35" spans="2:16" ht="15.75" customHeight="1" thickBot="1" x14ac:dyDescent="0.4">
      <c r="N35" s="212" t="s">
        <v>92</v>
      </c>
      <c r="O35" s="213"/>
      <c r="P35" s="160">
        <f>P33+P34</f>
        <v>0</v>
      </c>
    </row>
    <row r="36" spans="2:16" ht="15" thickBot="1" x14ac:dyDescent="0.4">
      <c r="B36" s="161" t="s">
        <v>93</v>
      </c>
      <c r="C36" s="214"/>
      <c r="D36" s="214"/>
      <c r="E36" s="214"/>
      <c r="F36" s="214"/>
      <c r="G36" s="214"/>
      <c r="H36" s="214"/>
      <c r="I36" s="215"/>
      <c r="J36" s="216"/>
      <c r="K36" s="217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1C6D6052-CF3C-46CA-811C-37338A3C17C9}">
      <formula1>$XFD$12:$XFD$17</formula1>
    </dataValidation>
    <dataValidation type="list" allowBlank="1" showInputMessage="1" showErrorMessage="1" sqref="B12" xr:uid="{2F9FDF5D-BB41-4892-9970-AC5A2227D77B}">
      <formula1>$XFC$6:$XFC$7</formula1>
    </dataValidation>
    <dataValidation type="list" allowBlank="1" showInputMessage="1" showErrorMessage="1" sqref="B11" xr:uid="{B0E4845C-FB8E-4CAF-BBE8-8ECD87F14BBA}">
      <formula1>$XFC$3:$XFC$4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3E06319-23D3-4B50-B0DA-5313DDBA73A6}">
          <x14:formula1>
            <xm:f>Sheet2!$B$6:$B$13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DA9B6C-2885-45D3-8416-86CB73CBC968}">
  <sheetPr>
    <pageSetUpPr fitToPage="1"/>
  </sheetPr>
  <dimension ref="A2:XFD37"/>
  <sheetViews>
    <sheetView topLeftCell="A21" workbookViewId="0">
      <selection activeCell="D39" sqref="D3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4" t="s">
        <v>45</v>
      </c>
      <c r="B2" s="254"/>
      <c r="C2" s="254"/>
    </row>
    <row r="3" spans="1:19 16383:16384" ht="15" customHeight="1" x14ac:dyDescent="0.35">
      <c r="A3" s="239" t="s">
        <v>46</v>
      </c>
      <c r="B3" s="239"/>
      <c r="C3" s="239"/>
      <c r="F3" s="70"/>
      <c r="G3" s="71"/>
      <c r="K3" s="238" t="s">
        <v>47</v>
      </c>
      <c r="L3" s="238"/>
      <c r="M3" s="238"/>
      <c r="N3" s="239">
        <v>10</v>
      </c>
      <c r="O3" s="239"/>
      <c r="P3" s="23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9" t="s">
        <v>94</v>
      </c>
      <c r="B4" s="239"/>
      <c r="C4" s="239"/>
      <c r="F4" s="70"/>
      <c r="G4" s="71"/>
      <c r="K4" s="238" t="s">
        <v>49</v>
      </c>
      <c r="L4" s="238"/>
      <c r="M4" s="238"/>
      <c r="N4" s="252">
        <f ca="1">TODAY()</f>
        <v>46223</v>
      </c>
      <c r="O4" s="252"/>
      <c r="P4" s="25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5" t="s">
        <v>102</v>
      </c>
      <c r="B5" s="265"/>
      <c r="C5" s="265"/>
      <c r="F5" s="70"/>
      <c r="G5" s="71"/>
      <c r="K5" s="238" t="s">
        <v>51</v>
      </c>
      <c r="L5" s="238"/>
      <c r="M5" s="238"/>
      <c r="N5" s="252">
        <f ca="1">N4-1</f>
        <v>46222</v>
      </c>
      <c r="O5" s="239"/>
      <c r="P5" s="239"/>
      <c r="R5" s="70"/>
      <c r="S5" s="71"/>
    </row>
    <row r="6" spans="1:19 16383:16384" ht="15" customHeight="1" x14ac:dyDescent="0.35">
      <c r="A6" s="238" t="s">
        <v>103</v>
      </c>
      <c r="B6" s="238"/>
      <c r="C6" s="238"/>
      <c r="F6" s="70"/>
      <c r="G6" s="74"/>
      <c r="K6" s="238" t="s">
        <v>52</v>
      </c>
      <c r="L6" s="238"/>
      <c r="M6" s="238"/>
      <c r="N6" s="251" t="s">
        <v>98</v>
      </c>
      <c r="O6" s="251"/>
      <c r="P6" s="251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8"/>
      <c r="B7" s="238"/>
      <c r="C7" s="238"/>
      <c r="F7" s="70"/>
      <c r="G7" s="74"/>
      <c r="K7" s="238"/>
      <c r="L7" s="238"/>
      <c r="M7" s="238"/>
      <c r="N7" s="251"/>
      <c r="O7" s="251"/>
      <c r="P7" s="251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0"/>
      <c r="B8" s="250"/>
      <c r="C8" s="250"/>
      <c r="F8" s="70"/>
      <c r="G8" s="74"/>
      <c r="K8" s="238"/>
      <c r="L8" s="238"/>
      <c r="M8" s="238"/>
      <c r="N8" s="251"/>
      <c r="O8" s="251"/>
      <c r="P8" s="251"/>
      <c r="R8" s="70"/>
      <c r="S8" s="74"/>
    </row>
    <row r="9" spans="1:19 16383:16384" x14ac:dyDescent="0.35">
      <c r="A9" s="250"/>
      <c r="B9" s="250"/>
      <c r="C9" s="250"/>
      <c r="F9" s="70"/>
      <c r="G9" s="74"/>
      <c r="K9" s="238"/>
      <c r="L9" s="238"/>
      <c r="M9" s="238"/>
      <c r="N9" s="251"/>
      <c r="O9" s="251"/>
      <c r="P9" s="251"/>
      <c r="R9" s="70"/>
      <c r="S9" s="74"/>
      <c r="XFD9" t="s">
        <v>55</v>
      </c>
    </row>
    <row r="10" spans="1:19 16383:16384" ht="17.5" x14ac:dyDescent="0.35">
      <c r="A10" s="236" t="s">
        <v>95</v>
      </c>
      <c r="B10" s="191"/>
      <c r="C10" s="75"/>
      <c r="F10" s="70"/>
      <c r="G10" s="71"/>
      <c r="K10" s="238" t="s">
        <v>56</v>
      </c>
      <c r="L10" s="238"/>
      <c r="M10" s="238"/>
      <c r="N10" s="239" t="s">
        <v>57</v>
      </c>
      <c r="O10" s="239"/>
      <c r="P10" s="239"/>
      <c r="R10" s="70"/>
      <c r="S10" s="71"/>
      <c r="XFD10" t="s">
        <v>58</v>
      </c>
    </row>
    <row r="11" spans="1:19 16383:16384" x14ac:dyDescent="0.35">
      <c r="A11" s="236"/>
      <c r="B11" s="76" t="s">
        <v>48</v>
      </c>
      <c r="C11" s="77" t="str">
        <f>IF($O34&gt;2.49%,"No","Yes")</f>
        <v>Yes</v>
      </c>
      <c r="F11" s="70"/>
      <c r="G11" s="71"/>
      <c r="K11" s="238" t="s">
        <v>59</v>
      </c>
      <c r="L11" s="238"/>
      <c r="M11" s="238"/>
      <c r="N11" s="239" t="s">
        <v>55</v>
      </c>
      <c r="O11" s="239"/>
      <c r="P11" s="239"/>
      <c r="R11" s="70"/>
      <c r="S11" s="71"/>
    </row>
    <row r="12" spans="1:19 16383:16384" ht="14.65" customHeight="1" x14ac:dyDescent="0.35">
      <c r="A12" s="236" t="s">
        <v>60</v>
      </c>
      <c r="B12" s="76" t="s">
        <v>53</v>
      </c>
      <c r="C12" s="77" t="str">
        <f>IF($O32&gt;21.99%,"No","Yes")</f>
        <v>Yes</v>
      </c>
      <c r="F12" s="70"/>
      <c r="G12" s="71"/>
      <c r="K12" s="238" t="s">
        <v>61</v>
      </c>
      <c r="L12" s="238"/>
      <c r="M12" s="238"/>
      <c r="N12" s="239"/>
      <c r="O12" s="239"/>
      <c r="P12" s="239"/>
      <c r="R12" s="70"/>
      <c r="S12" s="71"/>
      <c r="XFD12" t="s">
        <v>62</v>
      </c>
    </row>
    <row r="13" spans="1:19 16383:16384" ht="18" thickBot="1" x14ac:dyDescent="0.4">
      <c r="A13" s="237"/>
      <c r="B13" s="191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0" t="s">
        <v>64</v>
      </c>
      <c r="B14" s="241"/>
      <c r="C14" s="244" t="s">
        <v>65</v>
      </c>
      <c r="D14" s="80" t="s">
        <v>2</v>
      </c>
      <c r="E14" s="81" t="s">
        <v>66</v>
      </c>
      <c r="F14" s="82" t="s">
        <v>67</v>
      </c>
      <c r="G14" s="260" t="s">
        <v>68</v>
      </c>
      <c r="H14" s="261"/>
      <c r="I14" s="262" t="s">
        <v>69</v>
      </c>
      <c r="J14" s="260" t="s">
        <v>70</v>
      </c>
      <c r="K14" s="264"/>
      <c r="L14" s="261"/>
      <c r="M14" s="262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2"/>
      <c r="B15" s="243"/>
      <c r="C15" s="245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3"/>
      <c r="J15" s="88" t="s">
        <v>78</v>
      </c>
      <c r="K15" s="90" t="s">
        <v>79</v>
      </c>
      <c r="L15" s="91" t="s">
        <v>80</v>
      </c>
      <c r="M15" s="263"/>
      <c r="N15" s="92">
        <f>IF(B12="Registered",18%,22%)</f>
        <v>0.18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8" t="s">
        <v>84</v>
      </c>
      <c r="B25" s="219"/>
      <c r="C25" s="220"/>
      <c r="D25" s="214"/>
      <c r="E25" s="214"/>
      <c r="F25" s="259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1" t="s">
        <v>85</v>
      </c>
      <c r="C28" s="222"/>
      <c r="D28" s="222"/>
      <c r="E28" s="222"/>
      <c r="F28" s="222"/>
      <c r="G28" s="222"/>
      <c r="H28" s="222"/>
      <c r="I28" s="222"/>
      <c r="J28" s="222"/>
      <c r="K28" s="222"/>
      <c r="L28" s="223"/>
      <c r="N28" s="230" t="s">
        <v>86</v>
      </c>
      <c r="O28" s="231"/>
      <c r="P28" s="152">
        <f>I25</f>
        <v>0</v>
      </c>
    </row>
    <row r="29" spans="1:19 16384:16384" ht="15" customHeight="1" x14ac:dyDescent="0.35">
      <c r="B29" s="224"/>
      <c r="C29" s="225"/>
      <c r="D29" s="225"/>
      <c r="E29" s="225"/>
      <c r="F29" s="225"/>
      <c r="G29" s="225"/>
      <c r="H29" s="225"/>
      <c r="I29" s="225"/>
      <c r="J29" s="225"/>
      <c r="K29" s="225"/>
      <c r="L29" s="226"/>
      <c r="N29" s="232" t="s">
        <v>87</v>
      </c>
      <c r="O29" s="233"/>
      <c r="P29" s="153">
        <f>L25</f>
        <v>0</v>
      </c>
    </row>
    <row r="30" spans="1:19 16384:16384" ht="15" customHeight="1" x14ac:dyDescent="0.35">
      <c r="B30" s="224"/>
      <c r="C30" s="225"/>
      <c r="D30" s="225"/>
      <c r="E30" s="225"/>
      <c r="F30" s="225"/>
      <c r="G30" s="225"/>
      <c r="H30" s="225"/>
      <c r="I30" s="225"/>
      <c r="J30" s="225"/>
      <c r="K30" s="225"/>
      <c r="L30" s="226"/>
      <c r="N30" s="232" t="s">
        <v>4</v>
      </c>
      <c r="O30" s="233"/>
      <c r="P30" s="154">
        <f>K25</f>
        <v>0</v>
      </c>
    </row>
    <row r="31" spans="1:19 16384:16384" ht="15" customHeight="1" x14ac:dyDescent="0.35">
      <c r="B31" s="224"/>
      <c r="C31" s="225"/>
      <c r="D31" s="225"/>
      <c r="E31" s="225"/>
      <c r="F31" s="225"/>
      <c r="G31" s="225"/>
      <c r="H31" s="225"/>
      <c r="I31" s="225"/>
      <c r="J31" s="225"/>
      <c r="K31" s="225"/>
      <c r="L31" s="226"/>
      <c r="M31" s="2"/>
      <c r="N31" s="232" t="s">
        <v>88</v>
      </c>
      <c r="O31" s="233"/>
      <c r="P31" s="153">
        <f>P28-P29-P30</f>
        <v>0</v>
      </c>
    </row>
    <row r="32" spans="1:19 16384:16384" ht="15" customHeight="1" x14ac:dyDescent="0.35">
      <c r="B32" s="224"/>
      <c r="C32" s="225"/>
      <c r="D32" s="225"/>
      <c r="E32" s="225"/>
      <c r="F32" s="225"/>
      <c r="G32" s="225"/>
      <c r="H32" s="225"/>
      <c r="I32" s="225"/>
      <c r="J32" s="225"/>
      <c r="K32" s="225"/>
      <c r="L32" s="226"/>
      <c r="M32" s="2"/>
      <c r="N32" s="155" t="s">
        <v>89</v>
      </c>
      <c r="O32" s="156">
        <f>IF(B12="Registered",18%,22%)</f>
        <v>0.18</v>
      </c>
      <c r="P32" s="153">
        <f>N25</f>
        <v>0</v>
      </c>
    </row>
    <row r="33" spans="2:16" ht="15" customHeight="1" x14ac:dyDescent="0.35">
      <c r="B33" s="224"/>
      <c r="C33" s="225"/>
      <c r="D33" s="225"/>
      <c r="E33" s="225"/>
      <c r="F33" s="225"/>
      <c r="G33" s="225"/>
      <c r="H33" s="225"/>
      <c r="I33" s="225"/>
      <c r="J33" s="225"/>
      <c r="K33" s="225"/>
      <c r="L33" s="226"/>
      <c r="M33" s="2"/>
      <c r="N33" s="234" t="s">
        <v>90</v>
      </c>
      <c r="O33" s="235"/>
      <c r="P33" s="153">
        <f>P31+P32</f>
        <v>0</v>
      </c>
    </row>
    <row r="34" spans="2:16" ht="15" customHeight="1" thickBot="1" x14ac:dyDescent="0.4">
      <c r="B34" s="227"/>
      <c r="C34" s="228"/>
      <c r="D34" s="228"/>
      <c r="E34" s="228"/>
      <c r="F34" s="228"/>
      <c r="G34" s="228"/>
      <c r="H34" s="228"/>
      <c r="I34" s="228"/>
      <c r="J34" s="228"/>
      <c r="K34" s="228"/>
      <c r="L34" s="229"/>
      <c r="M34" s="157"/>
      <c r="N34" s="158" t="s">
        <v>91</v>
      </c>
      <c r="O34" s="159">
        <f>IF(B11="Filer",0.5%,2.5%)</f>
        <v>5.0000000000000001E-3</v>
      </c>
      <c r="P34" s="153">
        <f>O34*P33</f>
        <v>0</v>
      </c>
    </row>
    <row r="35" spans="2:16" ht="15.75" customHeight="1" thickBot="1" x14ac:dyDescent="0.4">
      <c r="N35" s="212" t="s">
        <v>92</v>
      </c>
      <c r="O35" s="213"/>
      <c r="P35" s="160">
        <f>P33+P34</f>
        <v>0</v>
      </c>
    </row>
    <row r="36" spans="2:16" ht="15" thickBot="1" x14ac:dyDescent="0.4">
      <c r="B36" s="161" t="s">
        <v>93</v>
      </c>
      <c r="C36" s="214"/>
      <c r="D36" s="214"/>
      <c r="E36" s="214"/>
      <c r="F36" s="214"/>
      <c r="G36" s="214"/>
      <c r="H36" s="214"/>
      <c r="I36" s="215"/>
      <c r="J36" s="216"/>
      <c r="K36" s="217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2A858A94-64C2-4BC1-ADD4-D3470251D905}">
      <formula1>$XFC$3:$XFC$4</formula1>
    </dataValidation>
    <dataValidation type="list" allowBlank="1" showInputMessage="1" showErrorMessage="1" sqref="B12" xr:uid="{4CF978B5-5DB9-4F8C-8C8A-A2D3DED1A731}">
      <formula1>$XFC$6:$XFC$7</formula1>
    </dataValidation>
    <dataValidation type="list" allowBlank="1" showInputMessage="1" showErrorMessage="1" sqref="N9:P9" xr:uid="{A454E7B5-D5F1-4D1E-9B74-B0424D30CFB8}">
      <formula1>$XFD$12:$XFD$17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B1B7C39-4866-4598-9E1D-62FA165E61A5}">
          <x14:formula1>
            <xm:f>Sheet2!$B$6:$B$13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04CD5C-986D-40DC-98CF-63DA6B017D06}">
  <sheetPr>
    <pageSetUpPr fitToPage="1"/>
  </sheetPr>
  <dimension ref="A2:XFD37"/>
  <sheetViews>
    <sheetView topLeftCell="A18" workbookViewId="0">
      <selection activeCell="D39" sqref="D3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4" t="s">
        <v>45</v>
      </c>
      <c r="B2" s="254"/>
      <c r="C2" s="254"/>
    </row>
    <row r="3" spans="1:19 16383:16384" ht="15" customHeight="1" x14ac:dyDescent="0.35">
      <c r="A3" s="239" t="s">
        <v>46</v>
      </c>
      <c r="B3" s="239"/>
      <c r="C3" s="239"/>
      <c r="F3" s="70"/>
      <c r="G3" s="71"/>
      <c r="K3" s="238" t="s">
        <v>47</v>
      </c>
      <c r="L3" s="238"/>
      <c r="M3" s="238"/>
      <c r="N3" s="239">
        <v>10</v>
      </c>
      <c r="O3" s="239"/>
      <c r="P3" s="23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9" t="s">
        <v>94</v>
      </c>
      <c r="B4" s="239"/>
      <c r="C4" s="239"/>
      <c r="F4" s="70"/>
      <c r="G4" s="71"/>
      <c r="K4" s="238" t="s">
        <v>49</v>
      </c>
      <c r="L4" s="238"/>
      <c r="M4" s="238"/>
      <c r="N4" s="252">
        <f ca="1">TODAY()</f>
        <v>46223</v>
      </c>
      <c r="O4" s="252"/>
      <c r="P4" s="25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5" t="s">
        <v>102</v>
      </c>
      <c r="B5" s="265"/>
      <c r="C5" s="265"/>
      <c r="F5" s="70"/>
      <c r="G5" s="71"/>
      <c r="K5" s="238" t="s">
        <v>51</v>
      </c>
      <c r="L5" s="238"/>
      <c r="M5" s="238"/>
      <c r="N5" s="252">
        <f ca="1">N4-1</f>
        <v>46222</v>
      </c>
      <c r="O5" s="239"/>
      <c r="P5" s="239"/>
      <c r="R5" s="70"/>
      <c r="S5" s="71"/>
    </row>
    <row r="6" spans="1:19 16383:16384" ht="15" customHeight="1" x14ac:dyDescent="0.35">
      <c r="A6" s="238" t="s">
        <v>103</v>
      </c>
      <c r="B6" s="238"/>
      <c r="C6" s="238"/>
      <c r="F6" s="70"/>
      <c r="G6" s="74"/>
      <c r="K6" s="238" t="s">
        <v>52</v>
      </c>
      <c r="L6" s="238"/>
      <c r="M6" s="238"/>
      <c r="N6" s="251" t="s">
        <v>98</v>
      </c>
      <c r="O6" s="251"/>
      <c r="P6" s="251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8"/>
      <c r="B7" s="238"/>
      <c r="C7" s="238"/>
      <c r="F7" s="70"/>
      <c r="G7" s="74"/>
      <c r="K7" s="238"/>
      <c r="L7" s="238"/>
      <c r="M7" s="238"/>
      <c r="N7" s="251"/>
      <c r="O7" s="251"/>
      <c r="P7" s="251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0"/>
      <c r="B8" s="250"/>
      <c r="C8" s="250"/>
      <c r="F8" s="70"/>
      <c r="G8" s="74"/>
      <c r="K8" s="238"/>
      <c r="L8" s="238"/>
      <c r="M8" s="238"/>
      <c r="N8" s="251"/>
      <c r="O8" s="251"/>
      <c r="P8" s="251"/>
      <c r="R8" s="70"/>
      <c r="S8" s="74"/>
    </row>
    <row r="9" spans="1:19 16383:16384" x14ac:dyDescent="0.35">
      <c r="A9" s="250"/>
      <c r="B9" s="250"/>
      <c r="C9" s="250"/>
      <c r="F9" s="70"/>
      <c r="G9" s="74"/>
      <c r="K9" s="238"/>
      <c r="L9" s="238"/>
      <c r="M9" s="238"/>
      <c r="N9" s="251"/>
      <c r="O9" s="251"/>
      <c r="P9" s="251"/>
      <c r="R9" s="70"/>
      <c r="S9" s="74"/>
      <c r="XFD9" t="s">
        <v>55</v>
      </c>
    </row>
    <row r="10" spans="1:19 16383:16384" ht="17.5" x14ac:dyDescent="0.35">
      <c r="A10" s="236" t="s">
        <v>95</v>
      </c>
      <c r="B10" s="191"/>
      <c r="C10" s="75"/>
      <c r="F10" s="70"/>
      <c r="G10" s="71"/>
      <c r="K10" s="238" t="s">
        <v>56</v>
      </c>
      <c r="L10" s="238"/>
      <c r="M10" s="238"/>
      <c r="N10" s="239" t="s">
        <v>57</v>
      </c>
      <c r="O10" s="239"/>
      <c r="P10" s="239"/>
      <c r="R10" s="70"/>
      <c r="S10" s="71"/>
      <c r="XFD10" t="s">
        <v>58</v>
      </c>
    </row>
    <row r="11" spans="1:19 16383:16384" x14ac:dyDescent="0.35">
      <c r="A11" s="236"/>
      <c r="B11" s="76" t="s">
        <v>48</v>
      </c>
      <c r="C11" s="77" t="str">
        <f>IF($O34&gt;2.49%,"No","Yes")</f>
        <v>Yes</v>
      </c>
      <c r="F11" s="70"/>
      <c r="G11" s="71"/>
      <c r="K11" s="238" t="s">
        <v>59</v>
      </c>
      <c r="L11" s="238"/>
      <c r="M11" s="238"/>
      <c r="N11" s="239" t="s">
        <v>55</v>
      </c>
      <c r="O11" s="239"/>
      <c r="P11" s="239"/>
      <c r="R11" s="70"/>
      <c r="S11" s="71"/>
    </row>
    <row r="12" spans="1:19 16383:16384" ht="14.65" customHeight="1" x14ac:dyDescent="0.35">
      <c r="A12" s="236" t="s">
        <v>60</v>
      </c>
      <c r="B12" s="76" t="s">
        <v>54</v>
      </c>
      <c r="C12" s="77" t="str">
        <f>IF($O32&gt;21.99%,"No","Yes")</f>
        <v>No</v>
      </c>
      <c r="F12" s="70"/>
      <c r="G12" s="71"/>
      <c r="K12" s="238" t="s">
        <v>61</v>
      </c>
      <c r="L12" s="238"/>
      <c r="M12" s="238"/>
      <c r="N12" s="239"/>
      <c r="O12" s="239"/>
      <c r="P12" s="239"/>
      <c r="R12" s="70"/>
      <c r="S12" s="71"/>
      <c r="XFD12" t="s">
        <v>62</v>
      </c>
    </row>
    <row r="13" spans="1:19 16383:16384" ht="15" thickBot="1" x14ac:dyDescent="0.4">
      <c r="A13" s="237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0" t="s">
        <v>64</v>
      </c>
      <c r="B14" s="241"/>
      <c r="C14" s="244" t="s">
        <v>65</v>
      </c>
      <c r="D14" s="80" t="s">
        <v>2</v>
      </c>
      <c r="E14" s="81" t="s">
        <v>66</v>
      </c>
      <c r="F14" s="82" t="s">
        <v>67</v>
      </c>
      <c r="G14" s="260" t="s">
        <v>68</v>
      </c>
      <c r="H14" s="261"/>
      <c r="I14" s="262" t="s">
        <v>69</v>
      </c>
      <c r="J14" s="260" t="s">
        <v>70</v>
      </c>
      <c r="K14" s="264"/>
      <c r="L14" s="261"/>
      <c r="M14" s="262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2"/>
      <c r="B15" s="243"/>
      <c r="C15" s="245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3"/>
      <c r="J15" s="88" t="s">
        <v>78</v>
      </c>
      <c r="K15" s="90" t="s">
        <v>79</v>
      </c>
      <c r="L15" s="91" t="s">
        <v>80</v>
      </c>
      <c r="M15" s="263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8" t="s">
        <v>84</v>
      </c>
      <c r="B25" s="219"/>
      <c r="C25" s="220"/>
      <c r="D25" s="214"/>
      <c r="E25" s="214"/>
      <c r="F25" s="259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1" t="s">
        <v>85</v>
      </c>
      <c r="C28" s="222"/>
      <c r="D28" s="222"/>
      <c r="E28" s="222"/>
      <c r="F28" s="222"/>
      <c r="G28" s="222"/>
      <c r="H28" s="222"/>
      <c r="I28" s="222"/>
      <c r="J28" s="222"/>
      <c r="K28" s="222"/>
      <c r="L28" s="223"/>
      <c r="N28" s="230" t="s">
        <v>86</v>
      </c>
      <c r="O28" s="231"/>
      <c r="P28" s="152">
        <f>I25</f>
        <v>0</v>
      </c>
    </row>
    <row r="29" spans="1:19 16384:16384" ht="15" customHeight="1" x14ac:dyDescent="0.35">
      <c r="B29" s="224"/>
      <c r="C29" s="225"/>
      <c r="D29" s="225"/>
      <c r="E29" s="225"/>
      <c r="F29" s="225"/>
      <c r="G29" s="225"/>
      <c r="H29" s="225"/>
      <c r="I29" s="225"/>
      <c r="J29" s="225"/>
      <c r="K29" s="225"/>
      <c r="L29" s="226"/>
      <c r="N29" s="232" t="s">
        <v>87</v>
      </c>
      <c r="O29" s="233"/>
      <c r="P29" s="153">
        <f>L25</f>
        <v>0</v>
      </c>
    </row>
    <row r="30" spans="1:19 16384:16384" ht="15" customHeight="1" x14ac:dyDescent="0.35">
      <c r="B30" s="224"/>
      <c r="C30" s="225"/>
      <c r="D30" s="225"/>
      <c r="E30" s="225"/>
      <c r="F30" s="225"/>
      <c r="G30" s="225"/>
      <c r="H30" s="225"/>
      <c r="I30" s="225"/>
      <c r="J30" s="225"/>
      <c r="K30" s="225"/>
      <c r="L30" s="226"/>
      <c r="N30" s="232" t="s">
        <v>4</v>
      </c>
      <c r="O30" s="233"/>
      <c r="P30" s="154">
        <f>K25</f>
        <v>0</v>
      </c>
    </row>
    <row r="31" spans="1:19 16384:16384" ht="15" customHeight="1" x14ac:dyDescent="0.35">
      <c r="B31" s="224"/>
      <c r="C31" s="225"/>
      <c r="D31" s="225"/>
      <c r="E31" s="225"/>
      <c r="F31" s="225"/>
      <c r="G31" s="225"/>
      <c r="H31" s="225"/>
      <c r="I31" s="225"/>
      <c r="J31" s="225"/>
      <c r="K31" s="225"/>
      <c r="L31" s="226"/>
      <c r="M31" s="2"/>
      <c r="N31" s="232" t="s">
        <v>88</v>
      </c>
      <c r="O31" s="233"/>
      <c r="P31" s="153">
        <f>P28-P29-P30</f>
        <v>0</v>
      </c>
    </row>
    <row r="32" spans="1:19 16384:16384" ht="15" customHeight="1" x14ac:dyDescent="0.35">
      <c r="B32" s="224"/>
      <c r="C32" s="225"/>
      <c r="D32" s="225"/>
      <c r="E32" s="225"/>
      <c r="F32" s="225"/>
      <c r="G32" s="225"/>
      <c r="H32" s="225"/>
      <c r="I32" s="225"/>
      <c r="J32" s="225"/>
      <c r="K32" s="225"/>
      <c r="L32" s="226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24"/>
      <c r="C33" s="225"/>
      <c r="D33" s="225"/>
      <c r="E33" s="225"/>
      <c r="F33" s="225"/>
      <c r="G33" s="225"/>
      <c r="H33" s="225"/>
      <c r="I33" s="225"/>
      <c r="J33" s="225"/>
      <c r="K33" s="225"/>
      <c r="L33" s="226"/>
      <c r="M33" s="2"/>
      <c r="N33" s="234" t="s">
        <v>90</v>
      </c>
      <c r="O33" s="235"/>
      <c r="P33" s="153">
        <f>P31+P32</f>
        <v>0</v>
      </c>
    </row>
    <row r="34" spans="2:16" ht="15" customHeight="1" thickBot="1" x14ac:dyDescent="0.4">
      <c r="B34" s="227"/>
      <c r="C34" s="228"/>
      <c r="D34" s="228"/>
      <c r="E34" s="228"/>
      <c r="F34" s="228"/>
      <c r="G34" s="228"/>
      <c r="H34" s="228"/>
      <c r="I34" s="228"/>
      <c r="J34" s="228"/>
      <c r="K34" s="228"/>
      <c r="L34" s="229"/>
      <c r="M34" s="157"/>
      <c r="N34" s="158" t="s">
        <v>91</v>
      </c>
      <c r="O34" s="159">
        <f>IF(B11="Filer",0.5%,2.5%)</f>
        <v>5.0000000000000001E-3</v>
      </c>
      <c r="P34" s="153">
        <f>O34*P33</f>
        <v>0</v>
      </c>
    </row>
    <row r="35" spans="2:16" ht="15.75" customHeight="1" thickBot="1" x14ac:dyDescent="0.4">
      <c r="N35" s="212" t="s">
        <v>92</v>
      </c>
      <c r="O35" s="213"/>
      <c r="P35" s="160">
        <f>P33+P34</f>
        <v>0</v>
      </c>
    </row>
    <row r="36" spans="2:16" ht="15" thickBot="1" x14ac:dyDescent="0.4">
      <c r="B36" s="161" t="s">
        <v>93</v>
      </c>
      <c r="C36" s="214"/>
      <c r="D36" s="214"/>
      <c r="E36" s="214"/>
      <c r="F36" s="214"/>
      <c r="G36" s="214"/>
      <c r="H36" s="214"/>
      <c r="I36" s="215"/>
      <c r="J36" s="216"/>
      <c r="K36" s="217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CE105080-5BD0-478B-86C6-5736D7A71EC0}">
      <formula1>$XFD$12:$XFD$17</formula1>
    </dataValidation>
    <dataValidation type="list" allowBlank="1" showInputMessage="1" showErrorMessage="1" sqref="B12" xr:uid="{1508DFE7-13C9-4658-A501-190ECFD716F4}">
      <formula1>$XFC$6:$XFC$7</formula1>
    </dataValidation>
    <dataValidation type="list" allowBlank="1" showInputMessage="1" showErrorMessage="1" sqref="B11" xr:uid="{E0B91247-A5A7-4534-A780-36B3398DC6E4}">
      <formula1>$XFC$3:$XFC$4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30602523-155F-40DA-80FD-A773DBC81048}">
          <x14:formula1>
            <xm:f>Sheet2!$B$6:$B$13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9F3B08-1F3F-4199-A2E8-51B3181CF5C0}">
  <sheetPr>
    <pageSetUpPr fitToPage="1"/>
  </sheetPr>
  <dimension ref="A2:XFD37"/>
  <sheetViews>
    <sheetView topLeftCell="A18" workbookViewId="0">
      <selection activeCell="D39" sqref="D3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4" t="s">
        <v>45</v>
      </c>
      <c r="B2" s="254"/>
      <c r="C2" s="254"/>
    </row>
    <row r="3" spans="1:19 16383:16384" ht="15" customHeight="1" x14ac:dyDescent="0.35">
      <c r="A3" s="239" t="s">
        <v>46</v>
      </c>
      <c r="B3" s="239"/>
      <c r="C3" s="239"/>
      <c r="F3" s="70"/>
      <c r="G3" s="71"/>
      <c r="K3" s="238" t="s">
        <v>47</v>
      </c>
      <c r="L3" s="238"/>
      <c r="M3" s="238"/>
      <c r="N3" s="239">
        <v>10</v>
      </c>
      <c r="O3" s="239"/>
      <c r="P3" s="23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9" t="s">
        <v>94</v>
      </c>
      <c r="B4" s="239"/>
      <c r="C4" s="239"/>
      <c r="F4" s="70"/>
      <c r="G4" s="71"/>
      <c r="K4" s="238" t="s">
        <v>49</v>
      </c>
      <c r="L4" s="238"/>
      <c r="M4" s="238"/>
      <c r="N4" s="252">
        <f ca="1">TODAY()</f>
        <v>46223</v>
      </c>
      <c r="O4" s="252"/>
      <c r="P4" s="25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5" t="s">
        <v>102</v>
      </c>
      <c r="B5" s="265"/>
      <c r="C5" s="265"/>
      <c r="F5" s="70"/>
      <c r="G5" s="71"/>
      <c r="K5" s="238" t="s">
        <v>51</v>
      </c>
      <c r="L5" s="238"/>
      <c r="M5" s="238"/>
      <c r="N5" s="252">
        <f ca="1">N4-1</f>
        <v>46222</v>
      </c>
      <c r="O5" s="239"/>
      <c r="P5" s="239"/>
      <c r="R5" s="70"/>
      <c r="S5" s="71"/>
    </row>
    <row r="6" spans="1:19 16383:16384" ht="15" customHeight="1" x14ac:dyDescent="0.35">
      <c r="A6" s="238" t="s">
        <v>103</v>
      </c>
      <c r="B6" s="238"/>
      <c r="C6" s="238"/>
      <c r="F6" s="70"/>
      <c r="G6" s="74"/>
      <c r="K6" s="238" t="s">
        <v>52</v>
      </c>
      <c r="L6" s="238"/>
      <c r="M6" s="238"/>
      <c r="N6" s="251" t="s">
        <v>98</v>
      </c>
      <c r="O6" s="251"/>
      <c r="P6" s="251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8"/>
      <c r="B7" s="238"/>
      <c r="C7" s="238"/>
      <c r="F7" s="70"/>
      <c r="G7" s="74"/>
      <c r="K7" s="238"/>
      <c r="L7" s="238"/>
      <c r="M7" s="238"/>
      <c r="N7" s="251"/>
      <c r="O7" s="251"/>
      <c r="P7" s="251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0"/>
      <c r="B8" s="250"/>
      <c r="C8" s="250"/>
      <c r="F8" s="70"/>
      <c r="G8" s="74"/>
      <c r="K8" s="238"/>
      <c r="L8" s="238"/>
      <c r="M8" s="238"/>
      <c r="N8" s="251"/>
      <c r="O8" s="251"/>
      <c r="P8" s="251"/>
      <c r="R8" s="70"/>
      <c r="S8" s="74"/>
    </row>
    <row r="9" spans="1:19 16383:16384" x14ac:dyDescent="0.35">
      <c r="A9" s="250"/>
      <c r="B9" s="250"/>
      <c r="C9" s="250"/>
      <c r="F9" s="70"/>
      <c r="G9" s="74"/>
      <c r="K9" s="238"/>
      <c r="L9" s="238"/>
      <c r="M9" s="238"/>
      <c r="N9" s="251"/>
      <c r="O9" s="251"/>
      <c r="P9" s="251"/>
      <c r="R9" s="70"/>
      <c r="S9" s="74"/>
      <c r="XFD9" t="s">
        <v>55</v>
      </c>
    </row>
    <row r="10" spans="1:19 16383:16384" x14ac:dyDescent="0.35">
      <c r="A10" s="236" t="s">
        <v>95</v>
      </c>
      <c r="B10" s="75"/>
      <c r="C10" s="75"/>
      <c r="F10" s="70"/>
      <c r="G10" s="71"/>
      <c r="K10" s="238" t="s">
        <v>56</v>
      </c>
      <c r="L10" s="238"/>
      <c r="M10" s="238"/>
      <c r="N10" s="239" t="s">
        <v>57</v>
      </c>
      <c r="O10" s="239"/>
      <c r="P10" s="239"/>
      <c r="R10" s="70"/>
      <c r="S10" s="71"/>
      <c r="XFD10" t="s">
        <v>58</v>
      </c>
    </row>
    <row r="11" spans="1:19 16383:16384" x14ac:dyDescent="0.35">
      <c r="A11" s="236"/>
      <c r="B11" s="76" t="s">
        <v>50</v>
      </c>
      <c r="C11" s="77" t="str">
        <f>IF($O34&gt;2.49%,"No","Yes")</f>
        <v>No</v>
      </c>
      <c r="F11" s="70"/>
      <c r="G11" s="71"/>
      <c r="K11" s="238" t="s">
        <v>59</v>
      </c>
      <c r="L11" s="238"/>
      <c r="M11" s="238"/>
      <c r="N11" s="239" t="s">
        <v>55</v>
      </c>
      <c r="O11" s="239"/>
      <c r="P11" s="239"/>
      <c r="R11" s="70"/>
      <c r="S11" s="71"/>
    </row>
    <row r="12" spans="1:19 16383:16384" ht="14.65" customHeight="1" x14ac:dyDescent="0.35">
      <c r="A12" s="236" t="s">
        <v>60</v>
      </c>
      <c r="B12" s="76" t="s">
        <v>54</v>
      </c>
      <c r="C12" s="77" t="str">
        <f>IF($O32&gt;21.99%,"No","Yes")</f>
        <v>No</v>
      </c>
      <c r="F12" s="70"/>
      <c r="G12" s="71"/>
      <c r="K12" s="238" t="s">
        <v>61</v>
      </c>
      <c r="L12" s="238"/>
      <c r="M12" s="238"/>
      <c r="N12" s="239"/>
      <c r="O12" s="239"/>
      <c r="P12" s="239"/>
      <c r="R12" s="70"/>
      <c r="S12" s="71"/>
      <c r="XFD12" t="s">
        <v>62</v>
      </c>
    </row>
    <row r="13" spans="1:19 16383:16384" ht="15" thickBot="1" x14ac:dyDescent="0.4">
      <c r="A13" s="237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0" t="s">
        <v>64</v>
      </c>
      <c r="B14" s="241"/>
      <c r="C14" s="244" t="s">
        <v>65</v>
      </c>
      <c r="D14" s="80" t="s">
        <v>2</v>
      </c>
      <c r="E14" s="81" t="s">
        <v>66</v>
      </c>
      <c r="F14" s="82" t="s">
        <v>67</v>
      </c>
      <c r="G14" s="260" t="s">
        <v>68</v>
      </c>
      <c r="H14" s="261"/>
      <c r="I14" s="262" t="s">
        <v>69</v>
      </c>
      <c r="J14" s="260" t="s">
        <v>70</v>
      </c>
      <c r="K14" s="264"/>
      <c r="L14" s="261"/>
      <c r="M14" s="262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2"/>
      <c r="B15" s="243"/>
      <c r="C15" s="245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3"/>
      <c r="J15" s="88" t="s">
        <v>78</v>
      </c>
      <c r="K15" s="90" t="s">
        <v>79</v>
      </c>
      <c r="L15" s="91" t="s">
        <v>80</v>
      </c>
      <c r="M15" s="263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8" t="s">
        <v>84</v>
      </c>
      <c r="B25" s="219"/>
      <c r="C25" s="220"/>
      <c r="D25" s="214"/>
      <c r="E25" s="214"/>
      <c r="F25" s="259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1" t="s">
        <v>85</v>
      </c>
      <c r="C28" s="222"/>
      <c r="D28" s="222"/>
      <c r="E28" s="222"/>
      <c r="F28" s="222"/>
      <c r="G28" s="222"/>
      <c r="H28" s="222"/>
      <c r="I28" s="222"/>
      <c r="J28" s="222"/>
      <c r="K28" s="222"/>
      <c r="L28" s="223"/>
      <c r="N28" s="230" t="s">
        <v>86</v>
      </c>
      <c r="O28" s="231"/>
      <c r="P28" s="152">
        <f>I25</f>
        <v>0</v>
      </c>
    </row>
    <row r="29" spans="1:19 16384:16384" ht="15" customHeight="1" x14ac:dyDescent="0.35">
      <c r="B29" s="224"/>
      <c r="C29" s="225"/>
      <c r="D29" s="225"/>
      <c r="E29" s="225"/>
      <c r="F29" s="225"/>
      <c r="G29" s="225"/>
      <c r="H29" s="225"/>
      <c r="I29" s="225"/>
      <c r="J29" s="225"/>
      <c r="K29" s="225"/>
      <c r="L29" s="226"/>
      <c r="N29" s="232" t="s">
        <v>87</v>
      </c>
      <c r="O29" s="233"/>
      <c r="P29" s="153">
        <f>L25</f>
        <v>0</v>
      </c>
    </row>
    <row r="30" spans="1:19 16384:16384" ht="15" customHeight="1" x14ac:dyDescent="0.35">
      <c r="B30" s="224"/>
      <c r="C30" s="225"/>
      <c r="D30" s="225"/>
      <c r="E30" s="225"/>
      <c r="F30" s="225"/>
      <c r="G30" s="225"/>
      <c r="H30" s="225"/>
      <c r="I30" s="225"/>
      <c r="J30" s="225"/>
      <c r="K30" s="225"/>
      <c r="L30" s="226"/>
      <c r="N30" s="232" t="s">
        <v>4</v>
      </c>
      <c r="O30" s="233"/>
      <c r="P30" s="154">
        <f>K25</f>
        <v>0</v>
      </c>
    </row>
    <row r="31" spans="1:19 16384:16384" ht="15" customHeight="1" x14ac:dyDescent="0.35">
      <c r="B31" s="224"/>
      <c r="C31" s="225"/>
      <c r="D31" s="225"/>
      <c r="E31" s="225"/>
      <c r="F31" s="225"/>
      <c r="G31" s="225"/>
      <c r="H31" s="225"/>
      <c r="I31" s="225"/>
      <c r="J31" s="225"/>
      <c r="K31" s="225"/>
      <c r="L31" s="226"/>
      <c r="M31" s="2"/>
      <c r="N31" s="232" t="s">
        <v>88</v>
      </c>
      <c r="O31" s="233"/>
      <c r="P31" s="153">
        <f>P28-P29-P30</f>
        <v>0</v>
      </c>
    </row>
    <row r="32" spans="1:19 16384:16384" ht="15" customHeight="1" x14ac:dyDescent="0.35">
      <c r="B32" s="224"/>
      <c r="C32" s="225"/>
      <c r="D32" s="225"/>
      <c r="E32" s="225"/>
      <c r="F32" s="225"/>
      <c r="G32" s="225"/>
      <c r="H32" s="225"/>
      <c r="I32" s="225"/>
      <c r="J32" s="225"/>
      <c r="K32" s="225"/>
      <c r="L32" s="226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24"/>
      <c r="C33" s="225"/>
      <c r="D33" s="225"/>
      <c r="E33" s="225"/>
      <c r="F33" s="225"/>
      <c r="G33" s="225"/>
      <c r="H33" s="225"/>
      <c r="I33" s="225"/>
      <c r="J33" s="225"/>
      <c r="K33" s="225"/>
      <c r="L33" s="226"/>
      <c r="M33" s="2"/>
      <c r="N33" s="234" t="s">
        <v>90</v>
      </c>
      <c r="O33" s="235"/>
      <c r="P33" s="153">
        <f>P31+P32</f>
        <v>0</v>
      </c>
    </row>
    <row r="34" spans="2:16" ht="15" customHeight="1" thickBot="1" x14ac:dyDescent="0.4">
      <c r="B34" s="227"/>
      <c r="C34" s="228"/>
      <c r="D34" s="228"/>
      <c r="E34" s="228"/>
      <c r="F34" s="228"/>
      <c r="G34" s="228"/>
      <c r="H34" s="228"/>
      <c r="I34" s="228"/>
      <c r="J34" s="228"/>
      <c r="K34" s="228"/>
      <c r="L34" s="229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2" t="s">
        <v>92</v>
      </c>
      <c r="O35" s="213"/>
      <c r="P35" s="160">
        <f>P33+P34</f>
        <v>0</v>
      </c>
    </row>
    <row r="36" spans="2:16" ht="15" thickBot="1" x14ac:dyDescent="0.4">
      <c r="B36" s="161" t="s">
        <v>93</v>
      </c>
      <c r="C36" s="214"/>
      <c r="D36" s="214"/>
      <c r="E36" s="214"/>
      <c r="F36" s="214"/>
      <c r="G36" s="214"/>
      <c r="H36" s="214"/>
      <c r="I36" s="215"/>
      <c r="J36" s="216"/>
      <c r="K36" s="217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332ED00B-E89F-4ED2-9F42-DF19F27A765D}">
      <formula1>$XFC$3:$XFC$4</formula1>
    </dataValidation>
    <dataValidation type="list" allowBlank="1" showInputMessage="1" showErrorMessage="1" sqref="B12" xr:uid="{75B33AFB-E45B-4AE0-B36C-92760C1DFFFE}">
      <formula1>$XFC$6:$XFC$7</formula1>
    </dataValidation>
    <dataValidation type="list" allowBlank="1" showInputMessage="1" showErrorMessage="1" sqref="N9:P9" xr:uid="{77E71E4F-9B4B-4E88-B83D-E045CA03ED43}">
      <formula1>$XFD$12:$XFD$17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DD3D7DE-85B5-4424-8A81-CB0C1FEBBFCF}">
          <x14:formula1>
            <xm:f>Sheet2!$B$6:$B$13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95F11E-6417-4554-8DEC-F997B843DFBE}">
  <sheetPr>
    <pageSetUpPr fitToPage="1"/>
  </sheetPr>
  <dimension ref="A2:XFD37"/>
  <sheetViews>
    <sheetView workbookViewId="0">
      <selection activeCell="D39" sqref="D3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4" t="s">
        <v>45</v>
      </c>
      <c r="B2" s="254"/>
      <c r="C2" s="254"/>
    </row>
    <row r="3" spans="1:19 16383:16384" ht="15" customHeight="1" x14ac:dyDescent="0.35">
      <c r="A3" s="239" t="s">
        <v>46</v>
      </c>
      <c r="B3" s="239"/>
      <c r="C3" s="239"/>
      <c r="F3" s="70"/>
      <c r="G3" s="71"/>
      <c r="K3" s="238" t="s">
        <v>47</v>
      </c>
      <c r="L3" s="238"/>
      <c r="M3" s="238"/>
      <c r="N3" s="239">
        <v>10</v>
      </c>
      <c r="O3" s="239"/>
      <c r="P3" s="23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9" t="s">
        <v>94</v>
      </c>
      <c r="B4" s="239"/>
      <c r="C4" s="239"/>
      <c r="F4" s="70"/>
      <c r="G4" s="71"/>
      <c r="K4" s="238" t="s">
        <v>49</v>
      </c>
      <c r="L4" s="238"/>
      <c r="M4" s="238"/>
      <c r="N4" s="252">
        <f ca="1">TODAY()</f>
        <v>46223</v>
      </c>
      <c r="O4" s="252"/>
      <c r="P4" s="25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5" t="s">
        <v>102</v>
      </c>
      <c r="B5" s="265"/>
      <c r="C5" s="265"/>
      <c r="F5" s="70"/>
      <c r="G5" s="71"/>
      <c r="K5" s="238" t="s">
        <v>51</v>
      </c>
      <c r="L5" s="238"/>
      <c r="M5" s="238"/>
      <c r="N5" s="252">
        <f ca="1">N4-1</f>
        <v>46222</v>
      </c>
      <c r="O5" s="239"/>
      <c r="P5" s="239"/>
      <c r="R5" s="70"/>
      <c r="S5" s="71"/>
    </row>
    <row r="6" spans="1:19 16383:16384" ht="15" customHeight="1" x14ac:dyDescent="0.35">
      <c r="A6" s="238" t="s">
        <v>103</v>
      </c>
      <c r="B6" s="238"/>
      <c r="C6" s="238"/>
      <c r="F6" s="70"/>
      <c r="G6" s="74"/>
      <c r="K6" s="238" t="s">
        <v>52</v>
      </c>
      <c r="L6" s="238"/>
      <c r="M6" s="238"/>
      <c r="N6" s="251" t="s">
        <v>98</v>
      </c>
      <c r="O6" s="251"/>
      <c r="P6" s="251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8"/>
      <c r="B7" s="238"/>
      <c r="C7" s="238"/>
      <c r="F7" s="70"/>
      <c r="G7" s="74"/>
      <c r="K7" s="238"/>
      <c r="L7" s="238"/>
      <c r="M7" s="238"/>
      <c r="N7" s="251"/>
      <c r="O7" s="251"/>
      <c r="P7" s="251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0"/>
      <c r="B8" s="250"/>
      <c r="C8" s="250"/>
      <c r="F8" s="70"/>
      <c r="G8" s="74"/>
      <c r="K8" s="238"/>
      <c r="L8" s="238"/>
      <c r="M8" s="238"/>
      <c r="N8" s="251"/>
      <c r="O8" s="251"/>
      <c r="P8" s="251"/>
      <c r="R8" s="70"/>
      <c r="S8" s="74"/>
    </row>
    <row r="9" spans="1:19 16383:16384" x14ac:dyDescent="0.35">
      <c r="A9" s="250"/>
      <c r="B9" s="250"/>
      <c r="C9" s="250"/>
      <c r="F9" s="70"/>
      <c r="G9" s="74"/>
      <c r="K9" s="238"/>
      <c r="L9" s="238"/>
      <c r="M9" s="238"/>
      <c r="N9" s="251"/>
      <c r="O9" s="251"/>
      <c r="P9" s="251"/>
      <c r="R9" s="70"/>
      <c r="S9" s="74"/>
      <c r="XFD9" t="s">
        <v>55</v>
      </c>
    </row>
    <row r="10" spans="1:19 16383:16384" x14ac:dyDescent="0.35">
      <c r="A10" s="236" t="s">
        <v>95</v>
      </c>
      <c r="B10" s="75"/>
      <c r="C10" s="75"/>
      <c r="F10" s="70"/>
      <c r="G10" s="71"/>
      <c r="K10" s="238" t="s">
        <v>56</v>
      </c>
      <c r="L10" s="238"/>
      <c r="M10" s="238"/>
      <c r="N10" s="239" t="s">
        <v>57</v>
      </c>
      <c r="O10" s="239"/>
      <c r="P10" s="239"/>
      <c r="R10" s="70"/>
      <c r="S10" s="71"/>
      <c r="XFD10" t="s">
        <v>58</v>
      </c>
    </row>
    <row r="11" spans="1:19 16383:16384" x14ac:dyDescent="0.35">
      <c r="A11" s="236"/>
      <c r="B11" s="76" t="s">
        <v>50</v>
      </c>
      <c r="C11" s="77" t="str">
        <f>IF($O34&gt;2.49%,"No","Yes")</f>
        <v>No</v>
      </c>
      <c r="F11" s="70"/>
      <c r="G11" s="71"/>
      <c r="K11" s="238" t="s">
        <v>59</v>
      </c>
      <c r="L11" s="238"/>
      <c r="M11" s="238"/>
      <c r="N11" s="239" t="s">
        <v>55</v>
      </c>
      <c r="O11" s="239"/>
      <c r="P11" s="239"/>
      <c r="R11" s="70"/>
      <c r="S11" s="71"/>
    </row>
    <row r="12" spans="1:19 16383:16384" ht="14.65" customHeight="1" x14ac:dyDescent="0.35">
      <c r="A12" s="236" t="s">
        <v>60</v>
      </c>
      <c r="B12" s="76" t="s">
        <v>54</v>
      </c>
      <c r="C12" s="77" t="str">
        <f>IF($O32&gt;21.99%,"No","Yes")</f>
        <v>No</v>
      </c>
      <c r="F12" s="70"/>
      <c r="G12" s="71"/>
      <c r="K12" s="238" t="s">
        <v>61</v>
      </c>
      <c r="L12" s="238"/>
      <c r="M12" s="238"/>
      <c r="N12" s="239"/>
      <c r="O12" s="239"/>
      <c r="P12" s="239"/>
      <c r="R12" s="70"/>
      <c r="S12" s="71"/>
      <c r="XFD12" t="s">
        <v>62</v>
      </c>
    </row>
    <row r="13" spans="1:19 16383:16384" ht="15" thickBot="1" x14ac:dyDescent="0.4">
      <c r="A13" s="237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0" t="s">
        <v>64</v>
      </c>
      <c r="B14" s="241"/>
      <c r="C14" s="244" t="s">
        <v>65</v>
      </c>
      <c r="D14" s="80" t="s">
        <v>2</v>
      </c>
      <c r="E14" s="81" t="s">
        <v>66</v>
      </c>
      <c r="F14" s="82" t="s">
        <v>67</v>
      </c>
      <c r="G14" s="260" t="s">
        <v>68</v>
      </c>
      <c r="H14" s="261"/>
      <c r="I14" s="262" t="s">
        <v>69</v>
      </c>
      <c r="J14" s="260" t="s">
        <v>70</v>
      </c>
      <c r="K14" s="264"/>
      <c r="L14" s="261"/>
      <c r="M14" s="262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2"/>
      <c r="B15" s="243"/>
      <c r="C15" s="245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3"/>
      <c r="J15" s="88" t="s">
        <v>78</v>
      </c>
      <c r="K15" s="90" t="s">
        <v>79</v>
      </c>
      <c r="L15" s="91" t="s">
        <v>80</v>
      </c>
      <c r="M15" s="263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8" t="s">
        <v>84</v>
      </c>
      <c r="B25" s="219"/>
      <c r="C25" s="220"/>
      <c r="D25" s="214"/>
      <c r="E25" s="214"/>
      <c r="F25" s="259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1" t="s">
        <v>85</v>
      </c>
      <c r="C28" s="222"/>
      <c r="D28" s="222"/>
      <c r="E28" s="222"/>
      <c r="F28" s="222"/>
      <c r="G28" s="222"/>
      <c r="H28" s="222"/>
      <c r="I28" s="222"/>
      <c r="J28" s="222"/>
      <c r="K28" s="222"/>
      <c r="L28" s="223"/>
      <c r="N28" s="230" t="s">
        <v>86</v>
      </c>
      <c r="O28" s="231"/>
      <c r="P28" s="152">
        <f>I25</f>
        <v>0</v>
      </c>
    </row>
    <row r="29" spans="1:19 16384:16384" ht="15" customHeight="1" x14ac:dyDescent="0.35">
      <c r="B29" s="224"/>
      <c r="C29" s="225"/>
      <c r="D29" s="225"/>
      <c r="E29" s="225"/>
      <c r="F29" s="225"/>
      <c r="G29" s="225"/>
      <c r="H29" s="225"/>
      <c r="I29" s="225"/>
      <c r="J29" s="225"/>
      <c r="K29" s="225"/>
      <c r="L29" s="226"/>
      <c r="N29" s="232" t="s">
        <v>87</v>
      </c>
      <c r="O29" s="233"/>
      <c r="P29" s="153">
        <f>L25</f>
        <v>0</v>
      </c>
    </row>
    <row r="30" spans="1:19 16384:16384" ht="15" customHeight="1" x14ac:dyDescent="0.35">
      <c r="B30" s="224"/>
      <c r="C30" s="225"/>
      <c r="D30" s="225"/>
      <c r="E30" s="225"/>
      <c r="F30" s="225"/>
      <c r="G30" s="225"/>
      <c r="H30" s="225"/>
      <c r="I30" s="225"/>
      <c r="J30" s="225"/>
      <c r="K30" s="225"/>
      <c r="L30" s="226"/>
      <c r="N30" s="232" t="s">
        <v>4</v>
      </c>
      <c r="O30" s="233"/>
      <c r="P30" s="154">
        <f>K25</f>
        <v>0</v>
      </c>
    </row>
    <row r="31" spans="1:19 16384:16384" ht="15" customHeight="1" x14ac:dyDescent="0.35">
      <c r="B31" s="224"/>
      <c r="C31" s="225"/>
      <c r="D31" s="225"/>
      <c r="E31" s="225"/>
      <c r="F31" s="225"/>
      <c r="G31" s="225"/>
      <c r="H31" s="225"/>
      <c r="I31" s="225"/>
      <c r="J31" s="225"/>
      <c r="K31" s="225"/>
      <c r="L31" s="226"/>
      <c r="M31" s="2"/>
      <c r="N31" s="232" t="s">
        <v>88</v>
      </c>
      <c r="O31" s="233"/>
      <c r="P31" s="153">
        <f>P28-P29-P30</f>
        <v>0</v>
      </c>
    </row>
    <row r="32" spans="1:19 16384:16384" ht="15" customHeight="1" x14ac:dyDescent="0.35">
      <c r="B32" s="224"/>
      <c r="C32" s="225"/>
      <c r="D32" s="225"/>
      <c r="E32" s="225"/>
      <c r="F32" s="225"/>
      <c r="G32" s="225"/>
      <c r="H32" s="225"/>
      <c r="I32" s="225"/>
      <c r="J32" s="225"/>
      <c r="K32" s="225"/>
      <c r="L32" s="226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24"/>
      <c r="C33" s="225"/>
      <c r="D33" s="225"/>
      <c r="E33" s="225"/>
      <c r="F33" s="225"/>
      <c r="G33" s="225"/>
      <c r="H33" s="225"/>
      <c r="I33" s="225"/>
      <c r="J33" s="225"/>
      <c r="K33" s="225"/>
      <c r="L33" s="226"/>
      <c r="M33" s="2"/>
      <c r="N33" s="234" t="s">
        <v>90</v>
      </c>
      <c r="O33" s="235"/>
      <c r="P33" s="153">
        <f>P31+P32</f>
        <v>0</v>
      </c>
    </row>
    <row r="34" spans="2:16" ht="15" customHeight="1" thickBot="1" x14ac:dyDescent="0.4">
      <c r="B34" s="227"/>
      <c r="C34" s="228"/>
      <c r="D34" s="228"/>
      <c r="E34" s="228"/>
      <c r="F34" s="228"/>
      <c r="G34" s="228"/>
      <c r="H34" s="228"/>
      <c r="I34" s="228"/>
      <c r="J34" s="228"/>
      <c r="K34" s="228"/>
      <c r="L34" s="229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2" t="s">
        <v>92</v>
      </c>
      <c r="O35" s="213"/>
      <c r="P35" s="160">
        <f>P33+P34</f>
        <v>0</v>
      </c>
    </row>
    <row r="36" spans="2:16" ht="15" thickBot="1" x14ac:dyDescent="0.4">
      <c r="B36" s="161" t="s">
        <v>93</v>
      </c>
      <c r="C36" s="214"/>
      <c r="D36" s="214"/>
      <c r="E36" s="214"/>
      <c r="F36" s="214"/>
      <c r="G36" s="214"/>
      <c r="H36" s="214"/>
      <c r="I36" s="215"/>
      <c r="J36" s="216"/>
      <c r="K36" s="217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98266837-5E19-4EBA-ADE0-E441DD11F708}">
      <formula1>$XFD$12:$XFD$17</formula1>
    </dataValidation>
    <dataValidation type="list" allowBlank="1" showInputMessage="1" showErrorMessage="1" sqref="B12" xr:uid="{78F27A43-5415-4C3B-834C-E680D4D01619}">
      <formula1>$XFC$6:$XFC$7</formula1>
    </dataValidation>
    <dataValidation type="list" allowBlank="1" showInputMessage="1" showErrorMessage="1" sqref="B11" xr:uid="{CE7A673F-542F-4710-B7F9-D28EECF78C9E}">
      <formula1>$XFC$3:$XFC$4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D9103F7D-6314-41CA-A0AD-84406992D367}">
          <x14:formula1>
            <xm:f>Sheet2!$B$6:$B$13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BF1814-2F76-4BCF-A348-FE9370698F30}">
  <sheetPr>
    <pageSetUpPr fitToPage="1"/>
  </sheetPr>
  <dimension ref="A2:XFD37"/>
  <sheetViews>
    <sheetView topLeftCell="A5" workbookViewId="0">
      <selection activeCell="D39" sqref="D3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4" t="s">
        <v>45</v>
      </c>
      <c r="B2" s="254"/>
      <c r="C2" s="254"/>
    </row>
    <row r="3" spans="1:19 16383:16384" ht="15" customHeight="1" x14ac:dyDescent="0.35">
      <c r="A3" s="239" t="s">
        <v>46</v>
      </c>
      <c r="B3" s="239"/>
      <c r="C3" s="239"/>
      <c r="F3" s="70"/>
      <c r="G3" s="71"/>
      <c r="K3" s="238" t="s">
        <v>47</v>
      </c>
      <c r="L3" s="238"/>
      <c r="M3" s="238"/>
      <c r="N3" s="239">
        <v>10</v>
      </c>
      <c r="O3" s="239"/>
      <c r="P3" s="23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9" t="s">
        <v>94</v>
      </c>
      <c r="B4" s="239"/>
      <c r="C4" s="239"/>
      <c r="F4" s="70"/>
      <c r="G4" s="71"/>
      <c r="K4" s="238" t="s">
        <v>49</v>
      </c>
      <c r="L4" s="238"/>
      <c r="M4" s="238"/>
      <c r="N4" s="252">
        <f ca="1">TODAY()</f>
        <v>46223</v>
      </c>
      <c r="O4" s="252"/>
      <c r="P4" s="25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5" t="s">
        <v>102</v>
      </c>
      <c r="B5" s="265"/>
      <c r="C5" s="265"/>
      <c r="F5" s="70"/>
      <c r="G5" s="71"/>
      <c r="K5" s="238" t="s">
        <v>51</v>
      </c>
      <c r="L5" s="238"/>
      <c r="M5" s="238"/>
      <c r="N5" s="252">
        <f ca="1">N4-1</f>
        <v>46222</v>
      </c>
      <c r="O5" s="239"/>
      <c r="P5" s="239"/>
      <c r="R5" s="70"/>
      <c r="S5" s="71"/>
    </row>
    <row r="6" spans="1:19 16383:16384" ht="15" customHeight="1" x14ac:dyDescent="0.35">
      <c r="A6" s="238" t="s">
        <v>103</v>
      </c>
      <c r="B6" s="238"/>
      <c r="C6" s="238"/>
      <c r="F6" s="70"/>
      <c r="G6" s="74"/>
      <c r="K6" s="238" t="s">
        <v>52</v>
      </c>
      <c r="L6" s="238"/>
      <c r="M6" s="238"/>
      <c r="N6" s="251" t="s">
        <v>97</v>
      </c>
      <c r="O6" s="251"/>
      <c r="P6" s="251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8"/>
      <c r="B7" s="238"/>
      <c r="C7" s="238"/>
      <c r="F7" s="70"/>
      <c r="G7" s="74"/>
      <c r="K7" s="238"/>
      <c r="L7" s="238"/>
      <c r="M7" s="238"/>
      <c r="N7" s="251"/>
      <c r="O7" s="251"/>
      <c r="P7" s="251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0"/>
      <c r="B8" s="250"/>
      <c r="C8" s="250"/>
      <c r="F8" s="70"/>
      <c r="G8" s="74"/>
      <c r="K8" s="238"/>
      <c r="L8" s="238"/>
      <c r="M8" s="238"/>
      <c r="N8" s="251"/>
      <c r="O8" s="251"/>
      <c r="P8" s="251"/>
      <c r="R8" s="70"/>
      <c r="S8" s="74"/>
    </row>
    <row r="9" spans="1:19 16383:16384" x14ac:dyDescent="0.35">
      <c r="A9" s="250"/>
      <c r="B9" s="250"/>
      <c r="C9" s="250"/>
      <c r="F9" s="70"/>
      <c r="G9" s="74"/>
      <c r="K9" s="238"/>
      <c r="L9" s="238"/>
      <c r="M9" s="238"/>
      <c r="N9" s="251"/>
      <c r="O9" s="251"/>
      <c r="P9" s="251"/>
      <c r="R9" s="70"/>
      <c r="S9" s="74"/>
      <c r="XFD9" t="s">
        <v>55</v>
      </c>
    </row>
    <row r="10" spans="1:19 16383:16384" x14ac:dyDescent="0.35">
      <c r="A10" s="236" t="s">
        <v>95</v>
      </c>
      <c r="B10" s="75"/>
      <c r="C10" s="75"/>
      <c r="F10" s="70"/>
      <c r="G10" s="71"/>
      <c r="K10" s="238" t="s">
        <v>56</v>
      </c>
      <c r="L10" s="238"/>
      <c r="M10" s="238"/>
      <c r="N10" s="239" t="s">
        <v>57</v>
      </c>
      <c r="O10" s="239"/>
      <c r="P10" s="239"/>
      <c r="R10" s="70"/>
      <c r="S10" s="71"/>
      <c r="XFD10" t="s">
        <v>58</v>
      </c>
    </row>
    <row r="11" spans="1:19 16383:16384" x14ac:dyDescent="0.35">
      <c r="A11" s="236"/>
      <c r="B11" s="76" t="s">
        <v>50</v>
      </c>
      <c r="C11" s="77" t="str">
        <f>IF($O34&gt;2.49%,"No","Yes")</f>
        <v>No</v>
      </c>
      <c r="F11" s="70"/>
      <c r="G11" s="71"/>
      <c r="K11" s="238" t="s">
        <v>59</v>
      </c>
      <c r="L11" s="238"/>
      <c r="M11" s="238"/>
      <c r="N11" s="239" t="s">
        <v>55</v>
      </c>
      <c r="O11" s="239"/>
      <c r="P11" s="239"/>
      <c r="R11" s="70"/>
      <c r="S11" s="71"/>
    </row>
    <row r="12" spans="1:19 16383:16384" ht="14.65" customHeight="1" x14ac:dyDescent="0.35">
      <c r="A12" s="236" t="s">
        <v>60</v>
      </c>
      <c r="B12" s="76" t="s">
        <v>54</v>
      </c>
      <c r="C12" s="77" t="str">
        <f>IF($O32&gt;21.99%,"No","Yes")</f>
        <v>No</v>
      </c>
      <c r="F12" s="70"/>
      <c r="G12" s="71"/>
      <c r="K12" s="238" t="s">
        <v>61</v>
      </c>
      <c r="L12" s="238"/>
      <c r="M12" s="238"/>
      <c r="N12" s="239"/>
      <c r="O12" s="239"/>
      <c r="P12" s="239"/>
      <c r="R12" s="70"/>
      <c r="S12" s="71"/>
      <c r="XFD12" t="s">
        <v>62</v>
      </c>
    </row>
    <row r="13" spans="1:19 16383:16384" ht="15" thickBot="1" x14ac:dyDescent="0.4">
      <c r="A13" s="237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0" t="s">
        <v>64</v>
      </c>
      <c r="B14" s="241"/>
      <c r="C14" s="244" t="s">
        <v>65</v>
      </c>
      <c r="D14" s="80" t="s">
        <v>2</v>
      </c>
      <c r="E14" s="81" t="s">
        <v>66</v>
      </c>
      <c r="F14" s="82" t="s">
        <v>67</v>
      </c>
      <c r="G14" s="260" t="s">
        <v>68</v>
      </c>
      <c r="H14" s="261"/>
      <c r="I14" s="262" t="s">
        <v>69</v>
      </c>
      <c r="J14" s="260" t="s">
        <v>70</v>
      </c>
      <c r="K14" s="264"/>
      <c r="L14" s="261"/>
      <c r="M14" s="262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2"/>
      <c r="B15" s="243"/>
      <c r="C15" s="245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3"/>
      <c r="J15" s="88" t="s">
        <v>78</v>
      </c>
      <c r="K15" s="90" t="s">
        <v>79</v>
      </c>
      <c r="L15" s="91" t="s">
        <v>80</v>
      </c>
      <c r="M15" s="263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8" t="s">
        <v>84</v>
      </c>
      <c r="B25" s="219"/>
      <c r="C25" s="220"/>
      <c r="D25" s="214"/>
      <c r="E25" s="214"/>
      <c r="F25" s="259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1" t="s">
        <v>85</v>
      </c>
      <c r="C28" s="222"/>
      <c r="D28" s="222"/>
      <c r="E28" s="222"/>
      <c r="F28" s="222"/>
      <c r="G28" s="222"/>
      <c r="H28" s="222"/>
      <c r="I28" s="222"/>
      <c r="J28" s="222"/>
      <c r="K28" s="222"/>
      <c r="L28" s="223"/>
      <c r="N28" s="230" t="s">
        <v>86</v>
      </c>
      <c r="O28" s="231"/>
      <c r="P28" s="152">
        <f>I25</f>
        <v>0</v>
      </c>
    </row>
    <row r="29" spans="1:19 16384:16384" ht="15" customHeight="1" x14ac:dyDescent="0.35">
      <c r="B29" s="224"/>
      <c r="C29" s="225"/>
      <c r="D29" s="225"/>
      <c r="E29" s="225"/>
      <c r="F29" s="225"/>
      <c r="G29" s="225"/>
      <c r="H29" s="225"/>
      <c r="I29" s="225"/>
      <c r="J29" s="225"/>
      <c r="K29" s="225"/>
      <c r="L29" s="226"/>
      <c r="N29" s="232" t="s">
        <v>87</v>
      </c>
      <c r="O29" s="233"/>
      <c r="P29" s="153">
        <f>L25</f>
        <v>0</v>
      </c>
    </row>
    <row r="30" spans="1:19 16384:16384" ht="15" customHeight="1" x14ac:dyDescent="0.35">
      <c r="B30" s="224"/>
      <c r="C30" s="225"/>
      <c r="D30" s="225"/>
      <c r="E30" s="225"/>
      <c r="F30" s="225"/>
      <c r="G30" s="225"/>
      <c r="H30" s="225"/>
      <c r="I30" s="225"/>
      <c r="J30" s="225"/>
      <c r="K30" s="225"/>
      <c r="L30" s="226"/>
      <c r="N30" s="232" t="s">
        <v>4</v>
      </c>
      <c r="O30" s="233"/>
      <c r="P30" s="154">
        <f>K25</f>
        <v>0</v>
      </c>
    </row>
    <row r="31" spans="1:19 16384:16384" ht="15" customHeight="1" x14ac:dyDescent="0.35">
      <c r="B31" s="224"/>
      <c r="C31" s="225"/>
      <c r="D31" s="225"/>
      <c r="E31" s="225"/>
      <c r="F31" s="225"/>
      <c r="G31" s="225"/>
      <c r="H31" s="225"/>
      <c r="I31" s="225"/>
      <c r="J31" s="225"/>
      <c r="K31" s="225"/>
      <c r="L31" s="226"/>
      <c r="M31" s="2"/>
      <c r="N31" s="232" t="s">
        <v>88</v>
      </c>
      <c r="O31" s="233"/>
      <c r="P31" s="153">
        <f>P28-P29-P30</f>
        <v>0</v>
      </c>
    </row>
    <row r="32" spans="1:19 16384:16384" ht="15" customHeight="1" x14ac:dyDescent="0.35">
      <c r="B32" s="224"/>
      <c r="C32" s="225"/>
      <c r="D32" s="225"/>
      <c r="E32" s="225"/>
      <c r="F32" s="225"/>
      <c r="G32" s="225"/>
      <c r="H32" s="225"/>
      <c r="I32" s="225"/>
      <c r="J32" s="225"/>
      <c r="K32" s="225"/>
      <c r="L32" s="226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24"/>
      <c r="C33" s="225"/>
      <c r="D33" s="225"/>
      <c r="E33" s="225"/>
      <c r="F33" s="225"/>
      <c r="G33" s="225"/>
      <c r="H33" s="225"/>
      <c r="I33" s="225"/>
      <c r="J33" s="225"/>
      <c r="K33" s="225"/>
      <c r="L33" s="226"/>
      <c r="M33" s="2"/>
      <c r="N33" s="234" t="s">
        <v>90</v>
      </c>
      <c r="O33" s="235"/>
      <c r="P33" s="153">
        <f>P31+P32</f>
        <v>0</v>
      </c>
    </row>
    <row r="34" spans="2:16" ht="15" customHeight="1" thickBot="1" x14ac:dyDescent="0.4">
      <c r="B34" s="227"/>
      <c r="C34" s="228"/>
      <c r="D34" s="228"/>
      <c r="E34" s="228"/>
      <c r="F34" s="228"/>
      <c r="G34" s="228"/>
      <c r="H34" s="228"/>
      <c r="I34" s="228"/>
      <c r="J34" s="228"/>
      <c r="K34" s="228"/>
      <c r="L34" s="229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2" t="s">
        <v>92</v>
      </c>
      <c r="O35" s="213"/>
      <c r="P35" s="160">
        <f>P33+P34</f>
        <v>0</v>
      </c>
    </row>
    <row r="36" spans="2:16" ht="15" thickBot="1" x14ac:dyDescent="0.4">
      <c r="B36" s="161" t="s">
        <v>93</v>
      </c>
      <c r="C36" s="214"/>
      <c r="D36" s="214"/>
      <c r="E36" s="214"/>
      <c r="F36" s="214"/>
      <c r="G36" s="214"/>
      <c r="H36" s="214"/>
      <c r="I36" s="215"/>
      <c r="J36" s="216"/>
      <c r="K36" s="217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E4A268A2-3829-455E-82B1-2B87D4B85A9F}">
      <formula1>$XFC$3:$XFC$4</formula1>
    </dataValidation>
    <dataValidation type="list" allowBlank="1" showInputMessage="1" showErrorMessage="1" sqref="B12" xr:uid="{8DE744F1-C9E7-48EC-BC6D-3FE78C71DA54}">
      <formula1>$XFC$6:$XFC$7</formula1>
    </dataValidation>
    <dataValidation type="list" allowBlank="1" showInputMessage="1" showErrorMessage="1" sqref="N9:P9" xr:uid="{0C512B85-BB1B-4154-B269-F1876DF259FE}">
      <formula1>$XFD$12:$XFD$17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89AFE29A-1C3E-449E-905D-A7040C0430F2}">
          <x14:formula1>
            <xm:f>Sheet2!$B$6:$B$13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9C2C14-4834-436A-9B73-3C975888060D}">
  <sheetPr>
    <pageSetUpPr fitToPage="1"/>
  </sheetPr>
  <dimension ref="A2:XFD37"/>
  <sheetViews>
    <sheetView topLeftCell="A20" workbookViewId="0">
      <selection activeCell="D39" sqref="D3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4" t="s">
        <v>45</v>
      </c>
      <c r="B2" s="254"/>
      <c r="C2" s="254"/>
    </row>
    <row r="3" spans="1:19 16383:16384" ht="15" customHeight="1" x14ac:dyDescent="0.35">
      <c r="A3" s="239" t="s">
        <v>46</v>
      </c>
      <c r="B3" s="239"/>
      <c r="C3" s="239"/>
      <c r="F3" s="70"/>
      <c r="G3" s="71"/>
      <c r="K3" s="238" t="s">
        <v>47</v>
      </c>
      <c r="L3" s="238"/>
      <c r="M3" s="238"/>
      <c r="N3" s="239">
        <v>10</v>
      </c>
      <c r="O3" s="239"/>
      <c r="P3" s="23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9" t="s">
        <v>94</v>
      </c>
      <c r="B4" s="239"/>
      <c r="C4" s="239"/>
      <c r="F4" s="70"/>
      <c r="G4" s="71"/>
      <c r="K4" s="238" t="s">
        <v>49</v>
      </c>
      <c r="L4" s="238"/>
      <c r="M4" s="238"/>
      <c r="N4" s="252">
        <f ca="1">TODAY()</f>
        <v>46223</v>
      </c>
      <c r="O4" s="252"/>
      <c r="P4" s="25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5" t="s">
        <v>102</v>
      </c>
      <c r="B5" s="265"/>
      <c r="C5" s="265"/>
      <c r="F5" s="70"/>
      <c r="G5" s="71"/>
      <c r="K5" s="238" t="s">
        <v>51</v>
      </c>
      <c r="L5" s="238"/>
      <c r="M5" s="238"/>
      <c r="N5" s="252">
        <f ca="1">N4-1</f>
        <v>46222</v>
      </c>
      <c r="O5" s="239"/>
      <c r="P5" s="239"/>
      <c r="R5" s="70"/>
      <c r="S5" s="71"/>
    </row>
    <row r="6" spans="1:19 16383:16384" ht="15" customHeight="1" x14ac:dyDescent="0.35">
      <c r="A6" s="238" t="s">
        <v>103</v>
      </c>
      <c r="B6" s="238"/>
      <c r="C6" s="238"/>
      <c r="F6" s="70"/>
      <c r="G6" s="74"/>
      <c r="K6" s="238" t="s">
        <v>52</v>
      </c>
      <c r="L6" s="238"/>
      <c r="M6" s="238"/>
      <c r="N6" s="251" t="s">
        <v>97</v>
      </c>
      <c r="O6" s="251"/>
      <c r="P6" s="251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8"/>
      <c r="B7" s="238"/>
      <c r="C7" s="238"/>
      <c r="F7" s="70"/>
      <c r="G7" s="74"/>
      <c r="K7" s="238"/>
      <c r="L7" s="238"/>
      <c r="M7" s="238"/>
      <c r="N7" s="251"/>
      <c r="O7" s="251"/>
      <c r="P7" s="251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0"/>
      <c r="B8" s="250"/>
      <c r="C8" s="250"/>
      <c r="F8" s="70"/>
      <c r="G8" s="74"/>
      <c r="K8" s="238"/>
      <c r="L8" s="238"/>
      <c r="M8" s="238"/>
      <c r="N8" s="251"/>
      <c r="O8" s="251"/>
      <c r="P8" s="251"/>
      <c r="R8" s="70"/>
      <c r="S8" s="74"/>
    </row>
    <row r="9" spans="1:19 16383:16384" x14ac:dyDescent="0.35">
      <c r="A9" s="250"/>
      <c r="B9" s="250"/>
      <c r="C9" s="250"/>
      <c r="F9" s="70"/>
      <c r="G9" s="74"/>
      <c r="K9" s="238"/>
      <c r="L9" s="238"/>
      <c r="M9" s="238"/>
      <c r="N9" s="251"/>
      <c r="O9" s="251"/>
      <c r="P9" s="251"/>
      <c r="R9" s="70"/>
      <c r="S9" s="74"/>
      <c r="XFD9" t="s">
        <v>55</v>
      </c>
    </row>
    <row r="10" spans="1:19 16383:16384" x14ac:dyDescent="0.35">
      <c r="A10" s="236" t="s">
        <v>95</v>
      </c>
      <c r="B10" s="75"/>
      <c r="C10" s="75"/>
      <c r="F10" s="70"/>
      <c r="G10" s="71"/>
      <c r="K10" s="238" t="s">
        <v>56</v>
      </c>
      <c r="L10" s="238"/>
      <c r="M10" s="238"/>
      <c r="N10" s="239" t="s">
        <v>57</v>
      </c>
      <c r="O10" s="239"/>
      <c r="P10" s="239"/>
      <c r="R10" s="70"/>
      <c r="S10" s="71"/>
      <c r="XFD10" t="s">
        <v>58</v>
      </c>
    </row>
    <row r="11" spans="1:19 16383:16384" x14ac:dyDescent="0.35">
      <c r="A11" s="236"/>
      <c r="B11" s="76" t="s">
        <v>50</v>
      </c>
      <c r="C11" s="77" t="str">
        <f>IF($O34&gt;2.49%,"No","Yes")</f>
        <v>No</v>
      </c>
      <c r="F11" s="70"/>
      <c r="G11" s="71"/>
      <c r="K11" s="238" t="s">
        <v>59</v>
      </c>
      <c r="L11" s="238"/>
      <c r="M11" s="238"/>
      <c r="N11" s="239" t="s">
        <v>55</v>
      </c>
      <c r="O11" s="239"/>
      <c r="P11" s="239"/>
      <c r="R11" s="70"/>
      <c r="S11" s="71"/>
    </row>
    <row r="12" spans="1:19 16383:16384" ht="14.65" customHeight="1" x14ac:dyDescent="0.35">
      <c r="A12" s="236" t="s">
        <v>60</v>
      </c>
      <c r="B12" s="76" t="s">
        <v>54</v>
      </c>
      <c r="C12" s="77" t="str">
        <f>IF($O32&gt;21.99%,"No","Yes")</f>
        <v>No</v>
      </c>
      <c r="F12" s="70"/>
      <c r="G12" s="71"/>
      <c r="K12" s="238" t="s">
        <v>61</v>
      </c>
      <c r="L12" s="238"/>
      <c r="M12" s="238"/>
      <c r="N12" s="239"/>
      <c r="O12" s="239"/>
      <c r="P12" s="239"/>
      <c r="R12" s="70"/>
      <c r="S12" s="71"/>
      <c r="XFD12" t="s">
        <v>62</v>
      </c>
    </row>
    <row r="13" spans="1:19 16383:16384" ht="15" thickBot="1" x14ac:dyDescent="0.4">
      <c r="A13" s="237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0" t="s">
        <v>64</v>
      </c>
      <c r="B14" s="241"/>
      <c r="C14" s="244" t="s">
        <v>65</v>
      </c>
      <c r="D14" s="80" t="s">
        <v>2</v>
      </c>
      <c r="E14" s="81" t="s">
        <v>66</v>
      </c>
      <c r="F14" s="82" t="s">
        <v>67</v>
      </c>
      <c r="G14" s="260" t="s">
        <v>68</v>
      </c>
      <c r="H14" s="261"/>
      <c r="I14" s="262" t="s">
        <v>69</v>
      </c>
      <c r="J14" s="260" t="s">
        <v>70</v>
      </c>
      <c r="K14" s="264"/>
      <c r="L14" s="261"/>
      <c r="M14" s="262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2"/>
      <c r="B15" s="243"/>
      <c r="C15" s="245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3"/>
      <c r="J15" s="88" t="s">
        <v>78</v>
      </c>
      <c r="K15" s="90" t="s">
        <v>79</v>
      </c>
      <c r="L15" s="91" t="s">
        <v>80</v>
      </c>
      <c r="M15" s="263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8" t="s">
        <v>84</v>
      </c>
      <c r="B25" s="219"/>
      <c r="C25" s="220"/>
      <c r="D25" s="214"/>
      <c r="E25" s="214"/>
      <c r="F25" s="259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1" t="s">
        <v>85</v>
      </c>
      <c r="C28" s="222"/>
      <c r="D28" s="222"/>
      <c r="E28" s="222"/>
      <c r="F28" s="222"/>
      <c r="G28" s="222"/>
      <c r="H28" s="222"/>
      <c r="I28" s="222"/>
      <c r="J28" s="222"/>
      <c r="K28" s="222"/>
      <c r="L28" s="223"/>
      <c r="N28" s="230" t="s">
        <v>86</v>
      </c>
      <c r="O28" s="231"/>
      <c r="P28" s="152">
        <f>I25</f>
        <v>0</v>
      </c>
    </row>
    <row r="29" spans="1:19 16384:16384" ht="15" customHeight="1" x14ac:dyDescent="0.35">
      <c r="B29" s="224"/>
      <c r="C29" s="225"/>
      <c r="D29" s="225"/>
      <c r="E29" s="225"/>
      <c r="F29" s="225"/>
      <c r="G29" s="225"/>
      <c r="H29" s="225"/>
      <c r="I29" s="225"/>
      <c r="J29" s="225"/>
      <c r="K29" s="225"/>
      <c r="L29" s="226"/>
      <c r="N29" s="232" t="s">
        <v>87</v>
      </c>
      <c r="O29" s="233"/>
      <c r="P29" s="153">
        <f>L25</f>
        <v>0</v>
      </c>
    </row>
    <row r="30" spans="1:19 16384:16384" ht="15" customHeight="1" x14ac:dyDescent="0.35">
      <c r="B30" s="224"/>
      <c r="C30" s="225"/>
      <c r="D30" s="225"/>
      <c r="E30" s="225"/>
      <c r="F30" s="225"/>
      <c r="G30" s="225"/>
      <c r="H30" s="225"/>
      <c r="I30" s="225"/>
      <c r="J30" s="225"/>
      <c r="K30" s="225"/>
      <c r="L30" s="226"/>
      <c r="N30" s="232" t="s">
        <v>4</v>
      </c>
      <c r="O30" s="233"/>
      <c r="P30" s="154">
        <f>K25</f>
        <v>0</v>
      </c>
    </row>
    <row r="31" spans="1:19 16384:16384" ht="15" customHeight="1" x14ac:dyDescent="0.35">
      <c r="B31" s="224"/>
      <c r="C31" s="225"/>
      <c r="D31" s="225"/>
      <c r="E31" s="225"/>
      <c r="F31" s="225"/>
      <c r="G31" s="225"/>
      <c r="H31" s="225"/>
      <c r="I31" s="225"/>
      <c r="J31" s="225"/>
      <c r="K31" s="225"/>
      <c r="L31" s="226"/>
      <c r="M31" s="2"/>
      <c r="N31" s="232" t="s">
        <v>88</v>
      </c>
      <c r="O31" s="233"/>
      <c r="P31" s="153">
        <f>P28-P29-P30</f>
        <v>0</v>
      </c>
    </row>
    <row r="32" spans="1:19 16384:16384" ht="15" customHeight="1" x14ac:dyDescent="0.35">
      <c r="B32" s="224"/>
      <c r="C32" s="225"/>
      <c r="D32" s="225"/>
      <c r="E32" s="225"/>
      <c r="F32" s="225"/>
      <c r="G32" s="225"/>
      <c r="H32" s="225"/>
      <c r="I32" s="225"/>
      <c r="J32" s="225"/>
      <c r="K32" s="225"/>
      <c r="L32" s="226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24"/>
      <c r="C33" s="225"/>
      <c r="D33" s="225"/>
      <c r="E33" s="225"/>
      <c r="F33" s="225"/>
      <c r="G33" s="225"/>
      <c r="H33" s="225"/>
      <c r="I33" s="225"/>
      <c r="J33" s="225"/>
      <c r="K33" s="225"/>
      <c r="L33" s="226"/>
      <c r="M33" s="2"/>
      <c r="N33" s="234" t="s">
        <v>90</v>
      </c>
      <c r="O33" s="235"/>
      <c r="P33" s="153">
        <f>P31+P32</f>
        <v>0</v>
      </c>
    </row>
    <row r="34" spans="2:16" ht="15" customHeight="1" thickBot="1" x14ac:dyDescent="0.4">
      <c r="B34" s="227"/>
      <c r="C34" s="228"/>
      <c r="D34" s="228"/>
      <c r="E34" s="228"/>
      <c r="F34" s="228"/>
      <c r="G34" s="228"/>
      <c r="H34" s="228"/>
      <c r="I34" s="228"/>
      <c r="J34" s="228"/>
      <c r="K34" s="228"/>
      <c r="L34" s="229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2" t="s">
        <v>92</v>
      </c>
      <c r="O35" s="213"/>
      <c r="P35" s="160">
        <f>P33+P34</f>
        <v>0</v>
      </c>
    </row>
    <row r="36" spans="2:16" ht="15" thickBot="1" x14ac:dyDescent="0.4">
      <c r="B36" s="161" t="s">
        <v>93</v>
      </c>
      <c r="C36" s="214"/>
      <c r="D36" s="214"/>
      <c r="E36" s="214"/>
      <c r="F36" s="214"/>
      <c r="G36" s="214"/>
      <c r="H36" s="214"/>
      <c r="I36" s="215"/>
      <c r="J36" s="216"/>
      <c r="K36" s="217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ACB5C711-31FD-48E3-9178-5BE8F15F45E8}">
      <formula1>$XFD$12:$XFD$17</formula1>
    </dataValidation>
    <dataValidation type="list" allowBlank="1" showInputMessage="1" showErrorMessage="1" sqref="B12" xr:uid="{E6F605C4-C56E-46F7-9A89-45D29A897647}">
      <formula1>$XFC$6:$XFC$7</formula1>
    </dataValidation>
    <dataValidation type="list" allowBlank="1" showInputMessage="1" showErrorMessage="1" sqref="B11" xr:uid="{C2016125-1DB9-4AF6-AF3D-2A4621FBDCDF}">
      <formula1>$XFC$3:$XFC$4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BE47BB7-7921-46A0-B016-10E649B9452D}">
          <x14:formula1>
            <xm:f>Sheet2!$B$6:$B$13</xm:f>
          </x14:formula1>
          <xm:sqref>N6:P6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23</vt:i4>
      </vt:variant>
    </vt:vector>
  </HeadingPairs>
  <TitlesOfParts>
    <vt:vector size="23" baseType="lpstr">
      <vt:lpstr>Sheet2</vt:lpstr>
      <vt:lpstr>Cust. Price List</vt:lpstr>
      <vt:lpstr>Format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2026-07-20T05:20:45Z</dcterms:modified>
</cp:coreProperties>
</file>