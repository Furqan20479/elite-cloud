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40BFFF3-9FA4-4612-B194-04DFE1D34E1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6" i="31" l="1"/>
  <c r="L21" i="28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M20" i="31" s="1"/>
  <c r="N20" i="31" s="1"/>
  <c r="O20" i="31" s="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K25" i="31" s="1"/>
  <c r="P30" i="31" s="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M19" i="31" s="1"/>
  <c r="N19" i="31" s="1"/>
  <c r="O19" i="31" s="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K23" i="26"/>
  <c r="L23" i="26"/>
  <c r="L18" i="26"/>
  <c r="K24" i="26"/>
  <c r="T23" i="15"/>
  <c r="T22" i="15"/>
  <c r="T21" i="15"/>
  <c r="T20" i="15"/>
  <c r="T19" i="15"/>
  <c r="T18" i="15"/>
  <c r="T15" i="15"/>
  <c r="T14" i="15"/>
  <c r="L17" i="26" l="1"/>
  <c r="L16" i="26"/>
  <c r="M16" i="26" s="1"/>
  <c r="L25" i="33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O16" i="29"/>
  <c r="P23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29" l="1"/>
  <c r="P32" i="29" s="1"/>
  <c r="P22" i="29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25" i="29" l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B201CD64-0575-48ED-81C4-0025E46F0F4F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<sst xmlns="http://schemas.openxmlformats.org/spreadsheetml/2006/main" count="1635" uniqueCount="145">
  <si>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</si>
  <si>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</si>
  <si>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</si>
  <si>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</si>
  <si>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</si>
  <si>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</si>
  <si>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</si>
  <si>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</si>
  <si>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</si>
  <si>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</si>
  <si>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</si>
  <si>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</si>
  <si>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</si>
  <si>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</si>
  <si>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</si>
  <si>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</si>
  <si>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</si>
  <si>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</si>
  <si>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</si>
  <si>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</si>
  <si>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</si>
  <si>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</si>
  <si>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</si>
  <si>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</si>
  <si>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</si>
  <si>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</si>
  <si>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</si>
  <si>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</si>
  <si>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</si>
  <si>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</si>
  <si>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</si>
  <si>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</si>
  <si>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</si>
  <si>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</si>
  <si>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</si>
  <si>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</si>
  <si>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</si>
  <si>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</si>
  <si>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</si>
  <si>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</si>
  <si>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</si>
  <si>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</si>
  <si>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</si>
  <si>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</si>
  <si>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</si>
  <si>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</si>
  <si>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</si>
  <si>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</si>
  <si>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</si>
  <si>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</si>
  <si>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</si>
  <si>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</si>
  <si>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</si>
  <si>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</si>
  <si>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</si>
  <si>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</si>
  <si>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</si>
  <si>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</si>
  <si>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</si>
  <si>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</si>
  <si>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</si>
  <si>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</si>
  <si>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</si>
  <si>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</si>
  <si>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</si>
  <si>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</si>
  <si>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</si>
  <si>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</si>
  <si>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</si>
  <si>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</si>
  <si>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</si>
  <si>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</si>
  <si>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</si>
  <si>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</si>
  <si>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</si>
  <si>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</si>
  <si>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</si>
  <si>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</si>
  <si>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</si>
  <si>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</si>
  <si>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</si>
  <si>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</si>
  <si>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</si>
  <si>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</si>
  <si>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</si>
  <si>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</si>
  <si>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</si>
  <si>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</si>
  <si>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</si>
  <si>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</si>
  <si>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</si>
  <si>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</si>
  <si>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</si>
  <si>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</si>
  <si>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</si>
  <si>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</si>
  <si>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</si>
  <si>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</si>
  <si>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</si>
  <si>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</si>
  <si>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</si>
  <si>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</si>
  <si>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</si>
  <si>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</si>
  <si>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</si>
  <si>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</si>
  <si>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</si>
  <si>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</si>
  <si>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</si>
  <si>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</si>
  <si>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</si>
  <si>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</si>
  <si>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</si>
  <si>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</si>
  <si>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</si>
  <si>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</si>
  <si>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</si>
  <si>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</si>
  <si>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</si>
  <si>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</si>
  <si>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</si>
  <si>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</si>
  <si>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Euro Store</t>
  </si>
  <si>
    <t>Address: Bedian Road</t>
  </si>
  <si>
    <t>6616156-4</t>
  </si>
  <si>
    <t xml:space="preserve">Customer Name : Fakhar Groccery </t>
  </si>
  <si>
    <t xml:space="preserve">Customer Name : Mian Bakers </t>
  </si>
  <si>
    <t>Customer Name : Malik Store</t>
  </si>
  <si>
    <t>Customer Name : Saleem Store</t>
  </si>
  <si>
    <t xml:space="preserve">Customer Name : Khlil Bakers </t>
  </si>
  <si>
    <t>Address: Beidan Raod</t>
  </si>
  <si>
    <t>Customer Name : Jaan Store</t>
  </si>
  <si>
    <t>Customer Name : Yaseen Store</t>
  </si>
  <si>
    <t>Customer Name : 786 Store</t>
  </si>
  <si>
    <t>Customer Name : Nadeem Store</t>
  </si>
  <si>
    <t xml:space="preserve">Customer Name : Bin Sohan </t>
  </si>
  <si>
    <t>G777939-6</t>
  </si>
  <si>
    <t xml:space="preserve">Customer Name : Irfan Bakers </t>
  </si>
  <si>
    <t xml:space="preserve">Customer Name : Rahat Bakers </t>
  </si>
  <si>
    <t>Customer Name : Ishfaq Store</t>
  </si>
  <si>
    <t xml:space="preserve">Customer Name : Iqbal Mart </t>
  </si>
  <si>
    <t>Address: Badian Road</t>
  </si>
  <si>
    <t>Customer Name : Hikma Store</t>
  </si>
  <si>
    <t>Address: CC Block Askari 11</t>
  </si>
  <si>
    <t>2302644-8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</si>
</sst>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  <font>
      <b/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" zoomScale="70" zoomScaleNormal="70" workbookViewId="0">
      <selection activeCell="S6" sqref="S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Store</v>
      </c>
      <c r="U14" s="164">
        <f>+'1'!P35</f>
        <v>3215.6598758400005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Fakhar Groccery </v>
      </c>
      <c r="U15" s="164">
        <f>+'2'!P35</f>
        <v>457.42345055999999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66</v>
      </c>
      <c r="I16" s="1">
        <f>(G16*D16)*F16+H16*F16</f>
        <v>3462.5250000000001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11.017125</v>
      </c>
      <c r="L16" s="174">
        <f>+'1'!L16+'2'!L16+'4'!L16+'3'!L16+'5'!L16+'6'!L16+'7'!L16+'8'!L16+'9'!L16+'10'!L16</f>
        <v>25.181999999999999</v>
      </c>
      <c r="M16" s="106">
        <f>I16-K16-L16</f>
        <v>3426.3258750000005</v>
      </c>
      <c r="N16" s="101">
        <f>+'1'!N16+'2'!N16+'4'!N16+'3'!N16+'5'!N16+'6'!N16+'7'!N16+'8'!N16+'9'!N16+'10'!N16</f>
        <v>50.143657499999989</v>
      </c>
      <c r="O16" s="101">
        <f>+'1'!O16+'2'!O16+'4'!O16+'3'!O16+'5'!O16+'6'!O16+'7'!O16+'8'!O16+'9'!O16+'10'!O16</f>
        <v>1.6435976624999995</v>
      </c>
      <c r="P16" s="105">
        <f t="shared" ref="P16:P24" si="0">M16+N16+O16</f>
        <v>3478.1131301625001</v>
      </c>
      <c r="Q16" s="108"/>
      <c r="T16" s="163" t="str">
        <f>+'3'!A5</f>
        <v xml:space="preserve">Customer Name : Mian Bakers </v>
      </c>
      <c r="U16" s="164">
        <f>+'3'!P35</f>
        <v>660.72626032499977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66</v>
      </c>
      <c r="I17" s="1">
        <f t="shared" ref="I17:I23" si="1">(G17*D17)*F17+H17*F17</f>
        <v>3462.5250000000001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11.017125</v>
      </c>
      <c r="L17" s="174">
        <f>+'1'!L17+'2'!L17+'4'!L17+'3'!L17+'5'!L17+'6'!L17+'7'!L17+'8'!L17+'9'!L17+'10'!L17</f>
        <v>25.181999999999999</v>
      </c>
      <c r="M17" s="118">
        <f t="shared" ref="M17:M23" si="2">I17-K17-L17</f>
        <v>3426.3258750000005</v>
      </c>
      <c r="N17" s="101">
        <f>+'1'!N17+'2'!N17+'4'!N17+'3'!N17+'5'!N17+'6'!N17+'7'!N17+'8'!N17+'9'!N17+'10'!N17</f>
        <v>50.143657499999989</v>
      </c>
      <c r="O17" s="101">
        <f>+'1'!O17+'2'!O17+'4'!O17+'3'!O17+'5'!O17+'6'!O17+'7'!O17+'8'!O17+'9'!O17+'10'!O17</f>
        <v>1.6435976624999995</v>
      </c>
      <c r="P17" s="120">
        <f t="shared" si="0"/>
        <v>3478.1131301625001</v>
      </c>
      <c r="S17" s="64"/>
      <c r="T17" s="163" t="str">
        <f>+'4'!A5</f>
        <v>Customer Name : Malik Store</v>
      </c>
      <c r="U17" s="164">
        <f>+'4'!P35</f>
        <v>482.34898137600004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Saleem Store</v>
      </c>
      <c r="U18" s="164">
        <f>+'5'!P35</f>
        <v>457.42345055999999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126</v>
      </c>
      <c r="I19" s="1">
        <f t="shared" si="1"/>
        <v>9152.64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15.254400000000002</v>
      </c>
      <c r="L19" s="174">
        <f>+'1'!L19+'2'!L19+'4'!L19+'3'!L19+'5'!L19+'6'!L19+'7'!L19+'8'!L19+'9'!L19+'10'!L19</f>
        <v>34.867200000000004</v>
      </c>
      <c r="M19" s="118">
        <f t="shared" si="2"/>
        <v>9102.518399999999</v>
      </c>
      <c r="N19" s="101">
        <f>+'1'!N19+'2'!N19+'4'!N19+'3'!N19+'5'!N19+'6'!N19+'7'!N19+'8'!N19+'9'!N19+'10'!N19</f>
        <v>69.429311999999996</v>
      </c>
      <c r="O19" s="101">
        <f>+'1'!O19+'2'!O19+'4'!O19+'3'!O19+'5'!O19+'6'!O19+'7'!O19+'8'!O19+'9'!O19+'10'!O19</f>
        <v>2.2757385600000002</v>
      </c>
      <c r="P19" s="120">
        <f t="shared" si="0"/>
        <v>9174.223450559999</v>
      </c>
      <c r="T19" s="163" t="str">
        <f>+'6'!A5</f>
        <v xml:space="preserve">Customer Name : Khlil Bakers </v>
      </c>
      <c r="U19" s="164">
        <f>+'6'!P35</f>
        <v>457.42345055999999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126</v>
      </c>
      <c r="I20" s="1">
        <f t="shared" si="1"/>
        <v>9152.64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15.254400000000002</v>
      </c>
      <c r="L20" s="174">
        <f>+'1'!L20+'2'!L20+'4'!L20+'3'!L20+'5'!L20+'6'!L20+'7'!L20+'8'!L20+'9'!L20+'10'!L20</f>
        <v>34.867200000000004</v>
      </c>
      <c r="M20" s="118">
        <f t="shared" si="2"/>
        <v>9102.518399999999</v>
      </c>
      <c r="N20" s="101">
        <f>+'1'!N20+'2'!N20+'4'!N20+'3'!N20+'5'!N20+'6'!N20+'7'!N20+'8'!N20+'9'!N20+'10'!N20</f>
        <v>69.429311999999996</v>
      </c>
      <c r="O20" s="101">
        <f>+'1'!O20+'2'!O20+'4'!O20+'3'!O20+'5'!O20+'6'!O20+'7'!O20+'8'!O20+'9'!O20+'10'!O20</f>
        <v>2.2757385600000002</v>
      </c>
      <c r="P20" s="120">
        <f t="shared" si="0"/>
        <v>9174.223450559999</v>
      </c>
      <c r="T20" s="163" t="str">
        <f>+'7'!A5</f>
        <v>Customer Name : Jaan Store</v>
      </c>
      <c r="U20" s="164">
        <f>+'7'!P35</f>
        <v>457.42345055999999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212</v>
      </c>
      <c r="I21" s="1">
        <f t="shared" si="1"/>
        <v>15399.68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30.508800000000004</v>
      </c>
      <c r="L21" s="174">
        <f>+'1'!L21+'2'!L21+'4'!L21+'3'!L21+'5'!L21+'6'!L21+'7'!L21+'8'!L21+'9'!L21+'10'!L21</f>
        <v>69.734400000000008</v>
      </c>
      <c r="M21" s="118">
        <f t="shared" si="2"/>
        <v>15299.436800000001</v>
      </c>
      <c r="N21" s="101">
        <f>+'1'!N21+'2'!N21+'4'!N21+'3'!N21+'5'!N21+'6'!N21+'7'!N21+'8'!N21+'9'!N21+'10'!N21</f>
        <v>138.85862399999999</v>
      </c>
      <c r="O21" s="101">
        <f>+'1'!O21+'2'!O21+'4'!O21+'3'!O21+'5'!O21+'6'!O21+'7'!O21+'8'!O21+'9'!O21+'10'!O21</f>
        <v>4.5514771200000004</v>
      </c>
      <c r="P21" s="120">
        <f t="shared" si="0"/>
        <v>15442.846901120001</v>
      </c>
      <c r="T21" s="163" t="str">
        <f>+'8'!A5</f>
        <v>Customer Name : Yaseen Store</v>
      </c>
      <c r="U21" s="164">
        <f>+'8'!P35</f>
        <v>401.95748448000006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202</v>
      </c>
      <c r="I22" s="1">
        <f t="shared" si="1"/>
        <v>7924.4600000000009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411.60115999999999</v>
      </c>
      <c r="L22" s="174">
        <f>+'1'!L22+'2'!L22+'4'!L22+'3'!L22+'5'!L22+'6'!L22+'7'!L22+'8'!L22+'9'!L22+'10'!L22</f>
        <v>239.30300000000008</v>
      </c>
      <c r="M22" s="118">
        <f t="shared" si="2"/>
        <v>7273.5558400000009</v>
      </c>
      <c r="N22" s="101">
        <f>+'1'!N22+'2'!N22+'4'!N22+'3'!N22+'5'!N22+'6'!N22+'7'!N22+'8'!N22+'9'!N22+'10'!N22</f>
        <v>744.3280512</v>
      </c>
      <c r="O22" s="101">
        <f>+'1'!O22+'2'!O22+'4'!O22+'3'!O22+'5'!O22+'6'!O22+'7'!O22+'8'!O22+'9'!O22+'10'!O22</f>
        <v>24.397419456000002</v>
      </c>
      <c r="P22" s="120">
        <f t="shared" si="0"/>
        <v>8042.2813106560006</v>
      </c>
      <c r="T22" s="163" t="str">
        <f>+'9'!A5</f>
        <v>Customer Name : 786 Store</v>
      </c>
      <c r="U22" s="164">
        <f>+'9'!P35</f>
        <v>401.95748448000006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Nadeem Store</v>
      </c>
      <c r="U23" s="164">
        <f>+'10'!P35</f>
        <v>401.95748448000006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Bin Sohan </v>
      </c>
      <c r="U24" s="164">
        <f>+'11'!P35</f>
        <v>28800.7590987</v>
      </c>
    </row>
    <row r="25" spans="1:21 16384:16384" ht="26.5" thickBot="1" x14ac:dyDescent="0.65">
      <c r="A25" s="218" t="s">
        <v>84</v>
      </c>
      <c r="B25" s="219"/>
      <c r="C25" s="220">
        <f>H25/40</f>
        <v>19.95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798</v>
      </c>
      <c r="I25" s="177">
        <f t="shared" si="3"/>
        <v>48554.469999999994</v>
      </c>
      <c r="J25" s="176">
        <f t="shared" si="3"/>
        <v>0</v>
      </c>
      <c r="K25" s="177">
        <f t="shared" si="3"/>
        <v>494.65300999999999</v>
      </c>
      <c r="L25" s="178">
        <f t="shared" si="3"/>
        <v>429.13580000000013</v>
      </c>
      <c r="M25" s="141">
        <f t="shared" si="3"/>
        <v>47630.681190000003</v>
      </c>
      <c r="N25" s="142">
        <f>SUM(N16:N24)</f>
        <v>1122.3326142000001</v>
      </c>
      <c r="O25" s="143">
        <f>SUM(O16:O24)</f>
        <v>36.787569021000003</v>
      </c>
      <c r="P25" s="144">
        <f>SUM(P16:P24)</f>
        <v>48789.801373220995</v>
      </c>
      <c r="T25" s="163" t="str">
        <f>+'12'!A5</f>
        <v xml:space="preserve">Customer Name : Irfan Bakers </v>
      </c>
      <c r="U25" s="164">
        <f>+'12'!P35</f>
        <v>401.95748448000006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Rahat Bakers </v>
      </c>
      <c r="U26" s="164">
        <f>+'13'!P35</f>
        <v>401.95748448000006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Ishfaq Store</v>
      </c>
      <c r="U27" s="164">
        <f>+'14'!P35</f>
        <v>401.95748448000006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Iqbal Mart </v>
      </c>
      <c r="U28" s="180">
        <f>+'15'!P35</f>
        <v>401.95748448000006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Hikma Store</v>
      </c>
      <c r="U29" s="180">
        <f>+'16'!P35</f>
        <v>12958.719816870003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50761.610226711011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48554.469999999994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429.13580000000013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494.65300999999999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47630.681189999988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1122.3326142000001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48753.013804199989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1218.8253451049998</v>
      </c>
    </row>
    <row r="43" spans="1:21" ht="15.75" customHeight="1" thickBot="1" x14ac:dyDescent="0.4">
      <c r="N43" s="212" t="s">
        <v>92</v>
      </c>
      <c r="O43" s="213"/>
      <c r="P43" s="160">
        <f>P41+P42</f>
        <v>49971.839149304986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A26" sqref="A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3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6"/>
        <v>2711.5776000000005</v>
      </c>
      <c r="N22" s="118">
        <f t="shared" si="0"/>
        <v>488.08396800000008</v>
      </c>
      <c r="O22" s="119">
        <f t="shared" si="1"/>
        <v>15.998307840000002</v>
      </c>
      <c r="P22" s="120">
        <f t="shared" si="2"/>
        <v>3215.6598758400005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3138.4000000000005</v>
      </c>
      <c r="J25" s="138"/>
      <c r="K25" s="139">
        <f t="shared" si="13"/>
        <v>269.9024</v>
      </c>
      <c r="L25" s="140">
        <f t="shared" si="13"/>
        <v>156.92000000000004</v>
      </c>
      <c r="M25" s="141">
        <f t="shared" si="13"/>
        <v>2711.5776000000005</v>
      </c>
      <c r="N25" s="142">
        <f>SUM(N16:N24)</f>
        <v>488.08396800000008</v>
      </c>
      <c r="O25" s="143">
        <f>SUM(O16:O24)</f>
        <v>15.998307840000002</v>
      </c>
      <c r="P25" s="144">
        <f>SUM(P16:P24)</f>
        <v>3215.6598758400005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3138.4000000000005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156.92000000000004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269.9024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2711.5776000000005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488.08396800000008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3199.6615680000004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15.998307840000002</v>
      </c>
    </row>
    <row r="35" spans="2:16" ht="15.75" customHeight="1" thickBot="1" x14ac:dyDescent="0.4">
      <c r="N35" s="212" t="s">
        <v>92</v>
      </c>
      <c r="O35" s="213"/>
      <c r="P35" s="160">
        <f>P33+P34</f>
        <v>3215.6598758400005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23" sqref="A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1209867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578657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50.143657499999989</v>
      </c>
      <c r="O16" s="107">
        <f>(N16+M16)*$O$15</f>
        <v>1.6435976624999995</v>
      </c>
      <c r="P16" s="105">
        <f t="shared" ref="P16:P24" si="1">M16+N16+O16</f>
        <v>330.36313016249989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50.143657499999989</v>
      </c>
      <c r="O17" s="119">
        <f t="shared" ref="O17:O24" si="6">(N17+M17)*$O$15</f>
        <v>1.6435976624999995</v>
      </c>
      <c r="P17" s="120">
        <f t="shared" si="1"/>
        <v>330.36313016249989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629.54999999999995</v>
      </c>
      <c r="J25" s="138"/>
      <c r="K25" s="139">
        <f t="shared" si="9"/>
        <v>22.03425</v>
      </c>
      <c r="L25" s="140">
        <f t="shared" si="9"/>
        <v>50.363999999999997</v>
      </c>
      <c r="M25" s="141">
        <f t="shared" si="9"/>
        <v>557.15174999999988</v>
      </c>
      <c r="N25" s="142">
        <f>SUM(N16:N24)</f>
        <v>100.28731499999998</v>
      </c>
      <c r="O25" s="143">
        <f>SUM(O16:O24)</f>
        <v>3.287195324999999</v>
      </c>
      <c r="P25" s="144">
        <f>SUM(P16:P24)</f>
        <v>660.72626032499977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629.54999999999995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50.363999999999997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22.03425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557.15174999999988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100.28731499999998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657.4390649999998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3.287195324999999</v>
      </c>
    </row>
    <row r="35" spans="2:16" ht="15.75" customHeight="1" thickBot="1" x14ac:dyDescent="0.4">
      <c r="N35" s="212" t="s">
        <v>92</v>
      </c>
      <c r="O35" s="213"/>
      <c r="P35" s="160">
        <f>P33+P34</f>
        <v>660.72626032499977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976588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2.3997461760000003</v>
      </c>
      <c r="P22" s="120">
        <f t="shared" si="1"/>
        <v>482.34898137600004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2.3997461760000003</v>
      </c>
      <c r="P25" s="144">
        <f>SUM(P16:P24)</f>
        <v>482.34898137600004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2.3997461760000003</v>
      </c>
    </row>
    <row r="35" spans="2:16" ht="15.75" customHeight="1" thickBot="1" x14ac:dyDescent="0.4">
      <c r="N35" s="212" t="s">
        <v>92</v>
      </c>
      <c r="O35" s="213"/>
      <c r="P35" s="160">
        <f>P33+P34</f>
        <v>482.34898137600004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865458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886558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875558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564567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443378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04">
        <f t="shared" si="3"/>
        <v>203.39200000000002</v>
      </c>
      <c r="L20" s="105">
        <f t="shared" si="4"/>
        <v>464.89600000000002</v>
      </c>
      <c r="M20" s="118">
        <f t="shared" si="5"/>
        <v>5142.9120000000003</v>
      </c>
      <c r="N20" s="118">
        <f t="shared" si="0"/>
        <v>925.72415999999998</v>
      </c>
      <c r="O20" s="119">
        <f t="shared" si="6"/>
        <v>30.343180799999999</v>
      </c>
      <c r="P20" s="120">
        <f t="shared" si="1"/>
        <v>6098.9793407999996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/>
      <c r="K21" s="104">
        <f t="shared" si="3"/>
        <v>406.78400000000005</v>
      </c>
      <c r="L21" s="105">
        <f t="shared" si="4"/>
        <v>929.79200000000003</v>
      </c>
      <c r="M21" s="118">
        <f t="shared" si="5"/>
        <v>10285.824000000001</v>
      </c>
      <c r="N21" s="118">
        <f t="shared" si="0"/>
        <v>1851.44832</v>
      </c>
      <c r="O21" s="119">
        <f t="shared" si="6"/>
        <v>60.686361599999998</v>
      </c>
      <c r="P21" s="120">
        <f t="shared" si="1"/>
        <v>12197.958681599999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400</v>
      </c>
      <c r="I25" s="137">
        <f t="shared" si="9"/>
        <v>27441.800000000003</v>
      </c>
      <c r="J25" s="138"/>
      <c r="K25" s="139">
        <f t="shared" si="9"/>
        <v>960.46300000000019</v>
      </c>
      <c r="L25" s="140">
        <f t="shared" si="9"/>
        <v>2195.3440000000001</v>
      </c>
      <c r="M25" s="141">
        <f t="shared" si="9"/>
        <v>24285.993000000002</v>
      </c>
      <c r="N25" s="142">
        <f>SUM(N16:N24)</f>
        <v>4371.4787400000005</v>
      </c>
      <c r="O25" s="143">
        <f>SUM(O16:O24)</f>
        <v>143.2873587</v>
      </c>
      <c r="P25" s="144">
        <f>SUM(P16:P24)</f>
        <v>28800.7590987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27441.800000000003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2195.3440000000001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960.46300000000019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24285.993000000002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4371.4787400000005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28657.471740000001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143.2873587</v>
      </c>
    </row>
    <row r="35" spans="2:16" ht="15.75" customHeight="1" thickBot="1" x14ac:dyDescent="0.4">
      <c r="N35" s="212" t="s">
        <v>92</v>
      </c>
      <c r="O35" s="213"/>
      <c r="P35" s="160">
        <f>P33+P34</f>
        <v>28800.7590987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87558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764448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986667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141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885685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143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144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200</v>
      </c>
      <c r="I25" s="137">
        <f t="shared" si="9"/>
        <v>12384.500000000002</v>
      </c>
      <c r="J25" s="138"/>
      <c r="K25" s="139">
        <f t="shared" si="9"/>
        <v>513.48670000000004</v>
      </c>
      <c r="L25" s="140">
        <f t="shared" si="9"/>
        <v>943.68399999999997</v>
      </c>
      <c r="M25" s="141">
        <f t="shared" si="9"/>
        <v>10927.329300000001</v>
      </c>
      <c r="N25" s="142">
        <f>SUM(N16:N24)</f>
        <v>1966.9192739999999</v>
      </c>
      <c r="O25" s="143">
        <f>SUM(O16:O24)</f>
        <v>64.471242869999998</v>
      </c>
      <c r="P25" s="144">
        <f>SUM(P16:P24)</f>
        <v>12958.71981687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12384.500000000002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943.68399999999997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513.48670000000004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10927.329300000003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1966.9192739999999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12894.248574000003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64.471242870000012</v>
      </c>
    </row>
    <row r="35" spans="2:16" ht="15.75" customHeight="1" thickBot="1" x14ac:dyDescent="0.4">
      <c r="N35" s="212" t="s">
        <v>92</v>
      </c>
      <c r="O35" s="213"/>
      <c r="P35" s="160">
        <f>P33+P34</f>
        <v>12958.719816870003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2026-07-22T06:56:26Z</dcterms:modified>
</cp:coreProperties>
</file>