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6F1DD72-BAC1-4190-8B5C-C517C6329AC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1" l="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7" i="22"/>
  <c r="K18" i="22"/>
  <c r="K19" i="22"/>
  <c r="K20" i="22"/>
  <c r="K17" i="23"/>
  <c r="K18" i="23"/>
  <c r="K19" i="23"/>
  <c r="K20" i="23"/>
  <c r="K17" i="24"/>
  <c r="K18" i="24"/>
  <c r="K19" i="24"/>
  <c r="K20" i="24"/>
  <c r="K17" i="25"/>
  <c r="K18" i="25"/>
  <c r="K19" i="25"/>
  <c r="K20" i="25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17" i="26" l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21" i="24"/>
  <c r="K21" i="24"/>
  <c r="K22" i="20"/>
  <c r="L22" i="20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<sst xmlns="http://schemas.openxmlformats.org/spreadsheetml/2006/main" count="1638" uniqueCount="141">
  <si>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</si>
  <si>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</si>
  <si>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</si>
  <si>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</si>
  <si>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</si>
  <si>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</si>
  <si>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</si>
  <si>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</si>
  <si>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</si>
  <si>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</si>
  <si>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</si>
  <si>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</si>
  <si>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</si>
  <si>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</si>
  <si>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</si>
  <si>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</si>
  <si>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</si>
  <si>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</si>
  <si>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</si>
  <si>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</si>
  <si>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</si>
  <si>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</si>
  <si>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</si>
  <si>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</si>
  <si>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</si>
  <si>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</si>
  <si>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</si>
  <si>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</si>
  <si>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</si>
  <si>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</si>
  <si>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</si>
  <si>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</si>
  <si>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</si>
  <si>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</si>
  <si>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</si>
  <si>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</si>
  <si>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</si>
  <si>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</si>
  <si>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</si>
  <si>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</si>
  <si>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</si>
  <si>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</si>
  <si>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</si>
  <si>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</si>
  <si>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</si>
  <si>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</si>
  <si>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</si>
  <si>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</si>
  <si>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</si>
  <si>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</si>
  <si>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</si>
  <si>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</si>
  <si>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</si>
  <si>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</si>
  <si>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</si>
  <si>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</si>
  <si>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</si>
  <si>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</si>
  <si>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</si>
  <si>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</si>
  <si>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</si>
  <si>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</si>
  <si>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</si>
  <si>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</si>
  <si>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</si>
  <si>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</si>
  <si>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</si>
  <si>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</si>
  <si>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</si>
  <si>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</si>
  <si>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</si>
  <si>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</si>
  <si>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</si>
  <si>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</si>
  <si>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</si>
  <si>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</si>
  <si>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</si>
  <si>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</si>
  <si>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</si>
  <si>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</si>
  <si>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</si>
  <si>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</si>
  <si>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</si>
  <si>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</si>
  <si>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</si>
  <si>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</si>
  <si>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</si>
  <si>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</si>
  <si>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</si>
  <si>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</si>
  <si>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</si>
  <si>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</si>
  <si>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</si>
  <si>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</si>
  <si>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</si>
  <si>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</si>
  <si>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</si>
  <si>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</si>
  <si>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</si>
  <si>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</si>
  <si>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</si>
  <si>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</si>
  <si>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</si>
  <si>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</si>
  <si>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</si>
  <si>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</si>
  <si>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</si>
  <si>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</si>
  <si>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</si>
  <si>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</si>
  <si>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</si>
  <si>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</si>
  <si>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</si>
  <si>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</si>
  <si>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</si>
  <si>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</si>
  <si>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</si>
  <si>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</si>
  <si>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</si>
  <si>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</si>
  <si>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</si>
  <si>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 )</t>
  </si>
  <si>
    <t xml:space="preserve">Customer Name : Sherry Mart </t>
  </si>
  <si>
    <t xml:space="preserve">Address: Ali Park </t>
  </si>
  <si>
    <t>Customer Name : Bilal Store</t>
  </si>
  <si>
    <t>0725094-7</t>
  </si>
  <si>
    <t>Customer Name : Mian Bakers</t>
  </si>
  <si>
    <t>154795-4</t>
  </si>
  <si>
    <t xml:space="preserve">Customer Name : HR Mart </t>
  </si>
  <si>
    <t xml:space="preserve">Address: Ali Prk </t>
  </si>
  <si>
    <t>Customer Name : Fakhar Groccery Store</t>
  </si>
  <si>
    <t>Customer Name : Euro Store</t>
  </si>
  <si>
    <t>6616156-4</t>
  </si>
  <si>
    <t>Customer Name : Khan Store</t>
  </si>
  <si>
    <t>Customer Name : Iman Store</t>
  </si>
  <si>
    <t>E048263-5</t>
  </si>
  <si>
    <t xml:space="preserve">Customer Name : Bin Hadi </t>
  </si>
  <si>
    <t>F261176-5</t>
  </si>
  <si>
    <t>Customer Name : Moon Store</t>
  </si>
  <si>
    <t>333456-5</t>
  </si>
  <si>
    <t>Customer Name : Malik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</si>
</sst>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T14" sqref="T14:T2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T14" sqref="T14:T24"/>
      <selection pane="topRight" activeCell="T14" sqref="T14:T24"/>
      <selection pane="bottomLeft" activeCell="T14" sqref="T14:T24"/>
      <selection pane="bottomRight" activeCell="T14" sqref="T14:T2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S34" sqref="S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Sherry Mart </v>
      </c>
      <c r="U14" s="164">
        <f>+'1'!P35</f>
        <v>3215.605728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416.06416095000009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1049.25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1049.25</v>
      </c>
      <c r="Q16" s="108"/>
      <c r="T16" s="163" t="str">
        <f>+'3'!A5</f>
        <v>Customer Name : Mian Bakers</v>
      </c>
      <c r="U16" s="164">
        <f>+'3'!P35</f>
        <v>416.06416095000009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1049.25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1049.25</v>
      </c>
      <c r="S17" s="64"/>
      <c r="T17" s="163" t="str">
        <f>+'4'!A5</f>
        <v xml:space="preserve">Customer Name : HR Mart </v>
      </c>
      <c r="U17" s="164">
        <f>+'4'!P35</f>
        <v>424.34404475000008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Fakhar Groccery Store</v>
      </c>
      <c r="U18" s="164">
        <f>+'5'!P35</f>
        <v>424.34404475000008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95</v>
      </c>
      <c r="I19" s="1">
        <f t="shared" si="1"/>
        <v>6900.8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241.52800000000002</v>
      </c>
      <c r="L19" s="175">
        <f>+'1'!L19+'2'!L19+'4'!L19+'3'!L19+'5'!L19+'6'!L19+'7'!L19+'8'!L19+'9'!L19+'10'!L19</f>
        <v>552.06399999999996</v>
      </c>
      <c r="M19" s="118">
        <f t="shared" si="2"/>
        <v>6107.2079999999996</v>
      </c>
      <c r="N19" s="101">
        <f>+'1'!N19+'2'!N19+'4'!N19+'3'!N19+'5'!N19+'6'!N19+'7'!N19+'8'!N19+'9'!N19+'10'!N19</f>
        <v>1137.8692799999999</v>
      </c>
      <c r="O19" s="101">
        <f>+'1'!O19+'2'!O19+'4'!O19+'3'!O19+'5'!O19+'6'!O19+'7'!O19+'8'!O19+'9'!O19+'10'!O19</f>
        <v>59.754208800000001</v>
      </c>
      <c r="P19" s="120">
        <f t="shared" si="0"/>
        <v>7304.8314887999995</v>
      </c>
      <c r="T19" s="163" t="str">
        <f>+'6'!A5</f>
        <v>Customer Name : Euro Store</v>
      </c>
      <c r="U19" s="164">
        <f>+'6'!P35</f>
        <v>12197.958681599999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127.12000000000002</v>
      </c>
      <c r="L20" s="175">
        <f>+'1'!L20+'2'!L20+'4'!L20+'3'!L20+'5'!L20+'6'!L20+'7'!L20+'8'!L20+'9'!L20+'10'!L20</f>
        <v>290.56</v>
      </c>
      <c r="M20" s="118">
        <f t="shared" si="2"/>
        <v>3214.32</v>
      </c>
      <c r="N20" s="101">
        <f>+'1'!N20+'2'!N20+'4'!N20+'3'!N20+'5'!N20+'6'!N20+'7'!N20+'8'!N20+'9'!N20+'10'!N20</f>
        <v>604.29215999999997</v>
      </c>
      <c r="O20" s="101">
        <f>+'1'!O20+'2'!O20+'4'!O20+'3'!O20+'5'!O20+'6'!O20+'7'!O20+'8'!O20+'9'!O20+'10'!O20</f>
        <v>34.778942400000005</v>
      </c>
      <c r="P20" s="120">
        <f t="shared" si="0"/>
        <v>3853.3911023999999</v>
      </c>
      <c r="T20" s="163" t="str">
        <f>+'7'!A5</f>
        <v>Customer Name : Khan Store</v>
      </c>
      <c r="U20" s="164">
        <f>+'7'!P35</f>
        <v>788.21555039999998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95</v>
      </c>
      <c r="I21" s="1">
        <f t="shared" si="1"/>
        <v>6900.8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241.52800000000005</v>
      </c>
      <c r="L21" s="175">
        <f>+'1'!L21+'2'!L21+'4'!L21+'3'!L21+'5'!L21+'6'!L21+'7'!L21+'8'!L21+'9'!L21+'10'!L21</f>
        <v>552.06400000000008</v>
      </c>
      <c r="M21" s="118">
        <f t="shared" si="2"/>
        <v>6107.2079999999996</v>
      </c>
      <c r="N21" s="101">
        <f>+'1'!N21+'2'!N21+'4'!N21+'3'!N21+'5'!N21+'6'!N21+'7'!N21+'8'!N21+'9'!N21+'10'!N21</f>
        <v>1240.7275200000001</v>
      </c>
      <c r="O21" s="101">
        <f>+'1'!O21+'2'!O21+'4'!O21+'3'!O21+'5'!O21+'6'!O21+'7'!O21+'8'!O21+'9'!O21+'10'!O21</f>
        <v>60.268499999999989</v>
      </c>
      <c r="P21" s="120">
        <f t="shared" si="0"/>
        <v>7408.2040200000001</v>
      </c>
      <c r="T21" s="163" t="str">
        <f>+'8'!A5</f>
        <v>Customer Name : Iman Store</v>
      </c>
      <c r="U21" s="164">
        <f>+'8'!P35</f>
        <v>788.21555039999998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156.92000000000004</v>
      </c>
      <c r="M22" s="118">
        <f t="shared" si="2"/>
        <v>1357.3580000000002</v>
      </c>
      <c r="N22" s="101">
        <f>+'1'!N22+'2'!N22+'4'!N22+'3'!N22+'5'!N22+'6'!N22+'7'!N22+'8'!N22+'9'!N22+'10'!N22</f>
        <v>298.61876000000007</v>
      </c>
      <c r="O22" s="101">
        <f>+'1'!O22+'2'!O22+'4'!O22+'3'!O22+'5'!O22+'6'!O22+'7'!O22+'8'!O22+'9'!O22+'10'!O22</f>
        <v>24.839651400000005</v>
      </c>
      <c r="P22" s="120">
        <f t="shared" si="0"/>
        <v>1680.8164114000003</v>
      </c>
      <c r="T22" s="163" t="str">
        <f>+'9'!A5</f>
        <v xml:space="preserve">Customer Name : Bin Hadi </v>
      </c>
      <c r="U22" s="164">
        <f>+'9'!P35</f>
        <v>788.21555039999998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Moon Store</v>
      </c>
      <c r="U23" s="164">
        <f>+'10'!P35</f>
        <v>788.21555039999998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Malik Store</v>
      </c>
      <c r="U24" s="164">
        <f>+'11'!P35</f>
        <v>2322.3942112499999</v>
      </c>
    </row>
    <row r="25" spans="1:21 16384:16384" ht="26.5" thickBot="1" x14ac:dyDescent="0.65">
      <c r="A25" s="235" t="s">
        <v>84</v>
      </c>
      <c r="B25" s="236"/>
      <c r="C25" s="237">
        <f>H25/40</f>
        <v>8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320</v>
      </c>
      <c r="I25" s="178">
        <f t="shared" si="3"/>
        <v>21101.3</v>
      </c>
      <c r="J25" s="177">
        <f t="shared" si="3"/>
        <v>0</v>
      </c>
      <c r="K25" s="178">
        <f t="shared" si="3"/>
        <v>665.09800000000007</v>
      </c>
      <c r="L25" s="179">
        <f t="shared" si="3"/>
        <v>1551.6080000000002</v>
      </c>
      <c r="M25" s="141">
        <f t="shared" si="3"/>
        <v>18884.593999999997</v>
      </c>
      <c r="N25" s="142">
        <f>SUM(N16:N24)</f>
        <v>3281.5077200000005</v>
      </c>
      <c r="O25" s="143">
        <f>SUM(O16:O24)</f>
        <v>179.64130259999999</v>
      </c>
      <c r="P25" s="144">
        <f>SUM(P16:P24)</f>
        <v>22345.7430226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22569.63723385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21101.3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1551.6080000000002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665.09800000000007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18884.593999999997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3281.5077200000005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22166.101719999999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554.15254300000004</v>
      </c>
    </row>
    <row r="43" spans="1:21" ht="15.75" customHeight="1" thickBot="1" x14ac:dyDescent="0.4">
      <c r="N43" s="229" t="s">
        <v>92</v>
      </c>
      <c r="O43" s="230"/>
      <c r="P43" s="160">
        <f>P41+P42</f>
        <v>22720.254262999999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29.411028000000002</v>
      </c>
      <c r="P19" s="120">
        <f t="shared" si="2"/>
        <v>1205.8521479999999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141.43008</v>
      </c>
      <c r="O20" s="119">
        <f t="shared" si="1"/>
        <v>19.607352000000002</v>
      </c>
      <c r="P20" s="120">
        <f t="shared" si="2"/>
        <v>803.901432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212.14511999999999</v>
      </c>
      <c r="O21" s="119">
        <f t="shared" si="1"/>
        <v>29.411028000000002</v>
      </c>
      <c r="P21" s="120">
        <f t="shared" si="2"/>
        <v>1205.8521479999999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</v>
      </c>
      <c r="L25" s="140">
        <f t="shared" si="13"/>
        <v>232.44799999999998</v>
      </c>
      <c r="M25" s="141">
        <f t="shared" si="13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29" t="s">
        <v>92</v>
      </c>
      <c r="O35" s="230"/>
      <c r="P35" s="160">
        <f>P33+P34</f>
        <v>3215.605728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29" t="s">
        <v>92</v>
      </c>
      <c r="O35" s="230"/>
      <c r="P35" s="160">
        <f>P33+P34</f>
        <v>416.06416095000009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29" t="s">
        <v>92</v>
      </c>
      <c r="O35" s="230"/>
      <c r="P35" s="160">
        <f>P33+P34</f>
        <v>416.06416095000009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29" t="s">
        <v>92</v>
      </c>
      <c r="O35" s="230"/>
      <c r="P35" s="160">
        <f>P33+P34</f>
        <v>424.34404475000008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29" t="s">
        <v>92</v>
      </c>
      <c r="O35" s="230"/>
      <c r="P35" s="160">
        <f>P33+P34</f>
        <v>424.34404475000008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11622.4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929.79200000000003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406.78400000000005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10285.824000000001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12137.27232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9" t="s">
        <v>92</v>
      </c>
      <c r="O35" s="230"/>
      <c r="P35" s="160">
        <f>P33+P34</f>
        <v>12197.958681599999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10803540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 t="s">
        <v>137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29" t="s">
        <v>92</v>
      </c>
      <c r="O35" s="230"/>
      <c r="P35" s="160">
        <f>P33+P34</f>
        <v>2322.3942112499999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2026-07-06T12:13:42Z</dcterms:modified>
</cp:coreProperties>
</file>