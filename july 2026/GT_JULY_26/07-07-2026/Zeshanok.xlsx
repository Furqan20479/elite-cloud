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5EF2644-85FF-4CA3-9549-CED53EDB58F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1" l="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7" i="22"/>
  <c r="K18" i="22"/>
  <c r="K19" i="22"/>
  <c r="K20" i="22"/>
  <c r="K17" i="23"/>
  <c r="K18" i="23"/>
  <c r="K19" i="23"/>
  <c r="K20" i="23"/>
  <c r="K17" i="24"/>
  <c r="K18" i="24"/>
  <c r="K19" i="24"/>
  <c r="K20" i="24"/>
  <c r="K17" i="25"/>
  <c r="K18" i="25"/>
  <c r="K19" i="25"/>
  <c r="K20" i="25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6" i="17"/>
  <c r="K16" i="19"/>
  <c r="K16" i="18"/>
  <c r="K16" i="20"/>
  <c r="K16" i="21"/>
  <c r="K16" i="22"/>
  <c r="K16" i="23"/>
  <c r="K16" i="24"/>
  <c r="K16" i="25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17" i="26" l="1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5" l="1"/>
  <c r="K21" i="25"/>
  <c r="L21" i="24"/>
  <c r="K21" i="24"/>
  <c r="K22" i="20"/>
  <c r="L22" i="20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K18" i="16" s="1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<sst xmlns="http://schemas.openxmlformats.org/spreadsheetml/2006/main" count="1638" uniqueCount="141">
  <si>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</si>
  <si>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</si>
  <si>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</si>
  <si>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</si>
  <si>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</si>
  <si>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</si>
  <si>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</si>
  <si>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</si>
  <si>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</si>
  <si>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</si>
  <si>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</si>
  <si>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</si>
  <si>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</si>
  <si>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</si>
  <si>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</si>
  <si>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</si>
  <si>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</si>
  <si>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</si>
  <si>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</si>
  <si>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</si>
  <si>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</si>
  <si>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</si>
  <si>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</si>
  <si>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</si>
  <si>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</si>
  <si>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</si>
  <si>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</si>
  <si>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</si>
  <si>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</si>
  <si>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</si>
  <si>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</si>
  <si>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</si>
  <si>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</si>
  <si>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</si>
  <si>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</si>
  <si>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</si>
  <si>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</si>
  <si>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</si>
  <si>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</si>
  <si>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</si>
  <si>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</si>
  <si>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</si>
  <si>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</si>
  <si>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</si>
  <si>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</si>
  <si>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</si>
  <si>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</si>
  <si>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</si>
  <si>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</si>
  <si>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</si>
  <si>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</si>
  <si>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</si>
  <si>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</si>
  <si>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</si>
  <si>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</si>
  <si>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</si>
  <si>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</si>
  <si>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</si>
  <si>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</si>
  <si>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</si>
  <si>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</si>
  <si>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</si>
  <si>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</si>
  <si>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</si>
  <si>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</si>
  <si>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</si>
  <si>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</si>
  <si>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</si>
  <si>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</si>
  <si>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</si>
  <si>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</si>
  <si>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</si>
  <si>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</si>
  <si>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</si>
  <si>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</si>
  <si>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</si>
  <si>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</si>
  <si>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</si>
  <si>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</si>
  <si>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</si>
  <si>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</si>
  <si>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</si>
  <si>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</si>
  <si>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</si>
  <si>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</si>
  <si>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</si>
  <si>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</si>
  <si>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</si>
  <si>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</si>
  <si>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</si>
  <si>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</si>
  <si>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</si>
  <si>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</si>
  <si>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</si>
  <si>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</si>
  <si>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</si>
  <si>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</si>
  <si>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</si>
  <si>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</si>
  <si>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</si>
  <si>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</si>
  <si>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</si>
  <si>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</si>
  <si>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</si>
  <si>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</si>
  <si>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</si>
  <si>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</si>
  <si>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</si>
  <si>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</si>
  <si>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</si>
  <si>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</si>
  <si>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</si>
  <si>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</si>
  <si>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</si>
  <si>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</si>
  <si>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</si>
  <si>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</si>
  <si>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</si>
  <si>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</si>
  <si>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</si>
  <si>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Zeshan </t>
  </si>
  <si>
    <t>Shop Bill Summary (Zeshan )</t>
  </si>
  <si>
    <t xml:space="preserve">Customer Name : Sherry Mart </t>
  </si>
  <si>
    <t xml:space="preserve">Address: Ali Park </t>
  </si>
  <si>
    <t>Customer Name : Bilal Store</t>
  </si>
  <si>
    <t>0725094-7</t>
  </si>
  <si>
    <t>Customer Name : Mian Bakers</t>
  </si>
  <si>
    <t>154795-4</t>
  </si>
  <si>
    <t xml:space="preserve">Customer Name : HR Mart </t>
  </si>
  <si>
    <t xml:space="preserve">Address: Ali Prk </t>
  </si>
  <si>
    <t>Customer Name : Fakhar Groccery Store</t>
  </si>
  <si>
    <t>Customer Name : Euro Store</t>
  </si>
  <si>
    <t>6616156-4</t>
  </si>
  <si>
    <t>Customer Name : Khan Store</t>
  </si>
  <si>
    <t>Customer Name : Iman Store</t>
  </si>
  <si>
    <t>E048263-5</t>
  </si>
  <si>
    <t xml:space="preserve">Customer Name : Bin Hadi </t>
  </si>
  <si>
    <t>F261176-5</t>
  </si>
  <si>
    <t>Customer Name : Moon Store</t>
  </si>
  <si>
    <t>333456-5</t>
  </si>
  <si>
    <t>Customer Name : Malik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</si>
</sst>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T14" sqref="T14:T2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T14" sqref="T14:T24"/>
      <selection pane="topRight" activeCell="T14" sqref="T14:T24"/>
      <selection pane="bottomLeft" activeCell="T14" sqref="T14:T24"/>
      <selection pane="bottomRight" activeCell="T14" sqref="T14:T2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3" zoomScale="70" zoomScaleNormal="70" workbookViewId="0">
      <selection activeCell="W27" sqref="W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Sherry Mart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416.06416095000009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Mian Bakers</v>
      </c>
      <c r="U16" s="164">
        <f>+'3'!P35</f>
        <v>416.06416095000009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HR Mart </v>
      </c>
      <c r="U17" s="164">
        <f>+'4'!P35</f>
        <v>424.34404475000008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Fakhar Groccery Store</v>
      </c>
      <c r="U18" s="164">
        <f>+'5'!P35</f>
        <v>424.34404475000008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203.39200000000002</v>
      </c>
      <c r="L19" s="175">
        <f>+'1'!L19+'2'!L19+'4'!L19+'3'!L19+'5'!L19+'6'!L19+'7'!L19+'8'!L19+'9'!L19+'10'!L19</f>
        <v>464.89600000000002</v>
      </c>
      <c r="M19" s="118">
        <f t="shared" si="2"/>
        <v>5142.9120000000003</v>
      </c>
      <c r="N19" s="101">
        <f>+'1'!N19+'2'!N19+'4'!N19+'3'!N19+'5'!N19+'6'!N19+'7'!N19+'8'!N19+'9'!N19+'10'!N19</f>
        <v>925.72415999999998</v>
      </c>
      <c r="O19" s="101">
        <f>+'1'!O19+'2'!O19+'4'!O19+'3'!O19+'5'!O19+'6'!O19+'7'!O19+'8'!O19+'9'!O19+'10'!O19</f>
        <v>30.343180799999999</v>
      </c>
      <c r="P19" s="120">
        <f t="shared" si="0"/>
        <v>6098.9793407999996</v>
      </c>
      <c r="T19" s="163" t="str">
        <f>+'6'!A5</f>
        <v>Customer Name : Euro Store</v>
      </c>
      <c r="U19" s="164">
        <f>+'6'!P35</f>
        <v>12197.958681599999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232.44800000000001</v>
      </c>
      <c r="M20" s="118">
        <f t="shared" si="2"/>
        <v>2571.4560000000001</v>
      </c>
      <c r="N20" s="101">
        <f>+'1'!N20+'2'!N20+'4'!N20+'3'!N20+'5'!N20+'6'!N20+'7'!N20+'8'!N20+'9'!N20+'10'!N20</f>
        <v>462.86207999999999</v>
      </c>
      <c r="O20" s="101">
        <f>+'1'!O20+'2'!O20+'4'!O20+'3'!O20+'5'!O20+'6'!O20+'7'!O20+'8'!O20+'9'!O20+'10'!O20</f>
        <v>15.171590399999999</v>
      </c>
      <c r="P20" s="120">
        <f t="shared" si="0"/>
        <v>3049.4896703999998</v>
      </c>
      <c r="T20" s="163" t="str">
        <f>+'7'!A5</f>
        <v>Customer Name : Khan Store</v>
      </c>
      <c r="U20" s="164">
        <f>+'7'!P35</f>
        <v>788.21555039999998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203.39200000000002</v>
      </c>
      <c r="L21" s="175">
        <f>+'1'!L21+'2'!L21+'4'!L21+'3'!L21+'5'!L21+'6'!L21+'7'!L21+'8'!L21+'9'!L21+'10'!L21</f>
        <v>464.89600000000007</v>
      </c>
      <c r="M21" s="118">
        <f t="shared" si="2"/>
        <v>5142.9120000000003</v>
      </c>
      <c r="N21" s="101">
        <f>+'1'!N21+'2'!N21+'4'!N21+'3'!N21+'5'!N21+'6'!N21+'7'!N21+'8'!N21+'9'!N21+'10'!N21</f>
        <v>1028.5824</v>
      </c>
      <c r="O21" s="101">
        <f>+'1'!O21+'2'!O21+'4'!O21+'3'!O21+'5'!O21+'6'!O21+'7'!O21+'8'!O21+'9'!O21+'10'!O21</f>
        <v>30.857472000000001</v>
      </c>
      <c r="P21" s="120">
        <f t="shared" si="0"/>
        <v>6202.3518720000002</v>
      </c>
      <c r="T21" s="163" t="str">
        <f>+'8'!A5</f>
        <v>Customer Name : Iman Store</v>
      </c>
      <c r="U21" s="164">
        <f>+'8'!P35</f>
        <v>788.21555039999998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156.92000000000004</v>
      </c>
      <c r="M22" s="118">
        <f t="shared" si="2"/>
        <v>1357.3580000000002</v>
      </c>
      <c r="N22" s="101">
        <f>+'1'!N22+'2'!N22+'4'!N22+'3'!N22+'5'!N22+'6'!N22+'7'!N22+'8'!N22+'9'!N22+'10'!N22</f>
        <v>298.61876000000007</v>
      </c>
      <c r="O22" s="101">
        <f>+'1'!O22+'2'!O22+'4'!O22+'3'!O22+'5'!O22+'6'!O22+'7'!O22+'8'!O22+'9'!O22+'10'!O22</f>
        <v>24.839651400000005</v>
      </c>
      <c r="P22" s="120">
        <f t="shared" si="0"/>
        <v>1680.8164114000003</v>
      </c>
      <c r="T22" s="163" t="str">
        <f>+'9'!A5</f>
        <v xml:space="preserve">Customer Name : Bin Hadi </v>
      </c>
      <c r="U22" s="164">
        <f>+'9'!P35</f>
        <v>788.21555039999998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Moon Store</v>
      </c>
      <c r="U23" s="164">
        <f>+'10'!P35</f>
        <v>788.21555039999998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Malik Store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6</v>
      </c>
      <c r="D25" s="231"/>
      <c r="E25" s="231"/>
      <c r="F25" s="231"/>
      <c r="G25" s="176">
        <f t="shared" ref="G25:M25" si="3">SUM(G16:G24)</f>
        <v>0</v>
      </c>
      <c r="H25" s="177">
        <f t="shared" si="3"/>
        <v>240</v>
      </c>
      <c r="I25" s="178">
        <f t="shared" si="3"/>
        <v>16097.2</v>
      </c>
      <c r="J25" s="177">
        <f t="shared" si="3"/>
        <v>0</v>
      </c>
      <c r="K25" s="178">
        <f t="shared" si="3"/>
        <v>563.40200000000004</v>
      </c>
      <c r="L25" s="179">
        <f t="shared" si="3"/>
        <v>1319.1600000000003</v>
      </c>
      <c r="M25" s="141">
        <f t="shared" si="3"/>
        <v>14214.638000000001</v>
      </c>
      <c r="N25" s="142">
        <f>SUM(N16:N24)</f>
        <v>2715.7874000000002</v>
      </c>
      <c r="O25" s="143">
        <f>SUM(O16:O24)</f>
        <v>101.21189460000001</v>
      </c>
      <c r="P25" s="144">
        <f>SUM(P16:P24)</f>
        <v>17031.637294599997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17031.637294600001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16097.2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1319.1600000000003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563.40200000000004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14214.638000000001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2715.7874000000002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16930.4254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423.26063500000004</v>
      </c>
    </row>
    <row r="43" spans="1:21" ht="15.75" customHeight="1" thickBot="1" x14ac:dyDescent="0.4">
      <c r="N43" s="229" t="s">
        <v>92</v>
      </c>
      <c r="O43" s="230"/>
      <c r="P43" s="160">
        <f>P41+P42</f>
        <v>17353.686034999999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18" sqref="H18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2.0699709500000005</v>
      </c>
      <c r="P22" s="120">
        <f t="shared" si="1"/>
        <v>416.06416095000009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2.0699709500000005</v>
      </c>
      <c r="P25" s="144">
        <f>SUM(P16:P24)</f>
        <v>416.06416095000009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339.33950000000004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413.99419000000006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2.0699709500000005</v>
      </c>
    </row>
    <row r="35" spans="2:16" ht="15.75" customHeight="1" thickBot="1" x14ac:dyDescent="0.4">
      <c r="N35" s="229" t="s">
        <v>92</v>
      </c>
      <c r="O35" s="230"/>
      <c r="P35" s="160">
        <f>P33+P34</f>
        <v>416.06416095000009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2.0699709500000005</v>
      </c>
      <c r="P22" s="120">
        <f t="shared" si="1"/>
        <v>416.06416095000009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2.0699709500000005</v>
      </c>
      <c r="P25" s="144">
        <f>SUM(P16:P24)</f>
        <v>416.06416095000009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339.33950000000004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413.99419000000006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2.0699709500000005</v>
      </c>
    </row>
    <row r="35" spans="2:16" ht="15.75" customHeight="1" thickBot="1" x14ac:dyDescent="0.4">
      <c r="N35" s="229" t="s">
        <v>92</v>
      </c>
      <c r="O35" s="230"/>
      <c r="P35" s="160">
        <f>P33+P34</f>
        <v>416.06416095000009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339.33950000000004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413.99419000000006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29" t="s">
        <v>92</v>
      </c>
      <c r="O35" s="230"/>
      <c r="P35" s="160">
        <f>P33+P34</f>
        <v>424.34404475000008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39.230000000000011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339.33950000000004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413.99419000000006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29" t="s">
        <v>92</v>
      </c>
      <c r="O35" s="230"/>
      <c r="P35" s="160">
        <f>P33+P34</f>
        <v>424.34404475000008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160</v>
      </c>
      <c r="I25" s="137">
        <f t="shared" si="9"/>
        <v>11622.4</v>
      </c>
      <c r="J25" s="138"/>
      <c r="K25" s="139">
        <f t="shared" si="9"/>
        <v>406.78400000000005</v>
      </c>
      <c r="L25" s="140">
        <f t="shared" si="9"/>
        <v>929.79200000000003</v>
      </c>
      <c r="M25" s="141">
        <f t="shared" si="9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11622.4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929.79200000000003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406.78400000000005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10285.824000000001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12137.27232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29" t="s">
        <v>92</v>
      </c>
      <c r="O35" s="230"/>
      <c r="P35" s="160">
        <f>P33+P34</f>
        <v>12197.958681599999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10803540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25.424000000000003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642.86400000000003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784.29408000000001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29" t="s">
        <v>92</v>
      </c>
      <c r="O35" s="230"/>
      <c r="P35" s="160">
        <f>P33+P34</f>
        <v>788.21555039999998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25.424000000000003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642.86400000000003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784.29408000000001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29" t="s">
        <v>92</v>
      </c>
      <c r="O35" s="230"/>
      <c r="P35" s="160">
        <f>P33+P34</f>
        <v>788.21555039999998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 t="s">
        <v>137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25.424000000000003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642.86400000000003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784.29408000000001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29" t="s">
        <v>92</v>
      </c>
      <c r="O35" s="230"/>
      <c r="P35" s="160">
        <f>P33+P34</f>
        <v>788.21555039999998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141.43008</v>
      </c>
      <c r="O25" s="143">
        <f>SUM(O16:O24)</f>
        <v>3.9214704</v>
      </c>
      <c r="P25" s="144">
        <f>SUM(P16:P24)</f>
        <v>788.21555039999998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726.4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58.112000000000002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25.424000000000003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642.86400000000003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141.43008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784.29408000000001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3.9214704</v>
      </c>
    </row>
    <row r="35" spans="2:16" ht="15.75" customHeight="1" thickBot="1" x14ac:dyDescent="0.4">
      <c r="N35" s="229" t="s">
        <v>92</v>
      </c>
      <c r="O35" s="230"/>
      <c r="P35" s="160">
        <f>P33+P34</f>
        <v>788.21555039999998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0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2026-07-07T08:18:22Z</dcterms:modified>
</cp:coreProperties>
</file>