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44AFE84-68A6-460B-830F-3132DEA33E5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9" l="1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7" i="19"/>
  <c r="K18" i="19"/>
  <c r="K17" i="18"/>
  <c r="K18" i="18"/>
  <c r="K17" i="20"/>
  <c r="K18" i="20"/>
  <c r="K20" i="20"/>
  <c r="K17" i="21"/>
  <c r="K18" i="21"/>
  <c r="K20" i="21"/>
  <c r="K17" i="22"/>
  <c r="K18" i="22"/>
  <c r="K19" i="22"/>
  <c r="K20" i="22"/>
  <c r="K17" i="23"/>
  <c r="K18" i="23"/>
  <c r="K19" i="23"/>
  <c r="K20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0" l="1"/>
  <c r="K21" i="20"/>
  <c r="L20" i="18"/>
  <c r="K20" i="18"/>
  <c r="L21" i="19"/>
  <c r="K21" i="19"/>
  <c r="L20" i="19"/>
  <c r="L19" i="19"/>
  <c r="K19" i="19"/>
  <c r="L21" i="17"/>
  <c r="K21" i="17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<sst xmlns="http://schemas.openxmlformats.org/spreadsheetml/2006/main" count="1634" uniqueCount="137">
  <si>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</si>
  <si>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</si>
  <si>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</si>
  <si>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</si>
  <si>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</si>
  <si>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</si>
  <si>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</si>
  <si>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</si>
  <si>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</si>
  <si>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</si>
  <si>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</si>
  <si>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</si>
  <si>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</si>
  <si>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</si>
  <si>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</si>
  <si>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</si>
  <si>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</si>
  <si>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</si>
  <si>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</si>
  <si>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</si>
  <si>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</si>
  <si>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</si>
  <si>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</si>
  <si>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</si>
  <si>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</si>
  <si>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</si>
  <si>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</si>
  <si>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</si>
  <si>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</si>
  <si>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</si>
  <si>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</si>
  <si>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</si>
  <si>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</si>
  <si>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</si>
  <si>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</si>
  <si>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</si>
  <si>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</si>
  <si>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</si>
  <si>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</si>
  <si>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</si>
  <si>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</si>
  <si>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</si>
  <si>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</si>
  <si>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</si>
  <si>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</si>
  <si>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</si>
  <si>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</si>
  <si>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</si>
  <si>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</si>
  <si>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</si>
  <si>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</si>
  <si>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</si>
  <si>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</si>
  <si>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</si>
  <si>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</si>
  <si>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</si>
  <si>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</si>
  <si>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</si>
  <si>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</si>
  <si>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</si>
  <si>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</si>
  <si>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</si>
  <si>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</si>
  <si>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</si>
  <si>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</si>
  <si>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</si>
  <si>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</si>
  <si>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</si>
  <si>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</si>
  <si>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</si>
  <si>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</si>
  <si>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</si>
  <si>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</si>
  <si>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</si>
  <si>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</si>
  <si>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</si>
  <si>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</si>
  <si>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</si>
  <si>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</si>
  <si>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</si>
  <si>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</si>
  <si>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</si>
  <si>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</si>
  <si>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</si>
  <si>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</si>
  <si>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</si>
  <si>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</si>
  <si>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</si>
  <si>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</si>
  <si>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</si>
  <si>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</si>
  <si>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</si>
  <si>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</si>
  <si>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</si>
  <si>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</si>
  <si>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</si>
  <si>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</si>
  <si>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</si>
  <si>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</si>
  <si>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</si>
  <si>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</si>
  <si>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</si>
  <si>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</si>
  <si>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</si>
  <si>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</si>
  <si>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</si>
  <si>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</si>
  <si>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</si>
  <si>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</si>
  <si>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</si>
  <si>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</si>
  <si>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</si>
  <si>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</si>
  <si>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</si>
  <si>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</si>
  <si>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</si>
  <si>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</si>
  <si>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</si>
  <si>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</si>
  <si>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</si>
  <si>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Mubeen</t>
  </si>
  <si>
    <t>Shop Bill Summary (Mubeen)</t>
  </si>
  <si>
    <t xml:space="preserve">Customer Name : Madina Bakers </t>
  </si>
  <si>
    <t xml:space="preserve">Address: Dharampura </t>
  </si>
  <si>
    <t xml:space="preserve">Customer Name : Ideal Cash &amp; Carry </t>
  </si>
  <si>
    <t xml:space="preserve">Address: Taj Bagh </t>
  </si>
  <si>
    <t xml:space="preserve">Customer Name : Marwa Mart </t>
  </si>
  <si>
    <t xml:space="preserve">Customer Name : Zarrar Khan </t>
  </si>
  <si>
    <t xml:space="preserve">Customer Name : Marwa Super Mart </t>
  </si>
  <si>
    <t xml:space="preserve">Address: Taj Bagh Main Market </t>
  </si>
  <si>
    <t>Customer Name : Karam Store</t>
  </si>
  <si>
    <t>Address: Taj Bagh Phase 3</t>
  </si>
  <si>
    <t>172013900762-5</t>
  </si>
  <si>
    <t xml:space="preserve">Customer Name : Bin Doud </t>
  </si>
  <si>
    <t xml:space="preserve">Address: Pepsi Road </t>
  </si>
  <si>
    <t>Customer Name : Mughal Store</t>
  </si>
  <si>
    <t>3255339-7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</si>
</sst>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1" fontId="0" fillId="0" borderId="0" xfId="0" applyNumberFormat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6" zoomScale="70" zoomScaleNormal="70" workbookViewId="0">
      <selection activeCell="S29" sqref="S2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Madina Bakers </v>
      </c>
      <c r="U14" s="164">
        <f>+'1'!P35</f>
        <v>9148.4690111999989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1"/>
      <c r="J15" s="170" t="s">
        <v>78</v>
      </c>
      <c r="K15" s="170" t="s">
        <v>79</v>
      </c>
      <c r="L15" s="173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Ideal Cash &amp; Carry </v>
      </c>
      <c r="U15" s="164">
        <f>+'2'!P35</f>
        <v>2408.5594227000001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Marwa Mart </v>
      </c>
      <c r="U16" s="164">
        <f>+'3'!P35</f>
        <v>9458.5866047999989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Zarrar Khan </v>
      </c>
      <c r="U17" s="164">
        <f>+'4'!P35</f>
        <v>3152.8622015999999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Marwa Super Mart </v>
      </c>
      <c r="U18" s="164">
        <f>+'5'!P35</f>
        <v>6305.7244031999999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150</v>
      </c>
      <c r="I19" s="1">
        <f t="shared" si="1"/>
        <v>10896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381.36000000000007</v>
      </c>
      <c r="L19" s="174">
        <f>+'1'!L19+'2'!L19+'4'!L19+'3'!L19+'5'!L19+'6'!L19+'7'!L19+'8'!L19+'9'!L19+'10'!L19</f>
        <v>871.68000000000006</v>
      </c>
      <c r="M19" s="118">
        <f t="shared" si="2"/>
        <v>9642.9599999999991</v>
      </c>
      <c r="N19" s="101">
        <f>+'1'!N19+'2'!N19+'4'!N19+'3'!N19+'5'!N19+'6'!N19+'7'!N19+'8'!N19+'9'!N19+'10'!N19</f>
        <v>2018.5929599999997</v>
      </c>
      <c r="O19" s="101">
        <f>+'1'!O19+'2'!O19+'4'!O19+'3'!O19+'5'!O19+'6'!O19+'7'!O19+'8'!O19+'9'!O19+'10'!O19</f>
        <v>58.307764800000001</v>
      </c>
      <c r="P19" s="120">
        <f t="shared" si="0"/>
        <v>11719.860724799999</v>
      </c>
      <c r="T19" s="163" t="str">
        <f>+'6'!A5</f>
        <v>Customer Name : Karam Store</v>
      </c>
      <c r="U19" s="164">
        <f>+'6'!P35</f>
        <v>3152.8622015999999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100</v>
      </c>
      <c r="I20" s="1">
        <f t="shared" si="1"/>
        <v>7264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254.24</v>
      </c>
      <c r="L20" s="174">
        <f>+'1'!L20+'2'!L20+'4'!L20+'3'!L20+'5'!L20+'6'!L20+'7'!L20+'8'!L20+'9'!L20+'10'!L20</f>
        <v>581.12</v>
      </c>
      <c r="M20" s="118">
        <f t="shared" si="2"/>
        <v>6428.64</v>
      </c>
      <c r="N20" s="101">
        <f>+'1'!N20+'2'!N20+'4'!N20+'3'!N20+'5'!N20+'6'!N20+'7'!N20+'8'!N20+'9'!N20+'10'!N20</f>
        <v>1311.44256</v>
      </c>
      <c r="O20" s="101">
        <f>+'1'!O20+'2'!O20+'4'!O20+'3'!O20+'5'!O20+'6'!O20+'7'!O20+'8'!O20+'9'!O20+'10'!O20</f>
        <v>38.700412800000002</v>
      </c>
      <c r="P20" s="120">
        <f t="shared" si="0"/>
        <v>7778.7829728000006</v>
      </c>
      <c r="T20" s="163" t="str">
        <f>+'7'!A5</f>
        <v xml:space="preserve">Customer Name : Bin Doud </v>
      </c>
      <c r="U20" s="164">
        <f>+'7'!P35</f>
        <v>3152.8622015999999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250</v>
      </c>
      <c r="I21" s="1">
        <f t="shared" si="1"/>
        <v>18160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635.60000000000014</v>
      </c>
      <c r="L21" s="174">
        <f>+'1'!L21+'2'!L21+'4'!L21+'3'!L21+'5'!L21+'6'!L21+'7'!L21+'8'!L21+'9'!L21+'10'!L21</f>
        <v>1452.8000000000002</v>
      </c>
      <c r="M21" s="118">
        <f t="shared" si="2"/>
        <v>16071.600000000002</v>
      </c>
      <c r="N21" s="101">
        <f>+'1'!N21+'2'!N21+'4'!N21+'3'!N21+'5'!N21+'6'!N21+'7'!N21+'8'!N21+'9'!N21+'10'!N21</f>
        <v>3432.8937599999999</v>
      </c>
      <c r="O21" s="101">
        <f>+'1'!O21+'2'!O21+'4'!O21+'3'!O21+'5'!O21+'6'!O21+'7'!O21+'8'!O21+'9'!O21+'10'!O21</f>
        <v>97.522468799999999</v>
      </c>
      <c r="P21" s="120">
        <f t="shared" si="0"/>
        <v>19602.016228800003</v>
      </c>
      <c r="T21" s="163" t="str">
        <f>+'8'!A5</f>
        <v>Customer Name : Mughal Store</v>
      </c>
      <c r="U21" s="164">
        <f>+'8'!P35</f>
        <v>3152.8622015999999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20</v>
      </c>
      <c r="I22" s="1">
        <f t="shared" si="1"/>
        <v>784.60000000000014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27.461000000000006</v>
      </c>
      <c r="L22" s="174">
        <f>+'1'!L22+'2'!L22+'4'!L22+'3'!L22+'5'!L22+'6'!L22+'7'!L22+'8'!L22+'9'!L22+'10'!L22</f>
        <v>78.460000000000022</v>
      </c>
      <c r="M22" s="118">
        <f t="shared" si="2"/>
        <v>678.67900000000009</v>
      </c>
      <c r="N22" s="101">
        <f>+'1'!N22+'2'!N22+'4'!N22+'3'!N22+'5'!N22+'6'!N22+'7'!N22+'8'!N22+'9'!N22+'10'!N22</f>
        <v>149.30938000000003</v>
      </c>
      <c r="O22" s="101">
        <f>+'1'!O22+'2'!O22+'4'!O22+'3'!O22+'5'!O22+'6'!O22+'7'!O22+'8'!O22+'9'!O22+'10'!O22</f>
        <v>4.1399419000000011</v>
      </c>
      <c r="P22" s="120">
        <f t="shared" si="0"/>
        <v>832.12832190000017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13</v>
      </c>
      <c r="D25" s="231"/>
      <c r="E25" s="231"/>
      <c r="F25" s="231"/>
      <c r="G25" s="175">
        <f t="shared" ref="G25:M25" si="3">SUM(G16:G24)</f>
        <v>0</v>
      </c>
      <c r="H25" s="176">
        <f t="shared" si="3"/>
        <v>520</v>
      </c>
      <c r="I25" s="177">
        <f t="shared" si="3"/>
        <v>37104.6</v>
      </c>
      <c r="J25" s="176">
        <f t="shared" si="3"/>
        <v>0</v>
      </c>
      <c r="K25" s="177">
        <f t="shared" si="3"/>
        <v>1298.6610000000003</v>
      </c>
      <c r="L25" s="178">
        <f t="shared" si="3"/>
        <v>2984.0600000000004</v>
      </c>
      <c r="M25" s="141">
        <f t="shared" si="3"/>
        <v>32821.879000000001</v>
      </c>
      <c r="N25" s="142">
        <f>SUM(N16:N24)</f>
        <v>6912.2386599999991</v>
      </c>
      <c r="O25" s="143">
        <f>SUM(O16:O24)</f>
        <v>198.67058830000002</v>
      </c>
      <c r="P25" s="144">
        <f>SUM(P16:P24)</f>
        <v>39932.788248300007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1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0" t="str">
        <f>+'16'!A5</f>
        <v xml:space="preserve">Customer Name : </v>
      </c>
      <c r="U29" s="181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0" t="str">
        <f>+'17'!A5</f>
        <v xml:space="preserve">Customer Name : </v>
      </c>
      <c r="U30" s="181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0" t="str">
        <f>+'18'!A5</f>
        <v xml:space="preserve">Customer Name : </v>
      </c>
      <c r="U31" s="181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0" t="str">
        <f>+'19'!A5</f>
        <v xml:space="preserve">Customer Name : </v>
      </c>
      <c r="U32" s="181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0" t="str">
        <f>+'20'!A5</f>
        <v xml:space="preserve">Customer Name : </v>
      </c>
      <c r="U33" s="181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39932.788248299999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37104.6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2984.0600000000004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1298.6610000000003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32821.879000000001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6912.2386599999991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39734.117660000004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993.35294150000016</v>
      </c>
    </row>
    <row r="43" spans="1:21" ht="15.75" customHeight="1" thickBot="1" x14ac:dyDescent="0.4">
      <c r="N43" s="229" t="s">
        <v>92</v>
      </c>
      <c r="O43" s="230"/>
      <c r="P43" s="160">
        <f>P41+P42</f>
        <v>40727.470601500005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314531351313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92">
        <v>351353513513513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462.86207999999999</v>
      </c>
      <c r="O20" s="119">
        <f t="shared" si="1"/>
        <v>15.171590399999999</v>
      </c>
      <c r="P20" s="120">
        <f t="shared" si="2"/>
        <v>3049.4896703999998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120</v>
      </c>
      <c r="I25" s="137">
        <f t="shared" si="13"/>
        <v>8716.7999999999993</v>
      </c>
      <c r="J25" s="138"/>
      <c r="K25" s="139">
        <f t="shared" si="13"/>
        <v>305.08800000000002</v>
      </c>
      <c r="L25" s="140">
        <f t="shared" si="13"/>
        <v>697.34400000000005</v>
      </c>
      <c r="M25" s="141">
        <f t="shared" si="13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8716.7999999999993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697.34400000000005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305.08800000000002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7714.3679999999995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9102.9542399999991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29" t="s">
        <v>92</v>
      </c>
      <c r="O35" s="230"/>
      <c r="P35" s="160">
        <f>P33+P34</f>
        <v>9148.4690111999989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3520222472755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4.1399419000000011</v>
      </c>
      <c r="P22" s="120">
        <f t="shared" si="1"/>
        <v>832.12832190000017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2237.4</v>
      </c>
      <c r="J25" s="138"/>
      <c r="K25" s="139">
        <f t="shared" si="9"/>
        <v>78.309000000000012</v>
      </c>
      <c r="L25" s="140">
        <f t="shared" si="9"/>
        <v>194.68400000000003</v>
      </c>
      <c r="M25" s="141">
        <f t="shared" si="9"/>
        <v>1964.4070000000002</v>
      </c>
      <c r="N25" s="142">
        <f>SUM(N16:N24)</f>
        <v>432.16954000000004</v>
      </c>
      <c r="O25" s="143">
        <f>SUM(O16:O24)</f>
        <v>11.982882700000001</v>
      </c>
      <c r="P25" s="144">
        <f>SUM(P16:P24)</f>
        <v>2408.5594227000001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2237.4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194.68400000000003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78.309000000000012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1964.4070000000002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432.16954000000004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2396.57654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11.982882700000001</v>
      </c>
    </row>
    <row r="35" spans="2:16" ht="15.75" customHeight="1" thickBot="1" x14ac:dyDescent="0.4">
      <c r="N35" s="229" t="s">
        <v>92</v>
      </c>
      <c r="O35" s="230"/>
      <c r="P35" s="160">
        <f>P33+P34</f>
        <v>2408.5594227000001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7">
        <v>5143135135153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1697.1609600000002</v>
      </c>
      <c r="O25" s="143">
        <f>SUM(O16:O24)</f>
        <v>47.057644799999998</v>
      </c>
      <c r="P25" s="144">
        <f>SUM(P16:P24)</f>
        <v>9458.5866047999989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8716.7999999999993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697.34400000000005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305.08800000000002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7714.3679999999995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1697.1609600000002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9411.5289599999996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47.057644799999998</v>
      </c>
    </row>
    <row r="35" spans="2:16" ht="15.75" customHeight="1" thickBot="1" x14ac:dyDescent="0.4">
      <c r="N35" s="229" t="s">
        <v>92</v>
      </c>
      <c r="O35" s="230"/>
      <c r="P35" s="160">
        <f>P33+P34</f>
        <v>9458.5866047999989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546153153135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7">
        <v>516515616546531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1131.44064</v>
      </c>
      <c r="O25" s="143">
        <f>SUM(O16:O24)</f>
        <v>31.3717632</v>
      </c>
      <c r="P25" s="144">
        <f>SUM(P16:P24)</f>
        <v>6305.7244031999999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5811.2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464.89600000000002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203.39200000000002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5142.9120000000003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1131.44064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6274.3526400000001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31.3717632</v>
      </c>
    </row>
    <row r="35" spans="2:16" ht="15.75" customHeight="1" thickBot="1" x14ac:dyDescent="0.4">
      <c r="N35" s="229" t="s">
        <v>92</v>
      </c>
      <c r="O35" s="230"/>
      <c r="P35" s="160">
        <f>P33+P34</f>
        <v>6305.7244031999999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131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7.8429408</v>
      </c>
      <c r="P19" s="120">
        <f t="shared" si="1"/>
        <v>1576.4311008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134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7">
        <v>651651561651561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7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2026-07-06T12:25:11Z</dcterms:modified>
</cp:coreProperties>
</file>