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61E4CA4D-B9DB-4CD8-B455-3F8C8B61D21A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17" l="1"/>
  <c r="L22" i="19"/>
  <c r="L22" i="18"/>
  <c r="L22" i="20"/>
  <c r="L22" i="21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L22" i="16"/>
  <c r="K17" i="17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19" i="16"/>
  <c r="K20" i="16"/>
  <c r="K21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K22" i="28" s="1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2" i="35"/>
  <c r="M22" i="35"/>
  <c r="K23" i="35"/>
  <c r="L23" i="35"/>
  <c r="K24" i="35"/>
  <c r="L24" i="35"/>
  <c r="L16" i="34"/>
  <c r="L17" i="34"/>
  <c r="L18" i="34"/>
  <c r="L21" i="34"/>
  <c r="K22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K22" i="32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2" i="30"/>
  <c r="K24" i="30"/>
  <c r="L24" i="30"/>
  <c r="L16" i="29"/>
  <c r="L21" i="29"/>
  <c r="K24" i="29"/>
  <c r="M24" i="29" s="1"/>
  <c r="L24" i="29"/>
  <c r="L17" i="29"/>
  <c r="L20" i="29"/>
  <c r="K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2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K22" i="22"/>
  <c r="L17" i="22"/>
  <c r="L19" i="22"/>
  <c r="L21" i="22"/>
  <c r="L24" i="20"/>
  <c r="K23" i="20"/>
  <c r="L20" i="19"/>
  <c r="K24" i="19"/>
  <c r="L24" i="19"/>
  <c r="K22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4" i="17" l="1"/>
  <c r="M21" i="19"/>
  <c r="K23" i="24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K22" i="17"/>
  <c r="M22" i="17" s="1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K22" i="16"/>
  <c r="L22" i="15"/>
  <c r="L19" i="16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5" i="19"/>
  <c r="M21" i="15"/>
  <c r="M16" i="16"/>
  <c r="N16" i="16" s="1"/>
  <c r="O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8" i="15" l="1"/>
  <c r="N16" i="15"/>
  <c r="O22" i="16"/>
  <c r="O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<sst xmlns="http://schemas.openxmlformats.org/spreadsheetml/2006/main" count="1632" uniqueCount="122">
  <si>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</si>
  <si>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</si>
  <si>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</si>
  <si>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</si>
  <si>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</si>
  <si>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</si>
  <si>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</si>
  <si>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</si>
  <si>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</si>
  <si>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</si>
  <si>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</si>
  <si>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</si>
  <si>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</si>
  <si>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</si>
  <si>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</si>
  <si>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</si>
  <si>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</si>
  <si>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</si>
  <si>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</si>
  <si>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</si>
  <si>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</si>
  <si>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</si>
  <si>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</si>
  <si>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</si>
  <si>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</si>
  <si>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</si>
  <si>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</si>
  <si>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</si>
  <si>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</si>
  <si>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</si>
  <si>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</si>
  <si>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</si>
  <si>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</si>
  <si>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</si>
  <si>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</si>
  <si>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</si>
  <si>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</si>
  <si>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</si>
  <si>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</si>
  <si>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</si>
  <si>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</si>
  <si>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</si>
  <si>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</si>
  <si>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</si>
  <si>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</si>
  <si>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</si>
  <si>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</si>
  <si>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</si>
  <si>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</si>
  <si>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</si>
  <si>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</si>
  <si>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</si>
  <si>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</si>
  <si>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</si>
  <si>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</si>
  <si>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</si>
  <si>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</si>
  <si>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</si>
  <si>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</si>
  <si>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</si>
  <si>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</si>
  <si>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</si>
  <si>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</si>
  <si>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</si>
  <si>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</si>
  <si>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</si>
  <si>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</si>
  <si>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</si>
  <si>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</si>
  <si>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</si>
  <si>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</si>
  <si>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</si>
  <si>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</si>
  <si>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</si>
  <si>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</si>
  <si>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</si>
  <si>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</si>
  <si>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</si>
  <si>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</si>
  <si>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</si>
  <si>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</si>
  <si>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</si>
  <si>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</si>
  <si>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</si>
  <si>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</si>
  <si>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</si>
  <si>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</si>
  <si>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</si>
  <si>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</si>
  <si>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</si>
  <si>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</si>
  <si>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</si>
  <si>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</si>
  <si>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</si>
  <si>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</si>
  <si>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</si>
  <si>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</si>
  <si>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</si>
  <si>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</si>
  <si>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</si>
  <si>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</si>
  <si>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</si>
  <si>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</si>
  <si>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</si>
  <si>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</si>
  <si>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>Shop Bill Summary (Vacant_01)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</si>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</sst>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I10" sqref="I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106</v>
      </c>
    </row>
    <row r="15" spans="1:2" x14ac:dyDescent="0.35">
      <c r="A15">
        <v>10</v>
      </c>
      <c r="B15" t="s">
        <v>107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I10" sqref="I10"/>
      <selection pane="topRight" activeCell="I10" sqref="I10"/>
      <selection pane="bottomLeft" activeCell="I10" sqref="I10"/>
      <selection pane="bottomRight" activeCell="I10" sqref="I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104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105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 xml:space="preserve">Customer Name :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0</v>
      </c>
      <c r="I19" s="1">
        <f t="shared" si="1"/>
        <v>0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0</v>
      </c>
      <c r="M19" s="118">
        <f t="shared" si="2"/>
        <v>0</v>
      </c>
      <c r="N19" s="101">
        <f>+'1'!N19+'2'!N19+'4'!N19+'3'!N19+'5'!N19+'6'!N19+'7'!N19+'8'!N19+'9'!N19+'10'!N19</f>
        <v>0</v>
      </c>
      <c r="O19" s="101">
        <f>+'1'!O19+'2'!O19+'4'!O19+'3'!O19+'5'!O19+'6'!O19+'7'!O19+'8'!O19+'9'!O19+'10'!O19</f>
        <v>0</v>
      </c>
      <c r="P19" s="120">
        <f t="shared" si="0"/>
        <v>0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0</v>
      </c>
      <c r="I21" s="1">
        <f t="shared" si="1"/>
        <v>0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0</v>
      </c>
      <c r="D25" s="231"/>
      <c r="E25" s="231"/>
      <c r="F25" s="231"/>
      <c r="G25" s="176">
        <f t="shared" ref="G25:M25" si="3">SUM(G16:G24)</f>
        <v>0</v>
      </c>
      <c r="H25" s="177">
        <f t="shared" si="3"/>
        <v>0</v>
      </c>
      <c r="I25" s="178">
        <f t="shared" si="3"/>
        <v>0</v>
      </c>
      <c r="J25" s="177">
        <f t="shared" si="3"/>
        <v>0</v>
      </c>
      <c r="K25" s="178">
        <f t="shared" si="3"/>
        <v>0</v>
      </c>
      <c r="L25" s="179">
        <f t="shared" si="3"/>
        <v>0</v>
      </c>
      <c r="M25" s="141">
        <f t="shared" si="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0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0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0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0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0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0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0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0</v>
      </c>
    </row>
    <row r="43" spans="1:21" ht="15.75" customHeight="1" thickBot="1" x14ac:dyDescent="0.4">
      <c r="N43" s="229" t="s">
        <v>92</v>
      </c>
      <c r="O43" s="230"/>
      <c r="P43" s="160">
        <f>P41+P42</f>
        <v>0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7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26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106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119</v>
      </c>
      <c r="T14" s="263"/>
      <c r="U14" s="263"/>
      <c r="V14" s="263"/>
      <c r="W14" s="264" t="s">
        <v>121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S15" s="185" t="s">
        <v>111</v>
      </c>
      <c r="T15" s="185" t="s">
        <v>112</v>
      </c>
      <c r="U15" s="185" t="s">
        <v>116</v>
      </c>
      <c r="V15" s="185" t="s">
        <v>117</v>
      </c>
      <c r="W15" s="186" t="s">
        <v>111</v>
      </c>
      <c r="X15" s="186" t="s">
        <v>112</v>
      </c>
      <c r="Y15" s="186" t="s">
        <v>116</v>
      </c>
      <c r="Z15" s="186" t="s">
        <v>117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108</v>
      </c>
      <c r="T16" s="183">
        <v>1697</v>
      </c>
      <c r="U16" s="183" t="s">
        <v>113</v>
      </c>
      <c r="V16" s="183">
        <f>T16/40</f>
        <v>42.424999999999997</v>
      </c>
      <c r="W16" s="187" t="s">
        <v>108</v>
      </c>
      <c r="X16" s="187">
        <v>1664</v>
      </c>
      <c r="Y16" s="187" t="s">
        <v>113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110</v>
      </c>
      <c r="T17" s="183">
        <v>2322</v>
      </c>
      <c r="U17" s="183" t="s">
        <v>114</v>
      </c>
      <c r="V17" s="183">
        <f t="shared" ref="V17:V18" si="7">T17/40</f>
        <v>58.05</v>
      </c>
      <c r="W17" s="188" t="s">
        <v>110</v>
      </c>
      <c r="X17" s="187">
        <v>2277</v>
      </c>
      <c r="Y17" s="187" t="s">
        <v>114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109</v>
      </c>
      <c r="T18" s="183">
        <v>3216</v>
      </c>
      <c r="U18" s="183" t="s">
        <v>115</v>
      </c>
      <c r="V18" s="183">
        <f t="shared" si="7"/>
        <v>80.400000000000006</v>
      </c>
      <c r="W18" s="187" t="s">
        <v>109</v>
      </c>
      <c r="X18" s="187">
        <v>3153</v>
      </c>
      <c r="Y18" s="187" t="s">
        <v>115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5" t="s">
        <v>120</v>
      </c>
      <c r="T19" s="265"/>
      <c r="U19" s="265"/>
      <c r="V19" s="265"/>
      <c r="W19" s="266" t="s">
        <v>118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111</v>
      </c>
      <c r="T20" s="185" t="s">
        <v>112</v>
      </c>
      <c r="U20" s="185" t="s">
        <v>116</v>
      </c>
      <c r="V20" s="185" t="s">
        <v>117</v>
      </c>
      <c r="W20" s="185" t="s">
        <v>111</v>
      </c>
      <c r="X20" s="185" t="s">
        <v>112</v>
      </c>
      <c r="Y20" s="185" t="s">
        <v>116</v>
      </c>
      <c r="Z20" s="185" t="s">
        <v>117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108</v>
      </c>
      <c r="T21" s="189">
        <v>1610</v>
      </c>
      <c r="U21" s="189" t="s">
        <v>113</v>
      </c>
      <c r="V21" s="189">
        <f>T21/40</f>
        <v>40.25</v>
      </c>
      <c r="W21" s="191" t="s">
        <v>108</v>
      </c>
      <c r="X21" s="191">
        <v>1642</v>
      </c>
      <c r="Y21" s="191" t="s">
        <v>113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110</v>
      </c>
      <c r="T22" s="189">
        <v>2202</v>
      </c>
      <c r="U22" s="189" t="s">
        <v>114</v>
      </c>
      <c r="V22" s="189">
        <f t="shared" ref="V22:V25" si="9">T22/40</f>
        <v>55.05</v>
      </c>
      <c r="W22" s="192" t="s">
        <v>110</v>
      </c>
      <c r="X22" s="191">
        <v>2246</v>
      </c>
      <c r="Y22" s="191" t="s">
        <v>114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109</v>
      </c>
      <c r="T23" s="189">
        <v>3216</v>
      </c>
      <c r="U23" s="189" t="s">
        <v>115</v>
      </c>
      <c r="V23" s="189">
        <f t="shared" si="9"/>
        <v>80.400000000000006</v>
      </c>
      <c r="W23" s="191" t="s">
        <v>109</v>
      </c>
      <c r="X23" s="191">
        <v>3216</v>
      </c>
      <c r="Y23" s="191" t="s">
        <v>114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109</v>
      </c>
      <c r="T24" s="189">
        <v>3216</v>
      </c>
      <c r="U24" s="189" t="s">
        <v>115</v>
      </c>
      <c r="V24" s="189">
        <f t="shared" si="9"/>
        <v>80.400000000000006</v>
      </c>
      <c r="W24" s="191"/>
      <c r="X24" s="191"/>
      <c r="Y24" s="191" t="s">
        <v>114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0</v>
      </c>
      <c r="I25" s="137">
        <f t="shared" si="13"/>
        <v>0</v>
      </c>
      <c r="J25" s="138"/>
      <c r="K25" s="139">
        <f t="shared" si="13"/>
        <v>0</v>
      </c>
      <c r="L25" s="140">
        <f t="shared" si="13"/>
        <v>0</v>
      </c>
      <c r="M25" s="141">
        <f t="shared" si="1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S25" s="189" t="s">
        <v>109</v>
      </c>
      <c r="T25" s="189">
        <v>3216</v>
      </c>
      <c r="U25" s="189" t="s">
        <v>115</v>
      </c>
      <c r="V25" s="189">
        <f t="shared" si="9"/>
        <v>80.400000000000006</v>
      </c>
      <c r="W25" s="191" t="s">
        <v>109</v>
      </c>
      <c r="X25" s="191">
        <v>3110</v>
      </c>
      <c r="Y25" s="191" t="s">
        <v>115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2026-07-02T04:44:23Z</dcterms:modified>
</cp:coreProperties>
</file>