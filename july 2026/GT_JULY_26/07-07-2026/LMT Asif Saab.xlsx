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9C20E2C5-A543-465F-AF9A-2BD5994A3907}" xr6:coauthVersionLast="47" xr6:coauthVersionMax="47" xr10:uidLastSave="{00000000-0000-0000-0000-000000000000}"/>
  <bookViews>
    <workbookView xWindow="-110" yWindow="-110" windowWidth="19420" windowHeight="10420" tabRatio="949" activeTab="5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  <definedName name="_xlnm.Print_Area" localSheetId="3">'1'!$A$1:$P$36</definedName>
  </definedNames>
  <calcPr calcId="191029"/>
</workbook>
</file>

<file path=xl/calcChain.xml><?xml version="1.0" encoding="utf-8"?>
<calcChain xmlns="http://schemas.openxmlformats.org/spreadsheetml/2006/main">
  <c r="L22" i="16" l="1"/>
  <c r="L17" i="16"/>
  <c r="L18" i="16"/>
  <c r="L19" i="16"/>
  <c r="L20" i="16"/>
  <c r="L21" i="16"/>
  <c r="L22" i="17" l="1"/>
  <c r="L22" i="18"/>
  <c r="L22" i="20"/>
  <c r="L22" i="21"/>
  <c r="L22" i="22"/>
  <c r="L22" i="23"/>
  <c r="L22" i="24"/>
  <c r="L22" i="25"/>
  <c r="L22" i="26"/>
  <c r="L22" i="27"/>
  <c r="L22" i="28"/>
  <c r="L22" i="29"/>
  <c r="L22" i="30"/>
  <c r="L22" i="31"/>
  <c r="L22" i="32"/>
  <c r="L22" i="33"/>
  <c r="L22" i="34"/>
  <c r="L22" i="35"/>
  <c r="K17" i="17"/>
  <c r="K18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K22" i="28" s="1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2" i="35"/>
  <c r="M22" i="35"/>
  <c r="K23" i="35"/>
  <c r="L23" i="35"/>
  <c r="K24" i="35"/>
  <c r="L24" i="35"/>
  <c r="L16" i="34"/>
  <c r="L17" i="34"/>
  <c r="L18" i="34"/>
  <c r="L21" i="34"/>
  <c r="K22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K22" i="32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2" i="30"/>
  <c r="K24" i="30"/>
  <c r="L24" i="30"/>
  <c r="L16" i="29"/>
  <c r="L21" i="29"/>
  <c r="K24" i="29"/>
  <c r="M24" i="29" s="1"/>
  <c r="L24" i="29"/>
  <c r="L17" i="29"/>
  <c r="L20" i="29"/>
  <c r="K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2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I24" i="18"/>
  <c r="L24" i="18" s="1"/>
  <c r="I19" i="19"/>
  <c r="L19" i="19" s="1"/>
  <c r="I20" i="19"/>
  <c r="I21" i="19"/>
  <c r="L21" i="19" s="1"/>
  <c r="I22" i="19"/>
  <c r="L22" i="19" s="1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K19" i="17"/>
  <c r="K20" i="17"/>
  <c r="I21" i="17"/>
  <c r="L21" i="17" s="1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K22" i="22"/>
  <c r="L17" i="22"/>
  <c r="L19" i="22"/>
  <c r="L21" i="22"/>
  <c r="L24" i="20"/>
  <c r="K23" i="20"/>
  <c r="L20" i="19"/>
  <c r="K24" i="19"/>
  <c r="L24" i="19"/>
  <c r="K22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4" i="17" l="1"/>
  <c r="M21" i="19"/>
  <c r="K23" i="24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K22" i="17"/>
  <c r="M22" i="17" s="1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I23" i="15"/>
  <c r="K16" i="16" l="1"/>
  <c r="L16" i="16"/>
  <c r="M23" i="22"/>
  <c r="N23" i="22" s="1"/>
  <c r="O23" i="22" s="1"/>
  <c r="L21" i="15"/>
  <c r="K25" i="19"/>
  <c r="P30" i="19" s="1"/>
  <c r="P31" i="19" s="1"/>
  <c r="K22" i="16"/>
  <c r="L22" i="15"/>
  <c r="L19" i="15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L20" i="15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5" i="19"/>
  <c r="M21" i="15"/>
  <c r="M16" i="16"/>
  <c r="N16" i="16" s="1"/>
  <c r="O16" i="16" s="1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N18" i="15" l="1"/>
  <c r="N16" i="15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<sst xmlns="http://schemas.openxmlformats.org/spreadsheetml/2006/main" count="1631" uniqueCount="128">
  <si>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</si>
  <si>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</si>
  <si>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</si>
  <si>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</si>
  <si>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</si>
  <si>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</si>
  <si>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</si>
  <si>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</si>
  <si>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</si>
  <si>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</si>
  <si>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</si>
  <si>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</si>
  <si>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</si>
  <si>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</si>
  <si>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</si>
  <si>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</si>
  <si>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</si>
  <si>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</si>
  <si>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</si>
  <si>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</si>
  <si>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</si>
  <si>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</si>
  <si>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</si>
  <si>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</si>
  <si>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</si>
  <si>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</si>
  <si>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</si>
  <si>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</si>
  <si>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</si>
  <si>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</si>
  <si>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</si>
  <si>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</si>
  <si>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</si>
  <si>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</si>
  <si>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</si>
  <si>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</si>
  <si>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</si>
  <si>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</si>
  <si>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</si>
  <si>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</si>
  <si>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</si>
  <si>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</si>
  <si>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</si>
  <si>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</si>
  <si>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</si>
  <si>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</si>
  <si>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</si>
  <si>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</si>
  <si>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</si>
  <si>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</si>
  <si>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</si>
  <si>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</si>
  <si>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</si>
  <si>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</si>
  <si>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</si>
  <si>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</si>
  <si>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</si>
  <si>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</si>
  <si>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</si>
  <si>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</si>
  <si>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</si>
  <si>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</si>
  <si>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</si>
  <si>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</si>
  <si>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</si>
  <si>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</si>
  <si>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</si>
  <si>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</si>
  <si>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</si>
  <si>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</si>
  <si>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</si>
  <si>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</si>
  <si>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</si>
  <si>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</si>
  <si>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</si>
  <si>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</si>
  <si>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</si>
  <si>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</si>
  <si>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</si>
  <si>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</si>
  <si>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</si>
  <si>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</si>
  <si>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</si>
  <si>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</si>
  <si>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</si>
  <si>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</si>
  <si>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</si>
  <si>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</si>
  <si>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</si>
  <si>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</si>
  <si>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</si>
  <si>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</si>
  <si>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</si>
  <si>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</si>
  <si>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</si>
  <si>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</si>
  <si>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</si>
  <si>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</si>
  <si>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</si>
  <si>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</si>
  <si>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</si>
  <si>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</si>
  <si>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</si>
  <si>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</si>
  <si>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</si>
  <si>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</si>
  <si>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</si>
  <si>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</si>
  <si>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</si>
  <si>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</si>
  <si>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</si>
  <si>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</si>
  <si>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</si>
  <si>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</si>
  <si>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</si>
  <si>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</si>
  <si>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</si>
  <si>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</si>
  <si>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</si>
  <si>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</si>
  <si>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 xml:space="preserve">Customer Name : Waseem Brother Borrow </t>
  </si>
  <si>
    <t xml:space="preserve">Address: Gulshan Ravi </t>
  </si>
  <si>
    <t xml:space="preserve">Address: Al Noor town </t>
  </si>
  <si>
    <t>Customer Name : NAGINA Food Store</t>
  </si>
  <si>
    <t>Nagina Food</t>
  </si>
  <si>
    <t>Shop Bill Summary (Nagina)</t>
  </si>
  <si>
    <t xml:space="preserve">Customer Name : Asif SB </t>
  </si>
  <si>
    <t>Address: 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</si>
</sst>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8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I10" sqref="I1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I10" sqref="I10"/>
      <selection pane="topRight" activeCell="I10" sqref="I10"/>
      <selection pane="bottomLeft" activeCell="I10" sqref="I10"/>
      <selection pane="bottomRight" activeCell="I10" sqref="I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4"/>
      <c r="B3" s="194"/>
      <c r="C3" s="194"/>
      <c r="D3" s="194"/>
      <c r="E3" s="194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</row>
    <row r="4" spans="1:29" x14ac:dyDescent="0.35">
      <c r="A4" s="196" t="s">
        <v>6</v>
      </c>
      <c r="B4" s="5" t="s">
        <v>7</v>
      </c>
      <c r="C4" s="5"/>
      <c r="D4" s="198" t="s">
        <v>8</v>
      </c>
      <c r="E4" s="200" t="s">
        <v>9</v>
      </c>
      <c r="F4" s="202" t="s">
        <v>3</v>
      </c>
      <c r="G4" s="202"/>
      <c r="H4" s="203" t="s">
        <v>10</v>
      </c>
      <c r="I4" s="203"/>
      <c r="J4" s="204" t="s">
        <v>11</v>
      </c>
      <c r="K4" s="205"/>
      <c r="L4" s="204" t="s">
        <v>12</v>
      </c>
      <c r="M4" s="205"/>
      <c r="N4" s="206" t="s">
        <v>13</v>
      </c>
      <c r="O4" s="206"/>
      <c r="P4" s="204" t="s">
        <v>4</v>
      </c>
      <c r="Q4" s="205"/>
      <c r="R4" s="204" t="s">
        <v>14</v>
      </c>
      <c r="S4" s="205"/>
      <c r="T4" s="207" t="s">
        <v>15</v>
      </c>
      <c r="U4" s="207"/>
      <c r="V4" s="208" t="s">
        <v>16</v>
      </c>
      <c r="W4" s="209"/>
      <c r="X4" s="208" t="s">
        <v>17</v>
      </c>
      <c r="Y4" s="209"/>
    </row>
    <row r="5" spans="1:29" ht="26.25" customHeight="1" thickBot="1" x14ac:dyDescent="0.4">
      <c r="A5" s="197"/>
      <c r="B5" s="7" t="s">
        <v>18</v>
      </c>
      <c r="C5" s="7" t="s">
        <v>8</v>
      </c>
      <c r="D5" s="199"/>
      <c r="E5" s="20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zoomScale="70" zoomScaleNormal="70" workbookViewId="0">
      <selection activeCell="T14" sqref="T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5.08984375" customWidth="1"/>
  </cols>
  <sheetData>
    <row r="2" spans="1:21 16383:16384" ht="21" x14ac:dyDescent="0.5">
      <c r="A2" s="256" t="s">
        <v>45</v>
      </c>
      <c r="B2" s="256"/>
      <c r="C2" s="256"/>
    </row>
    <row r="3" spans="1:21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46214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5" t="s">
        <v>124</v>
      </c>
      <c r="B5" s="255"/>
      <c r="C5" s="255"/>
      <c r="F5" s="70"/>
      <c r="G5" s="71"/>
      <c r="K5" s="240" t="s">
        <v>51</v>
      </c>
      <c r="L5" s="240"/>
      <c r="M5" s="240"/>
      <c r="N5" s="254">
        <f ca="1">N4-1</f>
        <v>46213</v>
      </c>
      <c r="O5" s="241"/>
      <c r="P5" s="241"/>
      <c r="R5" s="70"/>
      <c r="S5" s="71"/>
    </row>
    <row r="6" spans="1:21 16383:16384" ht="15" customHeight="1" x14ac:dyDescent="0.35">
      <c r="A6" s="255"/>
      <c r="B6" s="255"/>
      <c r="C6" s="255"/>
      <c r="F6" s="70"/>
      <c r="G6" s="74"/>
      <c r="K6" s="240" t="s">
        <v>52</v>
      </c>
      <c r="L6" s="240"/>
      <c r="M6" s="240"/>
      <c r="N6" s="253" t="s">
        <v>42</v>
      </c>
      <c r="O6" s="253"/>
      <c r="P6" s="25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21 16383:16384" hidden="1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21 16383:16384" x14ac:dyDescent="0.35">
      <c r="A10" s="238"/>
      <c r="B10" s="75"/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21 16383:16384" ht="15" thickBot="1" x14ac:dyDescent="0.4">
      <c r="A11" s="238"/>
      <c r="B11" s="76"/>
      <c r="C11" s="77"/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21 16383:16384" ht="14.65" customHeight="1" x14ac:dyDescent="0.35">
      <c r="A12" s="238"/>
      <c r="B12" s="76"/>
      <c r="C12" s="77"/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T12" s="210" t="s">
        <v>125</v>
      </c>
      <c r="U12" s="211"/>
      <c r="XFD12" t="s">
        <v>62</v>
      </c>
    </row>
    <row r="13" spans="1:21 16383:16384" ht="15" thickBot="1" x14ac:dyDescent="0.4">
      <c r="A13" s="239"/>
      <c r="J13" s="78"/>
      <c r="K13" s="78"/>
      <c r="L13" s="79">
        <v>0.05</v>
      </c>
      <c r="T13" s="212"/>
      <c r="U13" s="213"/>
      <c r="XFD13" t="s">
        <v>63</v>
      </c>
    </row>
    <row r="14" spans="1:21 16383:16384" ht="29.25" customHeight="1" x14ac:dyDescent="0.6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49" t="s">
        <v>69</v>
      </c>
      <c r="J14" s="249" t="s">
        <v>70</v>
      </c>
      <c r="K14" s="249"/>
      <c r="L14" s="251"/>
      <c r="M14" s="24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NAGINA Food Store</v>
      </c>
      <c r="U14" s="164">
        <f>+'1'!P35</f>
        <v>120412.93642545</v>
      </c>
      <c r="XFD14" t="s">
        <v>75</v>
      </c>
    </row>
    <row r="15" spans="1:21 16383:16384" ht="29.25" customHeight="1" thickBot="1" x14ac:dyDescent="0.65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50"/>
      <c r="J15" s="171" t="s">
        <v>78</v>
      </c>
      <c r="K15" s="171" t="s">
        <v>79</v>
      </c>
      <c r="L15" s="174" t="s">
        <v>80</v>
      </c>
      <c r="M15" s="24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Waseem Brother Borrow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400</v>
      </c>
      <c r="I16" s="1">
        <f>(G16*D16)*F16+H16*F16</f>
        <v>20985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734.47500000000002</v>
      </c>
      <c r="L16" s="175">
        <f>+'1'!L16+'2'!L16+'4'!L16+'3'!L16+'5'!L16+'6'!L16+'7'!L16+'8'!L16+'9'!L16+'10'!L16</f>
        <v>2518.1999999999998</v>
      </c>
      <c r="M16" s="106">
        <f>I16-K16-L16</f>
        <v>17732.325000000001</v>
      </c>
      <c r="N16" s="101">
        <f>+'1'!N16+'2'!N16+'4'!N16+'3'!N16+'5'!N16+'6'!N16+'7'!N16+'8'!N16+'9'!N16+'10'!N16</f>
        <v>3191.8184999999999</v>
      </c>
      <c r="O16" s="101">
        <f>+'1'!O16+'2'!O16+'4'!O16+'3'!O16+'5'!O16+'6'!O16+'7'!O16+'8'!O16+'9'!O16+'10'!O16</f>
        <v>104.62071750000001</v>
      </c>
      <c r="P16" s="105">
        <f t="shared" ref="P16:P24" si="0">M16+N16+O16</f>
        <v>21028.764217500004</v>
      </c>
      <c r="Q16" s="108"/>
      <c r="T16" s="163" t="str">
        <f>+'3'!A5</f>
        <v xml:space="preserve">Customer Name : Asif SB </v>
      </c>
      <c r="U16" s="164">
        <f>+'3'!P35</f>
        <v>212.17202237500004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200</v>
      </c>
      <c r="I17" s="1">
        <f t="shared" ref="I17:I23" si="1">(G17*D17)*F17+H17*F17</f>
        <v>10492.5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367.23750000000001</v>
      </c>
      <c r="L17" s="175">
        <f>+'1'!L17+'2'!L17+'4'!L17+'3'!L17+'5'!L17+'6'!L17+'7'!L17+'8'!L17+'9'!L17+'10'!L17</f>
        <v>1259.0999999999999</v>
      </c>
      <c r="M17" s="118">
        <f t="shared" ref="M17:M23" si="2">I17-K17-L17</f>
        <v>8866.1625000000004</v>
      </c>
      <c r="N17" s="101">
        <f>+'1'!N17+'2'!N17+'4'!N17+'3'!N17+'5'!N17+'6'!N17+'7'!N17+'8'!N17+'9'!N17+'10'!N17</f>
        <v>1595.9092499999999</v>
      </c>
      <c r="O17" s="101">
        <f>+'1'!O17+'2'!O17+'4'!O17+'3'!O17+'5'!O17+'6'!O17+'7'!O17+'8'!O17+'9'!O17+'10'!O17</f>
        <v>52.310358750000006</v>
      </c>
      <c r="P17" s="120">
        <f t="shared" si="0"/>
        <v>10514.382108750002</v>
      </c>
      <c r="S17" s="64"/>
      <c r="T17" s="163" t="str">
        <f>+'4'!A5</f>
        <v xml:space="preserve">Customer Name :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400</v>
      </c>
      <c r="I19" s="1">
        <f t="shared" si="1"/>
        <v>29056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1016.9600000000002</v>
      </c>
      <c r="L19" s="175">
        <f>+'1'!L19+'2'!L19+'4'!L19+'3'!L19+'5'!L19+'6'!L19+'7'!L19+'8'!L19+'9'!L19+'10'!L19</f>
        <v>3486.72</v>
      </c>
      <c r="M19" s="118">
        <f t="shared" si="2"/>
        <v>24552.32</v>
      </c>
      <c r="N19" s="101">
        <f>+'1'!N19+'2'!N19+'4'!N19+'3'!N19+'5'!N19+'6'!N19+'7'!N19+'8'!N19+'9'!N19+'10'!N19</f>
        <v>4419.4175999999998</v>
      </c>
      <c r="O19" s="101">
        <f>+'1'!O19+'2'!O19+'4'!O19+'3'!O19+'5'!O19+'6'!O19+'7'!O19+'8'!O19+'9'!O19+'10'!O19</f>
        <v>144.858688</v>
      </c>
      <c r="P19" s="120">
        <f t="shared" si="0"/>
        <v>29116.596288000001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200</v>
      </c>
      <c r="I20" s="1">
        <f t="shared" si="1"/>
        <v>14528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508.48000000000008</v>
      </c>
      <c r="L20" s="175">
        <f>+'1'!L20+'2'!L20+'4'!L20+'3'!L20+'5'!L20+'6'!L20+'7'!L20+'8'!L20+'9'!L20+'10'!L20</f>
        <v>1743.36</v>
      </c>
      <c r="M20" s="118">
        <f t="shared" si="2"/>
        <v>12276.16</v>
      </c>
      <c r="N20" s="101">
        <f>+'1'!N20+'2'!N20+'4'!N20+'3'!N20+'5'!N20+'6'!N20+'7'!N20+'8'!N20+'9'!N20+'10'!N20</f>
        <v>2209.7087999999999</v>
      </c>
      <c r="O20" s="101">
        <f>+'1'!O20+'2'!O20+'4'!O20+'3'!O20+'5'!O20+'6'!O20+'7'!O20+'8'!O20+'9'!O20+'10'!O20</f>
        <v>72.429344</v>
      </c>
      <c r="P20" s="120">
        <f t="shared" si="0"/>
        <v>14558.298144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400</v>
      </c>
      <c r="I21" s="1">
        <f t="shared" si="1"/>
        <v>29056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1016.9600000000002</v>
      </c>
      <c r="L21" s="175">
        <f>+'1'!L21+'2'!L21+'4'!L21+'3'!L21+'5'!L21+'6'!L21+'7'!L21+'8'!L21+'9'!L21+'10'!L21</f>
        <v>3486.72</v>
      </c>
      <c r="M21" s="118">
        <f t="shared" si="2"/>
        <v>24552.32</v>
      </c>
      <c r="N21" s="101">
        <f>+'1'!N21+'2'!N21+'4'!N21+'3'!N21+'5'!N21+'6'!N21+'7'!N21+'8'!N21+'9'!N21+'10'!N21</f>
        <v>4419.4175999999998</v>
      </c>
      <c r="O21" s="101">
        <f>+'1'!O21+'2'!O21+'4'!O21+'3'!O21+'5'!O21+'6'!O21+'7'!O21+'8'!O21+'9'!O21+'10'!O21</f>
        <v>144.858688</v>
      </c>
      <c r="P21" s="120">
        <f t="shared" si="0"/>
        <v>29116.596288000001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405</v>
      </c>
      <c r="I22" s="1">
        <f t="shared" si="1"/>
        <v>15888.150000000001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556.08525000000009</v>
      </c>
      <c r="L22" s="175">
        <f>+'1'!L22+'2'!L22+'4'!L22+'3'!L22+'5'!L22+'6'!L22+'7'!L22+'8'!L22+'9'!L22+'10'!L22</f>
        <v>1604.5070000000001</v>
      </c>
      <c r="M22" s="118">
        <f t="shared" si="2"/>
        <v>13727.557750000002</v>
      </c>
      <c r="N22" s="101">
        <f>+'1'!N22+'2'!N22+'4'!N22+'3'!N22+'5'!N22+'6'!N22+'7'!N22+'8'!N22+'9'!N22+'10'!N22</f>
        <v>2477.7471850000006</v>
      </c>
      <c r="O22" s="101">
        <f>+'1'!O22+'2'!O22+'4'!O22+'3'!O22+'5'!O22+'6'!O22+'7'!O22+'8'!O22+'9'!O22+'10'!O22</f>
        <v>85.166466575000015</v>
      </c>
      <c r="P22" s="120">
        <f t="shared" si="0"/>
        <v>16290.471401575001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0" t="s">
        <v>84</v>
      </c>
      <c r="B25" s="221"/>
      <c r="C25" s="222">
        <f>H25/40</f>
        <v>50.125</v>
      </c>
      <c r="D25" s="216"/>
      <c r="E25" s="216"/>
      <c r="F25" s="216"/>
      <c r="G25" s="176">
        <f t="shared" ref="G25:M25" si="3">SUM(G16:G24)</f>
        <v>0</v>
      </c>
      <c r="H25" s="177">
        <f t="shared" si="3"/>
        <v>2005</v>
      </c>
      <c r="I25" s="178">
        <f t="shared" si="3"/>
        <v>120005.65</v>
      </c>
      <c r="J25" s="177">
        <f t="shared" si="3"/>
        <v>0</v>
      </c>
      <c r="K25" s="178">
        <f t="shared" si="3"/>
        <v>4200.1977500000003</v>
      </c>
      <c r="L25" s="179">
        <f t="shared" si="3"/>
        <v>14098.606999999998</v>
      </c>
      <c r="M25" s="141">
        <f t="shared" si="3"/>
        <v>101706.84525000001</v>
      </c>
      <c r="N25" s="142">
        <f>SUM(N16:N24)</f>
        <v>18314.018935</v>
      </c>
      <c r="O25" s="143">
        <f>SUM(O16:O24)</f>
        <v>604.24426282500008</v>
      </c>
      <c r="P25" s="144">
        <f>SUM(P16:P24)</f>
        <v>120625.10844782501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120625.108447825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3" t="s">
        <v>85</v>
      </c>
      <c r="C36" s="224"/>
      <c r="D36" s="224"/>
      <c r="E36" s="224"/>
      <c r="F36" s="224"/>
      <c r="G36" s="224"/>
      <c r="H36" s="224"/>
      <c r="I36" s="224"/>
      <c r="J36" s="224"/>
      <c r="K36" s="224"/>
      <c r="L36" s="225"/>
      <c r="N36" s="232" t="s">
        <v>86</v>
      </c>
      <c r="O36" s="233"/>
      <c r="P36" s="152">
        <f>I25</f>
        <v>120005.65</v>
      </c>
    </row>
    <row r="37" spans="1:21" ht="15" customHeight="1" x14ac:dyDescent="0.35">
      <c r="B37" s="226"/>
      <c r="C37" s="227"/>
      <c r="D37" s="227"/>
      <c r="E37" s="227"/>
      <c r="F37" s="227"/>
      <c r="G37" s="227"/>
      <c r="H37" s="227"/>
      <c r="I37" s="227"/>
      <c r="J37" s="227"/>
      <c r="K37" s="227"/>
      <c r="L37" s="228"/>
      <c r="N37" s="234" t="s">
        <v>87</v>
      </c>
      <c r="O37" s="235"/>
      <c r="P37" s="153">
        <f>L25</f>
        <v>14098.606999999998</v>
      </c>
    </row>
    <row r="38" spans="1:21" ht="15" customHeight="1" x14ac:dyDescent="0.35">
      <c r="B38" s="226"/>
      <c r="C38" s="227"/>
      <c r="D38" s="227"/>
      <c r="E38" s="227"/>
      <c r="F38" s="227"/>
      <c r="G38" s="227"/>
      <c r="H38" s="227"/>
      <c r="I38" s="227"/>
      <c r="J38" s="227"/>
      <c r="K38" s="227"/>
      <c r="L38" s="228"/>
      <c r="N38" s="234" t="s">
        <v>4</v>
      </c>
      <c r="O38" s="235"/>
      <c r="P38" s="154">
        <f>K25</f>
        <v>4200.1977500000003</v>
      </c>
    </row>
    <row r="39" spans="1:21" ht="15" customHeight="1" x14ac:dyDescent="0.35">
      <c r="B39" s="226"/>
      <c r="C39" s="227"/>
      <c r="D39" s="227"/>
      <c r="E39" s="227"/>
      <c r="F39" s="227"/>
      <c r="G39" s="227"/>
      <c r="H39" s="227"/>
      <c r="I39" s="227"/>
      <c r="J39" s="227"/>
      <c r="K39" s="227"/>
      <c r="L39" s="228"/>
      <c r="M39" s="2"/>
      <c r="N39" s="234" t="s">
        <v>88</v>
      </c>
      <c r="O39" s="235"/>
      <c r="P39" s="153">
        <f>P36-P37-P38</f>
        <v>101706.84524999998</v>
      </c>
    </row>
    <row r="40" spans="1:21" ht="15" customHeight="1" x14ac:dyDescent="0.35">
      <c r="B40" s="226"/>
      <c r="C40" s="227"/>
      <c r="D40" s="227"/>
      <c r="E40" s="227"/>
      <c r="F40" s="227"/>
      <c r="G40" s="227"/>
      <c r="H40" s="227"/>
      <c r="I40" s="227"/>
      <c r="J40" s="227"/>
      <c r="K40" s="227"/>
      <c r="L40" s="228"/>
      <c r="M40" s="2"/>
      <c r="N40" s="155" t="s">
        <v>89</v>
      </c>
      <c r="O40" s="156">
        <f>IF(B12="Registered",18%,22%)</f>
        <v>0.22</v>
      </c>
      <c r="P40" s="153">
        <f>N25</f>
        <v>18314.018935</v>
      </c>
    </row>
    <row r="41" spans="1:21" ht="15" customHeight="1" x14ac:dyDescent="0.35">
      <c r="B41" s="226"/>
      <c r="C41" s="227"/>
      <c r="D41" s="227"/>
      <c r="E41" s="227"/>
      <c r="F41" s="227"/>
      <c r="G41" s="227"/>
      <c r="H41" s="227"/>
      <c r="I41" s="227"/>
      <c r="J41" s="227"/>
      <c r="K41" s="227"/>
      <c r="L41" s="228"/>
      <c r="M41" s="2"/>
      <c r="N41" s="236" t="s">
        <v>90</v>
      </c>
      <c r="O41" s="237"/>
      <c r="P41" s="153">
        <f>P39+P40</f>
        <v>120020.86418499998</v>
      </c>
    </row>
    <row r="42" spans="1:21" ht="15" customHeight="1" thickBot="1" x14ac:dyDescent="0.4">
      <c r="B42" s="229"/>
      <c r="C42" s="230"/>
      <c r="D42" s="230"/>
      <c r="E42" s="230"/>
      <c r="F42" s="230"/>
      <c r="G42" s="230"/>
      <c r="H42" s="230"/>
      <c r="I42" s="230"/>
      <c r="J42" s="230"/>
      <c r="K42" s="230"/>
      <c r="L42" s="231"/>
      <c r="M42" s="157"/>
      <c r="N42" s="158" t="s">
        <v>91</v>
      </c>
      <c r="O42" s="159">
        <f>IF(B11="Filer",0.5%,2.5%)</f>
        <v>2.5000000000000001E-2</v>
      </c>
      <c r="P42" s="153">
        <f>O42*P41</f>
        <v>3000.5216046249998</v>
      </c>
    </row>
    <row r="43" spans="1:21" ht="15.75" customHeight="1" thickBot="1" x14ac:dyDescent="0.4">
      <c r="N43" s="214" t="s">
        <v>92</v>
      </c>
      <c r="O43" s="215"/>
      <c r="P43" s="160">
        <f>P41+P42</f>
        <v>123021.38578962498</v>
      </c>
    </row>
    <row r="44" spans="1:21" ht="15" thickBot="1" x14ac:dyDescent="0.4">
      <c r="B44" s="161" t="s">
        <v>93</v>
      </c>
      <c r="C44" s="216"/>
      <c r="D44" s="216"/>
      <c r="E44" s="216"/>
      <c r="F44" s="216"/>
      <c r="G44" s="216"/>
      <c r="H44" s="216"/>
      <c r="I44" s="217"/>
      <c r="J44" s="218"/>
      <c r="K44" s="219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6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81640625" bestFit="1" customWidth="1"/>
    <col min="12" max="12" width="8.36328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6" t="s">
        <v>45</v>
      </c>
      <c r="B2" s="256"/>
      <c r="C2" s="256"/>
    </row>
    <row r="3" spans="1:26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46214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7" t="s">
        <v>123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46213</v>
      </c>
      <c r="O5" s="241"/>
      <c r="P5" s="241"/>
      <c r="R5" s="70"/>
      <c r="S5" s="71"/>
    </row>
    <row r="6" spans="1:26 16383:16384" ht="15" customHeight="1" x14ac:dyDescent="0.35">
      <c r="A6" s="240" t="s">
        <v>122</v>
      </c>
      <c r="B6" s="240"/>
      <c r="C6" s="240"/>
      <c r="F6" s="70"/>
      <c r="G6" s="74"/>
      <c r="K6" s="240" t="s">
        <v>52</v>
      </c>
      <c r="L6" s="240"/>
      <c r="M6" s="240"/>
      <c r="N6" s="253" t="s">
        <v>101</v>
      </c>
      <c r="O6" s="253"/>
      <c r="P6" s="25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26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26 16383:16384" x14ac:dyDescent="0.35">
      <c r="A10" s="238" t="s">
        <v>95</v>
      </c>
      <c r="B10" s="75">
        <v>3520101378507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26 16383:16384" x14ac:dyDescent="0.35">
      <c r="A11" s="238"/>
      <c r="B11" s="76" t="s">
        <v>48</v>
      </c>
      <c r="C11" s="77" t="str">
        <f>IF($O34&gt;2.49%,"No","Yes")</f>
        <v>Yes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26 16383:16384" ht="14.65" customHeight="1" x14ac:dyDescent="0.35">
      <c r="A12" s="23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26 16383:16384" ht="15" thickBot="1" x14ac:dyDescent="0.4">
      <c r="A13" s="239"/>
      <c r="B13" s="168">
        <v>3520101378507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S14" s="257" t="s">
        <v>117</v>
      </c>
      <c r="T14" s="257"/>
      <c r="U14" s="257"/>
      <c r="V14" s="257"/>
      <c r="W14" s="258" t="s">
        <v>119</v>
      </c>
      <c r="X14" s="258"/>
      <c r="Y14" s="258"/>
      <c r="Z14" s="258"/>
      <c r="XFD14" t="s">
        <v>75</v>
      </c>
    </row>
    <row r="15" spans="1:26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193">
        <v>0.12</v>
      </c>
      <c r="M15" s="265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400</v>
      </c>
      <c r="I16" s="102">
        <f>(G16*D16)*F16+H16*F16</f>
        <v>20985</v>
      </c>
      <c r="J16" s="103"/>
      <c r="K16" s="104">
        <f>I16*3.5%</f>
        <v>734.47500000000002</v>
      </c>
      <c r="L16" s="105">
        <f>I16*12%</f>
        <v>2518.1999999999998</v>
      </c>
      <c r="M16" s="106">
        <f>I16-K16-L16</f>
        <v>17732.325000000001</v>
      </c>
      <c r="N16" s="106">
        <f t="shared" ref="N16:N24" si="0">(M16*$N$15)+(J16*F16)*$N$15</f>
        <v>3191.8184999999999</v>
      </c>
      <c r="O16" s="107">
        <f t="shared" ref="O16:O24" si="1">(N16+M16)*$O$15</f>
        <v>104.62071750000001</v>
      </c>
      <c r="P16" s="105">
        <f t="shared" ref="P16:P24" si="2">M16+N16+O16</f>
        <v>21028.764217500004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200</v>
      </c>
      <c r="I17" s="116">
        <f t="shared" ref="I17:I23" si="3">(G17*D17)*F17+H17*F17</f>
        <v>10492.5</v>
      </c>
      <c r="J17" s="117"/>
      <c r="K17" s="104">
        <f t="shared" ref="K17:K21" si="4">I17*3.5%</f>
        <v>367.23750000000001</v>
      </c>
      <c r="L17" s="105">
        <f t="shared" ref="L17:L21" si="5">I17*12%</f>
        <v>1259.0999999999999</v>
      </c>
      <c r="M17" s="118">
        <f t="shared" ref="M17:M23" si="6">I17-K17-L17</f>
        <v>8866.1625000000004</v>
      </c>
      <c r="N17" s="118">
        <f t="shared" si="0"/>
        <v>1595.9092499999999</v>
      </c>
      <c r="O17" s="119">
        <f t="shared" si="1"/>
        <v>52.310358750000006</v>
      </c>
      <c r="P17" s="120">
        <f t="shared" si="2"/>
        <v>10514.382108750002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400</v>
      </c>
      <c r="I19" s="116">
        <f t="shared" si="3"/>
        <v>29056</v>
      </c>
      <c r="J19" s="117"/>
      <c r="K19" s="104">
        <f t="shared" si="4"/>
        <v>1016.9600000000002</v>
      </c>
      <c r="L19" s="105">
        <f t="shared" si="5"/>
        <v>3486.72</v>
      </c>
      <c r="M19" s="118">
        <f t="shared" si="6"/>
        <v>24552.32</v>
      </c>
      <c r="N19" s="118">
        <f t="shared" si="0"/>
        <v>4419.4175999999998</v>
      </c>
      <c r="O19" s="119">
        <f t="shared" si="1"/>
        <v>144.858688</v>
      </c>
      <c r="P19" s="120">
        <f t="shared" si="2"/>
        <v>29116.596288000001</v>
      </c>
      <c r="S19" s="259" t="s">
        <v>118</v>
      </c>
      <c r="T19" s="259"/>
      <c r="U19" s="259"/>
      <c r="V19" s="259"/>
      <c r="W19" s="260" t="s">
        <v>116</v>
      </c>
      <c r="X19" s="260"/>
      <c r="Y19" s="260"/>
      <c r="Z19" s="260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200</v>
      </c>
      <c r="I20" s="116">
        <f t="shared" si="3"/>
        <v>14528</v>
      </c>
      <c r="J20" s="117"/>
      <c r="K20" s="104">
        <f t="shared" si="4"/>
        <v>508.48000000000008</v>
      </c>
      <c r="L20" s="105">
        <f t="shared" si="5"/>
        <v>1743.36</v>
      </c>
      <c r="M20" s="118">
        <f t="shared" si="6"/>
        <v>12276.16</v>
      </c>
      <c r="N20" s="118">
        <f t="shared" si="0"/>
        <v>2209.7087999999999</v>
      </c>
      <c r="O20" s="119">
        <f t="shared" si="1"/>
        <v>72.429344</v>
      </c>
      <c r="P20" s="120">
        <f t="shared" si="2"/>
        <v>14558.298144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400</v>
      </c>
      <c r="I21" s="116">
        <f t="shared" si="3"/>
        <v>29056</v>
      </c>
      <c r="J21" s="117"/>
      <c r="K21" s="104">
        <f t="shared" si="4"/>
        <v>1016.9600000000002</v>
      </c>
      <c r="L21" s="105">
        <f t="shared" si="5"/>
        <v>3486.72</v>
      </c>
      <c r="M21" s="118">
        <f t="shared" si="6"/>
        <v>24552.32</v>
      </c>
      <c r="N21" s="118">
        <f t="shared" si="0"/>
        <v>4419.4175999999998</v>
      </c>
      <c r="O21" s="119">
        <f t="shared" si="1"/>
        <v>144.858688</v>
      </c>
      <c r="P21" s="120">
        <f t="shared" si="2"/>
        <v>29116.596288000001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400</v>
      </c>
      <c r="I22" s="116">
        <f t="shared" si="3"/>
        <v>15692.000000000002</v>
      </c>
      <c r="J22" s="117"/>
      <c r="K22" s="1">
        <f>I22*3.5%</f>
        <v>549.22000000000014</v>
      </c>
      <c r="L22" s="105">
        <f>I22*10.1%</f>
        <v>1584.8920000000001</v>
      </c>
      <c r="M22" s="118">
        <f t="shared" si="6"/>
        <v>13557.888000000003</v>
      </c>
      <c r="N22" s="118">
        <f t="shared" si="0"/>
        <v>2440.4198400000005</v>
      </c>
      <c r="O22" s="119">
        <f t="shared" si="1"/>
        <v>79.99153920000002</v>
      </c>
      <c r="P22" s="120">
        <f t="shared" si="2"/>
        <v>16078.299379200003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13">SUM(G16:G24)</f>
        <v>0</v>
      </c>
      <c r="H25" s="136">
        <f t="shared" si="13"/>
        <v>2000</v>
      </c>
      <c r="I25" s="137">
        <f t="shared" si="13"/>
        <v>119809.5</v>
      </c>
      <c r="J25" s="138"/>
      <c r="K25" s="139">
        <f t="shared" si="13"/>
        <v>4193.3325000000004</v>
      </c>
      <c r="L25" s="140">
        <f t="shared" si="13"/>
        <v>14078.991999999998</v>
      </c>
      <c r="M25" s="141">
        <f t="shared" si="13"/>
        <v>101537.17550000001</v>
      </c>
      <c r="N25" s="142">
        <f>SUM(N16:N24)</f>
        <v>18276.691590000002</v>
      </c>
      <c r="O25" s="143">
        <f>SUM(O16:O24)</f>
        <v>599.06933545000004</v>
      </c>
      <c r="P25" s="144">
        <f>SUM(P16:P24)</f>
        <v>120412.93642545001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119809.5</v>
      </c>
    </row>
    <row r="29" spans="1:26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14078.991999999998</v>
      </c>
    </row>
    <row r="30" spans="1:26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4193.3325000000004</v>
      </c>
    </row>
    <row r="31" spans="1:26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101537.1755</v>
      </c>
    </row>
    <row r="32" spans="1:26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0.18</v>
      </c>
      <c r="P32" s="153">
        <f>N25</f>
        <v>18276.691590000002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119813.86709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5.0000000000000001E-3</v>
      </c>
      <c r="P34" s="153">
        <f>O34*P33</f>
        <v>599.06933545000004</v>
      </c>
    </row>
    <row r="35" spans="2:16" ht="15.75" customHeight="1" thickBot="1" x14ac:dyDescent="0.4">
      <c r="N35" s="214" t="s">
        <v>92</v>
      </c>
      <c r="O35" s="215"/>
      <c r="P35" s="160">
        <f>P33+P34</f>
        <v>120412.93642545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83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I19" sqref="I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2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46214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120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46213</v>
      </c>
      <c r="O5" s="241"/>
      <c r="P5" s="241"/>
      <c r="R5" s="70"/>
      <c r="S5" s="71"/>
    </row>
    <row r="6" spans="1:19 16383:16384" ht="15" customHeight="1" x14ac:dyDescent="0.35">
      <c r="A6" s="240" t="s">
        <v>121</v>
      </c>
      <c r="B6" s="240"/>
      <c r="C6" s="240"/>
      <c r="F6" s="70"/>
      <c r="G6" s="74"/>
      <c r="K6" s="240" t="s">
        <v>52</v>
      </c>
      <c r="L6" s="240"/>
      <c r="M6" s="240"/>
      <c r="N6" s="253" t="s">
        <v>100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>
        <v>0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48</v>
      </c>
      <c r="C11" s="77" t="str">
        <f>IF($O34&gt;2.49%,"No","Yes")</f>
        <v>Yes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>
        <v>50</v>
      </c>
      <c r="H19" s="115"/>
      <c r="I19" s="116"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>
        <v>50</v>
      </c>
      <c r="H20" s="115"/>
      <c r="I20" s="116"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100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abSelected="1" topLeftCell="A13" workbookViewId="0">
      <selection activeCell="G27" sqref="G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4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46214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126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46213</v>
      </c>
      <c r="O5" s="241"/>
      <c r="P5" s="241"/>
      <c r="R5" s="70"/>
      <c r="S5" s="71"/>
    </row>
    <row r="6" spans="1:19 16383:16384" ht="15" customHeight="1" x14ac:dyDescent="0.35">
      <c r="A6" s="240" t="s">
        <v>127</v>
      </c>
      <c r="B6" s="240"/>
      <c r="C6" s="240"/>
      <c r="F6" s="70"/>
      <c r="G6" s="74"/>
      <c r="K6" s="240" t="s">
        <v>52</v>
      </c>
      <c r="L6" s="240"/>
      <c r="M6" s="240"/>
      <c r="N6" s="253" t="s">
        <v>101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169">
        <v>0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5</v>
      </c>
      <c r="I22" s="116">
        <f t="shared" si="2"/>
        <v>196.15000000000003</v>
      </c>
      <c r="J22" s="117"/>
      <c r="K22" s="1">
        <f>I22*3.5%</f>
        <v>6.8652500000000014</v>
      </c>
      <c r="L22" s="120">
        <f>I22*10%</f>
        <v>19.615000000000006</v>
      </c>
      <c r="M22" s="118">
        <f t="shared" si="5"/>
        <v>169.66975000000002</v>
      </c>
      <c r="N22" s="118">
        <f t="shared" si="0"/>
        <v>37.327345000000008</v>
      </c>
      <c r="O22" s="119">
        <f t="shared" si="6"/>
        <v>5.1749273750000011</v>
      </c>
      <c r="P22" s="120">
        <f t="shared" si="1"/>
        <v>212.17202237500004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5</v>
      </c>
      <c r="I25" s="137">
        <f t="shared" si="9"/>
        <v>196.15000000000003</v>
      </c>
      <c r="J25" s="138"/>
      <c r="K25" s="139">
        <f t="shared" si="9"/>
        <v>6.8652500000000014</v>
      </c>
      <c r="L25" s="140">
        <f t="shared" si="9"/>
        <v>19.615000000000006</v>
      </c>
      <c r="M25" s="141">
        <f t="shared" si="9"/>
        <v>169.66975000000002</v>
      </c>
      <c r="N25" s="142">
        <f>SUM(N16:N24)</f>
        <v>37.327345000000008</v>
      </c>
      <c r="O25" s="143">
        <f>SUM(O16:O24)</f>
        <v>5.1749273750000011</v>
      </c>
      <c r="P25" s="144">
        <f>SUM(P16:P24)</f>
        <v>212.17202237500004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196.15000000000003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19.615000000000006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6.8652500000000014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169.66975000000002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37.327345000000008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206.99709500000003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5.1749273750000011</v>
      </c>
    </row>
    <row r="35" spans="2:16" ht="15.75" customHeight="1" thickBot="1" x14ac:dyDescent="0.4">
      <c r="N35" s="214" t="s">
        <v>92</v>
      </c>
      <c r="O35" s="215"/>
      <c r="P35" s="160">
        <f>P33+P34</f>
        <v>212.17202237500004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3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46214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102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46213</v>
      </c>
      <c r="O5" s="241"/>
      <c r="P5" s="241"/>
      <c r="R5" s="70"/>
      <c r="S5" s="71"/>
    </row>
    <row r="6" spans="1:19 16383:16384" ht="15" customHeight="1" x14ac:dyDescent="0.35">
      <c r="A6" s="240" t="s">
        <v>103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>
        <v>0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5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46214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102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46213</v>
      </c>
      <c r="O5" s="241"/>
      <c r="P5" s="241"/>
      <c r="R5" s="70"/>
      <c r="S5" s="71"/>
    </row>
    <row r="6" spans="1:19 16383:16384" ht="15" customHeight="1" x14ac:dyDescent="0.35">
      <c r="A6" s="240" t="s">
        <v>103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169">
        <v>0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6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46214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102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46213</v>
      </c>
      <c r="O5" s="241"/>
      <c r="P5" s="241"/>
      <c r="R5" s="70"/>
      <c r="S5" s="71"/>
    </row>
    <row r="6" spans="1:19 16383:16384" ht="15" customHeight="1" x14ac:dyDescent="0.35">
      <c r="A6" s="240" t="s">
        <v>103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>
        <v>0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7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46214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102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46213</v>
      </c>
      <c r="O5" s="241"/>
      <c r="P5" s="241"/>
      <c r="R5" s="70"/>
      <c r="S5" s="71"/>
    </row>
    <row r="6" spans="1:19 16383:16384" ht="15" customHeight="1" x14ac:dyDescent="0.35">
      <c r="A6" s="240" t="s">
        <v>103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169">
        <v>0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8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46214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102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46213</v>
      </c>
      <c r="O5" s="241"/>
      <c r="P5" s="241"/>
      <c r="R5" s="70"/>
      <c r="S5" s="71"/>
    </row>
    <row r="6" spans="1:19 16383:16384" ht="15" customHeight="1" x14ac:dyDescent="0.35">
      <c r="A6" s="240" t="s">
        <v>103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>
        <v>0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9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46214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102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46213</v>
      </c>
      <c r="O5" s="241"/>
      <c r="P5" s="241"/>
      <c r="R5" s="70"/>
      <c r="S5" s="71"/>
    </row>
    <row r="6" spans="1:19 16383:16384" ht="15" customHeight="1" x14ac:dyDescent="0.35">
      <c r="A6" s="240" t="s">
        <v>103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167">
        <v>0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46214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102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46213</v>
      </c>
      <c r="O5" s="241"/>
      <c r="P5" s="241"/>
      <c r="R5" s="70"/>
      <c r="S5" s="71"/>
    </row>
    <row r="6" spans="1:19 16383:16384" ht="15" customHeight="1" x14ac:dyDescent="0.35">
      <c r="A6" s="240" t="s">
        <v>103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>
        <v>0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6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46214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102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46213</v>
      </c>
      <c r="O5" s="241"/>
      <c r="P5" s="241"/>
      <c r="R5" s="70"/>
      <c r="S5" s="71"/>
    </row>
    <row r="6" spans="1:19 16383:16384" ht="15" customHeight="1" x14ac:dyDescent="0.35">
      <c r="A6" s="240" t="s">
        <v>103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>
        <v>0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46214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102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46213</v>
      </c>
      <c r="O5" s="241"/>
      <c r="P5" s="241"/>
      <c r="R5" s="70"/>
      <c r="S5" s="71"/>
    </row>
    <row r="6" spans="1:19 16383:16384" ht="15" customHeight="1" x14ac:dyDescent="0.35">
      <c r="A6" s="240" t="s">
        <v>103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>
        <v>0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46214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102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46213</v>
      </c>
      <c r="O5" s="241"/>
      <c r="P5" s="241"/>
      <c r="R5" s="70"/>
      <c r="S5" s="71"/>
    </row>
    <row r="6" spans="1:19 16383:16384" ht="15" customHeight="1" x14ac:dyDescent="0.35">
      <c r="A6" s="240" t="s">
        <v>103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>
        <v>0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46214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102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46213</v>
      </c>
      <c r="O5" s="241"/>
      <c r="P5" s="241"/>
      <c r="R5" s="70"/>
      <c r="S5" s="71"/>
    </row>
    <row r="6" spans="1:19 16383:16384" ht="15" customHeight="1" x14ac:dyDescent="0.35">
      <c r="A6" s="240" t="s">
        <v>103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>
        <v>0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46214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102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46213</v>
      </c>
      <c r="O5" s="241"/>
      <c r="P5" s="241"/>
      <c r="R5" s="70"/>
      <c r="S5" s="71"/>
    </row>
    <row r="6" spans="1:19 16383:16384" ht="15" customHeight="1" x14ac:dyDescent="0.35">
      <c r="A6" s="240" t="s">
        <v>103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180">
        <v>0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46214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102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46213</v>
      </c>
      <c r="O5" s="241"/>
      <c r="P5" s="241"/>
      <c r="R5" s="70"/>
      <c r="S5" s="71"/>
    </row>
    <row r="6" spans="1:19 16383:16384" ht="15" customHeight="1" x14ac:dyDescent="0.35">
      <c r="A6" s="240" t="s">
        <v>103</v>
      </c>
      <c r="B6" s="240"/>
      <c r="C6" s="240"/>
      <c r="F6" s="70"/>
      <c r="G6" s="74"/>
      <c r="K6" s="240" t="s">
        <v>52</v>
      </c>
      <c r="L6" s="240"/>
      <c r="M6" s="240"/>
      <c r="N6" s="253" t="s">
        <v>97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>
        <v>0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46214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102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46213</v>
      </c>
      <c r="O5" s="241"/>
      <c r="P5" s="241"/>
      <c r="R5" s="70"/>
      <c r="S5" s="71"/>
    </row>
    <row r="6" spans="1:19 16383:16384" ht="15" customHeight="1" x14ac:dyDescent="0.35">
      <c r="A6" s="240" t="s">
        <v>103</v>
      </c>
      <c r="B6" s="240"/>
      <c r="C6" s="240"/>
      <c r="F6" s="70"/>
      <c r="G6" s="74"/>
      <c r="K6" s="240" t="s">
        <v>52</v>
      </c>
      <c r="L6" s="240"/>
      <c r="M6" s="240"/>
      <c r="N6" s="253" t="s">
        <v>97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>
        <v>0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46214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102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46213</v>
      </c>
      <c r="O5" s="241"/>
      <c r="P5" s="241"/>
      <c r="R5" s="70"/>
      <c r="S5" s="71"/>
    </row>
    <row r="6" spans="1:19 16383:16384" ht="15" customHeight="1" x14ac:dyDescent="0.35">
      <c r="A6" s="240" t="s">
        <v>103</v>
      </c>
      <c r="B6" s="240"/>
      <c r="C6" s="240"/>
      <c r="F6" s="70"/>
      <c r="G6" s="74"/>
      <c r="K6" s="240" t="s">
        <v>52</v>
      </c>
      <c r="L6" s="240"/>
      <c r="M6" s="240"/>
      <c r="N6" s="253" t="s">
        <v>97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>
        <v>0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46214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102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46213</v>
      </c>
      <c r="O5" s="241"/>
      <c r="P5" s="241"/>
      <c r="R5" s="70"/>
      <c r="S5" s="71"/>
    </row>
    <row r="6" spans="1:19 16383:16384" ht="15" customHeight="1" x14ac:dyDescent="0.35">
      <c r="A6" s="240" t="s">
        <v>103</v>
      </c>
      <c r="B6" s="240"/>
      <c r="C6" s="240"/>
      <c r="F6" s="70"/>
      <c r="G6" s="74"/>
      <c r="K6" s="240" t="s">
        <v>52</v>
      </c>
      <c r="L6" s="240"/>
      <c r="M6" s="240"/>
      <c r="N6" s="253" t="s">
        <v>97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>
        <v>0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46214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102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46213</v>
      </c>
      <c r="O5" s="241"/>
      <c r="P5" s="241"/>
      <c r="R5" s="70"/>
      <c r="S5" s="71"/>
    </row>
    <row r="6" spans="1:19 16383:16384" ht="15" customHeight="1" x14ac:dyDescent="0.35">
      <c r="A6" s="240" t="s">
        <v>103</v>
      </c>
      <c r="B6" s="240"/>
      <c r="C6" s="240"/>
      <c r="F6" s="70"/>
      <c r="G6" s="74"/>
      <c r="K6" s="240" t="s">
        <v>52</v>
      </c>
      <c r="L6" s="240"/>
      <c r="M6" s="240"/>
      <c r="N6" s="253" t="s">
        <v>97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>
        <v>0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2026-07-11T08:55:50Z</dcterms:modified>
</cp:coreProperties>
</file>