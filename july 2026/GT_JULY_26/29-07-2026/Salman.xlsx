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A4D1EBF-B1A3-45D4-9158-56DC7FD22DDD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44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<sst xmlns="http://schemas.openxmlformats.org/spreadsheetml/2006/main" count="3913" uniqueCount="521">
  <si>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</si>
  <si>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</si>
  <si>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</si>
  <si>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</si>
  <si>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</si>
  <si>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</si>
  <si>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</si>
  <si>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</si>
  <si>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</si>
  <si>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</si>
  <si>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</si>
  <si>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</si>
  <si>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</si>
  <si>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</si>
  <si>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</si>
  <si>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</si>
  <si>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</si>
  <si>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</si>
  <si>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</si>
  <si>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</si>
  <si>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</si>
  <si>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</si>
  <si>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</si>
  <si>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</si>
  <si>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</si>
  <si>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</si>
  <si>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</si>
  <si>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</si>
  <si>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</si>
  <si>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</si>
  <si>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</si>
  <si>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</si>
  <si>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</si>
  <si>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</si>
  <si>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</si>
  <si>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</si>
  <si>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</si>
  <si>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</si>
  <si>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</si>
  <si>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</si>
  <si>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</si>
  <si>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</si>
  <si>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</si>
  <si>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</si>
  <si>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</si>
  <si>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</si>
  <si>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</si>
  <si>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</si>
  <si>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</si>
  <si>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</si>
  <si>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</si>
  <si>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</si>
  <si>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</si>
  <si>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</si>
  <si>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</si>
  <si>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</si>
  <si>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</si>
  <si>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</si>
  <si>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</si>
  <si>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</si>
  <si>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</si>
  <si>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</si>
  <si>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</si>
  <si>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</si>
  <si>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</si>
  <si>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</si>
  <si>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</si>
  <si>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</si>
  <si>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</si>
  <si>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</si>
  <si>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</si>
  <si>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</si>
  <si>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</si>
  <si>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</si>
  <si>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</si>
  <si>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</si>
  <si>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</si>
  <si>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</si>
  <si>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</si>
  <si>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</si>
  <si>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</si>
  <si>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</si>
  <si>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</si>
  <si>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</si>
  <si>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</si>
  <si>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</si>
  <si>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</si>
  <si>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</si>
  <si>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</si>
  <si>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</si>
  <si>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</si>
  <si>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</si>
  <si>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</si>
  <si>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</si>
  <si>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</si>
  <si>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</si>
  <si>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</si>
  <si>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</si>
  <si>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</si>
  <si>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</si>
  <si>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</si>
  <si>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</si>
  <si>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</si>
  <si>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</si>
  <si>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</si>
  <si>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</si>
  <si>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</si>
  <si>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</si>
  <si>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</si>
  <si>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</si>
  <si>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</si>
  <si>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</si>
  <si>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</si>
  <si>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</si>
  <si>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</si>
  <si>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</si>
  <si>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</si>
  <si>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</si>
  <si>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</si>
  <si>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</si>
  <si>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</si>
  <si>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</si>
  <si>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</si>
  <si>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</si>
  <si>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</si>
  <si>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</si>
  <si>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</si>
  <si>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</si>
  <si>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</si>
  <si>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</si>
  <si>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</si>
  <si>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</si>
  <si>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</si>
  <si>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</si>
  <si>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</si>
  <si>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</si>
  <si>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</si>
  <si>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</si>
  <si>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</si>
  <si>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</si>
  <si>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</si>
  <si>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</si>
  <si>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</si>
  <si>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</si>
  <si>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</si>
  <si>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</si>
  <si>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</si>
  <si>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</si>
  <si>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</si>
  <si>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</si>
  <si>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</si>
  <si>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</si>
  <si>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</si>
  <si>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</si>
  <si>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</si>
  <si>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</si>
  <si>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</si>
  <si>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</si>
  <si>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</si>
  <si>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</si>
  <si>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</si>
  <si>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</si>
  <si>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</si>
  <si>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</si>
  <si>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</si>
  <si>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</si>
  <si>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</si>
  <si>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</si>
  <si>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</si>
  <si>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</si>
  <si>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</si>
  <si>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</si>
  <si>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</si>
  <si>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</si>
  <si>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</si>
  <si>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</si>
  <si>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</si>
  <si>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</si>
  <si>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</si>
  <si>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</si>
  <si>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</si>
  <si>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</si>
  <si>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</si>
  <si>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</si>
  <si>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</si>
  <si>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</si>
  <si>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</si>
  <si>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</si>
  <si>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</si>
  <si>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</si>
  <si>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</si>
  <si>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</si>
  <si>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</si>
  <si>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</si>
  <si>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</si>
  <si>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</si>
  <si>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</si>
  <si>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</si>
  <si>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</si>
  <si>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</si>
  <si>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</si>
  <si>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</si>
  <si>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</si>
  <si>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</si>
  <si>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</si>
  <si>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</si>
  <si>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</si>
  <si>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</si>
  <si>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</si>
  <si>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</si>
  <si>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</si>
  <si>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</si>
  <si>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</si>
  <si>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</si>
  <si>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</si>
  <si>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</si>
  <si>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</si>
  <si>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</si>
  <si>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</si>
  <si>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</si>
  <si>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</si>
  <si>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</si>
  <si>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</si>
  <si>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</si>
  <si>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</si>
  <si>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</si>
  <si>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</si>
  <si>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</si>
  <si>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</si>
  <si>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</si>
  <si>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</si>
  <si>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</si>
  <si>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</si>
  <si>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</si>
  <si>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</si>
  <si>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</si>
  <si>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</si>
  <si>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</si>
  <si>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</si>
  <si>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</si>
  <si>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</si>
  <si>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</si>
  <si>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</si>
  <si>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</si>
  <si>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</si>
  <si>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</si>
  <si>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</si>
  <si>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</si>
  <si>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</si>
  <si>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</si>
  <si>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</si>
  <si>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</si>
  <si>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</si>
  <si>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</si>
  <si>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</si>
  <si>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</si>
  <si>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</si>
  <si>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</si>
  <si>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</si>
  <si>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</si>
  <si>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</si>
  <si>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</si>
  <si>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</si>
  <si>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</si>
  <si>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</si>
  <si>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</si>
  <si>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</si>
  <si>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</si>
  <si>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</si>
  <si>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</si>
  <si>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</si>
  <si>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</si>
  <si>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</si>
  <si>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</si>
  <si>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</si>
  <si>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</si>
  <si>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</si>
  <si>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</si>
  <si>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</si>
  <si>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</si>
  <si>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</si>
  <si>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</si>
  <si>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</si>
  <si>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</si>
  <si>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</si>
  <si>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</si>
  <si>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</si>
  <si>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</si>
  <si>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</si>
  <si>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</si>
  <si>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</si>
  <si>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</si>
  <si>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</si>
  <si>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</si>
  <si>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</si>
  <si>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</si>
  <si>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</si>
  <si>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</si>
  <si>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</si>
  <si>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</si>
  <si>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</si>
  <si>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</si>
  <si>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</si>
  <si>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</si>
  <si>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</si>
  <si>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</si>
  <si>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</si>
  <si>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</si>
  <si>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</si>
  <si>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</si>
  <si>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</si>
  <si>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</si>
  <si>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</si>
  <si>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</si>
  <si>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</si>
  <si>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</si>
  <si>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</si>
  <si>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</si>
  <si>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</si>
  <si>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</si>
  <si>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</si>
  <si>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</si>
  <si>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</si>
  <si>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</si>
  <si>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</si>
  <si>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</si>
  <si>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</si>
  <si>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</si>
  <si>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</si>
  <si>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</si>
  <si>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</si>
  <si>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</si>
  <si>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</si>
  <si>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</si>
  <si>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</si>
  <si>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</si>
  <si>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</si>
  <si>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</si>
  <si>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</si>
  <si>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</si>
  <si>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</si>
  <si>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</si>
  <si>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</si>
  <si>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</si>
  <si>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</si>
  <si>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</si>
  <si>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</si>
  <si>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</si>
  <si>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</si>
  <si>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</si>
  <si>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</si>
  <si>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</si>
  <si>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</si>
  <si>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</si>
  <si>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</si>
  <si>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</si>
  <si>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</si>
  <si>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</si>
  <si>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</si>
  <si>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</si>
  <si>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</si>
  <si>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</si>
  <si>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</si>
  <si>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</si>
  <si>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</si>
  <si>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</si>
  <si>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</si>
  <si>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</si>
  <si>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</si>
  <si>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</si>
  <si>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</si>
  <si>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</si>
  <si>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</si>
  <si>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</si>
  <si>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</si>
  <si>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</si>
  <si>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</si>
  <si>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</si>
  <si>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</si>
  <si>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</si>
  <si>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</si>
  <si>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</si>
  <si>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</si>
  <si>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</si>
  <si>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</si>
  <si>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</si>
  <si>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</si>
  <si>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</si>
  <si>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</si>
  <si>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</si>
  <si>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</si>
  <si>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</si>
  <si>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</si>
  <si>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</si>
  <si>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</si>
  <si>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</si>
  <si>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</si>
  <si>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</si>
  <si>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</si>
  <si>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</si>
  <si>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</si>
  <si>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</si>
  <si>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</si>
  <si>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</si>
  <si>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</si>
  <si>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</si>
  <si>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</si>
  <si>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</si>
  <si>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</si>
  <si>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</si>
  <si>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</si>
  <si>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</si>
  <si>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</si>
  <si>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</si>
  <si>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</si>
  <si>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</si>
  <si>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</si>
  <si>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</si>
  <si>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</si>
  <si>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</si>
  <si>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</si>
  <si>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</si>
  <si>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</si>
  <si>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</si>
  <si>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</si>
  <si>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</si>
  <si>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</si>
  <si>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</si>
  <si>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</si>
  <si>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</si>
  <si>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</si>
  <si>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</si>
  <si>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</si>
  <si>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</si>
  <si>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</si>
  <si>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</si>
  <si>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</si>
  <si>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</si>
  <si>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</si>
  <si>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</si>
  <si>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</si>
  <si>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</si>
  <si>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</si>
  <si>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</si>
  <si>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</si>
  <si>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</si>
  <si>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</si>
  <si>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</si>
  <si>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</si>
  <si>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</si>
  <si>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</si>
  <si>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</si>
  <si>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</si>
  <si>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</si>
  <si>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</si>
  <si>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</si>
  <si>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</si>
  <si>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</si>
  <si>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</si>
  <si>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</si>
  <si>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</si>
  <si>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</si>
  <si>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</si>
  <si>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</si>
  <si>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</si>
  <si>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</si>
  <si>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</si>
  <si>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</si>
  <si>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</si>
  <si>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</si>
  <si>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</si>
  <si>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</si>
  <si>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</si>
  <si>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</si>
  <si>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</si>
  <si>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</si>
  <si>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</si>
  <si>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</si>
  <si>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</si>
  <si>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</si>
  <si>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</si>
  <si>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</si>
  <si>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</si>
  <si>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</si>
  <si>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</si>
  <si>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</si>
  <si>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</si>
  <si>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</si>
  <si>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</si>
  <si>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</si>
  <si>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</si>
  <si>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</si>
  <si>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</si>
  <si>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</si>
  <si>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</si>
  <si>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</si>
  <si>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</si>
  <si>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</si>
  <si>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</si>
  <si>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</si>
  <si>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</si>
  <si>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</si>
  <si>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</si>
  <si>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</si>
  <si>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</si>
  <si>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</si>
  <si>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</si>
  <si>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</si>
  <si>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</si>
  <si>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</si>
  <si>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</si>
  <si>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Salman</t>
  </si>
  <si>
    <t xml:space="preserve">Al Makkah Cash &amp; Carry </t>
  </si>
  <si>
    <t xml:space="preserve">Address:Askari </t>
  </si>
  <si>
    <t xml:space="preserve">Askari Cash &amp; Carry </t>
  </si>
  <si>
    <t>Quality Store</t>
  </si>
  <si>
    <t>Hikma Store</t>
  </si>
  <si>
    <t>MA General Store</t>
  </si>
  <si>
    <t xml:space="preserve">Kashmir Bakers </t>
  </si>
  <si>
    <t>Five Start General Store</t>
  </si>
  <si>
    <t>Madina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</si>
</sst>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511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46232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 xml:space="preserve">Al Makkah Cash &amp; Carry 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Askari Cash &amp; Carry </v>
      </c>
      <c r="T4" s="301">
        <f>+'2'!P35</f>
        <v>3762.1533026440679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Quality Store</v>
      </c>
      <c r="T5" s="301">
        <f>+'3'!P35</f>
        <v>4002.8592754754241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Hikma Store</v>
      </c>
      <c r="T6" s="301">
        <f>+'4'!P35</f>
        <v>1881.7269510508474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64</v>
      </c>
      <c r="I7" s="235">
        <f>(G7*D7)*F7+H7*F7</f>
        <v>3357.6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268.608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117.51600000000001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2971.4759999999997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634.57627118644041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18.030261355932204</v>
      </c>
      <c r="P7" s="118">
        <f>M7+N7+O7</f>
        <v>3624.0825325423721</v>
      </c>
      <c r="Q7" s="142"/>
      <c r="R7" s="299">
        <v>5</v>
      </c>
      <c r="S7" s="300" t="str">
        <f>+'5'!A6:A6</f>
        <v>MA General Store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119">
        <f t="shared" ref="P8:P15" si="2">M8+N8+O8</f>
        <v>679.51547485169488</v>
      </c>
      <c r="R8" s="299">
        <v>6</v>
      </c>
      <c r="S8" s="300" t="str">
        <f>+'6'!A6:A6</f>
        <v xml:space="preserve">Kashmir Bakers </v>
      </c>
      <c r="T8" s="301">
        <f>+'6'!P35</f>
        <v>4682.3747503271188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Five Start General Store</v>
      </c>
      <c r="T9" s="301">
        <f>+'7'!P35</f>
        <v>4805.3894985762709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27.305324745762711</v>
      </c>
      <c r="P10" s="119">
        <f t="shared" si="2"/>
        <v>5488.3702738983056</v>
      </c>
      <c r="R10" s="299">
        <v>8</v>
      </c>
      <c r="S10" s="300" t="str">
        <f>+'8'!A6:A6</f>
        <v>Madina Store</v>
      </c>
      <c r="T10" s="301">
        <f>+'8'!P35</f>
        <v>834.58895674576274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2571.4559999999997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15.603042711864409</v>
      </c>
      <c r="P11" s="119">
        <f t="shared" si="2"/>
        <v>3136.2115850847454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66</v>
      </c>
      <c r="I12" s="236">
        <f t="shared" si="0"/>
        <v>4794.24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383.53919999999999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167.79840000000002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4242.9023999999999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906.10169491525437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25.745020474576272</v>
      </c>
      <c r="P12" s="119">
        <f t="shared" si="2"/>
        <v>5174.7491153898309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139</v>
      </c>
      <c r="I13" s="236">
        <f t="shared" si="0"/>
        <v>5452.97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272.64850000000007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190.85395000000005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278.10147000000001</v>
      </c>
      <c r="M13" s="230">
        <f t="shared" si="1"/>
        <v>4711.3660799999998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1060.1694915254232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28.85767785762712</v>
      </c>
      <c r="P13" s="119">
        <f t="shared" si="2"/>
        <v>5800.3932493830498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9.7750000000000004</v>
      </c>
      <c r="H16" s="113">
        <f t="shared" ref="H16:M16" si="3">SUM(H7:H15)</f>
        <v>391</v>
      </c>
      <c r="I16" s="114">
        <f t="shared" si="3"/>
        <v>22224.760000000002</v>
      </c>
      <c r="J16" s="274">
        <f>SUM(J7:J15)</f>
        <v>1614.3916999999999</v>
      </c>
      <c r="K16" s="275">
        <f t="shared" si="3"/>
        <v>777.86660000000018</v>
      </c>
      <c r="L16" s="276">
        <f t="shared" si="3"/>
        <v>278.10147000000001</v>
      </c>
      <c r="M16" s="232">
        <f t="shared" si="3"/>
        <v>19554.400229999999</v>
      </c>
      <c r="N16" s="233">
        <f>SUM(N7:N15)</f>
        <v>4229.9999999999991</v>
      </c>
      <c r="O16" s="101">
        <f>SUM(O7:O15)</f>
        <v>118.92200115</v>
      </c>
      <c r="P16" s="234">
        <f>SUM(P7:P15)</f>
        <v>23903.322231149999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22224.760000000002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1614.3916999999999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1055.9680700000001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19554.400230000003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4229.9999999999991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23784.400230000003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118.92200115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23903.322231150003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23903.322231149999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opLeftCell="A7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7.25" customHeight="1" x14ac:dyDescent="0.4">
      <c r="A6" s="388" t="s">
        <v>512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2098.5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167.88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73.447500000000005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1857.1724999999999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2253.7826694915252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34" t="s">
        <v>88</v>
      </c>
      <c r="O35" s="335"/>
      <c r="P35" s="297">
        <f>+P33+P34</f>
        <v>2265.051582838983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topLeftCell="A7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119">
        <f t="shared" si="5"/>
        <v>625.941717559322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55</v>
      </c>
      <c r="I25" s="114">
        <f t="shared" si="7"/>
        <v>3494.05</v>
      </c>
      <c r="J25" s="274">
        <f>SUM(J16:J24)</f>
        <v>261.87049999999999</v>
      </c>
      <c r="K25" s="275">
        <f t="shared" si="7"/>
        <v>122.29175000000001</v>
      </c>
      <c r="L25" s="276">
        <f t="shared" si="7"/>
        <v>30.010950000000001</v>
      </c>
      <c r="M25" s="232">
        <f t="shared" si="7"/>
        <v>3079.8767999999995</v>
      </c>
      <c r="N25" s="233">
        <f>SUM(N16:N24)</f>
        <v>663.5593220338983</v>
      </c>
      <c r="O25" s="101">
        <f>SUM(O16:O24)</f>
        <v>18.717180610169493</v>
      </c>
      <c r="P25" s="234">
        <f>SUM(P16:P24)</f>
        <v>3762.1533026440679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3494.05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261.87049999999999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152.30270000000002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3079.8768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663.5593220338983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3743.4361220338983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18.717180610169493</v>
      </c>
    </row>
    <row r="35" spans="2:16" ht="15.75" customHeight="1" thickBot="1" x14ac:dyDescent="0.4">
      <c r="N35" s="334" t="s">
        <v>88</v>
      </c>
      <c r="O35" s="335"/>
      <c r="P35" s="297">
        <f>+P33+P34</f>
        <v>3762.1533026440679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topLeftCell="A4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8.7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60</v>
      </c>
      <c r="I25" s="114">
        <f t="shared" si="7"/>
        <v>3715.3500000000004</v>
      </c>
      <c r="J25" s="274">
        <f>SUM(J16:J24)</f>
        <v>283.10520000000002</v>
      </c>
      <c r="K25" s="275">
        <f t="shared" si="7"/>
        <v>130.03725000000003</v>
      </c>
      <c r="L25" s="276">
        <f t="shared" si="7"/>
        <v>24.008760000000002</v>
      </c>
      <c r="M25" s="232">
        <f t="shared" si="7"/>
        <v>3278.1987899999999</v>
      </c>
      <c r="N25" s="233">
        <f>SUM(N16:N24)</f>
        <v>704.74576271186436</v>
      </c>
      <c r="O25" s="101">
        <f>SUM(O16:O24)</f>
        <v>19.914722763559322</v>
      </c>
      <c r="P25" s="234">
        <f>SUM(P16:P24)</f>
        <v>4002.8592754754241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3715.3500000000004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283.10520000000002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154.04601000000002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3278.1987900000004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704.74576271186436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3982.9445527118646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19.914722763559322</v>
      </c>
    </row>
    <row r="35" spans="2:16" ht="15.75" customHeight="1" thickBot="1" x14ac:dyDescent="0.4">
      <c r="N35" s="334" t="s">
        <v>88</v>
      </c>
      <c r="O35" s="335"/>
      <c r="P35" s="297">
        <f>+P33+P34</f>
        <v>4002.8592754754241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topLeftCell="A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1743.3600000000001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139.46880000000002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61.017600000000009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1542.8736000000001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1872.3651254237288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34" t="s">
        <v>88</v>
      </c>
      <c r="O35" s="335"/>
      <c r="P35" s="297">
        <f>+P33+P34</f>
        <v>1881.7269510508474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topLeftCell="A5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517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1569.2000000000003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78.460000000000022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134.95120000000003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1355.7888000000003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1660.873545762712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4" t="s">
        <v>88</v>
      </c>
      <c r="O35" s="335"/>
      <c r="P35" s="297">
        <f>+P33+P34</f>
        <v>1669.1779134915255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topLeftCell="A4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518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72</v>
      </c>
      <c r="I25" s="114">
        <f t="shared" si="7"/>
        <v>4344.9000000000005</v>
      </c>
      <c r="J25" s="274">
        <f>SUM(J16:J24)</f>
        <v>333.4692</v>
      </c>
      <c r="K25" s="275">
        <f t="shared" si="7"/>
        <v>152.07150000000001</v>
      </c>
      <c r="L25" s="276">
        <f t="shared" si="7"/>
        <v>24.008760000000002</v>
      </c>
      <c r="M25" s="232">
        <f t="shared" si="7"/>
        <v>3835.3505399999999</v>
      </c>
      <c r="N25" s="233">
        <f>SUM(N16:N24)</f>
        <v>823.72881355932202</v>
      </c>
      <c r="O25" s="101">
        <f>SUM(O16:O24)</f>
        <v>23.295396767796611</v>
      </c>
      <c r="P25" s="234">
        <f>SUM(P16:P24)</f>
        <v>4682.3747503271179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4344.9000000000005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333.4692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176.08026000000001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3835.3505400000004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823.72881355932202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4659.079353559322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23.295396767796611</v>
      </c>
    </row>
    <row r="35" spans="2:16" ht="15.75" customHeight="1" thickBot="1" x14ac:dyDescent="0.4">
      <c r="N35" s="334" t="s">
        <v>88</v>
      </c>
      <c r="O35" s="335"/>
      <c r="P35" s="297">
        <f>+P33+P34</f>
        <v>4682.3747503271188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519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25</v>
      </c>
      <c r="I19" s="236">
        <f t="shared" si="0"/>
        <v>1816</v>
      </c>
      <c r="J19" s="272">
        <f t="shared" si="1"/>
        <v>145.28</v>
      </c>
      <c r="K19" s="128">
        <f t="shared" si="1"/>
        <v>63.560000000000009</v>
      </c>
      <c r="L19" s="119">
        <f t="shared" si="1"/>
        <v>0</v>
      </c>
      <c r="M19" s="230">
        <f t="shared" si="2"/>
        <v>1607.16</v>
      </c>
      <c r="N19" s="277">
        <f t="shared" si="3"/>
        <v>343.22033898305085</v>
      </c>
      <c r="O19" s="239">
        <f t="shared" si="4"/>
        <v>9.7519016949152544</v>
      </c>
      <c r="P19" s="119">
        <f t="shared" si="5"/>
        <v>1960.1322406779661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4474.8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310.90800000000002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236.64720000000003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3927.2447999999999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4781.4820881355927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34" t="s">
        <v>88</v>
      </c>
      <c r="O35" s="335"/>
      <c r="P35" s="297">
        <f>+P33+P34</f>
        <v>4805.3894985762709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520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784.60000000000014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39.230000000000011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67.475600000000014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677.89440000000013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830.43677288135598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34" t="s">
        <v>88</v>
      </c>
      <c r="O35" s="335"/>
      <c r="P35" s="297">
        <f>+P33+P34</f>
        <v>834.58895674576274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8.7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46232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46231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46232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46231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2026-07-28T11:52:23Z</dcterms:modified>
</cp:coreProperties>
</file>