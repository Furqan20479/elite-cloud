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78E2A2C-CF68-4FB0-A449-09DDB7CB560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53"/>
  <c r="O20" i="53" s="1"/>
  <c r="P20" i="53" s="1"/>
  <c r="R20" i="53" s="1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<sst xmlns="http://schemas.openxmlformats.org/spreadsheetml/2006/main" count="3913" uniqueCount="527">
  <si>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</si>
  <si>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</si>
  <si>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</si>
  <si>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</si>
  <si>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</si>
  <si>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</si>
  <si>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</si>
  <si>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</si>
  <si>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</si>
  <si>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</si>
  <si>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</si>
  <si>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</si>
  <si>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</si>
  <si>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</si>
  <si>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</si>
  <si>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</si>
  <si>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</si>
  <si>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</si>
  <si>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</si>
  <si>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</si>
  <si>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</si>
  <si>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</si>
  <si>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</si>
  <si>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</si>
  <si>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</si>
  <si>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</si>
  <si>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</si>
  <si>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</si>
  <si>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</si>
  <si>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</si>
  <si>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</si>
  <si>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</si>
  <si>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</si>
  <si>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</si>
  <si>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</si>
  <si>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</si>
  <si>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</si>
  <si>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</si>
  <si>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</si>
  <si>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</si>
  <si>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</si>
  <si>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</si>
  <si>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</si>
  <si>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</si>
  <si>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</si>
  <si>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</si>
  <si>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</si>
  <si>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</si>
  <si>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</si>
  <si>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</si>
  <si>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</si>
  <si>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</si>
  <si>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</si>
  <si>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</si>
  <si>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</si>
  <si>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</si>
  <si>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</si>
  <si>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</si>
  <si>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</si>
  <si>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</si>
  <si>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</si>
  <si>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</si>
  <si>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</si>
  <si>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</si>
  <si>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</si>
  <si>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</si>
  <si>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</si>
  <si>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</si>
  <si>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</si>
  <si>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</si>
  <si>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</si>
  <si>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</si>
  <si>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</si>
  <si>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</si>
  <si>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</si>
  <si>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</si>
  <si>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</si>
  <si>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</si>
  <si>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</si>
  <si>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</si>
  <si>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</si>
  <si>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</si>
  <si>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</si>
  <si>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</si>
  <si>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</si>
  <si>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</si>
  <si>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</si>
  <si>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</si>
  <si>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</si>
  <si>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</si>
  <si>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</si>
  <si>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</si>
  <si>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</si>
  <si>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</si>
  <si>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</si>
  <si>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</si>
  <si>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</si>
  <si>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</si>
  <si>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</si>
  <si>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</si>
  <si>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</si>
  <si>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</si>
  <si>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</si>
  <si>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</si>
  <si>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</si>
  <si>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</si>
  <si>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</si>
  <si>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</si>
  <si>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</si>
  <si>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</si>
  <si>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</si>
  <si>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</si>
  <si>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</si>
  <si>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</si>
  <si>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</si>
  <si>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</si>
  <si>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</si>
  <si>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</si>
  <si>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</si>
  <si>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</si>
  <si>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</si>
  <si>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</si>
  <si>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</si>
  <si>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</si>
  <si>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</si>
  <si>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</si>
  <si>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</si>
  <si>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</si>
  <si>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</si>
  <si>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</si>
  <si>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</si>
  <si>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</si>
  <si>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</si>
  <si>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</si>
  <si>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</si>
  <si>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</si>
  <si>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</si>
  <si>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</si>
  <si>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</si>
  <si>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</si>
  <si>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</si>
  <si>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</si>
  <si>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</si>
  <si>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</si>
  <si>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</si>
  <si>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</si>
  <si>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</si>
  <si>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</si>
  <si>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</si>
  <si>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</si>
  <si>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</si>
  <si>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</si>
  <si>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</si>
  <si>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</si>
  <si>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</si>
  <si>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</si>
  <si>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</si>
  <si>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</si>
  <si>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</si>
  <si>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</si>
  <si>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</si>
  <si>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</si>
  <si>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</si>
  <si>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</si>
  <si>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</si>
  <si>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</si>
  <si>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</si>
  <si>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</si>
  <si>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</si>
  <si>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</si>
  <si>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</si>
  <si>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</si>
  <si>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</si>
  <si>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</si>
  <si>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</si>
  <si>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</si>
  <si>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</si>
  <si>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</si>
  <si>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</si>
  <si>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</si>
  <si>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</si>
  <si>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</si>
  <si>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</si>
  <si>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</si>
  <si>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</si>
  <si>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</si>
  <si>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</si>
  <si>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</si>
  <si>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</si>
  <si>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</si>
  <si>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</si>
  <si>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</si>
  <si>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</si>
  <si>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</si>
  <si>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</si>
  <si>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</si>
  <si>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</si>
  <si>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</si>
  <si>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</si>
  <si>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</si>
  <si>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</si>
  <si>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</si>
  <si>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</si>
  <si>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</si>
  <si>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</si>
  <si>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</si>
  <si>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</si>
  <si>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</si>
  <si>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</si>
  <si>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</si>
  <si>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</si>
  <si>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</si>
  <si>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</si>
  <si>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</si>
  <si>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</si>
  <si>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</si>
  <si>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</si>
  <si>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</si>
  <si>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</si>
  <si>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</si>
  <si>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</si>
  <si>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</si>
  <si>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</si>
  <si>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</si>
  <si>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</si>
  <si>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</si>
  <si>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</si>
  <si>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</si>
  <si>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</si>
  <si>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</si>
  <si>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</si>
  <si>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</si>
  <si>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</si>
  <si>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</si>
  <si>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</si>
  <si>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</si>
  <si>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</si>
  <si>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</si>
  <si>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</si>
  <si>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</si>
  <si>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</si>
  <si>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</si>
  <si>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</si>
  <si>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</si>
  <si>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</si>
  <si>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</si>
  <si>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</si>
  <si>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</si>
  <si>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</si>
  <si>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</si>
  <si>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</si>
  <si>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</si>
  <si>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</si>
  <si>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</si>
  <si>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</si>
  <si>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</si>
  <si>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</si>
  <si>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</si>
  <si>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</si>
  <si>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</si>
  <si>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</si>
  <si>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</si>
  <si>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</si>
  <si>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</si>
  <si>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</si>
  <si>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</si>
  <si>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</si>
  <si>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</si>
  <si>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</si>
  <si>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</si>
  <si>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</si>
  <si>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</si>
  <si>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</si>
  <si>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</si>
  <si>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</si>
  <si>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</si>
  <si>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</si>
  <si>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</si>
  <si>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</si>
  <si>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</si>
  <si>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</si>
  <si>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</si>
  <si>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</si>
  <si>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</si>
  <si>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</si>
  <si>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</si>
  <si>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</si>
  <si>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</si>
  <si>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</si>
  <si>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</si>
  <si>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</si>
  <si>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</si>
  <si>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</si>
  <si>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</si>
  <si>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</si>
  <si>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</si>
  <si>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</si>
  <si>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</si>
  <si>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</si>
  <si>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</si>
  <si>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</si>
  <si>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</si>
  <si>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</si>
  <si>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</si>
  <si>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</si>
  <si>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</si>
  <si>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</si>
  <si>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</si>
  <si>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</si>
  <si>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</si>
  <si>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</si>
  <si>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</si>
  <si>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</si>
  <si>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</si>
  <si>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</si>
  <si>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</si>
  <si>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</si>
  <si>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</si>
  <si>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</si>
  <si>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</si>
  <si>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</si>
  <si>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</si>
  <si>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</si>
  <si>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</si>
  <si>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</si>
  <si>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</si>
  <si>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</si>
  <si>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</si>
  <si>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</si>
  <si>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</si>
  <si>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</si>
  <si>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</si>
  <si>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</si>
  <si>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</si>
  <si>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</si>
  <si>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</si>
  <si>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</si>
  <si>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</si>
  <si>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</si>
  <si>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</si>
  <si>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</si>
  <si>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</si>
  <si>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</si>
  <si>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</si>
  <si>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</si>
  <si>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</si>
  <si>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</si>
  <si>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</si>
  <si>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</si>
  <si>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</si>
  <si>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</si>
  <si>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</si>
  <si>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</si>
  <si>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</si>
  <si>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</si>
  <si>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</si>
  <si>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</si>
  <si>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</si>
  <si>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</si>
  <si>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</si>
  <si>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</si>
  <si>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</si>
  <si>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</si>
  <si>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</si>
  <si>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</si>
  <si>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</si>
  <si>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</si>
  <si>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</si>
  <si>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</si>
  <si>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</si>
  <si>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</si>
  <si>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</si>
  <si>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</si>
  <si>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</si>
  <si>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</si>
  <si>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</si>
  <si>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</si>
  <si>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</si>
  <si>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</si>
  <si>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</si>
  <si>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</si>
  <si>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</si>
  <si>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</si>
  <si>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</si>
  <si>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</si>
  <si>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</si>
  <si>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</si>
  <si>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</si>
  <si>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</si>
  <si>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</si>
  <si>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</si>
  <si>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</si>
  <si>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</si>
  <si>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</si>
  <si>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</si>
  <si>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</si>
  <si>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</si>
  <si>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</si>
  <si>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</si>
  <si>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</si>
  <si>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</si>
  <si>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</si>
  <si>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</si>
  <si>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</si>
  <si>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</si>
  <si>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</si>
  <si>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</si>
  <si>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</si>
  <si>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</si>
  <si>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</si>
  <si>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</si>
  <si>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</si>
  <si>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</si>
  <si>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</si>
  <si>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</si>
  <si>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</si>
  <si>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</si>
  <si>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</si>
  <si>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</si>
  <si>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</si>
  <si>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</si>
  <si>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</si>
  <si>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</si>
  <si>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</si>
  <si>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</si>
  <si>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</si>
  <si>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</si>
  <si>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</si>
  <si>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</si>
  <si>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</si>
  <si>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</si>
  <si>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</si>
  <si>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</si>
  <si>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</si>
  <si>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</si>
  <si>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</si>
  <si>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</si>
  <si>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</si>
  <si>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</si>
  <si>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</si>
  <si>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</si>
  <si>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</si>
  <si>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</si>
  <si>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</si>
  <si>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</si>
  <si>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</si>
  <si>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</si>
  <si>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</si>
  <si>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</si>
  <si>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</si>
  <si>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</si>
  <si>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</si>
  <si>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</si>
  <si>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</si>
  <si>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</si>
  <si>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</si>
  <si>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</si>
  <si>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</si>
  <si>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</si>
  <si>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</si>
  <si>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</si>
  <si>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</si>
  <si>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</si>
  <si>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</si>
  <si>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</si>
  <si>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</si>
  <si>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</si>
  <si>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</si>
  <si>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</si>
  <si>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</si>
  <si>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</si>
  <si>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</si>
  <si>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</si>
  <si>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</si>
  <si>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</si>
  <si>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</si>
  <si>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</si>
  <si>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</si>
  <si>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</si>
  <si>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</si>
  <si>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</si>
  <si>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</si>
  <si>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</si>
  <si>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</si>
  <si>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</si>
  <si>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</si>
  <si>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</si>
  <si>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</si>
  <si>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</si>
  <si>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</si>
  <si>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</si>
  <si>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</si>
  <si>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</si>
  <si>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</si>
  <si>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</si>
  <si>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</si>
  <si>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</si>
  <si>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</si>
  <si>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</si>
  <si>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</si>
  <si>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</si>
  <si>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</si>
  <si>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</si>
  <si>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</si>
  <si>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</si>
  <si>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</si>
  <si>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</si>
  <si>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</si>
  <si>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</si>
  <si>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</si>
  <si>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Zeshan</t>
  </si>
  <si>
    <t xml:space="preserve">Adeel Pharmacy </t>
  </si>
  <si>
    <t>Address:DHA</t>
  </si>
  <si>
    <t>Mian Store</t>
  </si>
  <si>
    <t>Sheikh Store</t>
  </si>
  <si>
    <t>Khan Store</t>
  </si>
  <si>
    <t>Nishter Store</t>
  </si>
  <si>
    <t>LAL Store</t>
  </si>
  <si>
    <t>786 Store</t>
  </si>
  <si>
    <t xml:space="preserve">Sharif Mart </t>
  </si>
  <si>
    <t>MS Store</t>
  </si>
  <si>
    <t>Bilal Store</t>
  </si>
  <si>
    <t>Chaudry Store</t>
  </si>
  <si>
    <t xml:space="preserve">Bin Hadi </t>
  </si>
  <si>
    <t>Deen Store</t>
  </si>
  <si>
    <t xml:space="preserve">Value Mart </t>
  </si>
  <si>
    <t>Rana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</si>
</sst>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510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46232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Adeel Pharmacy </v>
      </c>
      <c r="T3" s="301">
        <f>+'1'!P35</f>
        <v>3099.640539584746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Mian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Sheikh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Khan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46</v>
      </c>
      <c r="I7" s="235">
        <f>(G7*D7)*F7+H7*F7</f>
        <v>2413.2750000000001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193.06199999999998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84.464625000000012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2135.7483750000001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456.10169491525403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12.959250349576271</v>
      </c>
      <c r="P7" s="118">
        <f>M7+N7+O7</f>
        <v>2604.8093202648306</v>
      </c>
      <c r="Q7" s="142"/>
      <c r="R7" s="299">
        <v>5</v>
      </c>
      <c r="S7" s="300" t="str">
        <f>+'5'!A6:A6</f>
        <v>Nishter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46</v>
      </c>
      <c r="I8" s="236">
        <f t="shared" ref="I8:I14" si="0">(G8*D8)*F8+H8*F8</f>
        <v>2413.2750000000001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193.06199999999998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84.464625000000012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2135.7483750000001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456.10169491525403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12.959250349576271</v>
      </c>
      <c r="P8" s="119">
        <f t="shared" ref="P8:P15" si="2">M8+N8+O8</f>
        <v>2604.8093202648306</v>
      </c>
      <c r="R8" s="299">
        <v>6</v>
      </c>
      <c r="S8" s="300" t="str">
        <f>+'6'!A6:A6</f>
        <v>LAL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786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45</v>
      </c>
      <c r="I10" s="236">
        <f t="shared" si="0"/>
        <v>3268.8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261.50400000000002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114.40800000000002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2892.8879999999999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617.7966101694916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17.553423050847456</v>
      </c>
      <c r="P10" s="119">
        <f t="shared" si="2"/>
        <v>3528.2380332203388</v>
      </c>
      <c r="R10" s="299">
        <v>8</v>
      </c>
      <c r="S10" s="300" t="str">
        <f>+'8'!A6:A6</f>
        <v xml:space="preserve">Sharif Mart </v>
      </c>
      <c r="T10" s="301">
        <f>+'8'!P35</f>
        <v>3934.229496330508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56</v>
      </c>
      <c r="I11" s="236">
        <f t="shared" si="0"/>
        <v>4067.84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325.42720000000003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142.37440000000001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3600.0384000000004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768.81355932203405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21.844259796610174</v>
      </c>
      <c r="P11" s="119">
        <f t="shared" si="2"/>
        <v>4390.6962191186449</v>
      </c>
      <c r="R11" s="299">
        <v>9</v>
      </c>
      <c r="S11" s="300" t="str">
        <f>+'9'!A6:A6</f>
        <v>MS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51</v>
      </c>
      <c r="I12" s="236">
        <f t="shared" si="0"/>
        <v>3704.64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296.37119999999999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129.66240000000002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3278.6063999999997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700.16949152542384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19.893879457627119</v>
      </c>
      <c r="P12" s="119">
        <f t="shared" si="2"/>
        <v>3998.6697709830505</v>
      </c>
      <c r="R12" s="299">
        <v>10</v>
      </c>
      <c r="S12" s="300" t="str">
        <f>+'10'!A6:A6</f>
        <v>Bilal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204</v>
      </c>
      <c r="I13" s="236">
        <f t="shared" si="0"/>
        <v>8002.920000000001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400.14600000000007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280.10220000000004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408.14891999999998</v>
      </c>
      <c r="M13" s="230">
        <f t="shared" si="1"/>
        <v>6914.5228800000004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1555.9322033898297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42.352275416949155</v>
      </c>
      <c r="P13" s="119">
        <f t="shared" si="2"/>
        <v>8512.80735880678</v>
      </c>
      <c r="R13" s="299">
        <v>11</v>
      </c>
      <c r="S13" s="300" t="str">
        <f>+'11'!A6:A6</f>
        <v>Chaudry Store</v>
      </c>
      <c r="T13" s="301">
        <f>+'11'!P35</f>
        <v>940.86347552542372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 xml:space="preserve">Bin Hadi </v>
      </c>
      <c r="T14" s="301">
        <f>+'12'!P35</f>
        <v>2382.4803250983055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Deen Store</v>
      </c>
      <c r="T15" s="301">
        <f>+'13'!P35</f>
        <v>1180.2688488991523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11.2</v>
      </c>
      <c r="H16" s="113">
        <f t="shared" ref="H16:M16" si="3">SUM(H7:H15)</f>
        <v>448</v>
      </c>
      <c r="I16" s="114">
        <f t="shared" si="3"/>
        <v>23870.75</v>
      </c>
      <c r="J16" s="274">
        <f>SUM(J7:J15)</f>
        <v>1669.5724</v>
      </c>
      <c r="K16" s="275">
        <f t="shared" si="3"/>
        <v>835.47625000000016</v>
      </c>
      <c r="L16" s="276">
        <f t="shared" si="3"/>
        <v>408.14891999999998</v>
      </c>
      <c r="M16" s="232">
        <f t="shared" si="3"/>
        <v>20957.55243</v>
      </c>
      <c r="N16" s="233">
        <f>SUM(N7:N15)</f>
        <v>4554.9152542372867</v>
      </c>
      <c r="O16" s="101">
        <f>SUM(O7:O15)</f>
        <v>127.56233842118645</v>
      </c>
      <c r="P16" s="234">
        <f>SUM(P7:P15)</f>
        <v>25640.030022658473</v>
      </c>
      <c r="R16" s="299">
        <v>14</v>
      </c>
      <c r="S16" s="300" t="str">
        <f>+'14'!A6:A6</f>
        <v xml:space="preserve">Value Mart </v>
      </c>
      <c r="T16" s="301">
        <f>+'14'!P35</f>
        <v>3338.355826983051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Rana Store</v>
      </c>
      <c r="T17" s="301">
        <f>+'15'!P35</f>
        <v>3136.2115850847463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23870.75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1669.5724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1243.6251700000003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20957.55243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4554.9152542372867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25512.467684237286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127.56233842118645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25640.030022658473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25640.030022658477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7.25" customHeight="1" x14ac:dyDescent="0.4">
      <c r="A6" s="388" t="s">
        <v>511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2883.1000000000004</v>
      </c>
      <c r="J25" s="274">
        <f>SUM(J16:J24)</f>
        <v>207.11</v>
      </c>
      <c r="K25" s="275">
        <f t="shared" si="10"/>
        <v>100.9085</v>
      </c>
      <c r="L25" s="276">
        <f t="shared" si="10"/>
        <v>40.014600000000002</v>
      </c>
      <c r="M25" s="232">
        <f t="shared" si="10"/>
        <v>2535.0669000000003</v>
      </c>
      <c r="N25" s="233">
        <f>SUM(N16:N24)</f>
        <v>549.15254237288104</v>
      </c>
      <c r="O25" s="101">
        <f>SUM(O16:O24)</f>
        <v>15.421097211864407</v>
      </c>
      <c r="P25" s="234">
        <f>SUM(P16:P24)</f>
        <v>3099.640539584746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2883.1000000000004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207.11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140.92310000000001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2535.0669000000003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549.15254237288104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3084.2194423728815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15.421097211864408</v>
      </c>
    </row>
    <row r="35" spans="2:16" ht="15.75" customHeight="1" thickBot="1" x14ac:dyDescent="0.4">
      <c r="N35" s="334" t="s">
        <v>88</v>
      </c>
      <c r="O35" s="335"/>
      <c r="P35" s="297">
        <f>+P33+P34</f>
        <v>3099.640539584746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513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435.84000000000003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34.867200000000004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15.254400000000002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385.71840000000003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468.09128135593221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34" t="s">
        <v>88</v>
      </c>
      <c r="O35" s="335"/>
      <c r="P35" s="297">
        <f>+P33+P34</f>
        <v>470.43173776271186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8.7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435.84000000000003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34.867200000000004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15.254400000000002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385.71840000000003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468.09128135593221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34" t="s">
        <v>88</v>
      </c>
      <c r="O35" s="335"/>
      <c r="P35" s="297">
        <f>+P33+P34</f>
        <v>470.43173776271186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435.84000000000003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34.867200000000004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15.254400000000002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385.71840000000003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468.09128135593221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34" t="s">
        <v>88</v>
      </c>
      <c r="O35" s="335"/>
      <c r="P35" s="297">
        <f>+P33+P34</f>
        <v>470.43173776271186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435.84000000000003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34.867200000000004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15.254400000000002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385.71840000000003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468.09128135593221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34" t="s">
        <v>88</v>
      </c>
      <c r="O35" s="335"/>
      <c r="P35" s="297">
        <f>+P33+P34</f>
        <v>470.43173776271186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1569.2000000000003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78.460000000000022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134.95120000000003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1355.7888000000003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1660.873545762712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4" t="s">
        <v>88</v>
      </c>
      <c r="O35" s="335"/>
      <c r="P35" s="297">
        <f>+P33+P34</f>
        <v>1669.1779134915255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518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232.44799999999998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519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234">
        <f>SUM(P16:P24)</f>
        <v>3934.2294963305085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3667.7000000000003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246.34000000000003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208.39870000000002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3212.9612999999999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3914.6562152542369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34" t="s">
        <v>88</v>
      </c>
      <c r="O35" s="335"/>
      <c r="P35" s="297">
        <f>+P33+P34</f>
        <v>3934.229496330508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520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435.84000000000003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34.867200000000004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15.254400000000002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385.71840000000003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468.09128135593221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34" t="s">
        <v>88</v>
      </c>
      <c r="O35" s="335"/>
      <c r="P35" s="297">
        <f>+P33+P34</f>
        <v>470.43173776271186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521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435.84000000000003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34.867200000000004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15.254400000000002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385.71840000000003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468.09128135593221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34" t="s">
        <v>88</v>
      </c>
      <c r="O35" s="335"/>
      <c r="P35" s="297">
        <f>+P33+P34</f>
        <v>470.43173776271186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522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871.68000000000006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69.734400000000008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30.508800000000004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771.43680000000006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936.18256271186442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34" t="s">
        <v>88</v>
      </c>
      <c r="O35" s="335"/>
      <c r="P35" s="297">
        <f>+P33+P34</f>
        <v>940.86347552542372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523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36</v>
      </c>
      <c r="I25" s="114">
        <f t="shared" si="7"/>
        <v>2214.1200000000003</v>
      </c>
      <c r="J25" s="274">
        <f>SUM(J16:J24)</f>
        <v>163.00680000000003</v>
      </c>
      <c r="K25" s="275">
        <f t="shared" si="7"/>
        <v>77.494200000000006</v>
      </c>
      <c r="L25" s="276">
        <f t="shared" si="7"/>
        <v>24.008760000000002</v>
      </c>
      <c r="M25" s="232">
        <f t="shared" si="7"/>
        <v>1949.6102400000002</v>
      </c>
      <c r="N25" s="233">
        <f>SUM(N16:N24)</f>
        <v>421.01694915254234</v>
      </c>
      <c r="O25" s="101">
        <f>SUM(O16:O24)</f>
        <v>11.853135945762713</v>
      </c>
      <c r="P25" s="234">
        <f>SUM(P16:P24)</f>
        <v>2382.480325098305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2214.1200000000003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163.00680000000003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101.50296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1949.6102400000002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421.01694915254234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2370.6271891525425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11.853135945762713</v>
      </c>
    </row>
    <row r="35" spans="2:16" ht="15.75" customHeight="1" thickBot="1" x14ac:dyDescent="0.4">
      <c r="N35" s="334" t="s">
        <v>88</v>
      </c>
      <c r="O35" s="335"/>
      <c r="P35" s="297">
        <f>+P33+P34</f>
        <v>2382.4803250983055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1100.31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73.902000000000001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62.519610000000007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963.88838999999984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1174.3968645762709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34" t="s">
        <v>88</v>
      </c>
      <c r="O35" s="335"/>
      <c r="P35" s="297">
        <f>+P33+P34</f>
        <v>1180.2688488991523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525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3138.4000000000005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156.92000000000004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269.90240000000006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2711.5776000000005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3321.7470915254239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34" t="s">
        <v>88</v>
      </c>
      <c r="O35" s="335"/>
      <c r="P35" s="297">
        <f>+P33+P34</f>
        <v>3338.355826983051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526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</v>
      </c>
      <c r="I20" s="236">
        <f t="shared" si="0"/>
        <v>1162.24</v>
      </c>
      <c r="J20" s="272">
        <f t="shared" si="1"/>
        <v>92.979200000000006</v>
      </c>
      <c r="K20" s="128">
        <f t="shared" si="1"/>
        <v>40.678400000000003</v>
      </c>
      <c r="L20" s="119">
        <f t="shared" si="1"/>
        <v>0</v>
      </c>
      <c r="M20" s="230">
        <f t="shared" si="2"/>
        <v>1028.5824</v>
      </c>
      <c r="N20" s="277">
        <f t="shared" si="3"/>
        <v>219.66101694915255</v>
      </c>
      <c r="O20" s="239">
        <f t="shared" si="4"/>
        <v>6.2412170847457631</v>
      </c>
      <c r="P20" s="119">
        <f t="shared" si="5"/>
        <v>1254.4846340338984</v>
      </c>
      <c r="R20">
        <f>P20/21</f>
        <v>59.737363525423731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232.44800000000004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101.69600000000001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3136.2115850847463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8.7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46232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46231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2026-07-28T11:26:37Z</dcterms:modified>
</cp:coreProperties>
</file>