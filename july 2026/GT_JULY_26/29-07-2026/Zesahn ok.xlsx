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E92C26F-97CB-4B9D-A1F3-5612DA9BA8ED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4" i="11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20" i="53"/>
  <c r="O20" i="53" s="1"/>
  <c r="P20" i="53" s="1"/>
  <c r="R20" i="53" s="1"/>
  <c r="M20" i="46"/>
  <c r="O20" i="46" s="1"/>
  <c r="P20" i="46" s="1"/>
  <c r="R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<sst xmlns="http://schemas.openxmlformats.org/spreadsheetml/2006/main" count="3913" uniqueCount="527">
  <si>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</si>
  <si>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</si>
  <si>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</si>
  <si>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</si>
  <si>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</si>
  <si>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</si>
  <si>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</si>
  <si>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</si>
  <si>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</si>
  <si>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</si>
  <si>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</si>
  <si>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</si>
  <si>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</si>
  <si>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</si>
  <si>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</si>
  <si>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</si>
  <si>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</si>
  <si>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</si>
  <si>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</si>
  <si>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</si>
  <si>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</si>
  <si>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</si>
  <si>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</si>
  <si>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</si>
  <si>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</si>
  <si>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</si>
  <si>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</si>
  <si>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</si>
  <si>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</si>
  <si>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</si>
  <si>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</si>
  <si>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</si>
  <si>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</si>
  <si>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</si>
  <si>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</si>
  <si>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</si>
  <si>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</si>
  <si>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</si>
  <si>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</si>
  <si>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</si>
  <si>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</si>
  <si>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</si>
  <si>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</si>
  <si>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</si>
  <si>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</si>
  <si>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</si>
  <si>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</si>
  <si>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</si>
  <si>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</si>
  <si>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</si>
  <si>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</si>
  <si>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</si>
  <si>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</si>
  <si>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</si>
  <si>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</si>
  <si>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</si>
  <si>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</si>
  <si>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</si>
  <si>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</si>
  <si>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</si>
  <si>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</si>
  <si>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</si>
  <si>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</si>
  <si>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</si>
  <si>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</si>
  <si>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</si>
  <si>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</si>
  <si>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</si>
  <si>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</si>
  <si>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</si>
  <si>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</si>
  <si>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</si>
  <si>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</si>
  <si>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</si>
  <si>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</si>
  <si>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</si>
  <si>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</si>
  <si>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</si>
  <si>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</si>
  <si>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</si>
  <si>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</si>
  <si>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</si>
  <si>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</si>
  <si>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</si>
  <si>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</si>
  <si>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</si>
  <si>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</si>
  <si>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</si>
  <si>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</si>
  <si>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</si>
  <si>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</si>
  <si>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</si>
  <si>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</si>
  <si>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</si>
  <si>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</si>
  <si>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</si>
  <si>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</si>
  <si>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</si>
  <si>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</si>
  <si>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</si>
  <si>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</si>
  <si>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</si>
  <si>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</si>
  <si>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</si>
  <si>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</si>
  <si>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</si>
  <si>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</si>
  <si>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</si>
  <si>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</si>
  <si>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</si>
  <si>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</si>
  <si>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</si>
  <si>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</si>
  <si>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</si>
  <si>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</si>
  <si>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</si>
  <si>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</si>
  <si>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</si>
  <si>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</si>
  <si>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</si>
  <si>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</si>
  <si>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</si>
  <si>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</si>
  <si>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</si>
  <si>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</si>
  <si>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</si>
  <si>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</si>
  <si>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</si>
  <si>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</si>
  <si>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</si>
  <si>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</si>
  <si>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</si>
  <si>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</si>
  <si>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</si>
  <si>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</si>
  <si>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</si>
  <si>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</si>
  <si>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</si>
  <si>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</si>
  <si>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</si>
  <si>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</si>
  <si>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</si>
  <si>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</si>
  <si>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</si>
  <si>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</si>
  <si>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</si>
  <si>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</si>
  <si>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</si>
  <si>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</si>
  <si>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</si>
  <si>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</si>
  <si>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</si>
  <si>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</si>
  <si>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</si>
  <si>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</si>
  <si>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</si>
  <si>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</si>
  <si>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</si>
  <si>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</si>
  <si>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</si>
  <si>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</si>
  <si>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</si>
  <si>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</si>
  <si>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</si>
  <si>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</si>
  <si>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</si>
  <si>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</si>
  <si>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</si>
  <si>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</si>
  <si>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</si>
  <si>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</si>
  <si>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</si>
  <si>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</si>
  <si>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</si>
  <si>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</si>
  <si>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</si>
  <si>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</si>
  <si>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</si>
  <si>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</si>
  <si>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</si>
  <si>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</si>
  <si>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</si>
  <si>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</si>
  <si>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</si>
  <si>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</si>
  <si>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</si>
  <si>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</si>
  <si>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</si>
  <si>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</si>
  <si>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</si>
  <si>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</si>
  <si>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</si>
  <si>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</si>
  <si>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</si>
  <si>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</si>
  <si>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</si>
  <si>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</si>
  <si>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</si>
  <si>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</si>
  <si>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</si>
  <si>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</si>
  <si>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</si>
  <si>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</si>
  <si>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</si>
  <si>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</si>
  <si>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</si>
  <si>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</si>
  <si>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</si>
  <si>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</si>
  <si>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</si>
  <si>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</si>
  <si>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</si>
  <si>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</si>
  <si>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</si>
  <si>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</si>
  <si>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</si>
  <si>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</si>
  <si>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</si>
  <si>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</si>
  <si>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</si>
  <si>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</si>
  <si>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</si>
  <si>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</si>
  <si>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</si>
  <si>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</si>
  <si>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</si>
  <si>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</si>
  <si>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</si>
  <si>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</si>
  <si>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</si>
  <si>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</si>
  <si>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</si>
  <si>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</si>
  <si>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</si>
  <si>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</si>
  <si>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</si>
  <si>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</si>
  <si>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</si>
  <si>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</si>
  <si>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</si>
  <si>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</si>
  <si>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</si>
  <si>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</si>
  <si>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</si>
  <si>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</si>
  <si>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</si>
  <si>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</si>
  <si>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</si>
  <si>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</si>
  <si>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</si>
  <si>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</si>
  <si>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</si>
  <si>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</si>
  <si>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</si>
  <si>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</si>
  <si>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</si>
  <si>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</si>
  <si>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</si>
  <si>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</si>
  <si>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</si>
  <si>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</si>
  <si>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</si>
  <si>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</si>
  <si>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</si>
  <si>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</si>
  <si>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</si>
  <si>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</si>
  <si>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</si>
  <si>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</si>
  <si>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</si>
  <si>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</si>
  <si>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</si>
  <si>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</si>
  <si>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</si>
  <si>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</si>
  <si>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</si>
  <si>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</si>
  <si>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</si>
  <si>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</si>
  <si>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</si>
  <si>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</si>
  <si>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</si>
  <si>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</si>
  <si>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</si>
  <si>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</si>
  <si>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</si>
  <si>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</si>
  <si>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</si>
  <si>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</si>
  <si>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</si>
  <si>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</si>
  <si>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</si>
  <si>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</si>
  <si>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</si>
  <si>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</si>
  <si>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</si>
  <si>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</si>
  <si>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</si>
  <si>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</si>
  <si>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</si>
  <si>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</si>
  <si>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</si>
  <si>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</si>
  <si>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</si>
  <si>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</si>
  <si>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</si>
  <si>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</si>
  <si>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</si>
  <si>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</si>
  <si>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</si>
  <si>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</si>
  <si>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</si>
  <si>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</si>
  <si>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</si>
  <si>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</si>
  <si>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</si>
  <si>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</si>
  <si>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</si>
  <si>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</si>
  <si>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</si>
  <si>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</si>
  <si>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</si>
  <si>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</si>
  <si>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</si>
  <si>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</si>
  <si>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</si>
  <si>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</si>
  <si>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</si>
  <si>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</si>
  <si>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</si>
  <si>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</si>
  <si>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</si>
  <si>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</si>
  <si>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</si>
  <si>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</si>
  <si>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</si>
  <si>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</si>
  <si>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</si>
  <si>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</si>
  <si>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</si>
  <si>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</si>
  <si>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</si>
  <si>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</si>
  <si>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</si>
  <si>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</si>
  <si>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</si>
  <si>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</si>
  <si>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</si>
  <si>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</si>
  <si>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</si>
  <si>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</si>
  <si>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</si>
  <si>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</si>
  <si>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</si>
  <si>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</si>
  <si>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</si>
  <si>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</si>
  <si>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</si>
  <si>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</si>
  <si>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</si>
  <si>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</si>
  <si>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</si>
  <si>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</si>
  <si>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</si>
  <si>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</si>
  <si>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</si>
  <si>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</si>
  <si>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</si>
  <si>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</si>
  <si>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</si>
  <si>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</si>
  <si>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</si>
  <si>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</si>
  <si>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</si>
  <si>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</si>
  <si>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</si>
  <si>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</si>
  <si>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</si>
  <si>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</si>
  <si>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</si>
  <si>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</si>
  <si>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</si>
  <si>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</si>
  <si>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</si>
  <si>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</si>
  <si>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</si>
  <si>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</si>
  <si>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</si>
  <si>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</si>
  <si>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</si>
  <si>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</si>
  <si>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</si>
  <si>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</si>
  <si>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</si>
  <si>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</si>
  <si>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</si>
  <si>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</si>
  <si>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</si>
  <si>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</si>
  <si>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</si>
  <si>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</si>
  <si>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</si>
  <si>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</si>
  <si>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</si>
  <si>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</si>
  <si>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</si>
  <si>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</si>
  <si>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</si>
  <si>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</si>
  <si>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</si>
  <si>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</si>
  <si>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</si>
  <si>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</si>
  <si>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</si>
  <si>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</si>
  <si>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</si>
  <si>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</si>
  <si>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</si>
  <si>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</si>
  <si>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</si>
  <si>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</si>
  <si>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</si>
  <si>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</si>
  <si>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</si>
  <si>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</si>
  <si>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</si>
  <si>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</si>
  <si>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</si>
  <si>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</si>
  <si>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</si>
  <si>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</si>
  <si>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</si>
  <si>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</si>
  <si>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</si>
  <si>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</si>
  <si>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</si>
  <si>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</si>
  <si>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</si>
  <si>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</si>
  <si>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</si>
  <si>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</si>
  <si>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</si>
  <si>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</si>
  <si>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</si>
  <si>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</si>
  <si>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</si>
  <si>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</si>
  <si>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</si>
  <si>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</si>
  <si>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</si>
  <si>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</si>
  <si>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</si>
  <si>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</si>
  <si>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</si>
  <si>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</si>
  <si>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</si>
  <si>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</si>
  <si>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</si>
  <si>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</si>
  <si>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</si>
  <si>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</si>
  <si>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</si>
  <si>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</si>
  <si>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</si>
  <si>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</si>
  <si>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</si>
  <si>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</si>
  <si>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</si>
  <si>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</si>
  <si>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</si>
  <si>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</si>
  <si>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</si>
  <si>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</si>
  <si>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</si>
  <si>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</si>
  <si>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</si>
  <si>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</si>
  <si>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</si>
  <si>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</si>
  <si>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</si>
  <si>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</si>
  <si>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</si>
  <si>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</si>
  <si>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</si>
  <si>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</si>
  <si>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</si>
  <si>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</si>
  <si>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</si>
  <si>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</si>
  <si>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</si>
  <si>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</si>
  <si>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</si>
  <si>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</si>
  <si>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</si>
  <si>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</si>
  <si>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</si>
  <si>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</si>
  <si>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</si>
  <si>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</si>
  <si>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</si>
  <si>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</si>
  <si>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</si>
  <si>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</si>
  <si>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</si>
  <si>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</si>
  <si>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</si>
  <si>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</si>
  <si>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</si>
  <si>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</si>
  <si>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</si>
  <si>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Zeshan</t>
  </si>
  <si>
    <t xml:space="preserve">Adeel Pharmacy </t>
  </si>
  <si>
    <t>Address:DHA</t>
  </si>
  <si>
    <t>Mian Store</t>
  </si>
  <si>
    <t>Sheikh Store</t>
  </si>
  <si>
    <t>Khan Store</t>
  </si>
  <si>
    <t>Nishter Store</t>
  </si>
  <si>
    <t>LAL Store</t>
  </si>
  <si>
    <t>786 Store</t>
  </si>
  <si>
    <t xml:space="preserve">Sharif Mart </t>
  </si>
  <si>
    <t>MS Store</t>
  </si>
  <si>
    <t>Bilal Store</t>
  </si>
  <si>
    <t>Chaudry Store</t>
  </si>
  <si>
    <t xml:space="preserve">Bin Hadi </t>
  </si>
  <si>
    <t>Deen Store</t>
  </si>
  <si>
    <t xml:space="preserve">Value Mart </t>
  </si>
  <si>
    <t>Rana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</si>
</sst>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8"/>
      <c r="B3" s="318"/>
      <c r="C3" s="318"/>
      <c r="D3" s="318"/>
      <c r="E3" s="318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</row>
    <row r="4" spans="1:29" x14ac:dyDescent="0.35">
      <c r="A4" s="320" t="s">
        <v>436</v>
      </c>
      <c r="B4" s="165" t="s">
        <v>437</v>
      </c>
      <c r="C4" s="165"/>
      <c r="D4" s="322" t="s">
        <v>438</v>
      </c>
      <c r="E4" s="324" t="s">
        <v>439</v>
      </c>
      <c r="F4" s="326" t="s">
        <v>58</v>
      </c>
      <c r="G4" s="326"/>
      <c r="H4" s="327" t="s">
        <v>440</v>
      </c>
      <c r="I4" s="327"/>
      <c r="J4" s="328" t="s">
        <v>441</v>
      </c>
      <c r="K4" s="329"/>
      <c r="L4" s="328" t="s">
        <v>442</v>
      </c>
      <c r="M4" s="329"/>
      <c r="N4" s="330" t="s">
        <v>443</v>
      </c>
      <c r="O4" s="330"/>
      <c r="P4" s="328" t="s">
        <v>86</v>
      </c>
      <c r="Q4" s="329"/>
      <c r="R4" s="328" t="s">
        <v>444</v>
      </c>
      <c r="S4" s="329"/>
      <c r="T4" s="331" t="s">
        <v>445</v>
      </c>
      <c r="U4" s="331"/>
      <c r="V4" s="332" t="s">
        <v>446</v>
      </c>
      <c r="W4" s="333"/>
      <c r="X4" s="332" t="s">
        <v>447</v>
      </c>
      <c r="Y4" s="333"/>
    </row>
    <row r="5" spans="1:29" ht="26.25" customHeight="1" thickBot="1" x14ac:dyDescent="0.4">
      <c r="A5" s="321"/>
      <c r="B5" s="167" t="s">
        <v>448</v>
      </c>
      <c r="C5" s="167" t="s">
        <v>438</v>
      </c>
      <c r="D5" s="323"/>
      <c r="E5" s="32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48"/>
  <sheetViews>
    <sheetView tabSelected="1" workbookViewId="0">
      <selection activeCell="C4" sqref="C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2" t="s">
        <v>91</v>
      </c>
      <c r="B2" s="382"/>
      <c r="C2" s="382"/>
      <c r="E2" s="374" t="s">
        <v>499</v>
      </c>
      <c r="F2" s="375"/>
      <c r="G2" s="375"/>
      <c r="H2" s="372" t="s">
        <v>510</v>
      </c>
      <c r="I2" s="372"/>
      <c r="J2" s="373"/>
      <c r="R2" s="369" t="s">
        <v>498</v>
      </c>
      <c r="S2" s="370"/>
      <c r="T2" s="371"/>
    </row>
    <row r="3" spans="1:20 16377:16378" ht="21.75" customHeight="1" thickBot="1" x14ac:dyDescent="0.4">
      <c r="A3" s="383" t="s">
        <v>92</v>
      </c>
      <c r="B3" s="383"/>
      <c r="C3" s="383"/>
      <c r="E3" s="378" t="s">
        <v>500</v>
      </c>
      <c r="F3" s="379"/>
      <c r="G3" s="379"/>
      <c r="H3" s="376">
        <f ca="1">+'1'!N4:N4</f>
        <v>46233</v>
      </c>
      <c r="I3" s="376"/>
      <c r="J3" s="377"/>
      <c r="K3" s="384" t="s">
        <v>43</v>
      </c>
      <c r="L3" s="384"/>
      <c r="M3" s="384"/>
      <c r="N3" s="383"/>
      <c r="O3" s="383"/>
      <c r="P3" s="383"/>
      <c r="R3" s="299">
        <v>1</v>
      </c>
      <c r="S3" s="300" t="str">
        <f>+'1'!A6:A6</f>
        <v xml:space="preserve">Adeel Pharmacy </v>
      </c>
      <c r="T3" s="301">
        <f>+'1'!P35</f>
        <v>3099.640539584746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Mian Store</v>
      </c>
      <c r="T4" s="301">
        <f>+'2'!P35</f>
        <v>470.43173776271186</v>
      </c>
      <c r="XEX4" t="s">
        <v>105</v>
      </c>
    </row>
    <row r="5" spans="1:20 16377:16378" ht="21.75" customHeight="1" thickBot="1" x14ac:dyDescent="0.4">
      <c r="A5" s="334" t="s">
        <v>51</v>
      </c>
      <c r="B5" s="335"/>
      <c r="C5" s="338" t="s">
        <v>90</v>
      </c>
      <c r="D5" s="115" t="s">
        <v>52</v>
      </c>
      <c r="E5" s="340" t="s">
        <v>58</v>
      </c>
      <c r="F5" s="341"/>
      <c r="G5" s="342" t="s">
        <v>54</v>
      </c>
      <c r="H5" s="343"/>
      <c r="I5" s="344" t="s">
        <v>77</v>
      </c>
      <c r="J5" s="381" t="s">
        <v>55</v>
      </c>
      <c r="K5" s="342"/>
      <c r="L5" s="343"/>
      <c r="M5" s="335" t="s">
        <v>84</v>
      </c>
      <c r="N5" s="380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Sheikh Store</v>
      </c>
      <c r="T5" s="301">
        <f>+'3'!P35</f>
        <v>470.43173776271186</v>
      </c>
      <c r="XEX5" t="s">
        <v>106</v>
      </c>
    </row>
    <row r="6" spans="1:20 16377:16378" ht="21.75" customHeight="1" thickBot="1" x14ac:dyDescent="0.4">
      <c r="A6" s="336"/>
      <c r="B6" s="337"/>
      <c r="C6" s="33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5"/>
      <c r="J6" s="143" t="s">
        <v>59</v>
      </c>
      <c r="K6" s="144" t="s">
        <v>39</v>
      </c>
      <c r="L6" s="145" t="s">
        <v>493</v>
      </c>
      <c r="M6" s="337"/>
      <c r="N6" s="345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Khan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167.88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1857.1725000000001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11.268913347457627</v>
      </c>
      <c r="P7" s="118">
        <f>M7+N7+O7</f>
        <v>2265.051582838983</v>
      </c>
      <c r="Q7" s="142"/>
      <c r="R7" s="299">
        <v>5</v>
      </c>
      <c r="S7" s="300" t="str">
        <f>+'5'!A6:A6</f>
        <v>Nishter Store</v>
      </c>
      <c r="T7" s="301">
        <f>+'5'!P35</f>
        <v>470.43173776271186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167.88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1857.1725000000001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11.268913347457627</v>
      </c>
      <c r="P8" s="119">
        <f t="shared" ref="P8:P15" si="2">M8+N8+O8</f>
        <v>2265.051582838983</v>
      </c>
      <c r="R8" s="299">
        <v>6</v>
      </c>
      <c r="S8" s="300" t="str">
        <f>+'6'!A6:A6</f>
        <v>LAL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119">
        <f t="shared" si="2"/>
        <v>0</v>
      </c>
      <c r="R9" s="299">
        <v>7</v>
      </c>
      <c r="S9" s="300" t="str">
        <f>+'7'!A6:A6</f>
        <v>786 Store</v>
      </c>
      <c r="T9" s="301">
        <f>+'7'!P35</f>
        <v>3136.2115850847458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39</v>
      </c>
      <c r="I10" s="236">
        <f t="shared" si="0"/>
        <v>2832.96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226.63679999999999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99.153600000000012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2507.1696000000002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535.42372881355936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15.212966644067796</v>
      </c>
      <c r="P10" s="119">
        <f t="shared" si="2"/>
        <v>3057.8062954576271</v>
      </c>
      <c r="R10" s="299">
        <v>8</v>
      </c>
      <c r="S10" s="300" t="str">
        <f>+'8'!A6:A6</f>
        <v xml:space="preserve">Sharif Mart </v>
      </c>
      <c r="T10" s="301">
        <f>+'8'!P35</f>
        <v>3934.229496330508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50</v>
      </c>
      <c r="I11" s="236">
        <f t="shared" si="0"/>
        <v>3632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290.56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127.12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3214.32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686.4406779661017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19.503803389830509</v>
      </c>
      <c r="P11" s="119">
        <f t="shared" si="2"/>
        <v>3920.2644813559323</v>
      </c>
      <c r="R11" s="299">
        <v>9</v>
      </c>
      <c r="S11" s="300" t="str">
        <f>+'9'!A6:A6</f>
        <v>MS Store</v>
      </c>
      <c r="T11" s="301">
        <f>+'9'!P35</f>
        <v>470.43173776271186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51</v>
      </c>
      <c r="I12" s="236">
        <f t="shared" si="0"/>
        <v>3704.64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296.37119999999999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129.66240000000002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3278.6063999999997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700.16949152542384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19.893879457627119</v>
      </c>
      <c r="P12" s="119">
        <f t="shared" si="2"/>
        <v>3998.6697709830505</v>
      </c>
      <c r="R12" s="299">
        <v>10</v>
      </c>
      <c r="S12" s="300" t="str">
        <f>+'10'!A6:A6</f>
        <v>Bilal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60</v>
      </c>
      <c r="I13" s="236">
        <f t="shared" si="0"/>
        <v>2353.8000000000002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117.69000000000003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82.38300000000001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120.0438</v>
      </c>
      <c r="M13" s="230">
        <f t="shared" si="1"/>
        <v>2033.6832000000002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457.62711864406754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12.45655159322034</v>
      </c>
      <c r="P13" s="119">
        <f t="shared" si="2"/>
        <v>2503.766870237288</v>
      </c>
      <c r="R13" s="299">
        <v>11</v>
      </c>
      <c r="S13" s="300" t="str">
        <f>+'11'!A6:A6</f>
        <v>Chaudry Store</v>
      </c>
      <c r="T13" s="301">
        <f>+'11'!P35</f>
        <v>940.86347552542372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 xml:space="preserve">Bin Hadi </v>
      </c>
      <c r="T14" s="301">
        <f>+'12'!P35</f>
        <v>1881.7269510508474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Deen Store</v>
      </c>
      <c r="T15" s="301">
        <f>+'13'!P35</f>
        <v>0</v>
      </c>
    </row>
    <row r="16" spans="1:20 16377:16378" ht="21.75" customHeight="1" thickBot="1" x14ac:dyDescent="0.4">
      <c r="A16" s="385">
        <f>COUNT(A7:A15)</f>
        <v>0</v>
      </c>
      <c r="B16" s="346"/>
      <c r="C16" s="346" t="s">
        <v>40</v>
      </c>
      <c r="D16" s="346"/>
      <c r="E16" s="346"/>
      <c r="F16" s="347"/>
      <c r="G16" s="117">
        <f>H16/40</f>
        <v>7</v>
      </c>
      <c r="H16" s="113">
        <f t="shared" ref="H16:M16" si="3">SUM(H7:H15)</f>
        <v>280</v>
      </c>
      <c r="I16" s="114">
        <f t="shared" si="3"/>
        <v>16720.399999999998</v>
      </c>
      <c r="J16" s="274">
        <f>SUM(J7:J15)</f>
        <v>1267.018</v>
      </c>
      <c r="K16" s="275">
        <f t="shared" si="3"/>
        <v>585.21400000000006</v>
      </c>
      <c r="L16" s="276">
        <f t="shared" si="3"/>
        <v>120.0438</v>
      </c>
      <c r="M16" s="232">
        <f t="shared" si="3"/>
        <v>14748.124199999998</v>
      </c>
      <c r="N16" s="233">
        <f>SUM(N7:N15)</f>
        <v>3172.881355932203</v>
      </c>
      <c r="O16" s="101">
        <f>SUM(O7:O15)</f>
        <v>89.605027779661015</v>
      </c>
      <c r="P16" s="234">
        <f>SUM(P7:P15)</f>
        <v>18010.610583711863</v>
      </c>
      <c r="R16" s="299">
        <v>14</v>
      </c>
      <c r="S16" s="300" t="str">
        <f>+'14'!A6:A6</f>
        <v xml:space="preserve">Value Mart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Rana Store</v>
      </c>
      <c r="T17" s="301">
        <f>+'15'!P35</f>
        <v>3136.2115850847463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48" t="s">
        <v>64</v>
      </c>
      <c r="C19" s="349"/>
      <c r="D19" s="349"/>
      <c r="E19" s="349"/>
      <c r="F19" s="349"/>
      <c r="G19" s="349"/>
      <c r="H19" s="349"/>
      <c r="I19" s="349"/>
      <c r="J19" s="349"/>
      <c r="K19" s="349"/>
      <c r="L19" s="350"/>
      <c r="N19" s="357" t="s">
        <v>60</v>
      </c>
      <c r="O19" s="358"/>
      <c r="P19" s="139">
        <f>I16</f>
        <v>16720.399999999998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1"/>
      <c r="C20" s="352"/>
      <c r="D20" s="352"/>
      <c r="E20" s="352"/>
      <c r="F20" s="352"/>
      <c r="G20" s="352"/>
      <c r="H20" s="352"/>
      <c r="I20" s="352"/>
      <c r="J20" s="352"/>
      <c r="K20" s="352"/>
      <c r="L20" s="353"/>
      <c r="N20" s="359" t="s">
        <v>85</v>
      </c>
      <c r="O20" s="360"/>
      <c r="P20" s="140">
        <f>+J16</f>
        <v>1267.018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1"/>
      <c r="C21" s="352"/>
      <c r="D21" s="352"/>
      <c r="E21" s="352"/>
      <c r="F21" s="352"/>
      <c r="G21" s="352"/>
      <c r="H21" s="352"/>
      <c r="I21" s="352"/>
      <c r="J21" s="352"/>
      <c r="K21" s="352"/>
      <c r="L21" s="353"/>
      <c r="N21" s="359" t="s">
        <v>86</v>
      </c>
      <c r="O21" s="360"/>
      <c r="P21" s="140">
        <f>+K16+L16</f>
        <v>705.25780000000009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1"/>
      <c r="C22" s="352"/>
      <c r="D22" s="352"/>
      <c r="E22" s="352"/>
      <c r="F22" s="352"/>
      <c r="G22" s="352"/>
      <c r="H22" s="352"/>
      <c r="I22" s="352"/>
      <c r="J22" s="352"/>
      <c r="K22" s="352"/>
      <c r="L22" s="353"/>
      <c r="M22" s="131"/>
      <c r="N22" s="359" t="s">
        <v>87</v>
      </c>
      <c r="O22" s="360"/>
      <c r="P22" s="140">
        <f>P19-P20-P21</f>
        <v>14748.124199999998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1"/>
      <c r="C23" s="352"/>
      <c r="D23" s="352"/>
      <c r="E23" s="352"/>
      <c r="F23" s="352"/>
      <c r="G23" s="352"/>
      <c r="H23" s="352"/>
      <c r="I23" s="352"/>
      <c r="J23" s="352"/>
      <c r="K23" s="352"/>
      <c r="L23" s="353"/>
      <c r="M23" s="131"/>
      <c r="N23" s="136" t="s">
        <v>61</v>
      </c>
      <c r="O23" s="133">
        <v>0.18</v>
      </c>
      <c r="P23" s="140">
        <f>+N16</f>
        <v>3172.881355932203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1"/>
      <c r="C24" s="352"/>
      <c r="D24" s="352"/>
      <c r="E24" s="352"/>
      <c r="F24" s="352"/>
      <c r="G24" s="352"/>
      <c r="H24" s="352"/>
      <c r="I24" s="352"/>
      <c r="J24" s="352"/>
      <c r="K24" s="352"/>
      <c r="L24" s="353"/>
      <c r="M24" s="131"/>
      <c r="N24" s="361" t="s">
        <v>76</v>
      </c>
      <c r="O24" s="362"/>
      <c r="P24" s="140">
        <f>P22+P23</f>
        <v>17921.005555932203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54"/>
      <c r="C25" s="355"/>
      <c r="D25" s="355"/>
      <c r="E25" s="355"/>
      <c r="F25" s="355"/>
      <c r="G25" s="355"/>
      <c r="H25" s="355"/>
      <c r="I25" s="355"/>
      <c r="J25" s="355"/>
      <c r="K25" s="355"/>
      <c r="L25" s="356"/>
      <c r="M25" s="99"/>
      <c r="N25" s="138" t="s">
        <v>83</v>
      </c>
      <c r="O25" s="137" t="e">
        <f>IF(#REF!="Filer",0.5%,2.5%)</f>
        <v>#REF!</v>
      </c>
      <c r="P25" s="140">
        <f>+O16</f>
        <v>89.605027779661015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63" t="s">
        <v>88</v>
      </c>
      <c r="O26" s="364"/>
      <c r="P26" s="297">
        <f>+P24+P25</f>
        <v>18010.610583711863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5"/>
      <c r="D27" s="365"/>
      <c r="E27" s="365"/>
      <c r="F27" s="365"/>
      <c r="G27" s="365"/>
      <c r="H27" s="365"/>
      <c r="I27" s="366"/>
      <c r="J27" s="367"/>
      <c r="K27" s="368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18010.610583711867</v>
      </c>
    </row>
    <row r="44" spans="2:20" x14ac:dyDescent="0.35">
      <c r="B44" t="s">
        <v>504</v>
      </c>
    </row>
    <row r="45" spans="2:20" x14ac:dyDescent="0.35">
      <c r="B45" t="s">
        <v>505</v>
      </c>
    </row>
    <row r="46" spans="2:20" x14ac:dyDescent="0.35">
      <c r="B46" t="s">
        <v>506</v>
      </c>
    </row>
    <row r="47" spans="2:20" x14ac:dyDescent="0.35">
      <c r="B47" t="s">
        <v>507</v>
      </c>
    </row>
    <row r="48" spans="2:20" x14ac:dyDescent="0.35">
      <c r="B48" t="s">
        <v>508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7.25" customHeight="1" x14ac:dyDescent="0.4">
      <c r="A6" s="389" t="s">
        <v>511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119">
        <f t="shared" ref="P17:P24" si="5">M17+N17+O17</f>
        <v>1132.5257914194915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119">
        <f t="shared" si="5"/>
        <v>834.58895674576274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" si="8">SUM(G16:G24)</f>
        <v>0</v>
      </c>
      <c r="H25" s="113">
        <f t="shared" ref="H25" si="9">SUM(H16:H24)</f>
        <v>60</v>
      </c>
      <c r="I25" s="114">
        <f t="shared" ref="I25:M25" si="10">SUM(I16:I24)</f>
        <v>2883.1000000000004</v>
      </c>
      <c r="J25" s="274">
        <f>SUM(J16:J24)</f>
        <v>207.11</v>
      </c>
      <c r="K25" s="275">
        <f t="shared" si="10"/>
        <v>100.9085</v>
      </c>
      <c r="L25" s="276">
        <f t="shared" si="10"/>
        <v>40.014600000000002</v>
      </c>
      <c r="M25" s="232">
        <f t="shared" si="10"/>
        <v>2535.0669000000003</v>
      </c>
      <c r="N25" s="233">
        <f>SUM(N16:N24)</f>
        <v>549.15254237288104</v>
      </c>
      <c r="O25" s="101">
        <f>SUM(O16:O24)</f>
        <v>15.421097211864407</v>
      </c>
      <c r="P25" s="234">
        <f>SUM(P16:P24)</f>
        <v>3099.640539584746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2883.1000000000004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207.11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140.92310000000001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2535.0669000000003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549.15254237288104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3084.2194423728815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15.421097211864408</v>
      </c>
    </row>
    <row r="35" spans="2:16" ht="15.75" customHeight="1" thickBot="1" x14ac:dyDescent="0.4">
      <c r="N35" s="363" t="s">
        <v>88</v>
      </c>
      <c r="O35" s="364"/>
      <c r="P35" s="297">
        <f>+P33+P34</f>
        <v>3099.640539584746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513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435.84000000000003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34.867200000000004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15.254400000000002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385.71840000000003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468.09128135593221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63" t="s">
        <v>88</v>
      </c>
      <c r="O35" s="364"/>
      <c r="P35" s="297">
        <f>+P33+P34</f>
        <v>470.43173776271186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8.75" customHeight="1" x14ac:dyDescent="0.4">
      <c r="A6" s="389" t="s">
        <v>514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435.84000000000003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34.867200000000004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15.254400000000002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385.71840000000003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468.09128135593221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63" t="s">
        <v>88</v>
      </c>
      <c r="O35" s="364"/>
      <c r="P35" s="297">
        <f>+P33+P34</f>
        <v>470.43173776271186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515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516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435.84000000000003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34.867200000000004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15.254400000000002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385.71840000000003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468.09128135593221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63" t="s">
        <v>88</v>
      </c>
      <c r="O35" s="364"/>
      <c r="P35" s="297">
        <f>+P33+P34</f>
        <v>470.43173776271186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10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517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518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2905.6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232.44799999999998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101.696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2571.4560000000001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3120.6085423728814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63" t="s">
        <v>88</v>
      </c>
      <c r="O35" s="364"/>
      <c r="P35" s="297">
        <f>+P33+P34</f>
        <v>3136.2115850847458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519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119">
        <f t="shared" ref="P17:P24" si="5">M17+N17+O17</f>
        <v>1132.5257914194915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80</v>
      </c>
      <c r="I25" s="114">
        <f t="shared" si="7"/>
        <v>3667.7000000000003</v>
      </c>
      <c r="J25" s="274">
        <f>SUM(J16:J24)</f>
        <v>246.34000000000003</v>
      </c>
      <c r="K25" s="275">
        <f t="shared" si="7"/>
        <v>128.36950000000002</v>
      </c>
      <c r="L25" s="276">
        <f t="shared" si="7"/>
        <v>80.029200000000003</v>
      </c>
      <c r="M25" s="232">
        <f t="shared" si="7"/>
        <v>3212.9613000000004</v>
      </c>
      <c r="N25" s="233">
        <f>SUM(N16:N24)</f>
        <v>701.694915254237</v>
      </c>
      <c r="O25" s="101">
        <f>SUM(O16:O24)</f>
        <v>19.573281076271186</v>
      </c>
      <c r="P25" s="234">
        <f>SUM(P16:P24)</f>
        <v>3934.2294963305085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3667.7000000000003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246.34000000000003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208.39870000000002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3212.9612999999999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701.694915254237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3914.6562152542369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19.573281076271186</v>
      </c>
    </row>
    <row r="35" spans="2:16" ht="15.75" customHeight="1" thickBot="1" x14ac:dyDescent="0.4">
      <c r="N35" s="363" t="s">
        <v>88</v>
      </c>
      <c r="O35" s="364"/>
      <c r="P35" s="297">
        <f>+P33+P34</f>
        <v>3934.229496330508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520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435.84000000000003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34.867200000000004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15.254400000000002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385.71840000000003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468.09128135593221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63" t="s">
        <v>88</v>
      </c>
      <c r="O35" s="364"/>
      <c r="P35" s="297">
        <f>+P33+P34</f>
        <v>470.43173776271186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7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521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3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522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940.86347552542372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871.68000000000006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69.734400000000008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30.508800000000004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771.43680000000006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936.18256271186442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63" t="s">
        <v>88</v>
      </c>
      <c r="O35" s="364"/>
      <c r="P35" s="297">
        <f>+P33+P34</f>
        <v>940.86347552542372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7" workbookViewId="0">
      <selection activeCell="J19" sqref="J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523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24</v>
      </c>
      <c r="I25" s="114">
        <f t="shared" si="7"/>
        <v>1743.3600000000001</v>
      </c>
      <c r="J25" s="274">
        <f>SUM(J16:J24)</f>
        <v>139.46880000000002</v>
      </c>
      <c r="K25" s="275">
        <f t="shared" si="7"/>
        <v>61.017600000000009</v>
      </c>
      <c r="L25" s="276">
        <f t="shared" si="7"/>
        <v>0</v>
      </c>
      <c r="M25" s="232">
        <f t="shared" si="7"/>
        <v>1542.8736000000001</v>
      </c>
      <c r="N25" s="233">
        <f>SUM(N16:N24)</f>
        <v>329.49152542372883</v>
      </c>
      <c r="O25" s="101">
        <f>SUM(O16:O24)</f>
        <v>9.3618256271186446</v>
      </c>
      <c r="P25" s="234">
        <f>SUM(P16:P24)</f>
        <v>1881.7269510508474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1743.3600000000001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139.46880000000002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61.017600000000009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1542.8736000000001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1872.3651254237288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63" t="s">
        <v>88</v>
      </c>
      <c r="O35" s="364"/>
      <c r="P35" s="297">
        <f>+P33+P34</f>
        <v>1881.7269510508474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10" workbookViewId="0">
      <selection activeCell="H16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524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525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3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526</v>
      </c>
      <c r="B6" s="389"/>
      <c r="C6" s="389"/>
      <c r="F6" s="85"/>
      <c r="G6" s="86"/>
      <c r="K6" s="384" t="s">
        <v>69</v>
      </c>
      <c r="L6" s="384"/>
      <c r="M6" s="384"/>
      <c r="N6" s="386" t="s">
        <v>505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16</v>
      </c>
      <c r="I20" s="236">
        <f t="shared" si="0"/>
        <v>1162.24</v>
      </c>
      <c r="J20" s="272">
        <f t="shared" si="1"/>
        <v>92.979200000000006</v>
      </c>
      <c r="K20" s="128">
        <f t="shared" si="1"/>
        <v>40.678400000000003</v>
      </c>
      <c r="L20" s="119">
        <f t="shared" si="1"/>
        <v>0</v>
      </c>
      <c r="M20" s="230">
        <f t="shared" si="2"/>
        <v>1028.5824</v>
      </c>
      <c r="N20" s="277">
        <f t="shared" si="3"/>
        <v>219.66101694915255</v>
      </c>
      <c r="O20" s="239">
        <f t="shared" si="4"/>
        <v>6.2412170847457631</v>
      </c>
      <c r="P20" s="119">
        <f t="shared" si="5"/>
        <v>1254.4846340338984</v>
      </c>
      <c r="R20">
        <f>P20/21</f>
        <v>59.737363525423731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232.44800000000004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2905.6000000000004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232.44800000000004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101.69600000000001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2571.4560000000006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3120.6085423728819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63" t="s">
        <v>88</v>
      </c>
      <c r="O35" s="364"/>
      <c r="P35" s="297">
        <f>+P33+P34</f>
        <v>3136.2115850847463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501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8.75" customHeight="1" x14ac:dyDescent="0.4">
      <c r="A6" s="389" t="s">
        <v>502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503</v>
      </c>
      <c r="B4" s="383"/>
      <c r="C4" s="383"/>
      <c r="F4" s="85"/>
      <c r="G4" s="1"/>
      <c r="K4" s="384" t="s">
        <v>44</v>
      </c>
      <c r="L4" s="384"/>
      <c r="M4" s="384"/>
      <c r="N4" s="387">
        <f ca="1">TODAY()+1</f>
        <v>46233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 ca="1">N4-1</f>
        <v>46232</v>
      </c>
      <c r="O5" s="383"/>
      <c r="P5" s="383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73</v>
      </c>
      <c r="B7" s="384"/>
      <c r="C7" s="384"/>
      <c r="F7" s="85"/>
      <c r="G7" s="86"/>
      <c r="K7" s="384" t="s">
        <v>66</v>
      </c>
      <c r="L7" s="384"/>
      <c r="M7" s="384"/>
      <c r="N7" s="386" t="s">
        <v>509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509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1" t="s">
        <v>55</v>
      </c>
      <c r="K14" s="342"/>
      <c r="L14" s="343"/>
      <c r="M14" s="335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2" t="s">
        <v>91</v>
      </c>
      <c r="B2" s="382"/>
      <c r="C2" s="382"/>
    </row>
    <row r="3" spans="1:18 16382:16383" ht="15" customHeight="1" x14ac:dyDescent="0.35">
      <c r="A3" s="383" t="s">
        <v>92</v>
      </c>
      <c r="B3" s="383"/>
      <c r="C3" s="383"/>
      <c r="F3" s="85"/>
      <c r="G3" s="1"/>
      <c r="J3" s="384" t="s">
        <v>43</v>
      </c>
      <c r="K3" s="384"/>
      <c r="L3" s="384"/>
      <c r="M3" s="383"/>
      <c r="N3" s="383"/>
      <c r="O3" s="38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3" t="s">
        <v>65</v>
      </c>
      <c r="B4" s="383"/>
      <c r="C4" s="383"/>
      <c r="F4" s="85"/>
      <c r="G4" s="1"/>
      <c r="J4" s="384" t="s">
        <v>44</v>
      </c>
      <c r="K4" s="384"/>
      <c r="L4" s="384"/>
      <c r="M4" s="387">
        <f ca="1">TODAY()+1</f>
        <v>46233</v>
      </c>
      <c r="N4" s="387"/>
      <c r="O4" s="38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8" t="s">
        <v>93</v>
      </c>
      <c r="B5" s="388"/>
      <c r="C5" s="388"/>
      <c r="F5" s="85"/>
      <c r="G5" s="1"/>
      <c r="J5" s="384" t="s">
        <v>45</v>
      </c>
      <c r="K5" s="384"/>
      <c r="L5" s="384"/>
      <c r="M5" s="387">
        <f ca="1">M4-1</f>
        <v>46232</v>
      </c>
      <c r="N5" s="383"/>
      <c r="O5" s="383"/>
      <c r="Q5" s="85"/>
      <c r="R5" s="1"/>
    </row>
    <row r="6" spans="1:18 16382:16383" ht="15" customHeight="1" x14ac:dyDescent="0.35">
      <c r="A6" s="384" t="s">
        <v>94</v>
      </c>
      <c r="B6" s="384"/>
      <c r="C6" s="384"/>
      <c r="F6" s="85"/>
      <c r="G6" s="86"/>
      <c r="J6" s="384" t="s">
        <v>69</v>
      </c>
      <c r="K6" s="384"/>
      <c r="L6" s="384"/>
      <c r="M6" s="386" t="s">
        <v>62</v>
      </c>
      <c r="N6" s="386"/>
      <c r="O6" s="38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4" t="s">
        <v>73</v>
      </c>
      <c r="B7" s="384"/>
      <c r="C7" s="384"/>
      <c r="F7" s="85"/>
      <c r="G7" s="86"/>
      <c r="J7" s="384" t="s">
        <v>66</v>
      </c>
      <c r="K7" s="384"/>
      <c r="L7" s="384"/>
      <c r="M7" s="386" t="s">
        <v>70</v>
      </c>
      <c r="N7" s="386"/>
      <c r="O7" s="38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0" t="s">
        <v>95</v>
      </c>
      <c r="B8" s="390"/>
      <c r="C8" s="390"/>
      <c r="F8" s="85"/>
      <c r="G8" s="86"/>
      <c r="J8" s="384" t="s">
        <v>67</v>
      </c>
      <c r="K8" s="384"/>
      <c r="L8" s="384"/>
      <c r="M8" s="386" t="s">
        <v>71</v>
      </c>
      <c r="N8" s="386"/>
      <c r="O8" s="386"/>
      <c r="Q8" s="85"/>
      <c r="R8" s="86"/>
    </row>
    <row r="9" spans="1:18 16382:16383" x14ac:dyDescent="0.35">
      <c r="A9" s="390" t="s">
        <v>96</v>
      </c>
      <c r="B9" s="390"/>
      <c r="C9" s="390"/>
      <c r="F9" s="85"/>
      <c r="G9" s="86"/>
      <c r="J9" s="384" t="s">
        <v>68</v>
      </c>
      <c r="K9" s="384"/>
      <c r="L9" s="384"/>
      <c r="M9" s="386" t="s">
        <v>104</v>
      </c>
      <c r="N9" s="386"/>
      <c r="O9" s="386"/>
      <c r="Q9" s="85"/>
      <c r="R9" s="86"/>
      <c r="XFC9" t="s">
        <v>49</v>
      </c>
    </row>
    <row r="10" spans="1:18 16382:16383" x14ac:dyDescent="0.35">
      <c r="A10" s="390" t="s">
        <v>97</v>
      </c>
      <c r="B10" s="390"/>
      <c r="C10" s="390"/>
      <c r="F10" s="85"/>
      <c r="G10" s="1"/>
      <c r="J10" s="384" t="s">
        <v>46</v>
      </c>
      <c r="K10" s="384"/>
      <c r="L10" s="384"/>
      <c r="M10" s="383" t="s">
        <v>47</v>
      </c>
      <c r="N10" s="383"/>
      <c r="O10" s="38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4" t="s">
        <v>48</v>
      </c>
      <c r="K11" s="384"/>
      <c r="L11" s="384"/>
      <c r="M11" s="383" t="s">
        <v>49</v>
      </c>
      <c r="N11" s="383"/>
      <c r="O11" s="38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4" t="s">
        <v>50</v>
      </c>
      <c r="K12" s="384"/>
      <c r="L12" s="384"/>
      <c r="M12" s="383"/>
      <c r="N12" s="383"/>
      <c r="O12" s="38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4" t="s">
        <v>51</v>
      </c>
      <c r="B14" s="335"/>
      <c r="C14" s="338" t="s">
        <v>90</v>
      </c>
      <c r="D14" s="88" t="s">
        <v>52</v>
      </c>
      <c r="E14" s="95" t="s">
        <v>74</v>
      </c>
      <c r="F14" s="115" t="s">
        <v>53</v>
      </c>
      <c r="G14" s="381" t="s">
        <v>54</v>
      </c>
      <c r="H14" s="343"/>
      <c r="I14" s="344" t="s">
        <v>77</v>
      </c>
      <c r="J14" s="342" t="s">
        <v>55</v>
      </c>
      <c r="K14" s="343"/>
      <c r="L14" s="34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6"/>
      <c r="B15" s="337"/>
      <c r="C15" s="33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5"/>
      <c r="J15" s="144" t="s">
        <v>39</v>
      </c>
      <c r="K15" s="145" t="s">
        <v>59</v>
      </c>
      <c r="L15" s="34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5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50"/>
      <c r="M28" s="357" t="s">
        <v>60</v>
      </c>
      <c r="N28" s="358"/>
      <c r="O28" s="139">
        <f>I25</f>
        <v>1452.8</v>
      </c>
    </row>
    <row r="29" spans="1:18 16383:16383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3"/>
      <c r="M29" s="359" t="s">
        <v>85</v>
      </c>
      <c r="N29" s="360"/>
      <c r="O29" s="140">
        <f>K25</f>
        <v>0</v>
      </c>
    </row>
    <row r="30" spans="1:18 16383:16383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3"/>
      <c r="M30" s="359" t="s">
        <v>86</v>
      </c>
      <c r="N30" s="360"/>
      <c r="O30" s="140">
        <f>J25</f>
        <v>50.848000000000006</v>
      </c>
    </row>
    <row r="31" spans="1:18 16383:16383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3"/>
      <c r="L31" s="131"/>
      <c r="M31" s="359" t="s">
        <v>87</v>
      </c>
      <c r="N31" s="360"/>
      <c r="O31" s="140">
        <f>O28-O29-O30</f>
        <v>1401.952</v>
      </c>
    </row>
    <row r="32" spans="1:18 16383:16383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3"/>
      <c r="L33" s="131"/>
      <c r="M33" s="361" t="s">
        <v>76</v>
      </c>
      <c r="N33" s="362"/>
      <c r="O33" s="140">
        <f>O31+O32</f>
        <v>1710.3814400000001</v>
      </c>
    </row>
    <row r="34" spans="2:15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3" t="s">
        <v>88</v>
      </c>
      <c r="N35" s="364"/>
      <c r="O35" s="141">
        <f>O28-O29+O31+O34</f>
        <v>2897.511536</v>
      </c>
    </row>
    <row r="36" spans="2:15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6" t="s">
        <v>438</v>
      </c>
      <c r="D1" s="394" t="s">
        <v>439</v>
      </c>
      <c r="E1" s="326" t="s">
        <v>58</v>
      </c>
      <c r="F1" s="326"/>
      <c r="G1" s="327" t="s">
        <v>440</v>
      </c>
      <c r="H1" s="327"/>
      <c r="I1" s="395" t="s">
        <v>441</v>
      </c>
      <c r="J1" s="395"/>
      <c r="K1" s="395" t="s">
        <v>442</v>
      </c>
      <c r="L1" s="395"/>
      <c r="M1" s="391" t="s">
        <v>484</v>
      </c>
      <c r="N1" s="392"/>
      <c r="O1" s="393"/>
    </row>
    <row r="2" spans="3:24" ht="29" x14ac:dyDescent="0.35">
      <c r="C2" s="326"/>
      <c r="D2" s="39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6" t="s">
        <v>476</v>
      </c>
      <c r="D6" s="396"/>
      <c r="E6" s="396"/>
      <c r="F6" s="396"/>
      <c r="G6" s="396"/>
      <c r="T6" s="257" t="s">
        <v>487</v>
      </c>
      <c r="U6" s="257" t="s">
        <v>488</v>
      </c>
    </row>
    <row r="7" spans="3:24" ht="14.5" customHeight="1" x14ac:dyDescent="0.35">
      <c r="C7" s="321" t="s">
        <v>438</v>
      </c>
      <c r="D7" s="325" t="s">
        <v>439</v>
      </c>
      <c r="E7" s="398" t="s">
        <v>58</v>
      </c>
      <c r="F7" s="398"/>
      <c r="G7" s="399" t="s">
        <v>440</v>
      </c>
      <c r="H7" s="327"/>
      <c r="I7" s="328" t="s">
        <v>441</v>
      </c>
      <c r="J7" s="329"/>
      <c r="K7" s="328" t="s">
        <v>442</v>
      </c>
      <c r="L7" s="329"/>
      <c r="M7" s="391" t="s">
        <v>484</v>
      </c>
      <c r="N7" s="392"/>
      <c r="O7" s="393"/>
      <c r="P7" s="256" t="s">
        <v>475</v>
      </c>
      <c r="Q7" s="242" t="s">
        <v>473</v>
      </c>
      <c r="R7" s="394" t="s">
        <v>475</v>
      </c>
      <c r="S7" s="394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23"/>
      <c r="D8" s="32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4"/>
      <c r="S8" s="394"/>
      <c r="T8" s="399"/>
      <c r="U8" s="39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7" t="s">
        <v>477</v>
      </c>
      <c r="D12" s="397"/>
      <c r="E12" s="397"/>
      <c r="F12" s="397"/>
      <c r="G12" s="397"/>
    </row>
    <row r="13" spans="3:24" x14ac:dyDescent="0.35">
      <c r="C13" s="322" t="s">
        <v>438</v>
      </c>
      <c r="D13" s="324" t="s">
        <v>439</v>
      </c>
      <c r="E13" s="326" t="s">
        <v>58</v>
      </c>
      <c r="F13" s="326"/>
      <c r="G13" s="327" t="s">
        <v>440</v>
      </c>
      <c r="H13" s="327"/>
      <c r="I13" s="328" t="s">
        <v>441</v>
      </c>
      <c r="J13" s="329"/>
      <c r="K13" s="328" t="s">
        <v>442</v>
      </c>
      <c r="L13" s="329"/>
      <c r="M13" s="391" t="s">
        <v>484</v>
      </c>
      <c r="N13" s="392"/>
      <c r="O13" s="393"/>
      <c r="P13" s="256" t="s">
        <v>475</v>
      </c>
      <c r="Q13" s="242" t="s">
        <v>473</v>
      </c>
      <c r="R13" s="394" t="s">
        <v>475</v>
      </c>
      <c r="S13" s="394" t="s">
        <v>485</v>
      </c>
      <c r="T13" s="400" t="s">
        <v>486</v>
      </c>
      <c r="U13" s="400" t="s">
        <v>486</v>
      </c>
    </row>
    <row r="14" spans="3:24" ht="29.5" thickBot="1" x14ac:dyDescent="0.4">
      <c r="C14" s="323"/>
      <c r="D14" s="32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4"/>
      <c r="S14" s="394"/>
      <c r="T14" s="399"/>
      <c r="U14" s="39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6" t="s">
        <v>478</v>
      </c>
      <c r="D19" s="396"/>
      <c r="E19" s="396"/>
      <c r="F19" s="396"/>
      <c r="G19" s="396"/>
    </row>
    <row r="20" spans="3:21" x14ac:dyDescent="0.35">
      <c r="C20" s="322" t="s">
        <v>438</v>
      </c>
      <c r="D20" s="324" t="s">
        <v>439</v>
      </c>
      <c r="E20" s="326" t="s">
        <v>58</v>
      </c>
      <c r="F20" s="326"/>
      <c r="G20" s="327" t="s">
        <v>440</v>
      </c>
      <c r="H20" s="327"/>
      <c r="I20" s="328" t="s">
        <v>441</v>
      </c>
      <c r="J20" s="329"/>
      <c r="K20" s="328" t="s">
        <v>442</v>
      </c>
      <c r="L20" s="329"/>
      <c r="M20" s="391" t="s">
        <v>484</v>
      </c>
      <c r="N20" s="392"/>
      <c r="O20" s="393"/>
      <c r="P20" s="256" t="s">
        <v>475</v>
      </c>
      <c r="Q20" s="242" t="s">
        <v>473</v>
      </c>
      <c r="R20" s="394" t="s">
        <v>475</v>
      </c>
      <c r="S20" s="394" t="s">
        <v>485</v>
      </c>
      <c r="T20" s="400" t="s">
        <v>486</v>
      </c>
      <c r="U20" s="400" t="s">
        <v>486</v>
      </c>
    </row>
    <row r="21" spans="3:21" ht="29.5" thickBot="1" x14ac:dyDescent="0.4">
      <c r="C21" s="323"/>
      <c r="D21" s="32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4"/>
      <c r="S21" s="394"/>
      <c r="T21" s="399"/>
      <c r="U21" s="39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6" t="s">
        <v>479</v>
      </c>
      <c r="D26" s="396"/>
      <c r="E26" s="396"/>
      <c r="F26" s="396"/>
      <c r="G26" s="396"/>
    </row>
    <row r="27" spans="3:21" x14ac:dyDescent="0.35">
      <c r="C27" s="322" t="s">
        <v>438</v>
      </c>
      <c r="D27" s="324" t="s">
        <v>439</v>
      </c>
      <c r="E27" s="326" t="s">
        <v>58</v>
      </c>
      <c r="F27" s="326"/>
      <c r="G27" s="327" t="s">
        <v>440</v>
      </c>
      <c r="H27" s="327"/>
      <c r="I27" s="328" t="s">
        <v>441</v>
      </c>
      <c r="J27" s="329"/>
      <c r="K27" s="328" t="s">
        <v>442</v>
      </c>
      <c r="L27" s="329"/>
      <c r="M27" s="391" t="s">
        <v>484</v>
      </c>
      <c r="N27" s="392"/>
      <c r="O27" s="393"/>
      <c r="P27" s="256" t="s">
        <v>475</v>
      </c>
      <c r="Q27" s="242" t="s">
        <v>473</v>
      </c>
      <c r="R27" s="394" t="s">
        <v>475</v>
      </c>
      <c r="S27" s="394" t="s">
        <v>485</v>
      </c>
      <c r="T27" s="400" t="s">
        <v>486</v>
      </c>
      <c r="U27" s="400" t="s">
        <v>486</v>
      </c>
    </row>
    <row r="28" spans="3:21" ht="29.5" thickBot="1" x14ac:dyDescent="0.4">
      <c r="C28" s="323"/>
      <c r="D28" s="32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4"/>
      <c r="S28" s="394"/>
      <c r="T28" s="399"/>
      <c r="U28" s="39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6" t="s">
        <v>438</v>
      </c>
      <c r="C1" s="394" t="s">
        <v>439</v>
      </c>
      <c r="D1" s="326" t="s">
        <v>58</v>
      </c>
      <c r="E1" s="326"/>
      <c r="F1" s="327" t="s">
        <v>440</v>
      </c>
      <c r="G1" s="327"/>
      <c r="H1" s="395" t="s">
        <v>441</v>
      </c>
      <c r="I1" s="395"/>
      <c r="J1" s="395" t="s">
        <v>442</v>
      </c>
      <c r="K1" s="395"/>
      <c r="L1" s="391" t="s">
        <v>484</v>
      </c>
      <c r="M1" s="392"/>
      <c r="N1" s="393"/>
    </row>
    <row r="2" spans="2:17" ht="29" x14ac:dyDescent="0.35">
      <c r="B2" s="326"/>
      <c r="C2" s="39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3"/>
      <c r="G60" s="160" t="s">
        <v>195</v>
      </c>
      <c r="H60" s="161" t="s">
        <v>100</v>
      </c>
    </row>
    <row r="61" spans="5:8" x14ac:dyDescent="0.35">
      <c r="E61" s="159" t="s">
        <v>192</v>
      </c>
      <c r="F61" s="403"/>
      <c r="G61" s="160" t="s">
        <v>196</v>
      </c>
      <c r="H61" s="161" t="s">
        <v>98</v>
      </c>
    </row>
    <row r="62" spans="5:8" x14ac:dyDescent="0.35">
      <c r="E62" s="159" t="s">
        <v>192</v>
      </c>
      <c r="F62" s="403"/>
      <c r="G62" s="160" t="s">
        <v>197</v>
      </c>
      <c r="H62" s="161" t="s">
        <v>101</v>
      </c>
    </row>
    <row r="63" spans="5:8" x14ac:dyDescent="0.35">
      <c r="E63" s="159" t="s">
        <v>192</v>
      </c>
      <c r="F63" s="403"/>
      <c r="G63" s="160" t="s">
        <v>198</v>
      </c>
      <c r="H63" s="161" t="s">
        <v>102</v>
      </c>
    </row>
    <row r="64" spans="5:8" x14ac:dyDescent="0.35">
      <c r="E64" s="159" t="s">
        <v>192</v>
      </c>
      <c r="F64" s="403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3"/>
      <c r="G121" s="160" t="s">
        <v>273</v>
      </c>
      <c r="H121" s="161" t="s">
        <v>98</v>
      </c>
    </row>
    <row r="122" spans="5:8" x14ac:dyDescent="0.35">
      <c r="E122" s="159" t="s">
        <v>269</v>
      </c>
      <c r="F122" s="40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3"/>
      <c r="G241" s="160" t="s">
        <v>432</v>
      </c>
      <c r="H241" s="161" t="s">
        <v>98</v>
      </c>
    </row>
    <row r="242" spans="5:8" x14ac:dyDescent="0.35">
      <c r="E242" s="159" t="s">
        <v>428</v>
      </c>
      <c r="F242" s="40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2026-07-29T11:29:26Z</dcterms:modified>
</cp:coreProperties>
</file>