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AFE7380-FA15-453A-9584-0A459BBE432D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<sst xmlns="http://schemas.openxmlformats.org/spreadsheetml/2006/main" count="3913" uniqueCount="521">
  <si>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</si>
  <si>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</si>
  <si>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</si>
  <si>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</si>
  <si>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</si>
  <si>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</si>
  <si>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</si>
  <si>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</si>
  <si>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</si>
  <si>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</si>
  <si>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</si>
  <si>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</si>
  <si>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</si>
  <si>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</si>
  <si>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</si>
  <si>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</si>
  <si>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</si>
  <si>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</si>
  <si>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</si>
  <si>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</si>
  <si>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</si>
  <si>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</si>
  <si>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</si>
  <si>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</si>
  <si>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</si>
  <si>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</si>
  <si>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</si>
  <si>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</si>
  <si>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</si>
  <si>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</si>
  <si>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</si>
  <si>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</si>
  <si>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</si>
  <si>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</si>
  <si>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</si>
  <si>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</si>
  <si>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</si>
  <si>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</si>
  <si>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</si>
  <si>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</si>
  <si>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</si>
  <si>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</si>
  <si>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</si>
  <si>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</si>
  <si>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</si>
  <si>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</si>
  <si>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</si>
  <si>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</si>
  <si>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</si>
  <si>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</si>
  <si>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</si>
  <si>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</si>
  <si>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</si>
  <si>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</si>
  <si>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</si>
  <si>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</si>
  <si>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</si>
  <si>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</si>
  <si>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</si>
  <si>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</si>
  <si>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</si>
  <si>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</si>
  <si>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</si>
  <si>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</si>
  <si>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</si>
  <si>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</si>
  <si>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</si>
  <si>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</si>
  <si>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</si>
  <si>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</si>
  <si>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</si>
  <si>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</si>
  <si>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</si>
  <si>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</si>
  <si>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</si>
  <si>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</si>
  <si>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</si>
  <si>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</si>
  <si>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</si>
  <si>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</si>
  <si>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</si>
  <si>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</si>
  <si>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</si>
  <si>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</si>
  <si>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</si>
  <si>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</si>
  <si>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</si>
  <si>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</si>
  <si>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</si>
  <si>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</si>
  <si>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</si>
  <si>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</si>
  <si>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</si>
  <si>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</si>
  <si>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</si>
  <si>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</si>
  <si>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</si>
  <si>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</si>
  <si>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</si>
  <si>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</si>
  <si>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</si>
  <si>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</si>
  <si>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</si>
  <si>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</si>
  <si>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</si>
  <si>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</si>
  <si>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</si>
  <si>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</si>
  <si>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</si>
  <si>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</si>
  <si>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</si>
  <si>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</si>
  <si>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</si>
  <si>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</si>
  <si>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</si>
  <si>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</si>
  <si>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</si>
  <si>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</si>
  <si>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</si>
  <si>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</si>
  <si>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</si>
  <si>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</si>
  <si>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</si>
  <si>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</si>
  <si>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</si>
  <si>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</si>
  <si>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</si>
  <si>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</si>
  <si>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</si>
  <si>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</si>
  <si>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</si>
  <si>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</si>
  <si>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</si>
  <si>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</si>
  <si>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</si>
  <si>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</si>
  <si>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</si>
  <si>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</si>
  <si>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</si>
  <si>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</si>
  <si>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</si>
  <si>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</si>
  <si>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</si>
  <si>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</si>
  <si>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</si>
  <si>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</si>
  <si>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</si>
  <si>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</si>
  <si>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</si>
  <si>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</si>
  <si>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</si>
  <si>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</si>
  <si>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</si>
  <si>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</si>
  <si>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</si>
  <si>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</si>
  <si>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</si>
  <si>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</si>
  <si>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</si>
  <si>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</si>
  <si>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</si>
  <si>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</si>
  <si>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</si>
  <si>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</si>
  <si>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</si>
  <si>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</si>
  <si>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</si>
  <si>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</si>
  <si>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</si>
  <si>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</si>
  <si>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</si>
  <si>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</si>
  <si>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</si>
  <si>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</si>
  <si>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</si>
  <si>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</si>
  <si>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</si>
  <si>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</si>
  <si>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</si>
  <si>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</si>
  <si>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</si>
  <si>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</si>
  <si>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</si>
  <si>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</si>
  <si>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</si>
  <si>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</si>
  <si>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</si>
  <si>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</si>
  <si>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</si>
  <si>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</si>
  <si>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</si>
  <si>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</si>
  <si>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</si>
  <si>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</si>
  <si>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</si>
  <si>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</si>
  <si>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</si>
  <si>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</si>
  <si>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</si>
  <si>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</si>
  <si>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</si>
  <si>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</si>
  <si>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</si>
  <si>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</si>
  <si>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</si>
  <si>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</si>
  <si>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</si>
  <si>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</si>
  <si>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</si>
  <si>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</si>
  <si>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</si>
  <si>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</si>
  <si>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</si>
  <si>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</si>
  <si>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</si>
  <si>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</si>
  <si>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</si>
  <si>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</si>
  <si>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</si>
  <si>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</si>
  <si>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</si>
  <si>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</si>
  <si>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</si>
  <si>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</si>
  <si>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</si>
  <si>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</si>
  <si>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</si>
  <si>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</si>
  <si>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</si>
  <si>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</si>
  <si>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</si>
  <si>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</si>
  <si>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</si>
  <si>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</si>
  <si>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</si>
  <si>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</si>
  <si>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</si>
  <si>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</si>
  <si>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</si>
  <si>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</si>
  <si>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</si>
  <si>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</si>
  <si>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</si>
  <si>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</si>
  <si>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</si>
  <si>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</si>
  <si>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</si>
  <si>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</si>
  <si>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</si>
  <si>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</si>
  <si>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</si>
  <si>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</si>
  <si>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</si>
  <si>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</si>
  <si>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</si>
  <si>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</si>
  <si>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</si>
  <si>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</si>
  <si>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</si>
  <si>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</si>
  <si>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</si>
  <si>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</si>
  <si>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</si>
  <si>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</si>
  <si>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</si>
  <si>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</si>
  <si>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</si>
  <si>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</si>
  <si>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</si>
  <si>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</si>
  <si>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</si>
  <si>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</si>
  <si>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</si>
  <si>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</si>
  <si>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</si>
  <si>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</si>
  <si>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</si>
  <si>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</si>
  <si>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</si>
  <si>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</si>
  <si>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</si>
  <si>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</si>
  <si>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</si>
  <si>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</si>
  <si>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</si>
  <si>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</si>
  <si>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</si>
  <si>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</si>
  <si>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</si>
  <si>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</si>
  <si>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</si>
  <si>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</si>
  <si>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</si>
  <si>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</si>
  <si>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</si>
  <si>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</si>
  <si>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</si>
  <si>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</si>
  <si>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</si>
  <si>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</si>
  <si>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</si>
  <si>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</si>
  <si>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</si>
  <si>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</si>
  <si>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</si>
  <si>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</si>
  <si>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</si>
  <si>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</si>
  <si>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</si>
  <si>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</si>
  <si>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</si>
  <si>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</si>
  <si>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</si>
  <si>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</si>
  <si>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</si>
  <si>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</si>
  <si>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</si>
  <si>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</si>
  <si>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</si>
  <si>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</si>
  <si>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</si>
  <si>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</si>
  <si>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</si>
  <si>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</si>
  <si>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</si>
  <si>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</si>
  <si>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</si>
  <si>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</si>
  <si>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</si>
  <si>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</si>
  <si>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</si>
  <si>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</si>
  <si>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</si>
  <si>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</si>
  <si>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</si>
  <si>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</si>
  <si>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</si>
  <si>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</si>
  <si>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</si>
  <si>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</si>
  <si>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</si>
  <si>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</si>
  <si>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</si>
  <si>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</si>
  <si>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</si>
  <si>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</si>
  <si>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</si>
  <si>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</si>
  <si>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</si>
  <si>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</si>
  <si>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</si>
  <si>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</si>
  <si>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</si>
  <si>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</si>
  <si>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</si>
  <si>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</si>
  <si>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</si>
  <si>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</si>
  <si>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</si>
  <si>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</si>
  <si>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</si>
  <si>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</si>
  <si>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</si>
  <si>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</si>
  <si>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</si>
  <si>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</si>
  <si>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</si>
  <si>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</si>
  <si>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</si>
  <si>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</si>
  <si>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</si>
  <si>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</si>
  <si>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</si>
  <si>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</si>
  <si>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</si>
  <si>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</si>
  <si>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</si>
  <si>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</si>
  <si>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</si>
  <si>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</si>
  <si>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</si>
  <si>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</si>
  <si>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</si>
  <si>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</si>
  <si>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</si>
  <si>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</si>
  <si>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</si>
  <si>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</si>
  <si>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</si>
  <si>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</si>
  <si>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</si>
  <si>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</si>
  <si>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</si>
  <si>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</si>
  <si>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</si>
  <si>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</si>
  <si>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</si>
  <si>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</si>
  <si>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</si>
  <si>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</si>
  <si>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</si>
  <si>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</si>
  <si>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</si>
  <si>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</si>
  <si>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</si>
  <si>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</si>
  <si>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</si>
  <si>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</si>
  <si>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</si>
  <si>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</si>
  <si>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</si>
  <si>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</si>
  <si>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</si>
  <si>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</si>
  <si>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</si>
  <si>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</si>
  <si>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</si>
  <si>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</si>
  <si>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</si>
  <si>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</si>
  <si>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</si>
  <si>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</si>
  <si>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</si>
  <si>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</si>
  <si>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</si>
  <si>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</si>
  <si>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</si>
  <si>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</si>
  <si>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</si>
  <si>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</si>
  <si>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</si>
  <si>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</si>
  <si>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</si>
  <si>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</si>
  <si>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</si>
  <si>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</si>
  <si>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</si>
  <si>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</si>
  <si>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</si>
  <si>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</si>
  <si>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</si>
  <si>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</si>
  <si>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</si>
  <si>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</si>
  <si>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</si>
  <si>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</si>
  <si>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</si>
  <si>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</si>
  <si>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</si>
  <si>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</si>
  <si>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</si>
  <si>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</si>
  <si>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</si>
  <si>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</si>
  <si>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</si>
  <si>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</si>
  <si>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</si>
  <si>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</si>
  <si>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</si>
  <si>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</si>
  <si>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</si>
  <si>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</si>
  <si>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</si>
  <si>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</si>
  <si>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</si>
  <si>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</si>
  <si>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</si>
  <si>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</si>
  <si>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</si>
  <si>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</si>
  <si>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</si>
  <si>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</si>
  <si>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</si>
  <si>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</si>
  <si>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</si>
  <si>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</si>
  <si>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</si>
  <si>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</si>
  <si>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</si>
  <si>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</si>
  <si>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</si>
  <si>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</si>
  <si>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</si>
  <si>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</si>
  <si>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</si>
  <si>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</si>
  <si>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</si>
  <si>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</si>
  <si>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</si>
  <si>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</si>
  <si>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</si>
  <si>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</si>
  <si>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</si>
  <si>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</si>
  <si>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</si>
  <si>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</si>
  <si>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</si>
  <si>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</si>
  <si>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</si>
  <si>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</si>
  <si>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</si>
  <si>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</si>
  <si>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</si>
  <si>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</si>
  <si>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</si>
  <si>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</si>
  <si>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</si>
  <si>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</si>
  <si>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</si>
  <si>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</si>
  <si>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</si>
  <si>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</si>
  <si>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 xml:space="preserve">Al Makkah Cash &amp; Carry </t>
  </si>
  <si>
    <t xml:space="preserve">Address:Askari </t>
  </si>
  <si>
    <t xml:space="preserve">Askari Cash &amp; Carry </t>
  </si>
  <si>
    <t>Quality Store</t>
  </si>
  <si>
    <t>Hikma Store</t>
  </si>
  <si>
    <t>MA General Store</t>
  </si>
  <si>
    <t xml:space="preserve">Kashmir Bakers </t>
  </si>
  <si>
    <t>Five Start General Store</t>
  </si>
  <si>
    <t>Madina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</si>
</sst>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opLeftCell="D1" workbookViewId="0">
      <selection activeCell="T5" sqref="T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511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46234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Al Makkah Cash &amp; Carry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Askari Cash &amp; Carry </v>
      </c>
      <c r="T4" s="301">
        <f>+'2'!P35</f>
        <v>3762.1533026440679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Quality Store</v>
      </c>
      <c r="T5" s="301">
        <f>+'3'!P35</f>
        <v>1441.6168495728814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Hikma Store</v>
      </c>
      <c r="T6" s="301">
        <f>+'4'!P35</f>
        <v>1881.7269510508474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118">
        <f>M7+N7+O7</f>
        <v>679.51547485169488</v>
      </c>
      <c r="Q7" s="142"/>
      <c r="R7" s="299">
        <v>5</v>
      </c>
      <c r="S7" s="300" t="str">
        <f>+'5'!A6:A6</f>
        <v>MA General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119">
        <f t="shared" ref="P8:P15" si="2">M8+N8+O8</f>
        <v>679.51547485169488</v>
      </c>
      <c r="R8" s="299">
        <v>6</v>
      </c>
      <c r="S8" s="300" t="str">
        <f>+'6'!A6:A6</f>
        <v xml:space="preserve">Kashmir Bakers </v>
      </c>
      <c r="T8" s="301">
        <f>+'6'!P35</f>
        <v>4682.3747503271188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Five Start General Store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58</v>
      </c>
      <c r="I10" s="236">
        <f t="shared" si="0"/>
        <v>4213.12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337.04960000000005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147.45920000000001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3728.6111999999998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796.27118644067809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22.62441193220339</v>
      </c>
      <c r="P10" s="119">
        <f t="shared" si="2"/>
        <v>4547.5067983728813</v>
      </c>
      <c r="R10" s="299">
        <v>8</v>
      </c>
      <c r="S10" s="300" t="str">
        <f>+'8'!A6:A6</f>
        <v>Madina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2571.4559999999997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15.603042711864409</v>
      </c>
      <c r="P11" s="119">
        <f t="shared" si="2"/>
        <v>3136.2115850847454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54</v>
      </c>
      <c r="I12" s="236">
        <f t="shared" si="0"/>
        <v>3922.56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313.8048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137.28960000000001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3471.4656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741.3559322033899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21.064107661016948</v>
      </c>
      <c r="P12" s="119">
        <f t="shared" si="2"/>
        <v>4233.8856398644075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119</v>
      </c>
      <c r="I13" s="236">
        <f t="shared" si="0"/>
        <v>4668.3700000000008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233.41850000000005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163.39295000000004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238.08687</v>
      </c>
      <c r="M13" s="230">
        <f t="shared" si="1"/>
        <v>4033.4716800000006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907.62711864406731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24.70549399322034</v>
      </c>
      <c r="P13" s="119">
        <f t="shared" si="2"/>
        <v>4965.8042926372882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7.375</v>
      </c>
      <c r="H16" s="113">
        <f t="shared" ref="H16:M16" si="3">SUM(H7:H15)</f>
        <v>295</v>
      </c>
      <c r="I16" s="114">
        <f t="shared" si="3"/>
        <v>16968.75</v>
      </c>
      <c r="J16" s="274">
        <f>SUM(J7:J15)</f>
        <v>1217.4489000000001</v>
      </c>
      <c r="K16" s="275">
        <f t="shared" si="3"/>
        <v>593.90625</v>
      </c>
      <c r="L16" s="276">
        <f t="shared" si="3"/>
        <v>238.08687</v>
      </c>
      <c r="M16" s="232">
        <f t="shared" si="3"/>
        <v>14919.30798</v>
      </c>
      <c r="N16" s="233">
        <f>SUM(N7:N15)</f>
        <v>3232.3728813559319</v>
      </c>
      <c r="O16" s="101">
        <f>SUM(O7:O15)</f>
        <v>90.758404306779667</v>
      </c>
      <c r="P16" s="234">
        <f>SUM(P7:P15)</f>
        <v>18242.439265662713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16968.75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1217.4489000000001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831.99311999999998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14919.307980000001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3232.3728813559319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18151.680861355933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90.758404306779667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18242.439265662713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18242.43926566271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Q17" sqref="Q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119">
        <f t="shared" si="5"/>
        <v>625.941717559322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55</v>
      </c>
      <c r="I25" s="114">
        <f t="shared" si="7"/>
        <v>3494.05</v>
      </c>
      <c r="J25" s="274">
        <f>SUM(J16:J24)</f>
        <v>261.87049999999999</v>
      </c>
      <c r="K25" s="275">
        <f t="shared" si="7"/>
        <v>122.29175000000001</v>
      </c>
      <c r="L25" s="276">
        <f t="shared" si="7"/>
        <v>30.010950000000001</v>
      </c>
      <c r="M25" s="232">
        <f t="shared" si="7"/>
        <v>3079.8767999999995</v>
      </c>
      <c r="N25" s="233">
        <f>SUM(N16:N24)</f>
        <v>663.5593220338983</v>
      </c>
      <c r="O25" s="101">
        <f>SUM(O16:O24)</f>
        <v>18.717180610169493</v>
      </c>
      <c r="P25" s="234">
        <f>SUM(P16:P24)</f>
        <v>3762.1533026440679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3494.05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261.87049999999999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152.30270000000002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3079.8768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663.5593220338983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3743.4361220338983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18.717180610169493</v>
      </c>
    </row>
    <row r="35" spans="2:16" ht="15.75" customHeight="1" thickBot="1" x14ac:dyDescent="0.4">
      <c r="N35" s="363" t="s">
        <v>88</v>
      </c>
      <c r="O35" s="364"/>
      <c r="P35" s="297">
        <f>+P33+P34</f>
        <v>3762.1533026440679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13" workbookViewId="0">
      <selection activeCell="S27" sqref="S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24</v>
      </c>
      <c r="I25" s="114">
        <f t="shared" si="7"/>
        <v>1342.44</v>
      </c>
      <c r="J25" s="274">
        <f>SUM(J16:J24)</f>
        <v>93.272400000000005</v>
      </c>
      <c r="K25" s="275">
        <f t="shared" si="7"/>
        <v>46.985400000000013</v>
      </c>
      <c r="L25" s="276">
        <f t="shared" si="7"/>
        <v>24.008760000000002</v>
      </c>
      <c r="M25" s="232">
        <f t="shared" si="7"/>
        <v>1178.17344</v>
      </c>
      <c r="N25" s="233">
        <f>SUM(N16:N24)</f>
        <v>256.27118644067792</v>
      </c>
      <c r="O25" s="101">
        <f>SUM(O16:O24)</f>
        <v>7.1722231322033903</v>
      </c>
      <c r="P25" s="234">
        <f>SUM(P16:P24)</f>
        <v>1441.6168495728814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1342.44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93.272400000000005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70.994160000000022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1178.17344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1434.4446264406779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63" t="s">
        <v>88</v>
      </c>
      <c r="O35" s="364"/>
      <c r="P35" s="297">
        <f>+P33+P34</f>
        <v>1441.6168495728814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1743.3600000000001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139.46880000000002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61.017600000000009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1542.8736000000001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1872.3651254237288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63" t="s">
        <v>88</v>
      </c>
      <c r="O35" s="364"/>
      <c r="P35" s="297">
        <f>+P33+P34</f>
        <v>1881.7269510508474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72</v>
      </c>
      <c r="I25" s="114">
        <f t="shared" si="7"/>
        <v>4344.9000000000005</v>
      </c>
      <c r="J25" s="274">
        <f>SUM(J16:J24)</f>
        <v>333.4692</v>
      </c>
      <c r="K25" s="275">
        <f t="shared" si="7"/>
        <v>152.07150000000001</v>
      </c>
      <c r="L25" s="276">
        <f t="shared" si="7"/>
        <v>24.008760000000002</v>
      </c>
      <c r="M25" s="232">
        <f t="shared" si="7"/>
        <v>3835.3505399999999</v>
      </c>
      <c r="N25" s="233">
        <f>SUM(N16:N24)</f>
        <v>823.72881355932202</v>
      </c>
      <c r="O25" s="101">
        <f>SUM(O16:O24)</f>
        <v>23.295396767796611</v>
      </c>
      <c r="P25" s="234">
        <f>SUM(P16:P24)</f>
        <v>4682.3747503271179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4344.9000000000005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333.4692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176.08026000000001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3835.3505400000004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823.72881355932202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4659.079353559322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23.295396767796611</v>
      </c>
    </row>
    <row r="35" spans="2:16" ht="15.75" customHeight="1" thickBot="1" x14ac:dyDescent="0.4">
      <c r="N35" s="363" t="s">
        <v>88</v>
      </c>
      <c r="O35" s="364"/>
      <c r="P35" s="297">
        <f>+P33+P34</f>
        <v>4682.3747503271188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519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4474.8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310.90800000000002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236.64720000000003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3927.2447999999999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4781.4820881355927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63" t="s">
        <v>88</v>
      </c>
      <c r="O35" s="364"/>
      <c r="P35" s="297">
        <f>+P33+P34</f>
        <v>4805.3894985762709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520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46233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46234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46233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2026-07-30T12:06:50Z</dcterms:modified>
</cp:coreProperties>
</file>