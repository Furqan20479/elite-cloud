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00D644B-F91F-4780-B040-0D04FE16038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<sst xmlns="http://schemas.openxmlformats.org/spreadsheetml/2006/main" count="3913" uniqueCount="518">
  <si>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</si>
  <si>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</si>
  <si>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</si>
  <si>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</si>
  <si>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</si>
  <si>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</si>
  <si>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</si>
  <si>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</si>
  <si>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</si>
  <si>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</si>
  <si>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</si>
  <si>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</si>
  <si>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</si>
  <si>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</si>
  <si>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</si>
  <si>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</si>
  <si>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</si>
  <si>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</si>
  <si>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</si>
  <si>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</si>
  <si>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</si>
  <si>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</si>
  <si>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</si>
  <si>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</si>
  <si>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</si>
  <si>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</si>
  <si>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</si>
  <si>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</si>
  <si>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</si>
  <si>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</si>
  <si>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</si>
  <si>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</si>
  <si>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</si>
  <si>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</si>
  <si>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</si>
  <si>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</si>
  <si>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</si>
  <si>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</si>
  <si>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</si>
  <si>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</si>
  <si>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</si>
  <si>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</si>
  <si>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</si>
  <si>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</si>
  <si>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</si>
  <si>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</si>
  <si>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</si>
  <si>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</si>
  <si>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</si>
  <si>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</si>
  <si>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</si>
  <si>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</si>
  <si>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</si>
  <si>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</si>
  <si>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</si>
  <si>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</si>
  <si>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</si>
  <si>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</si>
  <si>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</si>
  <si>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</si>
  <si>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</si>
  <si>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</si>
  <si>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</si>
  <si>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</si>
  <si>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</si>
  <si>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</si>
  <si>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</si>
  <si>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</si>
  <si>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</si>
  <si>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</si>
  <si>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</si>
  <si>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</si>
  <si>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</si>
  <si>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</si>
  <si>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</si>
  <si>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</si>
  <si>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</si>
  <si>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</si>
  <si>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</si>
  <si>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</si>
  <si>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</si>
  <si>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</si>
  <si>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</si>
  <si>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</si>
  <si>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</si>
  <si>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</si>
  <si>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</si>
  <si>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</si>
  <si>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</si>
  <si>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</si>
  <si>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</si>
  <si>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</si>
  <si>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</si>
  <si>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</si>
  <si>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</si>
  <si>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</si>
  <si>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</si>
  <si>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</si>
  <si>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</si>
  <si>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</si>
  <si>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</si>
  <si>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</si>
  <si>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</si>
  <si>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</si>
  <si>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</si>
  <si>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</si>
  <si>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</si>
  <si>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</si>
  <si>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</si>
  <si>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</si>
  <si>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</si>
  <si>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</si>
  <si>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</si>
  <si>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</si>
  <si>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</si>
  <si>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</si>
  <si>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</si>
  <si>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</si>
  <si>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</si>
  <si>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</si>
  <si>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</si>
  <si>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</si>
  <si>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</si>
  <si>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</si>
  <si>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</si>
  <si>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</si>
  <si>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</si>
  <si>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</si>
  <si>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</si>
  <si>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</si>
  <si>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</si>
  <si>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</si>
  <si>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</si>
  <si>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</si>
  <si>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</si>
  <si>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</si>
  <si>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</si>
  <si>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</si>
  <si>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</si>
  <si>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</si>
  <si>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</si>
  <si>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</si>
  <si>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</si>
  <si>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</si>
  <si>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</si>
  <si>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</si>
  <si>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</si>
  <si>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</si>
  <si>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</si>
  <si>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</si>
  <si>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</si>
  <si>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</si>
  <si>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</si>
  <si>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</si>
  <si>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</si>
  <si>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</si>
  <si>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</si>
  <si>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</si>
  <si>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</si>
  <si>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</si>
  <si>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</si>
  <si>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</si>
  <si>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</si>
  <si>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</si>
  <si>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</si>
  <si>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</si>
  <si>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</si>
  <si>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</si>
  <si>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</si>
  <si>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</si>
  <si>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</si>
  <si>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</si>
  <si>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</si>
  <si>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</si>
  <si>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</si>
  <si>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</si>
  <si>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</si>
  <si>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</si>
  <si>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</si>
  <si>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</si>
  <si>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</si>
  <si>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</si>
  <si>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</si>
  <si>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</si>
  <si>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</si>
  <si>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</si>
  <si>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</si>
  <si>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</si>
  <si>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</si>
  <si>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</si>
  <si>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</si>
  <si>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</si>
  <si>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</si>
  <si>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</si>
  <si>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</si>
  <si>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</si>
  <si>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</si>
  <si>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</si>
  <si>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</si>
  <si>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</si>
  <si>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</si>
  <si>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</si>
  <si>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</si>
  <si>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</si>
  <si>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</si>
  <si>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</si>
  <si>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</si>
  <si>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</si>
  <si>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</si>
  <si>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</si>
  <si>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</si>
  <si>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</si>
  <si>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</si>
  <si>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</si>
  <si>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</si>
  <si>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</si>
  <si>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</si>
  <si>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</si>
  <si>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</si>
  <si>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</si>
  <si>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</si>
  <si>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</si>
  <si>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</si>
  <si>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</si>
  <si>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</si>
  <si>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</si>
  <si>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</si>
  <si>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</si>
  <si>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</si>
  <si>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</si>
  <si>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</si>
  <si>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</si>
  <si>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</si>
  <si>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</si>
  <si>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</si>
  <si>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</si>
  <si>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</si>
  <si>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</si>
  <si>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</si>
  <si>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</si>
  <si>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</si>
  <si>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</si>
  <si>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</si>
  <si>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</si>
  <si>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</si>
  <si>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</si>
  <si>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</si>
  <si>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</si>
  <si>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</si>
  <si>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</si>
  <si>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</si>
  <si>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</si>
  <si>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</si>
  <si>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</si>
  <si>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</si>
  <si>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</si>
  <si>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</si>
  <si>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</si>
  <si>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</si>
  <si>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</si>
  <si>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</si>
  <si>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</si>
  <si>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</si>
  <si>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</si>
  <si>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</si>
  <si>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</si>
  <si>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</si>
  <si>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</si>
  <si>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</si>
  <si>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</si>
  <si>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</si>
  <si>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</si>
  <si>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</si>
  <si>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</si>
  <si>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</si>
  <si>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</si>
  <si>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</si>
  <si>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</si>
  <si>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</si>
  <si>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</si>
  <si>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</si>
  <si>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</si>
  <si>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</si>
  <si>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</si>
  <si>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</si>
  <si>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</si>
  <si>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</si>
  <si>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</si>
  <si>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</si>
  <si>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</si>
  <si>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</si>
  <si>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</si>
  <si>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</si>
  <si>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</si>
  <si>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</si>
  <si>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</si>
  <si>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</si>
  <si>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</si>
  <si>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</si>
  <si>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</si>
  <si>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</si>
  <si>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</si>
  <si>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</si>
  <si>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</si>
  <si>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</si>
  <si>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</si>
  <si>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</si>
  <si>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</si>
  <si>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</si>
  <si>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</si>
  <si>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</si>
  <si>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</si>
  <si>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</si>
  <si>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</si>
  <si>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</si>
  <si>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</si>
  <si>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</si>
  <si>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</si>
  <si>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</si>
  <si>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</si>
  <si>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</si>
  <si>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</si>
  <si>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</si>
  <si>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</si>
  <si>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</si>
  <si>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</si>
  <si>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</si>
  <si>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</si>
  <si>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</si>
  <si>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</si>
  <si>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</si>
  <si>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</si>
  <si>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</si>
  <si>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</si>
  <si>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</si>
  <si>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</si>
  <si>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</si>
  <si>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</si>
  <si>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</si>
  <si>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</si>
  <si>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</si>
  <si>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</si>
  <si>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</si>
  <si>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</si>
  <si>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</si>
  <si>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</si>
  <si>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</si>
  <si>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</si>
  <si>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</si>
  <si>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</si>
  <si>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</si>
  <si>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</si>
  <si>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</si>
  <si>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</si>
  <si>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</si>
  <si>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</si>
  <si>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</si>
  <si>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</si>
  <si>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</si>
  <si>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</si>
  <si>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</si>
  <si>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</si>
  <si>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</si>
  <si>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</si>
  <si>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</si>
  <si>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</si>
  <si>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</si>
  <si>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</si>
  <si>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</si>
  <si>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</si>
  <si>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</si>
  <si>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</si>
  <si>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</si>
  <si>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</si>
  <si>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</si>
  <si>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</si>
  <si>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</si>
  <si>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</si>
  <si>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</si>
  <si>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</si>
  <si>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</si>
  <si>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</si>
  <si>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</si>
  <si>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</si>
  <si>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</si>
  <si>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</si>
  <si>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</si>
  <si>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</si>
  <si>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</si>
  <si>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</si>
  <si>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</si>
  <si>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</si>
  <si>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</si>
  <si>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</si>
  <si>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</si>
  <si>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</si>
  <si>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</si>
  <si>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</si>
  <si>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</si>
  <si>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</si>
  <si>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</si>
  <si>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</si>
  <si>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</si>
  <si>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</si>
  <si>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</si>
  <si>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</si>
  <si>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</si>
  <si>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</si>
  <si>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</si>
  <si>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</si>
  <si>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</si>
  <si>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</si>
  <si>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</si>
  <si>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</si>
  <si>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</si>
  <si>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</si>
  <si>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</si>
  <si>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</si>
  <si>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</si>
  <si>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</si>
  <si>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</si>
  <si>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</si>
  <si>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</si>
  <si>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</si>
  <si>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</si>
  <si>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</si>
  <si>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</si>
  <si>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</si>
  <si>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</si>
  <si>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</si>
  <si>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</si>
  <si>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</si>
  <si>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</si>
  <si>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</si>
  <si>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</si>
  <si>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</si>
  <si>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</si>
  <si>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</si>
  <si>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</si>
  <si>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</si>
  <si>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</si>
  <si>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</si>
  <si>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</si>
  <si>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</si>
  <si>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</si>
  <si>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</si>
  <si>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</si>
  <si>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</si>
  <si>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</si>
  <si>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</si>
  <si>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</si>
  <si>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</si>
  <si>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</si>
  <si>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</si>
  <si>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</si>
  <si>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</si>
  <si>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</si>
  <si>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</si>
  <si>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</si>
  <si>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</si>
  <si>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</si>
  <si>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</si>
  <si>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</si>
  <si>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</si>
  <si>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</si>
  <si>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</si>
  <si>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</si>
  <si>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</si>
  <si>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</si>
  <si>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</si>
  <si>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</si>
  <si>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</si>
  <si>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</si>
  <si>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</si>
  <si>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</si>
  <si>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</si>
  <si>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</si>
  <si>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</si>
  <si>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</si>
  <si>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</si>
  <si>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</si>
  <si>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</si>
  <si>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</si>
  <si>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</si>
  <si>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</si>
  <si>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</si>
  <si>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</si>
  <si>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</si>
  <si>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</si>
  <si>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</si>
  <si>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</si>
  <si>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</si>
  <si>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</si>
  <si>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</si>
  <si>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</si>
  <si>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</si>
  <si>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</si>
  <si>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</si>
  <si>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</si>
  <si>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</si>
  <si>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</si>
  <si>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</si>
  <si>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</si>
  <si>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</si>
  <si>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</si>
  <si>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</si>
  <si>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</si>
  <si>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</si>
  <si>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</si>
  <si>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</si>
  <si>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</si>
  <si>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</si>
  <si>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Haji Charagh </t>
  </si>
  <si>
    <t>Address:Qanchi Bazar</t>
  </si>
  <si>
    <t xml:space="preserve">Kashmeer Bakers </t>
  </si>
  <si>
    <t>Hafiz Store</t>
  </si>
  <si>
    <t xml:space="preserve">Tahir Mart </t>
  </si>
  <si>
    <t>Hamza General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</si>
</sst>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" workbookViewId="0">
      <selection activeCell="H13" sqref="H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504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Haji Charagh </v>
      </c>
      <c r="T3" s="301">
        <f>+'1'!P35</f>
        <v>1180.2688488991523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Kashmeer Bakers </v>
      </c>
      <c r="T4" s="301">
        <f>+'2'!P35</f>
        <v>1001.5067480949152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Hafiz Store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Tahir Mart </v>
      </c>
      <c r="T6" s="301">
        <f>+'4'!P35</f>
        <v>28428.048507661013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</v>
      </c>
      <c r="I7" s="235">
        <f>(G7*D7)*F7+H7*F7</f>
        <v>2413.2750000000001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193.06199999999998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84.464625000000012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2135.7483750000001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456.10169491525403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12.959250349576271</v>
      </c>
      <c r="P7" s="118">
        <f>M7+N7+O7</f>
        <v>2604.8093202648306</v>
      </c>
      <c r="Q7" s="142"/>
      <c r="R7" s="299">
        <v>5</v>
      </c>
      <c r="S7" s="300" t="str">
        <f>+'5'!A6:A6</f>
        <v>Hamza General Store</v>
      </c>
      <c r="T7" s="301">
        <f>+'5'!P35</f>
        <v>7868.4589926610161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46</v>
      </c>
      <c r="I8" s="236">
        <f t="shared" ref="I8:I14" si="0">(G8*D8)*F8+H8*F8</f>
        <v>2413.2750000000001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193.06199999999998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84.464625000000012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2135.7483750000001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456.10169491525403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12.959250349576271</v>
      </c>
      <c r="P8" s="119">
        <f t="shared" ref="P8:P15" si="2">M8+N8+O8</f>
        <v>2604.8093202648306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119">
        <f t="shared" si="2"/>
        <v>6272.4231701694916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119">
        <f t="shared" si="2"/>
        <v>12544.846340338983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216</v>
      </c>
      <c r="I13" s="236">
        <f t="shared" si="0"/>
        <v>8473.68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423.68400000000008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296.57880000000006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432.15768000000003</v>
      </c>
      <c r="M13" s="230">
        <f t="shared" si="1"/>
        <v>7321.2595199999996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1647.4576271186431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44.843585735593223</v>
      </c>
      <c r="P13" s="119">
        <f t="shared" si="2"/>
        <v>9013.5607328542355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15.7</v>
      </c>
      <c r="H16" s="113">
        <f t="shared" ref="H16:M16" si="3">SUM(H7:H15)</f>
        <v>628</v>
      </c>
      <c r="I16" s="114">
        <f t="shared" si="3"/>
        <v>36545.03</v>
      </c>
      <c r="J16" s="274">
        <f>SUM(J7:J15)</f>
        <v>2669.3920000000003</v>
      </c>
      <c r="K16" s="275">
        <f t="shared" si="3"/>
        <v>1279.0760500000001</v>
      </c>
      <c r="L16" s="276">
        <f t="shared" si="3"/>
        <v>432.15768000000003</v>
      </c>
      <c r="M16" s="232">
        <f t="shared" si="3"/>
        <v>32164.404269999999</v>
      </c>
      <c r="N16" s="233">
        <f>SUM(N7:N15)</f>
        <v>6952.8813559322025</v>
      </c>
      <c r="O16" s="101">
        <f>SUM(O7:O15)</f>
        <v>195.58642812966102</v>
      </c>
      <c r="P16" s="234">
        <f>SUM(P7:P15)</f>
        <v>39312.872054061867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36545.03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2669.3920000000003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1711.2337300000002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32164.404269999999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6952.8813559322025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39117.2856259322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195.58642812966102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39312.87205406186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39312.87205406186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1100.31</v>
      </c>
      <c r="J25" s="274">
        <f>SUM(J16:J24)</f>
        <v>73.902000000000001</v>
      </c>
      <c r="K25" s="275">
        <f t="shared" si="10"/>
        <v>38.510850000000005</v>
      </c>
      <c r="L25" s="276">
        <f t="shared" si="10"/>
        <v>24.008760000000002</v>
      </c>
      <c r="M25" s="232">
        <f t="shared" si="10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1100.31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73.902000000000001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62.519610000000007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963.88838999999984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1174.3968645762709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63" t="s">
        <v>88</v>
      </c>
      <c r="O35" s="364"/>
      <c r="P35" s="297">
        <f>+P33+P34</f>
        <v>1180.2688488991523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234">
        <f>SUM(P16:P24)</f>
        <v>1001.5067480949152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941.5200000000001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47.076000000000008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80.970720000000014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813.47328000000005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996.52412745762706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63" t="s">
        <v>88</v>
      </c>
      <c r="O35" s="364"/>
      <c r="P35" s="297">
        <f>+P33+P34</f>
        <v>1001.5067480949152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784.60000000000014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39.230000000000011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67.475600000000014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677.89440000000013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830.43677288135598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63" t="s">
        <v>88</v>
      </c>
      <c r="O35" s="364"/>
      <c r="P35" s="297">
        <f>+P33+P34</f>
        <v>834.58895674576274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0"/>
        <v>11622.4</v>
      </c>
      <c r="J21" s="272">
        <f t="shared" si="1"/>
        <v>929.79200000000003</v>
      </c>
      <c r="K21" s="128">
        <f t="shared" si="1"/>
        <v>406.78400000000005</v>
      </c>
      <c r="L21" s="119">
        <f t="shared" si="1"/>
        <v>0</v>
      </c>
      <c r="M21" s="230">
        <f t="shared" si="2"/>
        <v>10285.824000000001</v>
      </c>
      <c r="N21" s="277">
        <f t="shared" si="3"/>
        <v>2196.6101694915255</v>
      </c>
      <c r="O21" s="239">
        <f t="shared" si="4"/>
        <v>62.412170847457631</v>
      </c>
      <c r="P21" s="119">
        <f t="shared" si="5"/>
        <v>12544.846340338983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400</v>
      </c>
      <c r="I25" s="114">
        <f t="shared" si="7"/>
        <v>26383.200000000001</v>
      </c>
      <c r="J25" s="274">
        <f>SUM(J16:J24)</f>
        <v>2016.5040000000001</v>
      </c>
      <c r="K25" s="275">
        <f t="shared" si="7"/>
        <v>923.41200000000015</v>
      </c>
      <c r="L25" s="276">
        <f t="shared" si="7"/>
        <v>160.05840000000001</v>
      </c>
      <c r="M25" s="232">
        <f t="shared" si="7"/>
        <v>23283.225600000002</v>
      </c>
      <c r="N25" s="233">
        <f>SUM(N16:N24)</f>
        <v>5003.3898305084749</v>
      </c>
      <c r="O25" s="101">
        <f>SUM(O16:O24)</f>
        <v>141.43307715254238</v>
      </c>
      <c r="P25" s="234">
        <f>SUM(P16:P24)</f>
        <v>28428.048507661017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26383.200000000001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2016.5040000000001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1083.4704000000002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23283.225599999998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5003.3898305084749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28286.615430508471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141.43307715254235</v>
      </c>
    </row>
    <row r="35" spans="2:16" ht="15.75" customHeight="1" thickBot="1" x14ac:dyDescent="0.4">
      <c r="N35" s="363" t="s">
        <v>88</v>
      </c>
      <c r="O35" s="364"/>
      <c r="P35" s="297">
        <f>+P33+P34</f>
        <v>28428.048507661013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160</v>
      </c>
      <c r="I25" s="114">
        <f t="shared" si="7"/>
        <v>7335.4000000000005</v>
      </c>
      <c r="J25" s="274">
        <f>SUM(J16:J24)</f>
        <v>492.68000000000006</v>
      </c>
      <c r="K25" s="275">
        <f t="shared" si="7"/>
        <v>256.73900000000003</v>
      </c>
      <c r="L25" s="276">
        <f t="shared" si="7"/>
        <v>160.05840000000001</v>
      </c>
      <c r="M25" s="232">
        <f t="shared" si="7"/>
        <v>6425.9226000000008</v>
      </c>
      <c r="N25" s="233">
        <f>SUM(N16:N24)</f>
        <v>1403.389830508474</v>
      </c>
      <c r="O25" s="101">
        <f>SUM(O16:O24)</f>
        <v>39.146562152542373</v>
      </c>
      <c r="P25" s="234">
        <f>SUM(P16:P24)</f>
        <v>7868.458992661017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7335.4000000000005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492.68000000000006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416.79740000000004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6425.9225999999999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1403.389830508474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7829.3124305084739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39.146562152542373</v>
      </c>
    </row>
    <row r="35" spans="2:16" ht="15.75" customHeight="1" thickBot="1" x14ac:dyDescent="0.4">
      <c r="N35" s="363" t="s">
        <v>88</v>
      </c>
      <c r="O35" s="364"/>
      <c r="P35" s="297">
        <f>+P33+P34</f>
        <v>7868.4589926610161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2026-07-29T11:28:02Z</dcterms:modified>
</cp:coreProperties>
</file>