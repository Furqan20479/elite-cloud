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13_ncr:1_{53D40CBD-4EBB-4D23-BD86-092678C090FA}" xr6:coauthVersionLast="47" xr6:coauthVersionMax="47" xr10:uidLastSave="{00000000-0000-0000-0000-000000000000}"/>
  <bookViews>
    <workbookView xWindow="-110" yWindow="-110" windowWidth="19420" windowHeight="1056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C11" i="33" s="1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C11" i="32" s="1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I17" i="35"/>
  <c r="K17" i="35" s="1"/>
  <c r="I20" i="35"/>
  <c r="K20" i="35" s="1"/>
  <c r="I23" i="35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L24" i="28" s="1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K24" i="30" s="1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L24" i="31" s="1"/>
  <c r="I23" i="32"/>
  <c r="L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K24" i="29" s="1"/>
  <c r="I24" i="32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1" i="35"/>
  <c r="K23" i="35"/>
  <c r="L23" i="35"/>
  <c r="K24" i="35"/>
  <c r="L24" i="35"/>
  <c r="L16" i="34"/>
  <c r="L17" i="34"/>
  <c r="K23" i="34"/>
  <c r="L21" i="33"/>
  <c r="K24" i="33"/>
  <c r="L24" i="33"/>
  <c r="K24" i="32"/>
  <c r="L24" i="32"/>
  <c r="L17" i="32"/>
  <c r="K24" i="31"/>
  <c r="L16" i="31"/>
  <c r="L23" i="31"/>
  <c r="L23" i="30"/>
  <c r="L16" i="30"/>
  <c r="L24" i="30"/>
  <c r="L19" i="28"/>
  <c r="L20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I17" i="27" l="1"/>
  <c r="K17" i="27" s="1"/>
  <c r="I20" i="27"/>
  <c r="K20" i="27" s="1"/>
  <c r="I23" i="27"/>
  <c r="L24" i="29"/>
  <c r="M24" i="29" s="1"/>
  <c r="N24" i="29" s="1"/>
  <c r="O24" i="29" s="1"/>
  <c r="P24" i="29" s="1"/>
  <c r="K23" i="32"/>
  <c r="M23" i="32" s="1"/>
  <c r="N23" i="32" s="1"/>
  <c r="O23" i="32" s="1"/>
  <c r="L21" i="32"/>
  <c r="L16" i="29"/>
  <c r="M23" i="30"/>
  <c r="L20" i="35"/>
  <c r="L21" i="28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M18" i="31" s="1"/>
  <c r="N18" i="31" s="1"/>
  <c r="O18" i="31" s="1"/>
  <c r="L17" i="30"/>
  <c r="M17" i="30" s="1"/>
  <c r="N17" i="30" s="1"/>
  <c r="O17" i="30" s="1"/>
  <c r="L17" i="31"/>
  <c r="M17" i="31" s="1"/>
  <c r="N17" i="31" s="1"/>
  <c r="O17" i="31" s="1"/>
  <c r="L17" i="29"/>
  <c r="L16" i="33"/>
  <c r="M16" i="33" s="1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M20" i="30" s="1"/>
  <c r="N20" i="30" s="1"/>
  <c r="O20" i="30" s="1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L22" i="29"/>
  <c r="K22" i="33"/>
  <c r="K25" i="33" s="1"/>
  <c r="P30" i="33" s="1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M23" i="29" s="1"/>
  <c r="N23" i="29" s="1"/>
  <c r="O23" i="29" s="1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18" i="32" s="1"/>
  <c r="N18" i="32" s="1"/>
  <c r="O18" i="32" s="1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1" i="33"/>
  <c r="N21" i="33" s="1"/>
  <c r="O21" i="33" s="1"/>
  <c r="M19" i="33"/>
  <c r="N19" i="33" s="1"/>
  <c r="O19" i="33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9" i="35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4"/>
  <c r="N18" i="34" s="1"/>
  <c r="O18" i="34" s="1"/>
  <c r="P18" i="34" s="1"/>
  <c r="M16" i="30"/>
  <c r="N16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4" i="31"/>
  <c r="O24" i="31" s="1"/>
  <c r="M16" i="31"/>
  <c r="N21" i="30"/>
  <c r="O21" i="30" s="1"/>
  <c r="N24" i="30"/>
  <c r="O24" i="30" s="1"/>
  <c r="P24" i="30" s="1"/>
  <c r="N23" i="30"/>
  <c r="O23" i="30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K23" i="27"/>
  <c r="L23" i="27"/>
  <c r="K24" i="27"/>
  <c r="L24" i="27"/>
  <c r="L19" i="27"/>
  <c r="L18" i="27"/>
  <c r="L17" i="26"/>
  <c r="K23" i="26"/>
  <c r="L23" i="26"/>
  <c r="L18" i="26"/>
  <c r="K24" i="26"/>
  <c r="T23" i="15"/>
  <c r="T22" i="15"/>
  <c r="T21" i="15"/>
  <c r="T20" i="15"/>
  <c r="T19" i="15"/>
  <c r="T18" i="15"/>
  <c r="T15" i="15"/>
  <c r="T14" i="15"/>
  <c r="P24" i="31" l="1"/>
  <c r="K25" i="29"/>
  <c r="P30" i="29" s="1"/>
  <c r="M24" i="26"/>
  <c r="L16" i="26"/>
  <c r="L20" i="27"/>
  <c r="K25" i="31"/>
  <c r="P30" i="31" s="1"/>
  <c r="L25" i="33"/>
  <c r="P29" i="33" s="1"/>
  <c r="I25" i="27"/>
  <c r="P28" i="27" s="1"/>
  <c r="L21" i="27"/>
  <c r="M21" i="27" s="1"/>
  <c r="N21" i="27" s="1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19" i="26"/>
  <c r="N19" i="26" s="1"/>
  <c r="O19" i="26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0" i="26" l="1"/>
  <c r="N20" i="26" s="1"/>
  <c r="O20" i="26" s="1"/>
  <c r="I16" i="22"/>
  <c r="K16" i="22" s="1"/>
  <c r="I19" i="22"/>
  <c r="K19" i="22" s="1"/>
  <c r="I22" i="22"/>
  <c r="L22" i="22" s="1"/>
  <c r="M25" i="32"/>
  <c r="I17" i="22"/>
  <c r="K17" i="22" s="1"/>
  <c r="I20" i="22"/>
  <c r="K20" i="22" s="1"/>
  <c r="L25" i="27"/>
  <c r="P29" i="27" s="1"/>
  <c r="L25" i="26"/>
  <c r="P29" i="26" s="1"/>
  <c r="P31" i="34"/>
  <c r="M25" i="28"/>
  <c r="M22" i="26"/>
  <c r="N22" i="26" s="1"/>
  <c r="O22" i="26" s="1"/>
  <c r="P22" i="26" s="1"/>
  <c r="K25" i="26"/>
  <c r="P30" i="26" s="1"/>
  <c r="O25" i="30"/>
  <c r="M25" i="30"/>
  <c r="N25" i="30"/>
  <c r="P32" i="30" s="1"/>
  <c r="P33" i="30" s="1"/>
  <c r="P34" i="30" s="1"/>
  <c r="P35" i="30" s="1"/>
  <c r="U28" i="15" s="1"/>
  <c r="K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L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24" i="25"/>
  <c r="L23" i="25"/>
  <c r="K23" i="25"/>
  <c r="L16" i="22"/>
  <c r="L18" i="22"/>
  <c r="L20" i="22"/>
  <c r="L17" i="22"/>
  <c r="L19" i="22"/>
  <c r="L21" i="22"/>
  <c r="K24" i="19"/>
  <c r="L24" i="19"/>
  <c r="L21" i="18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L24" i="20"/>
  <c r="L18" i="25"/>
  <c r="K24" i="18"/>
  <c r="M24" i="18" s="1"/>
  <c r="K23" i="23"/>
  <c r="M23" i="23" s="1"/>
  <c r="N23" i="23" s="1"/>
  <c r="O23" i="23" s="1"/>
  <c r="P31" i="26"/>
  <c r="M25" i="26"/>
  <c r="L21" i="17"/>
  <c r="K21" i="17"/>
  <c r="L21" i="19"/>
  <c r="K21" i="19"/>
  <c r="M21" i="19" s="1"/>
  <c r="L20" i="23"/>
  <c r="M20" i="23" s="1"/>
  <c r="N20" i="23" s="1"/>
  <c r="O20" i="23" s="1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L21" i="24"/>
  <c r="K21" i="24"/>
  <c r="L19" i="24"/>
  <c r="M19" i="24" s="1"/>
  <c r="N19" i="24" s="1"/>
  <c r="O19" i="24" s="1"/>
  <c r="P19" i="24" s="1"/>
  <c r="K19" i="24"/>
  <c r="L17" i="23"/>
  <c r="K17" i="23"/>
  <c r="L16" i="23"/>
  <c r="K16" i="23"/>
  <c r="M16" i="23" s="1"/>
  <c r="N16" i="23" s="1"/>
  <c r="L17" i="21"/>
  <c r="K17" i="21"/>
  <c r="L16" i="21"/>
  <c r="K16" i="21"/>
  <c r="L20" i="20"/>
  <c r="K20" i="20"/>
  <c r="L21" i="20"/>
  <c r="K21" i="20"/>
  <c r="L17" i="19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L24" i="17"/>
  <c r="M24" i="17" s="1"/>
  <c r="N24" i="17" s="1"/>
  <c r="O24" i="17" s="1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L24" i="24"/>
  <c r="M24" i="24" s="1"/>
  <c r="N24" i="24" s="1"/>
  <c r="O24" i="24" s="1"/>
  <c r="L18" i="24"/>
  <c r="M18" i="24" s="1"/>
  <c r="N18" i="24" s="1"/>
  <c r="O18" i="24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18"/>
  <c r="N23" i="18" s="1"/>
  <c r="O23" i="18" s="1"/>
  <c r="K25" i="25"/>
  <c r="P30" i="25" s="1"/>
  <c r="M16" i="25"/>
  <c r="N23" i="25"/>
  <c r="O23" i="25" s="1"/>
  <c r="P23" i="25" s="1"/>
  <c r="M16" i="22"/>
  <c r="M21" i="21"/>
  <c r="N21" i="21" s="1"/>
  <c r="N24" i="19"/>
  <c r="O24" i="19" s="1"/>
  <c r="N24" i="18"/>
  <c r="O24" i="18" s="1"/>
  <c r="I23" i="15"/>
  <c r="M17" i="23" l="1"/>
  <c r="N17" i="23" s="1"/>
  <c r="O17" i="23" s="1"/>
  <c r="M17" i="19"/>
  <c r="N17" i="19" s="1"/>
  <c r="O17" i="19" s="1"/>
  <c r="M21" i="20"/>
  <c r="N21" i="20" s="1"/>
  <c r="O21" i="20" s="1"/>
  <c r="M19" i="19"/>
  <c r="N19" i="19" s="1"/>
  <c r="O19" i="19" s="1"/>
  <c r="K25" i="22"/>
  <c r="P30" i="22" s="1"/>
  <c r="M22" i="25"/>
  <c r="N22" i="25" s="1"/>
  <c r="O22" i="25" s="1"/>
  <c r="M22" i="17"/>
  <c r="N22" i="17" s="1"/>
  <c r="O22" i="17" s="1"/>
  <c r="M16" i="21"/>
  <c r="N16" i="21" s="1"/>
  <c r="M17" i="21"/>
  <c r="N17" i="21" s="1"/>
  <c r="O17" i="21" s="1"/>
  <c r="P17" i="21" s="1"/>
  <c r="M18" i="18"/>
  <c r="N18" i="18" s="1"/>
  <c r="O18" i="18" s="1"/>
  <c r="M21" i="25"/>
  <c r="N21" i="25" s="1"/>
  <c r="O21" i="25" s="1"/>
  <c r="P21" i="25" s="1"/>
  <c r="M21" i="24"/>
  <c r="N21" i="24" s="1"/>
  <c r="O21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17" i="24"/>
  <c r="P24" i="25"/>
  <c r="P22" i="25"/>
  <c r="P20" i="25"/>
  <c r="N16" i="25"/>
  <c r="P18" i="25"/>
  <c r="P17" i="25"/>
  <c r="P19" i="25"/>
  <c r="O16" i="24"/>
  <c r="P22" i="24"/>
  <c r="P23" i="24"/>
  <c r="P24" i="24"/>
  <c r="P18" i="24"/>
  <c r="P20" i="24"/>
  <c r="P18" i="23"/>
  <c r="P23" i="23"/>
  <c r="P21" i="23"/>
  <c r="O16" i="23"/>
  <c r="P20" i="23"/>
  <c r="P19" i="23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2" l="1"/>
  <c r="P21" i="24"/>
  <c r="N25" i="24"/>
  <c r="P32" i="24" s="1"/>
  <c r="P17" i="23"/>
  <c r="M25" i="24"/>
  <c r="M25" i="25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9" l="1"/>
  <c r="P34" i="19" s="1"/>
  <c r="P35" i="19" s="1"/>
  <c r="U16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<sst xmlns="http://schemas.openxmlformats.org/spreadsheetml/2006/main" count="1636" uniqueCount="141">
  <si>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</si>
  <si>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</si>
  <si>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</si>
  <si>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</si>
  <si>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</si>
  <si>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</si>
  <si>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</si>
  <si>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</si>
  <si>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</si>
  <si>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</si>
  <si>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</si>
  <si>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</si>
  <si>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</si>
  <si>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</si>
  <si>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</si>
  <si>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</si>
  <si>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</si>
  <si>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</si>
  <si>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</si>
  <si>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</si>
  <si>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</si>
  <si>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</si>
  <si>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</si>
  <si>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</si>
  <si>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</si>
  <si>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</si>
  <si>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</si>
  <si>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</si>
  <si>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</si>
  <si>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</si>
  <si>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</si>
  <si>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</si>
  <si>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</si>
  <si>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</si>
  <si>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</si>
  <si>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</si>
  <si>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</si>
  <si>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</si>
  <si>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</si>
  <si>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</si>
  <si>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</si>
  <si>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</si>
  <si>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</si>
  <si>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</si>
  <si>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</si>
  <si>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</si>
  <si>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</si>
  <si>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</si>
  <si>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</si>
  <si>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</si>
  <si>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</si>
  <si>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</si>
  <si>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</si>
  <si>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</si>
  <si>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</si>
  <si>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</si>
  <si>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</si>
  <si>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</si>
  <si>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</si>
  <si>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</si>
  <si>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</si>
  <si>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</si>
  <si>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</si>
  <si>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</si>
  <si>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</si>
  <si>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</si>
  <si>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</si>
  <si>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</si>
  <si>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</si>
  <si>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</si>
  <si>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</si>
  <si>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</si>
  <si>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</si>
  <si>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</si>
  <si>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</si>
  <si>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</si>
  <si>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</si>
  <si>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</si>
  <si>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</si>
  <si>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</si>
  <si>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</si>
  <si>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</si>
  <si>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</si>
  <si>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</si>
  <si>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</si>
  <si>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</si>
  <si>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</si>
  <si>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</si>
  <si>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</si>
  <si>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</si>
  <si>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</si>
  <si>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</si>
  <si>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</si>
  <si>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</si>
  <si>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</si>
  <si>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</si>
  <si>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</si>
  <si>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</si>
  <si>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</si>
  <si>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</si>
  <si>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</si>
  <si>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</si>
  <si>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</si>
  <si>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</si>
  <si>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</si>
  <si>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</si>
  <si>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</si>
  <si>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</si>
  <si>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</si>
  <si>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</si>
  <si>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</si>
  <si>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</si>
  <si>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</si>
  <si>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</si>
  <si>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</si>
  <si>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</si>
  <si>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</si>
  <si>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</si>
  <si>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</si>
  <si>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</si>
  <si>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Paradise Store</t>
  </si>
  <si>
    <t>Address: DHA</t>
  </si>
  <si>
    <t>1015557-7</t>
  </si>
  <si>
    <t xml:space="preserve">Customer Name : Smart Mart </t>
  </si>
  <si>
    <t>Customer Name : 24/ Store</t>
  </si>
  <si>
    <t>Customer Name : CV Store</t>
  </si>
  <si>
    <t>Customer Name : TS Store</t>
  </si>
  <si>
    <t>Customer Name : Afzal Store</t>
  </si>
  <si>
    <t xml:space="preserve">Customer Name : Captan Mart </t>
  </si>
  <si>
    <t>Address: 654788</t>
  </si>
  <si>
    <t>Customer Name : Fresh Store</t>
  </si>
  <si>
    <t xml:space="preserve">Customer Name : Omega Mart </t>
  </si>
  <si>
    <t xml:space="preserve">Customer Name : Fresh Hill </t>
  </si>
  <si>
    <t xml:space="preserve">Customer Name : AL Jalil Mart </t>
  </si>
  <si>
    <t>Customer Name : Shanim Store</t>
  </si>
  <si>
    <t xml:space="preserve">Customer Name : Al Mazz Cash &amp; Carry </t>
  </si>
  <si>
    <t>G357447</t>
  </si>
  <si>
    <t>9274556-7</t>
  </si>
  <si>
    <t>Zeshan</t>
  </si>
  <si>
    <t>Shop Bill Summary(Zeshan)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</si>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</sst>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166" fontId="0" fillId="0" borderId="0" xfId="0" applyNumberFormat="1" applyAlignment="1">
      <alignment horizontal="left" wrapText="1"/>
    </xf>
    <xf numFmtId="0" fontId="12" fillId="0" borderId="0" xfId="0" applyFont="1" applyAlignment="1">
      <alignment horizontal="left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37"/>
      <c r="B3" s="237"/>
      <c r="C3" s="237"/>
      <c r="D3" s="237"/>
      <c r="E3" s="237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</row>
    <row r="4" spans="1:29" x14ac:dyDescent="0.35">
      <c r="A4" s="239" t="s">
        <v>6</v>
      </c>
      <c r="B4" s="5" t="s">
        <v>7</v>
      </c>
      <c r="C4" s="5"/>
      <c r="D4" s="241" t="s">
        <v>8</v>
      </c>
      <c r="E4" s="243" t="s">
        <v>9</v>
      </c>
      <c r="F4" s="245" t="s">
        <v>3</v>
      </c>
      <c r="G4" s="245"/>
      <c r="H4" s="246" t="s">
        <v>10</v>
      </c>
      <c r="I4" s="246"/>
      <c r="J4" s="247" t="s">
        <v>11</v>
      </c>
      <c r="K4" s="248"/>
      <c r="L4" s="247" t="s">
        <v>12</v>
      </c>
      <c r="M4" s="248"/>
      <c r="N4" s="249" t="s">
        <v>13</v>
      </c>
      <c r="O4" s="249"/>
      <c r="P4" s="247" t="s">
        <v>4</v>
      </c>
      <c r="Q4" s="248"/>
      <c r="R4" s="247" t="s">
        <v>14</v>
      </c>
      <c r="S4" s="248"/>
      <c r="T4" s="250" t="s">
        <v>15</v>
      </c>
      <c r="U4" s="250"/>
      <c r="V4" s="251" t="s">
        <v>16</v>
      </c>
      <c r="W4" s="252"/>
      <c r="X4" s="251" t="s">
        <v>17</v>
      </c>
      <c r="Y4" s="252"/>
    </row>
    <row r="5" spans="1:29" ht="26.25" customHeight="1" thickBot="1" x14ac:dyDescent="0.4">
      <c r="A5" s="240"/>
      <c r="B5" s="7" t="s">
        <v>18</v>
      </c>
      <c r="C5" s="7" t="s">
        <v>8</v>
      </c>
      <c r="D5" s="242"/>
      <c r="E5" s="24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2" zoomScale="70" zoomScaleNormal="70" workbookViewId="0">
      <selection activeCell="T29" sqref="T2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36" t="s">
        <v>45</v>
      </c>
      <c r="B2" s="236"/>
      <c r="C2" s="236"/>
    </row>
    <row r="3" spans="1:21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138</v>
      </c>
      <c r="B5" s="253"/>
      <c r="C5" s="253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19" t="s">
        <v>52</v>
      </c>
      <c r="L6" s="219"/>
      <c r="M6" s="219"/>
      <c r="N6" s="233" t="s">
        <v>42</v>
      </c>
      <c r="O6" s="233"/>
      <c r="P6" s="23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21 16383:16384" hidden="1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21 16383:16384" x14ac:dyDescent="0.35">
      <c r="A10" s="217"/>
      <c r="B10" s="75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21 16383:16384" ht="15" thickBot="1" x14ac:dyDescent="0.4">
      <c r="A11" s="217"/>
      <c r="B11" s="76"/>
      <c r="C11" s="77"/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21 16383:16384" ht="14.65" customHeight="1" x14ac:dyDescent="0.35">
      <c r="A12" s="217"/>
      <c r="B12" s="76"/>
      <c r="C12" s="77"/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T12" s="258" t="s">
        <v>139</v>
      </c>
      <c r="U12" s="259"/>
      <c r="XFD12" t="s">
        <v>62</v>
      </c>
    </row>
    <row r="13" spans="1:21 16383:16384" ht="15" thickBot="1" x14ac:dyDescent="0.4">
      <c r="A13" s="218"/>
      <c r="J13" s="78"/>
      <c r="K13" s="78"/>
      <c r="L13" s="79">
        <v>0.05</v>
      </c>
      <c r="T13" s="260"/>
      <c r="U13" s="261"/>
      <c r="XFD13" t="s">
        <v>63</v>
      </c>
    </row>
    <row r="14" spans="1:21 16383:16384" ht="29.25" customHeight="1" x14ac:dyDescent="0.6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54" t="s">
        <v>68</v>
      </c>
      <c r="H14" s="255"/>
      <c r="I14" s="255" t="s">
        <v>69</v>
      </c>
      <c r="J14" s="255" t="s">
        <v>70</v>
      </c>
      <c r="K14" s="255"/>
      <c r="L14" s="257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Paradise Store</v>
      </c>
      <c r="U14" s="164">
        <f>+'1'!P35</f>
        <v>8384.4853112700002</v>
      </c>
      <c r="XFD14" t="s">
        <v>75</v>
      </c>
    </row>
    <row r="15" spans="1:21 16383:16384" ht="29.25" customHeight="1" thickBot="1" x14ac:dyDescent="0.65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56"/>
      <c r="J15" s="170" t="s">
        <v>78</v>
      </c>
      <c r="K15" s="170" t="s">
        <v>79</v>
      </c>
      <c r="L15" s="173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Smart Mart </v>
      </c>
      <c r="U15" s="164">
        <f>+'2'!P35</f>
        <v>241.17449068800002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30</v>
      </c>
      <c r="I16" s="1">
        <f>(G16*D16)*F16+H16*F16</f>
        <v>1573.875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55.085625000000007</v>
      </c>
      <c r="L16" s="174">
        <f>+'1'!L16+'2'!L16+'4'!L16+'3'!L16+'5'!L16+'6'!L16+'7'!L16+'8'!L16+'9'!L16+'10'!L16</f>
        <v>125.91</v>
      </c>
      <c r="M16" s="106">
        <f>I16-K16-L16</f>
        <v>1392.879375</v>
      </c>
      <c r="N16" s="101">
        <f>+'1'!N16+'2'!N16+'4'!N16+'3'!N16+'5'!N16+'6'!N16+'7'!N16+'8'!N16+'9'!N16+'10'!N16</f>
        <v>250.71828749999997</v>
      </c>
      <c r="O16" s="101">
        <f>+'1'!O16+'2'!O16+'4'!O16+'3'!O16+'5'!O16+'6'!O16+'7'!O16+'8'!O16+'9'!O16+'10'!O16</f>
        <v>8.2179883124999993</v>
      </c>
      <c r="P16" s="105">
        <f t="shared" ref="P16:P24" si="0">M16+N16+O16</f>
        <v>1651.8156508124998</v>
      </c>
      <c r="Q16" s="108"/>
      <c r="T16" s="163" t="str">
        <f>+'3'!A5</f>
        <v>Customer Name : 24/ Store</v>
      </c>
      <c r="U16" s="164">
        <f>+'3'!P35</f>
        <v>241.17449068800002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55.085625000000007</v>
      </c>
      <c r="L17" s="174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250.71828749999997</v>
      </c>
      <c r="O17" s="101">
        <f>+'1'!O17+'2'!O17+'4'!O17+'3'!O17+'5'!O17+'6'!O17+'7'!O17+'8'!O17+'9'!O17+'10'!O17</f>
        <v>8.2179883124999993</v>
      </c>
      <c r="P17" s="120">
        <f t="shared" si="0"/>
        <v>1651.8156508124998</v>
      </c>
      <c r="S17" s="64"/>
      <c r="T17" s="163" t="str">
        <f>+'4'!A5</f>
        <v>Customer Name : CV Store</v>
      </c>
      <c r="U17" s="164">
        <f>+'4'!P35</f>
        <v>241.17449068800002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TS Store</v>
      </c>
      <c r="U18" s="164">
        <f>+'5'!P35</f>
        <v>241.17449068800002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470</v>
      </c>
      <c r="I19" s="1">
        <f t="shared" si="1"/>
        <v>34140.800000000003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33973.728000000003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7.5857951999999997</v>
      </c>
      <c r="P19" s="120">
        <f t="shared" si="0"/>
        <v>34212.744835200006</v>
      </c>
      <c r="T19" s="163" t="str">
        <f>+'6'!A5</f>
        <v>Customer Name : Afzal Store</v>
      </c>
      <c r="U19" s="164">
        <f>+'6'!P35</f>
        <v>401.95748448000006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Captan Mart </v>
      </c>
      <c r="U20" s="164">
        <f>+'7'!P35</f>
        <v>550.60521693750002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110</v>
      </c>
      <c r="I21" s="1">
        <f t="shared" si="1"/>
        <v>7990.4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348.67200000000003</v>
      </c>
      <c r="M21" s="118">
        <f t="shared" si="2"/>
        <v>7489.1839999999993</v>
      </c>
      <c r="N21" s="101">
        <f>+'1'!N21+'2'!N21+'4'!N21+'3'!N21+'5'!N21+'6'!N21+'7'!N21+'8'!N21+'9'!N21+'10'!N21</f>
        <v>694.29311999999993</v>
      </c>
      <c r="O21" s="101">
        <f>+'1'!O21+'2'!O21+'4'!O21+'3'!O21+'5'!O21+'6'!O21+'7'!O21+'8'!O21+'9'!O21+'10'!O21</f>
        <v>22.757385599999999</v>
      </c>
      <c r="P21" s="120">
        <f t="shared" si="0"/>
        <v>8206.2345055999995</v>
      </c>
      <c r="T21" s="163" t="str">
        <f>+'8'!A5</f>
        <v>Customer Name : Fresh Store</v>
      </c>
      <c r="U21" s="164">
        <f>+'8'!P35</f>
        <v>550.60521693750002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74</v>
      </c>
      <c r="I22" s="1">
        <f t="shared" si="1"/>
        <v>2903.0200000000004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249.65972000000002</v>
      </c>
      <c r="L22" s="174">
        <f>+'1'!L22+'2'!L22+'4'!L22+'3'!L22+'5'!L22+'6'!L22+'7'!L22+'8'!L22+'9'!L22+'10'!L22</f>
        <v>145.15100000000004</v>
      </c>
      <c r="M22" s="118">
        <f t="shared" si="2"/>
        <v>2508.2092800000005</v>
      </c>
      <c r="N22" s="101">
        <f>+'1'!N22+'2'!N22+'4'!N22+'3'!N22+'5'!N22+'6'!N22+'7'!N22+'8'!N22+'9'!N22+'10'!N22</f>
        <v>451.47767040000002</v>
      </c>
      <c r="O22" s="101">
        <f>+'1'!O22+'2'!O22+'4'!O22+'3'!O22+'5'!O22+'6'!O22+'7'!O22+'8'!O22+'9'!O22+'10'!O22</f>
        <v>14.798434752000002</v>
      </c>
      <c r="P22" s="120">
        <f t="shared" si="0"/>
        <v>2974.4853851520006</v>
      </c>
      <c r="T22" s="163" t="str">
        <f>+'9'!A5</f>
        <v xml:space="preserve">Customer Name : Omega Mart </v>
      </c>
      <c r="U22" s="164">
        <f>+'9'!P35</f>
        <v>762.37241759999995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Fresh Hill </v>
      </c>
      <c r="U23" s="164">
        <f>+'10'!P35</f>
        <v>762.37241759999995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 Jalil Mart </v>
      </c>
      <c r="U24" s="164">
        <f>+'11'!P35</f>
        <v>762.37241759999995</v>
      </c>
    </row>
    <row r="25" spans="1:22 16384:16384" ht="26.5" thickBot="1" x14ac:dyDescent="0.65">
      <c r="A25" s="198" t="s">
        <v>84</v>
      </c>
      <c r="B25" s="199"/>
      <c r="C25" s="200">
        <f>H25/40</f>
        <v>17.850000000000001</v>
      </c>
      <c r="D25" s="194"/>
      <c r="E25" s="194"/>
      <c r="F25" s="194"/>
      <c r="G25" s="175">
        <f t="shared" ref="G25:M25" si="3">SUM(G16:G24)</f>
        <v>0</v>
      </c>
      <c r="H25" s="176">
        <f t="shared" si="3"/>
        <v>714</v>
      </c>
      <c r="I25" s="177">
        <f t="shared" si="3"/>
        <v>48181.97</v>
      </c>
      <c r="J25" s="176">
        <f t="shared" si="3"/>
        <v>0</v>
      </c>
      <c r="K25" s="177">
        <f t="shared" si="3"/>
        <v>563.22297000000003</v>
      </c>
      <c r="L25" s="178">
        <f t="shared" si="3"/>
        <v>861.86700000000008</v>
      </c>
      <c r="M25" s="141">
        <f t="shared" si="3"/>
        <v>46756.880030000008</v>
      </c>
      <c r="N25" s="142">
        <f>SUM(N16:N24)</f>
        <v>1878.6384054</v>
      </c>
      <c r="O25" s="143">
        <f>SUM(O16:O24)</f>
        <v>61.577592177</v>
      </c>
      <c r="P25" s="144">
        <f>SUM(P16:P24)</f>
        <v>48697.096027577005</v>
      </c>
      <c r="T25" s="163" t="str">
        <f>+'12'!A5</f>
        <v>Customer Name : Shanim Store</v>
      </c>
      <c r="U25" s="164">
        <f>+'12'!P35</f>
        <v>762.37241759999995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Al Mazz Cash &amp; Carry </v>
      </c>
      <c r="U26" s="164">
        <f>+'13'!P35</f>
        <v>30494.896704000003</v>
      </c>
      <c r="V26" s="266" t="s">
        <v>140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Smart Mart </v>
      </c>
      <c r="U27" s="164">
        <f>+'14'!P35</f>
        <v>6098.9793407999996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2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2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2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50495.716907576993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02" t="s">
        <v>85</v>
      </c>
      <c r="C36" s="203"/>
      <c r="D36" s="203"/>
      <c r="E36" s="203"/>
      <c r="F36" s="203"/>
      <c r="G36" s="203"/>
      <c r="H36" s="203"/>
      <c r="I36" s="203"/>
      <c r="J36" s="203"/>
      <c r="K36" s="203"/>
      <c r="L36" s="204"/>
      <c r="N36" s="211" t="s">
        <v>86</v>
      </c>
      <c r="O36" s="212"/>
      <c r="P36" s="152">
        <f>I25</f>
        <v>48181.97</v>
      </c>
    </row>
    <row r="37" spans="1:21" ht="15" customHeight="1" x14ac:dyDescent="0.35">
      <c r="B37" s="205"/>
      <c r="C37" s="206"/>
      <c r="D37" s="206"/>
      <c r="E37" s="206"/>
      <c r="F37" s="206"/>
      <c r="G37" s="206"/>
      <c r="H37" s="206"/>
      <c r="I37" s="206"/>
      <c r="J37" s="206"/>
      <c r="K37" s="206"/>
      <c r="L37" s="207"/>
      <c r="N37" s="213" t="s">
        <v>87</v>
      </c>
      <c r="O37" s="214"/>
      <c r="P37" s="153">
        <f>L25</f>
        <v>861.86700000000008</v>
      </c>
    </row>
    <row r="38" spans="1:21" ht="15" customHeight="1" x14ac:dyDescent="0.35">
      <c r="B38" s="205"/>
      <c r="C38" s="206"/>
      <c r="D38" s="206"/>
      <c r="E38" s="206"/>
      <c r="F38" s="206"/>
      <c r="G38" s="206"/>
      <c r="H38" s="206"/>
      <c r="I38" s="206"/>
      <c r="J38" s="206"/>
      <c r="K38" s="206"/>
      <c r="L38" s="207"/>
      <c r="N38" s="213" t="s">
        <v>4</v>
      </c>
      <c r="O38" s="214"/>
      <c r="P38" s="154">
        <f>K25</f>
        <v>563.22297000000003</v>
      </c>
    </row>
    <row r="39" spans="1:21" ht="15" customHeight="1" x14ac:dyDescent="0.35">
      <c r="B39" s="205"/>
      <c r="C39" s="206"/>
      <c r="D39" s="206"/>
      <c r="E39" s="206"/>
      <c r="F39" s="206"/>
      <c r="G39" s="206"/>
      <c r="H39" s="206"/>
      <c r="I39" s="206"/>
      <c r="J39" s="206"/>
      <c r="K39" s="206"/>
      <c r="L39" s="207"/>
      <c r="M39" s="2"/>
      <c r="N39" s="213" t="s">
        <v>88</v>
      </c>
      <c r="O39" s="214"/>
      <c r="P39" s="153">
        <f>P36-P37-P38</f>
        <v>46756.88003</v>
      </c>
    </row>
    <row r="40" spans="1:21" ht="15" customHeight="1" x14ac:dyDescent="0.35">
      <c r="B40" s="205"/>
      <c r="C40" s="206"/>
      <c r="D40" s="206"/>
      <c r="E40" s="206"/>
      <c r="F40" s="206"/>
      <c r="G40" s="206"/>
      <c r="H40" s="206"/>
      <c r="I40" s="206"/>
      <c r="J40" s="206"/>
      <c r="K40" s="206"/>
      <c r="L40" s="207"/>
      <c r="M40" s="2"/>
      <c r="N40" s="155" t="s">
        <v>89</v>
      </c>
      <c r="O40" s="156">
        <f>IF(B12="Registered",18%,22%)</f>
        <v>0.22</v>
      </c>
      <c r="P40" s="153">
        <f>N25</f>
        <v>1878.6384054</v>
      </c>
    </row>
    <row r="41" spans="1:21" ht="15" customHeight="1" x14ac:dyDescent="0.35">
      <c r="B41" s="205"/>
      <c r="C41" s="206"/>
      <c r="D41" s="206"/>
      <c r="E41" s="206"/>
      <c r="F41" s="206"/>
      <c r="G41" s="206"/>
      <c r="H41" s="206"/>
      <c r="I41" s="206"/>
      <c r="J41" s="206"/>
      <c r="K41" s="206"/>
      <c r="L41" s="207"/>
      <c r="M41" s="2"/>
      <c r="N41" s="215" t="s">
        <v>90</v>
      </c>
      <c r="O41" s="216"/>
      <c r="P41" s="153">
        <f>P39+P40</f>
        <v>48635.518435400001</v>
      </c>
    </row>
    <row r="42" spans="1:21" ht="15" customHeight="1" thickBot="1" x14ac:dyDescent="0.4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10"/>
      <c r="M42" s="157"/>
      <c r="N42" s="158" t="s">
        <v>91</v>
      </c>
      <c r="O42" s="159">
        <f>IF(B11="Filer",0.5%,2.5%)</f>
        <v>2.5000000000000001E-2</v>
      </c>
      <c r="P42" s="153">
        <f>O42*P41</f>
        <v>1215.887960885</v>
      </c>
    </row>
    <row r="43" spans="1:21" ht="15.75" customHeight="1" thickBot="1" x14ac:dyDescent="0.4">
      <c r="N43" s="192" t="s">
        <v>92</v>
      </c>
      <c r="O43" s="193"/>
      <c r="P43" s="160">
        <f>P41+P42</f>
        <v>49851.406396284998</v>
      </c>
    </row>
    <row r="44" spans="1:21" ht="15" thickBot="1" x14ac:dyDescent="0.4">
      <c r="B44" s="161" t="s">
        <v>93</v>
      </c>
      <c r="C44" s="194"/>
      <c r="D44" s="194"/>
      <c r="E44" s="194"/>
      <c r="F44" s="194"/>
      <c r="G44" s="194"/>
      <c r="H44" s="194"/>
      <c r="I44" s="195"/>
      <c r="J44" s="196"/>
      <c r="K44" s="197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36" t="s">
        <v>45</v>
      </c>
      <c r="B2" s="236"/>
      <c r="C2" s="236"/>
    </row>
    <row r="3" spans="1:26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34" t="s">
        <v>120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26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26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26 16383:16384" x14ac:dyDescent="0.35">
      <c r="A10" s="217" t="s">
        <v>95</v>
      </c>
      <c r="B10" s="75" t="s">
        <v>122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26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26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26 16383:16384" ht="15" thickBot="1" x14ac:dyDescent="0.4">
      <c r="A13" s="218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231.43104</v>
      </c>
      <c r="O19" s="119">
        <f t="shared" si="1"/>
        <v>7.5857951999999997</v>
      </c>
      <c r="P19" s="120">
        <f t="shared" si="2"/>
        <v>1524.7448351999999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13">SUM(G16:G24)</f>
        <v>0</v>
      </c>
      <c r="H25" s="136">
        <f t="shared" si="13"/>
        <v>140</v>
      </c>
      <c r="I25" s="137">
        <f t="shared" si="13"/>
        <v>8026.1</v>
      </c>
      <c r="J25" s="138"/>
      <c r="K25" s="139">
        <f t="shared" si="13"/>
        <v>360.94270000000006</v>
      </c>
      <c r="L25" s="140">
        <f t="shared" si="13"/>
        <v>595.01200000000006</v>
      </c>
      <c r="M25" s="141">
        <f t="shared" si="13"/>
        <v>7070.1453000000001</v>
      </c>
      <c r="N25" s="142">
        <f>SUM(N16:N24)</f>
        <v>1272.626154</v>
      </c>
      <c r="O25" s="143">
        <f>SUM(O16:O24)</f>
        <v>41.713857270000005</v>
      </c>
      <c r="P25" s="144">
        <f>SUM(P16:P24)</f>
        <v>8384.4853112700002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8026.1</v>
      </c>
    </row>
    <row r="29" spans="1:26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595.01200000000006</v>
      </c>
    </row>
    <row r="30" spans="1:26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360.94270000000006</v>
      </c>
    </row>
    <row r="31" spans="1:26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7070.1453000000001</v>
      </c>
    </row>
    <row r="32" spans="1:26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1272.626154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8342.7714539999997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41.713857269999998</v>
      </c>
    </row>
    <row r="35" spans="2:16" ht="15.75" customHeight="1" thickBot="1" x14ac:dyDescent="0.4">
      <c r="N35" s="192" t="s">
        <v>92</v>
      </c>
      <c r="O35" s="193"/>
      <c r="P35" s="160">
        <f>P33+P34</f>
        <v>8384.4853112700002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2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123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765478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235.38000000000002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11.769000000000002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20.24268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203.36832000000001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239.97461760000002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192" t="s">
        <v>92</v>
      </c>
      <c r="O35" s="193"/>
      <c r="P35" s="160">
        <f>P33+P34</f>
        <v>241.17449068800002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4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124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168">
        <v>875468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235.38000000000002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11.769000000000002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20.24268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203.36832000000001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239.97461760000002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192" t="s">
        <v>92</v>
      </c>
      <c r="O35" s="193"/>
      <c r="P35" s="160">
        <f>P33+P34</f>
        <v>241.17449068800002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3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125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899547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235.38000000000002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11.769000000000002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20.24268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203.36832000000001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239.97461760000002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192" t="s">
        <v>92</v>
      </c>
      <c r="O35" s="193"/>
      <c r="P35" s="160">
        <f>P33+P34</f>
        <v>241.17449068800002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5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126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1246976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235.38000000000002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11.769000000000002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20.24268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203.36832000000001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239.97461760000002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192" t="s">
        <v>92</v>
      </c>
      <c r="O35" s="193"/>
      <c r="P35" s="160">
        <f>P33+P34</f>
        <v>241.17449068800002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6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127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86557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392.30000000000007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19.615000000000006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33.7378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338.94720000000007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399.95769600000006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192" t="s">
        <v>92</v>
      </c>
      <c r="O35" s="193"/>
      <c r="P35" s="160">
        <f>P33+P34</f>
        <v>401.95748448000006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7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128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129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654788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8" thickBot="1" x14ac:dyDescent="0.4">
      <c r="A13" s="218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524.625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41.97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18.361875000000001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464.29312499999997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547.86588749999999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192" t="s">
        <v>92</v>
      </c>
      <c r="O35" s="193"/>
      <c r="P35" s="160">
        <f>P33+P34</f>
        <v>550.60521693750002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8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130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123865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524.625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41.97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18.361875000000001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464.29312499999997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547.86588749999999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192" t="s">
        <v>92</v>
      </c>
      <c r="O35" s="193"/>
      <c r="P35" s="160">
        <f>P33+P34</f>
        <v>550.60521693750002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9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131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456544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726.4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58.112000000000002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25.424000000000003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642.86400000000003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758.57952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192" t="s">
        <v>92</v>
      </c>
      <c r="O35" s="193"/>
      <c r="P35" s="160">
        <f>P33+P34</f>
        <v>762.37241759999995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235675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726.4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58.112000000000002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25.424000000000003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642.86400000000003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758.57952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192" t="s">
        <v>92</v>
      </c>
      <c r="O35" s="193"/>
      <c r="P35" s="160">
        <f>P33+P34</f>
        <v>762.37241759999995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133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1245778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726.4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58.112000000000002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25.424000000000003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642.86400000000003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758.57952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192" t="s">
        <v>92</v>
      </c>
      <c r="O35" s="193"/>
      <c r="P35" s="160">
        <f>P33+P34</f>
        <v>762.37241759999995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134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>
        <v>120764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726.4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58.112000000000002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25.424000000000003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642.86400000000003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758.57952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192" t="s">
        <v>92</v>
      </c>
      <c r="O35" s="193"/>
      <c r="P35" s="160">
        <f>P33+P34</f>
        <v>762.37241759999995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7" workbookViewId="0">
      <selection activeCell="N10" sqref="N10:P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135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 t="s">
        <v>136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/>
      <c r="K19" s="104">
        <f t="shared" si="3"/>
        <v>1016.9600000000002</v>
      </c>
      <c r="L19" s="105">
        <f t="shared" si="4"/>
        <v>2324.48</v>
      </c>
      <c r="M19" s="118">
        <f t="shared" si="5"/>
        <v>25714.560000000001</v>
      </c>
      <c r="N19" s="118">
        <f t="shared" si="0"/>
        <v>4628.6207999999997</v>
      </c>
      <c r="O19" s="119">
        <f t="shared" si="6"/>
        <v>151.71590400000002</v>
      </c>
      <c r="P19" s="120">
        <f t="shared" si="1"/>
        <v>30494.896704000003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400</v>
      </c>
      <c r="I25" s="137">
        <f t="shared" si="9"/>
        <v>29056</v>
      </c>
      <c r="J25" s="138"/>
      <c r="K25" s="139">
        <f t="shared" si="9"/>
        <v>1016.9600000000002</v>
      </c>
      <c r="L25" s="140">
        <f t="shared" si="9"/>
        <v>2324.48</v>
      </c>
      <c r="M25" s="141">
        <f t="shared" si="9"/>
        <v>25714.560000000001</v>
      </c>
      <c r="N25" s="142">
        <f>SUM(N16:N24)</f>
        <v>4628.6207999999997</v>
      </c>
      <c r="O25" s="143">
        <f>SUM(O16:O24)</f>
        <v>151.71590400000002</v>
      </c>
      <c r="P25" s="144">
        <f>SUM(P16:P24)</f>
        <v>30494.896704000003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29056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2324.48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1016.9600000000002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25714.560000000001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4628.6207999999997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30343.180800000002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151.71590400000002</v>
      </c>
    </row>
    <row r="35" spans="2:16" ht="15.75" customHeight="1" thickBot="1" x14ac:dyDescent="0.4">
      <c r="N35" s="192" t="s">
        <v>92</v>
      </c>
      <c r="O35" s="193"/>
      <c r="P35" s="160">
        <f>P33+P34</f>
        <v>30494.896704000003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123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121</v>
      </c>
      <c r="B6" s="219"/>
      <c r="C6" s="219"/>
      <c r="F6" s="70"/>
      <c r="G6" s="74"/>
      <c r="K6" s="219" t="s">
        <v>52</v>
      </c>
      <c r="L6" s="219"/>
      <c r="M6" s="219"/>
      <c r="N6" s="233" t="s">
        <v>41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 t="s">
        <v>137</v>
      </c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5811.2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464.89600000000002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203.39200000000002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5142.9120000000003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6068.63616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192" t="s">
        <v>92</v>
      </c>
      <c r="O35" s="193"/>
      <c r="P35" s="160">
        <f>P33+P34</f>
        <v>6098.9793407999996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98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8" thickBot="1" x14ac:dyDescent="0.4">
      <c r="A13" s="218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98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ht="17.5" x14ac:dyDescent="0.35">
      <c r="A10" s="217" t="s">
        <v>95</v>
      </c>
      <c r="B10" s="191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98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75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98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75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97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75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36" t="s">
        <v>45</v>
      </c>
      <c r="B2" s="236"/>
      <c r="C2" s="236"/>
    </row>
    <row r="3" spans="1:19 16383:16384" ht="15" customHeight="1" x14ac:dyDescent="0.35">
      <c r="A3" s="220" t="s">
        <v>46</v>
      </c>
      <c r="B3" s="220"/>
      <c r="C3" s="220"/>
      <c r="F3" s="70"/>
      <c r="G3" s="71"/>
      <c r="K3" s="219" t="s">
        <v>47</v>
      </c>
      <c r="L3" s="219"/>
      <c r="M3" s="219"/>
      <c r="N3" s="220">
        <v>10</v>
      </c>
      <c r="O3" s="220"/>
      <c r="P3" s="22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0" t="s">
        <v>94</v>
      </c>
      <c r="B4" s="220"/>
      <c r="C4" s="220"/>
      <c r="F4" s="70"/>
      <c r="G4" s="71"/>
      <c r="K4" s="219" t="s">
        <v>49</v>
      </c>
      <c r="L4" s="219"/>
      <c r="M4" s="219"/>
      <c r="N4" s="235">
        <f ca="1">TODAY()</f>
        <v>46221</v>
      </c>
      <c r="O4" s="235"/>
      <c r="P4" s="23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34" t="s">
        <v>102</v>
      </c>
      <c r="B5" s="234"/>
      <c r="C5" s="234"/>
      <c r="F5" s="70"/>
      <c r="G5" s="71"/>
      <c r="K5" s="219" t="s">
        <v>51</v>
      </c>
      <c r="L5" s="219"/>
      <c r="M5" s="219"/>
      <c r="N5" s="235">
        <f ca="1">N4-1</f>
        <v>46220</v>
      </c>
      <c r="O5" s="220"/>
      <c r="P5" s="220"/>
      <c r="R5" s="70"/>
      <c r="S5" s="71"/>
    </row>
    <row r="6" spans="1:19 16383:16384" ht="15" customHeight="1" x14ac:dyDescent="0.35">
      <c r="A6" s="219" t="s">
        <v>103</v>
      </c>
      <c r="B6" s="219"/>
      <c r="C6" s="219"/>
      <c r="F6" s="70"/>
      <c r="G6" s="74"/>
      <c r="K6" s="219" t="s">
        <v>52</v>
      </c>
      <c r="L6" s="219"/>
      <c r="M6" s="219"/>
      <c r="N6" s="233" t="s">
        <v>97</v>
      </c>
      <c r="O6" s="233"/>
      <c r="P6" s="23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9"/>
      <c r="B7" s="219"/>
      <c r="C7" s="219"/>
      <c r="F7" s="70"/>
      <c r="G7" s="74"/>
      <c r="K7" s="219"/>
      <c r="L7" s="219"/>
      <c r="M7" s="219"/>
      <c r="N7" s="233"/>
      <c r="O7" s="233"/>
      <c r="P7" s="23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19"/>
      <c r="L8" s="219"/>
      <c r="M8" s="219"/>
      <c r="N8" s="233"/>
      <c r="O8" s="233"/>
      <c r="P8" s="233"/>
      <c r="R8" s="70"/>
      <c r="S8" s="74"/>
    </row>
    <row r="9" spans="1:19 16383:16384" x14ac:dyDescent="0.35">
      <c r="A9" s="232"/>
      <c r="B9" s="232"/>
      <c r="C9" s="232"/>
      <c r="F9" s="70"/>
      <c r="G9" s="74"/>
      <c r="K9" s="219"/>
      <c r="L9" s="219"/>
      <c r="M9" s="219"/>
      <c r="N9" s="233"/>
      <c r="O9" s="233"/>
      <c r="P9" s="233"/>
      <c r="R9" s="70"/>
      <c r="S9" s="74"/>
      <c r="XFD9" t="s">
        <v>55</v>
      </c>
    </row>
    <row r="10" spans="1:19 16383:16384" x14ac:dyDescent="0.35">
      <c r="A10" s="217" t="s">
        <v>95</v>
      </c>
      <c r="B10" s="75"/>
      <c r="C10" s="75"/>
      <c r="F10" s="70"/>
      <c r="G10" s="71"/>
      <c r="K10" s="219" t="s">
        <v>56</v>
      </c>
      <c r="L10" s="219"/>
      <c r="M10" s="219"/>
      <c r="N10" s="220" t="s">
        <v>57</v>
      </c>
      <c r="O10" s="220"/>
      <c r="P10" s="220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9" t="s">
        <v>59</v>
      </c>
      <c r="L11" s="219"/>
      <c r="M11" s="219"/>
      <c r="N11" s="220" t="s">
        <v>55</v>
      </c>
      <c r="O11" s="220"/>
      <c r="P11" s="220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9" t="s">
        <v>61</v>
      </c>
      <c r="L12" s="219"/>
      <c r="M12" s="219"/>
      <c r="N12" s="220"/>
      <c r="O12" s="220"/>
      <c r="P12" s="220"/>
      <c r="R12" s="70"/>
      <c r="S12" s="71"/>
      <c r="XFD12" t="s">
        <v>62</v>
      </c>
    </row>
    <row r="13" spans="1:19 16383:16384" ht="15" thickBot="1" x14ac:dyDescent="0.4">
      <c r="A13" s="21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1" t="s">
        <v>64</v>
      </c>
      <c r="B14" s="222"/>
      <c r="C14" s="225" t="s">
        <v>65</v>
      </c>
      <c r="D14" s="80" t="s">
        <v>2</v>
      </c>
      <c r="E14" s="81" t="s">
        <v>66</v>
      </c>
      <c r="F14" s="82" t="s">
        <v>67</v>
      </c>
      <c r="G14" s="227" t="s">
        <v>68</v>
      </c>
      <c r="H14" s="228"/>
      <c r="I14" s="229" t="s">
        <v>69</v>
      </c>
      <c r="J14" s="227" t="s">
        <v>70</v>
      </c>
      <c r="K14" s="231"/>
      <c r="L14" s="228"/>
      <c r="M14" s="22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23"/>
      <c r="B15" s="224"/>
      <c r="C15" s="22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30"/>
      <c r="J15" s="88" t="s">
        <v>78</v>
      </c>
      <c r="K15" s="90" t="s">
        <v>79</v>
      </c>
      <c r="L15" s="91" t="s">
        <v>80</v>
      </c>
      <c r="M15" s="23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198" t="s">
        <v>84</v>
      </c>
      <c r="B25" s="199"/>
      <c r="C25" s="200"/>
      <c r="D25" s="194"/>
      <c r="E25" s="194"/>
      <c r="F25" s="20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2" t="s">
        <v>85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4"/>
      <c r="N28" s="211" t="s">
        <v>86</v>
      </c>
      <c r="O28" s="212"/>
      <c r="P28" s="152">
        <f>I25</f>
        <v>0</v>
      </c>
    </row>
    <row r="29" spans="1:19 16384:16384" ht="15" customHeight="1" x14ac:dyDescent="0.35"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N29" s="213" t="s">
        <v>87</v>
      </c>
      <c r="O29" s="214"/>
      <c r="P29" s="153">
        <f>L25</f>
        <v>0</v>
      </c>
    </row>
    <row r="30" spans="1:19 16384:16384" ht="15" customHeight="1" x14ac:dyDescent="0.35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N30" s="213" t="s">
        <v>4</v>
      </c>
      <c r="O30" s="214"/>
      <c r="P30" s="154">
        <f>K25</f>
        <v>0</v>
      </c>
    </row>
    <row r="31" spans="1:19 16384:16384" ht="15" customHeight="1" x14ac:dyDescent="0.35"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"/>
      <c r="N31" s="213" t="s">
        <v>88</v>
      </c>
      <c r="O31" s="214"/>
      <c r="P31" s="153">
        <f>P28-P29-P30</f>
        <v>0</v>
      </c>
    </row>
    <row r="32" spans="1:19 16384:16384" ht="15" customHeight="1" x14ac:dyDescent="0.3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"/>
      <c r="N33" s="215" t="s">
        <v>90</v>
      </c>
      <c r="O33" s="216"/>
      <c r="P33" s="153">
        <f>P31+P32</f>
        <v>0</v>
      </c>
    </row>
    <row r="34" spans="2:16" ht="15" customHeight="1" thickBot="1" x14ac:dyDescent="0.4"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1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192" t="s">
        <v>92</v>
      </c>
      <c r="O35" s="193"/>
      <c r="P35" s="160">
        <f>P33+P34</f>
        <v>0</v>
      </c>
    </row>
    <row r="36" spans="2:16" ht="15" thickBot="1" x14ac:dyDescent="0.4">
      <c r="B36" s="161" t="s">
        <v>93</v>
      </c>
      <c r="C36" s="194"/>
      <c r="D36" s="194"/>
      <c r="E36" s="194"/>
      <c r="F36" s="194"/>
      <c r="G36" s="194"/>
      <c r="H36" s="194"/>
      <c r="I36" s="195"/>
      <c r="J36" s="196"/>
      <c r="K36" s="19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2026-07-18T10:51:27Z</dcterms:modified>
</cp:coreProperties>
</file>