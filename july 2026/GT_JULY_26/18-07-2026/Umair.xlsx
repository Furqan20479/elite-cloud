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16AAF43-FC74-47FA-BEA5-D808CD14069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M17" i="23" s="1"/>
  <c r="N17" i="23" s="1"/>
  <c r="O17" i="23" s="1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1" i="19" l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<sst xmlns="http://schemas.openxmlformats.org/spreadsheetml/2006/main" count="1633" uniqueCount="133">
  <si>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</si>
  <si>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</si>
  <si>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</si>
  <si>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</si>
  <si>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</si>
  <si>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</si>
  <si>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</si>
  <si>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</si>
  <si>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</si>
  <si>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</si>
  <si>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</si>
  <si>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</si>
  <si>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</si>
  <si>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</si>
  <si>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</si>
  <si>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</si>
  <si>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</si>
  <si>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</si>
  <si>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</si>
  <si>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</si>
  <si>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</si>
  <si>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</si>
  <si>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</si>
  <si>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</si>
  <si>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</si>
  <si>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</si>
  <si>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</si>
  <si>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</si>
  <si>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</si>
  <si>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</si>
  <si>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</si>
  <si>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</si>
  <si>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</si>
  <si>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</si>
  <si>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</si>
  <si>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</si>
  <si>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</si>
  <si>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</si>
  <si>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</si>
  <si>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</si>
  <si>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</si>
  <si>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</si>
  <si>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</si>
  <si>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</si>
  <si>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</si>
  <si>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</si>
  <si>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</si>
  <si>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</si>
  <si>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</si>
  <si>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</si>
  <si>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</si>
  <si>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</si>
  <si>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</si>
  <si>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</si>
  <si>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</si>
  <si>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</si>
  <si>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</si>
  <si>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</si>
  <si>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</si>
  <si>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</si>
  <si>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</si>
  <si>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</si>
  <si>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</si>
  <si>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</si>
  <si>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</si>
  <si>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</si>
  <si>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</si>
  <si>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</si>
  <si>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</si>
  <si>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</si>
  <si>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</si>
  <si>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</si>
  <si>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</si>
  <si>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</si>
  <si>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</si>
  <si>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</si>
  <si>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</si>
  <si>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</si>
  <si>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</si>
  <si>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</si>
  <si>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</si>
  <si>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</si>
  <si>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</si>
  <si>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</si>
  <si>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</si>
  <si>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</si>
  <si>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</si>
  <si>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</si>
  <si>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</si>
  <si>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</si>
  <si>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</si>
  <si>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</si>
  <si>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</si>
  <si>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</si>
  <si>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</si>
  <si>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</si>
  <si>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</si>
  <si>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</si>
  <si>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</si>
  <si>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</si>
  <si>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</si>
  <si>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</si>
  <si>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</si>
  <si>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</si>
  <si>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</si>
  <si>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</si>
  <si>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</si>
  <si>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</si>
  <si>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</si>
  <si>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</si>
  <si>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</si>
  <si>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</si>
  <si>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</si>
  <si>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</si>
  <si>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</si>
  <si>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</si>
  <si>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</si>
  <si>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</si>
  <si>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</si>
  <si>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</si>
  <si>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</si>
  <si>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</si>
  <si>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>Customer Name : Chuhan Super Store</t>
  </si>
  <si>
    <t xml:space="preserve">Address: Pak Arab Cociety </t>
  </si>
  <si>
    <t>Customer Name :Bismillah Super Store</t>
  </si>
  <si>
    <t xml:space="preserve">Address: Pak Arab Society </t>
  </si>
  <si>
    <t>Customer Name : Awan Super Store</t>
  </si>
  <si>
    <t>Customer Name : Zam Zam Store</t>
  </si>
  <si>
    <t xml:space="preserve">Customer Name : MashaAllah Cash &amp; Carry </t>
  </si>
  <si>
    <t>Customer Name : Waleed Super Store</t>
  </si>
  <si>
    <t>Customer Name : Haris Super Store</t>
  </si>
  <si>
    <t>Customer Name : Kekiz Super Store</t>
  </si>
  <si>
    <t>A214932_3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</si>
</sst>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7" sqref="T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Chuhan Super Store</v>
      </c>
      <c r="U14" s="164">
        <f>+'1'!P35</f>
        <v>2202.4208677500001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:Bismillah Super Store</v>
      </c>
      <c r="U15" s="164">
        <f>+'2'!P35</f>
        <v>1524.7448351999999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60</v>
      </c>
      <c r="I16" s="1">
        <f>(G16*D16)*F16+H16*F16</f>
        <v>3147.75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110.17125000000001</v>
      </c>
      <c r="L16" s="174">
        <f>+'1'!L16+'2'!L16+'4'!L16+'3'!L16+'5'!L16+'6'!L16+'7'!L16+'8'!L16+'9'!L16+'10'!L16</f>
        <v>251.82</v>
      </c>
      <c r="M16" s="106">
        <f>I16-K16-L16</f>
        <v>2785.75875</v>
      </c>
      <c r="N16" s="101">
        <f>+'1'!N16+'2'!N16+'4'!N16+'3'!N16+'5'!N16+'6'!N16+'7'!N16+'8'!N16+'9'!N16+'10'!N16</f>
        <v>501.43657499999995</v>
      </c>
      <c r="O16" s="101">
        <f>+'1'!O16+'2'!O16+'4'!O16+'3'!O16+'5'!O16+'6'!O16+'7'!O16+'8'!O16+'9'!O16+'10'!O16</f>
        <v>16.435976624999999</v>
      </c>
      <c r="P16" s="105">
        <f t="shared" ref="P16:P24" si="0">M16+N16+O16</f>
        <v>3303.6313016249997</v>
      </c>
      <c r="Q16" s="108"/>
      <c r="T16" s="163" t="str">
        <f>+'3'!A5</f>
        <v>Customer Name : Awan Super Store</v>
      </c>
      <c r="U16" s="164">
        <f>+'3'!P35</f>
        <v>1555.0880159999999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60</v>
      </c>
      <c r="I17" s="1">
        <f t="shared" ref="I17:I23" si="1">(G17*D17)*F17+H17*F17</f>
        <v>3147.75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110.17125000000001</v>
      </c>
      <c r="L17" s="174">
        <f>+'1'!L17+'2'!L17+'4'!L17+'3'!L17+'5'!L17+'6'!L17+'7'!L17+'8'!L17+'9'!L17+'10'!L17</f>
        <v>251.82</v>
      </c>
      <c r="M17" s="118">
        <f t="shared" ref="M17:M23" si="2">I17-K17-L17</f>
        <v>2785.75875</v>
      </c>
      <c r="N17" s="101">
        <f>+'1'!N17+'2'!N17+'4'!N17+'3'!N17+'5'!N17+'6'!N17+'7'!N17+'8'!N17+'9'!N17+'10'!N17</f>
        <v>501.43657499999995</v>
      </c>
      <c r="O17" s="101">
        <f>+'1'!O17+'2'!O17+'4'!O17+'3'!O17+'5'!O17+'6'!O17+'7'!O17+'8'!O17+'9'!O17+'10'!O17</f>
        <v>16.435976624999999</v>
      </c>
      <c r="P17" s="120">
        <f t="shared" si="0"/>
        <v>3303.6313016249997</v>
      </c>
      <c r="S17" s="64"/>
      <c r="T17" s="163" t="str">
        <f>+'4'!A5</f>
        <v>Customer Name : Zam Zam Store</v>
      </c>
      <c r="U17" s="164">
        <f>+'4'!P35</f>
        <v>819.91327680000006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MashaAllah Cash &amp; Carry </v>
      </c>
      <c r="U18" s="164">
        <f>+'5'!P35</f>
        <v>1662.3326476800005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90</v>
      </c>
      <c r="I19" s="1">
        <f t="shared" si="1"/>
        <v>6537.6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228.81600000000003</v>
      </c>
      <c r="L19" s="174">
        <f>+'1'!L19+'2'!L19+'4'!L19+'3'!L19+'5'!L19+'6'!L19+'7'!L19+'8'!L19+'9'!L19+'10'!L19</f>
        <v>523.00800000000004</v>
      </c>
      <c r="M19" s="118">
        <f t="shared" si="2"/>
        <v>5785.7760000000007</v>
      </c>
      <c r="N19" s="101">
        <f>+'1'!N19+'2'!N19+'4'!N19+'3'!N19+'5'!N19+'6'!N19+'7'!N19+'8'!N19+'9'!N19+'10'!N19</f>
        <v>1041.43968</v>
      </c>
      <c r="O19" s="101">
        <f>+'1'!O19+'2'!O19+'4'!O19+'3'!O19+'5'!O19+'6'!O19+'7'!O19+'8'!O19+'9'!O19+'10'!O19</f>
        <v>64.479259200000001</v>
      </c>
      <c r="P19" s="120">
        <f t="shared" si="0"/>
        <v>6891.6949392000015</v>
      </c>
      <c r="T19" s="163" t="str">
        <f>+'6'!A5</f>
        <v>Customer Name : Waleed Super Store</v>
      </c>
      <c r="U19" s="164">
        <f>+'6'!P35</f>
        <v>3194.9145695999996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Haris Super Store</v>
      </c>
      <c r="U20" s="164">
        <f>+'7'!P35</f>
        <v>3279.6531072000002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50</v>
      </c>
      <c r="I21" s="1">
        <f t="shared" si="1"/>
        <v>3632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127.12</v>
      </c>
      <c r="L21" s="174">
        <f>+'1'!L21+'2'!L21+'4'!L21+'3'!L21+'5'!L21+'6'!L21+'7'!L21+'8'!L21+'9'!L21+'10'!L21</f>
        <v>290.56</v>
      </c>
      <c r="M21" s="118">
        <f t="shared" si="2"/>
        <v>3214.32</v>
      </c>
      <c r="N21" s="101">
        <f>+'1'!N21+'2'!N21+'4'!N21+'3'!N21+'5'!N21+'6'!N21+'7'!N21+'8'!N21+'9'!N21+'10'!N21</f>
        <v>578.57760000000007</v>
      </c>
      <c r="O21" s="101">
        <f>+'1'!O21+'2'!O21+'4'!O21+'3'!O21+'5'!O21+'6'!O21+'7'!O21+'8'!O21+'9'!O21+'10'!O21</f>
        <v>49.307668799999995</v>
      </c>
      <c r="P21" s="120">
        <f t="shared" si="0"/>
        <v>3842.2052688000003</v>
      </c>
      <c r="T21" s="163" t="str">
        <f>+'8'!A5</f>
        <v>Customer Name : Kekiz Super Store</v>
      </c>
      <c r="U21" s="164">
        <f>+'8'!P35</f>
        <v>10503.821076299997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180</v>
      </c>
      <c r="I22" s="1">
        <f t="shared" si="1"/>
        <v>7061.4000000000005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607.2804000000001</v>
      </c>
      <c r="L22" s="174">
        <f>+'1'!L22+'2'!L22+'4'!L22+'3'!L22+'5'!L22+'6'!L22+'7'!L22+'8'!L22+'9'!L22+'10'!L22</f>
        <v>353.07000000000005</v>
      </c>
      <c r="M22" s="118">
        <f t="shared" si="2"/>
        <v>6101.0496000000003</v>
      </c>
      <c r="N22" s="101">
        <f>+'1'!N22+'2'!N22+'4'!N22+'3'!N22+'5'!N22+'6'!N22+'7'!N22+'8'!N22+'9'!N22+'10'!N22</f>
        <v>1152.4204800000002</v>
      </c>
      <c r="O22" s="101">
        <f>+'1'!O22+'2'!O22+'4'!O22+'3'!O22+'5'!O22+'6'!O22+'7'!O22+'8'!O22+'9'!O22+'10'!O22</f>
        <v>148.25550528000002</v>
      </c>
      <c r="P22" s="120">
        <f t="shared" si="0"/>
        <v>7401.7255852800008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11</v>
      </c>
      <c r="D25" s="230"/>
      <c r="E25" s="230"/>
      <c r="F25" s="230"/>
      <c r="G25" s="175">
        <f t="shared" ref="G25:M25" si="3">SUM(G16:G24)</f>
        <v>0</v>
      </c>
      <c r="H25" s="176">
        <f t="shared" si="3"/>
        <v>440</v>
      </c>
      <c r="I25" s="177">
        <f t="shared" si="3"/>
        <v>23526.5</v>
      </c>
      <c r="J25" s="176">
        <f t="shared" si="3"/>
        <v>0</v>
      </c>
      <c r="K25" s="177">
        <f t="shared" si="3"/>
        <v>1183.5589000000002</v>
      </c>
      <c r="L25" s="178">
        <f t="shared" si="3"/>
        <v>1670.2780000000002</v>
      </c>
      <c r="M25" s="141">
        <f t="shared" si="3"/>
        <v>20672.663099999998</v>
      </c>
      <c r="N25" s="142">
        <f>SUM(N16:N24)</f>
        <v>3775.3109100000001</v>
      </c>
      <c r="O25" s="143">
        <f>SUM(O16:O24)</f>
        <v>294.91438653</v>
      </c>
      <c r="P25" s="144">
        <f>SUM(P16:P24)</f>
        <v>24742.888396530001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24742.888396529997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23526.5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1670.2780000000002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1183.5589000000002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20672.663100000002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3775.3109100000001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24447.974010000002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611.19935025000007</v>
      </c>
    </row>
    <row r="43" spans="1:21" ht="15.75" customHeight="1" thickBot="1" x14ac:dyDescent="0.4">
      <c r="N43" s="228" t="s">
        <v>92</v>
      </c>
      <c r="O43" s="229"/>
      <c r="P43" s="160">
        <f>P41+P42</f>
        <v>25059.173360250003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>
        <v>3540444701307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40</v>
      </c>
      <c r="I25" s="137">
        <f t="shared" si="13"/>
        <v>2098.5</v>
      </c>
      <c r="J25" s="138"/>
      <c r="K25" s="139">
        <f t="shared" si="13"/>
        <v>73.447500000000005</v>
      </c>
      <c r="L25" s="140">
        <f t="shared" si="13"/>
        <v>167.88</v>
      </c>
      <c r="M25" s="141">
        <f t="shared" si="13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2098.5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167.88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73.447500000000005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1857.1724999999999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2191.4635499999999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8" t="s">
        <v>92</v>
      </c>
      <c r="O35" s="229"/>
      <c r="P35" s="160">
        <f>P33+P34</f>
        <v>2202.4208677500001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3520186128205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1517.15904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7.5857951999999997</v>
      </c>
    </row>
    <row r="35" spans="2:16" ht="15.75" customHeight="1" thickBot="1" x14ac:dyDescent="0.4">
      <c r="N35" s="228" t="s">
        <v>92</v>
      </c>
      <c r="O35" s="229"/>
      <c r="P35" s="160">
        <f>P33+P34</f>
        <v>1524.7448351999999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18.964487999999999</v>
      </c>
      <c r="P21" s="120">
        <f t="shared" si="1"/>
        <v>777.54400799999996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37.928975999999999</v>
      </c>
      <c r="P25" s="144">
        <f>SUM(P16:P24)</f>
        <v>1555.0880159999999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1517.15904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37.928975999999999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1555.0880159999999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784.60000000000014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39.230000000000011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67.4756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677.89440000000013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799.91539200000011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28" t="s">
        <v>92</v>
      </c>
      <c r="O35" s="229"/>
      <c r="P35" s="160">
        <f>P33+P34</f>
        <v>819.91327680000006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8.2703116800000025</v>
      </c>
      <c r="P25" s="144">
        <f>SUM(P16:P24)</f>
        <v>1662.3326476800005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1654.0623360000004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8.2703116800000025</v>
      </c>
    </row>
    <row r="35" spans="2:16" ht="15.75" customHeight="1" thickBot="1" x14ac:dyDescent="0.4">
      <c r="N35" s="228" t="s">
        <v>92</v>
      </c>
      <c r="O35" s="229"/>
      <c r="P35" s="160">
        <f>P33+P34</f>
        <v>1662.3326476800005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18.964487999999999</v>
      </c>
      <c r="P21" s="120">
        <f t="shared" si="1"/>
        <v>777.54400799999996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60</v>
      </c>
      <c r="I25" s="137">
        <f t="shared" si="9"/>
        <v>3022</v>
      </c>
      <c r="J25" s="138"/>
      <c r="K25" s="139">
        <f t="shared" si="9"/>
        <v>185.79920000000001</v>
      </c>
      <c r="L25" s="140">
        <f t="shared" si="9"/>
        <v>194.68400000000003</v>
      </c>
      <c r="M25" s="141">
        <f t="shared" si="9"/>
        <v>2641.5168000000003</v>
      </c>
      <c r="N25" s="142">
        <f>SUM(N16:N24)</f>
        <v>475.47302400000001</v>
      </c>
      <c r="O25" s="143">
        <f>SUM(O16:O24)</f>
        <v>77.924745600000008</v>
      </c>
      <c r="P25" s="144">
        <f>SUM(P16:P24)</f>
        <v>3194.9145696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3022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194.68400000000003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185.79920000000001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2641.5167999999999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475.47302400000001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3116.9898239999998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77.924745599999994</v>
      </c>
    </row>
    <row r="35" spans="2:16" ht="15.75" customHeight="1" thickBot="1" x14ac:dyDescent="0.4">
      <c r="N35" s="228" t="s">
        <v>92</v>
      </c>
      <c r="O35" s="229"/>
      <c r="P35" s="160">
        <f>P33+P34</f>
        <v>3194.9145695999996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79.99153920000002</v>
      </c>
      <c r="P22" s="120">
        <f t="shared" si="1"/>
        <v>3279.6531072000002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269.9024</v>
      </c>
      <c r="L25" s="140">
        <f t="shared" si="9"/>
        <v>156.92000000000004</v>
      </c>
      <c r="M25" s="141">
        <f t="shared" si="9"/>
        <v>2711.5776000000005</v>
      </c>
      <c r="N25" s="142">
        <f>SUM(N16:N24)</f>
        <v>488.08396800000008</v>
      </c>
      <c r="O25" s="143">
        <f>SUM(O16:O24)</f>
        <v>79.99153920000002</v>
      </c>
      <c r="P25" s="144">
        <f>SUM(P16:P24)</f>
        <v>3279.6531072000002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3138.4000000000005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156.92000000000004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269.9024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2711.5776000000005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488.08396800000008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3199.6615680000004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79.99153920000002</v>
      </c>
    </row>
    <row r="35" spans="2:16" ht="15.75" customHeight="1" thickBot="1" x14ac:dyDescent="0.4">
      <c r="N35" s="228" t="s">
        <v>92</v>
      </c>
      <c r="O35" s="229"/>
      <c r="P35" s="160">
        <f>P33+P34</f>
        <v>3279.6531072000002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132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60</v>
      </c>
      <c r="I19" s="116">
        <f t="shared" si="2"/>
        <v>4358.3999999999996</v>
      </c>
      <c r="J19" s="117"/>
      <c r="K19" s="104">
        <f t="shared" si="3"/>
        <v>152.54400000000001</v>
      </c>
      <c r="L19" s="105">
        <f t="shared" si="4"/>
        <v>348.67199999999997</v>
      </c>
      <c r="M19" s="118">
        <f t="shared" si="5"/>
        <v>3857.1839999999997</v>
      </c>
      <c r="N19" s="118">
        <f t="shared" si="0"/>
        <v>694.29311999999993</v>
      </c>
      <c r="O19" s="119">
        <f t="shared" si="6"/>
        <v>22.757385599999999</v>
      </c>
      <c r="P19" s="120">
        <f t="shared" si="1"/>
        <v>4574.2345055999995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160</v>
      </c>
      <c r="I25" s="137">
        <f t="shared" si="9"/>
        <v>10008.199999999999</v>
      </c>
      <c r="J25" s="138"/>
      <c r="K25" s="139">
        <f t="shared" si="9"/>
        <v>350.28700000000003</v>
      </c>
      <c r="L25" s="140">
        <f t="shared" si="9"/>
        <v>800.65600000000006</v>
      </c>
      <c r="M25" s="141">
        <f t="shared" si="9"/>
        <v>8857.2570000000014</v>
      </c>
      <c r="N25" s="142">
        <f>SUM(N16:N24)</f>
        <v>1594.3062599999998</v>
      </c>
      <c r="O25" s="143">
        <f>SUM(O16:O24)</f>
        <v>52.257816299999995</v>
      </c>
      <c r="P25" s="144">
        <f>SUM(P16:P24)</f>
        <v>10503.821076299999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10008.199999999999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800.65600000000006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350.28700000000003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8857.2569999999978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1594.3062599999998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10451.563259999997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52.257816299999988</v>
      </c>
    </row>
    <row r="35" spans="2:16" ht="15.75" customHeight="1" thickBot="1" x14ac:dyDescent="0.4">
      <c r="N35" s="228" t="s">
        <v>92</v>
      </c>
      <c r="O35" s="229"/>
      <c r="P35" s="160">
        <f>P33+P34</f>
        <v>10503.821076299997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46220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46219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2026-07-17T11:54:26Z</dcterms:modified>
</cp:coreProperties>
</file>