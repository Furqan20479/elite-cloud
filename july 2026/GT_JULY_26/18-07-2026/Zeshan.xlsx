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09D19548-2B20-4E1D-9E2A-A212E40250B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M21" i="27" s="1"/>
  <c r="N21" i="27" s="1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18" i="26"/>
  <c r="N18" i="26" s="1"/>
  <c r="O18" i="26" s="1"/>
  <c r="M19" i="26"/>
  <c r="N19" i="26" s="1"/>
  <c r="O19" i="26" s="1"/>
  <c r="N24" i="27"/>
  <c r="O24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C12" i="24" s="1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7" l="1"/>
  <c r="P29" i="27" s="1"/>
  <c r="L25" i="26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K21" i="25"/>
  <c r="L21" i="24"/>
  <c r="K21" i="24"/>
  <c r="L19" i="24"/>
  <c r="M19" i="24" s="1"/>
  <c r="N19" i="24" s="1"/>
  <c r="O19" i="24" s="1"/>
  <c r="P19" i="24" s="1"/>
  <c r="K19" i="24"/>
  <c r="L17" i="23"/>
  <c r="K17" i="23"/>
  <c r="M17" i="23" s="1"/>
  <c r="N17" i="23" s="1"/>
  <c r="O17" i="23" s="1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1" i="25" l="1"/>
  <c r="N21" i="25" s="1"/>
  <c r="O21" i="25" s="1"/>
  <c r="P21" i="25" s="1"/>
  <c r="M21" i="24"/>
  <c r="N21" i="24" s="1"/>
  <c r="O21" i="24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P31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<sst xmlns="http://schemas.openxmlformats.org/spreadsheetml/2006/main" count="1635" uniqueCount="140">
  <si>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</si>
  <si>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</si>
  <si>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</si>
  <si>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</si>
  <si>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</si>
  <si>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</si>
  <si>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</si>
  <si>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</si>
  <si>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</si>
  <si>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</si>
  <si>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</si>
  <si>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</si>
  <si>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</si>
  <si>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</si>
  <si>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</si>
  <si>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</si>
  <si>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</si>
  <si>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</si>
  <si>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</si>
  <si>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</si>
  <si>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</si>
  <si>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</si>
  <si>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</si>
  <si>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</si>
  <si>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</si>
  <si>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</si>
  <si>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</si>
  <si>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</si>
  <si>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</si>
  <si>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</si>
  <si>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</si>
  <si>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</si>
  <si>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</si>
  <si>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</si>
  <si>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</si>
  <si>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</si>
  <si>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</si>
  <si>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</si>
  <si>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</si>
  <si>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</si>
  <si>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</si>
  <si>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</si>
  <si>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</si>
  <si>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</si>
  <si>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</si>
  <si>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</si>
  <si>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</si>
  <si>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</si>
  <si>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</si>
  <si>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</si>
  <si>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</si>
  <si>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</si>
  <si>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</si>
  <si>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</si>
  <si>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</si>
  <si>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</si>
  <si>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</si>
  <si>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</si>
  <si>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</si>
  <si>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</si>
  <si>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</si>
  <si>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</si>
  <si>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</si>
  <si>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</si>
  <si>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</si>
  <si>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</si>
  <si>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</si>
  <si>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</si>
  <si>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</si>
  <si>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</si>
  <si>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</si>
  <si>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</si>
  <si>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</si>
  <si>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</si>
  <si>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</si>
  <si>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</si>
  <si>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</si>
  <si>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</si>
  <si>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</si>
  <si>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</si>
  <si>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</si>
  <si>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</si>
  <si>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</si>
  <si>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</si>
  <si>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</si>
  <si>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</si>
  <si>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</si>
  <si>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</si>
  <si>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</si>
  <si>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</si>
  <si>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</si>
  <si>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</si>
  <si>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</si>
  <si>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</si>
  <si>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</si>
  <si>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</si>
  <si>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</si>
  <si>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</si>
  <si>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</si>
  <si>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</si>
  <si>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</si>
  <si>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</si>
  <si>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</si>
  <si>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</si>
  <si>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</si>
  <si>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</si>
  <si>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</si>
  <si>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</si>
  <si>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</si>
  <si>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</si>
  <si>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</si>
  <si>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</si>
  <si>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</si>
  <si>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</si>
  <si>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</si>
  <si>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</si>
  <si>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</si>
  <si>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</si>
  <si>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</si>
  <si>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</si>
  <si>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Customer Name : Paradise Store</t>
  </si>
  <si>
    <t>Address: DHA</t>
  </si>
  <si>
    <t>1015557-7</t>
  </si>
  <si>
    <t xml:space="preserve">Customer Name : Smart Mart </t>
  </si>
  <si>
    <t>Customer Name : 24/ Store</t>
  </si>
  <si>
    <t>Customer Name : CV Store</t>
  </si>
  <si>
    <t>Customer Name : TS Store</t>
  </si>
  <si>
    <t>Customer Name : Afzal Store</t>
  </si>
  <si>
    <t xml:space="preserve">Customer Name : Captan Mart </t>
  </si>
  <si>
    <t>Address: 654788</t>
  </si>
  <si>
    <t>Customer Name : Fresh Store</t>
  </si>
  <si>
    <t xml:space="preserve">Customer Name : Omega Mart </t>
  </si>
  <si>
    <t xml:space="preserve">Customer Name : Fresh Hill </t>
  </si>
  <si>
    <t xml:space="preserve">Customer Name : AL Jalil Mart </t>
  </si>
  <si>
    <t>Customer Name : Shanim Store</t>
  </si>
  <si>
    <t xml:space="preserve">Customer Name : Al Mazz Cash &amp; Carry </t>
  </si>
  <si>
    <t>G357447</t>
  </si>
  <si>
    <t>9274556-7</t>
  </si>
  <si>
    <t>Zeshan</t>
  </si>
  <si>
    <t>Shop Bill Summary(Zeshan)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</si>
</sst>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2" zoomScale="70" zoomScaleNormal="70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138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139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Paradise Store</v>
      </c>
      <c r="U14" s="164">
        <f>+'1'!P35</f>
        <v>8384.4853112700002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Smart Mart </v>
      </c>
      <c r="U15" s="164">
        <f>+'2'!P35</f>
        <v>241.17449068800002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30</v>
      </c>
      <c r="I16" s="1">
        <f>(G16*D16)*F16+H16*F16</f>
        <v>1573.875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55.085625000000007</v>
      </c>
      <c r="L16" s="174">
        <f>+'1'!L16+'2'!L16+'4'!L16+'3'!L16+'5'!L16+'6'!L16+'7'!L16+'8'!L16+'9'!L16+'10'!L16</f>
        <v>125.91</v>
      </c>
      <c r="M16" s="106">
        <f>I16-K16-L16</f>
        <v>1392.879375</v>
      </c>
      <c r="N16" s="101">
        <f>+'1'!N16+'2'!N16+'4'!N16+'3'!N16+'5'!N16+'6'!N16+'7'!N16+'8'!N16+'9'!N16+'10'!N16</f>
        <v>250.71828749999997</v>
      </c>
      <c r="O16" s="101">
        <f>+'1'!O16+'2'!O16+'4'!O16+'3'!O16+'5'!O16+'6'!O16+'7'!O16+'8'!O16+'9'!O16+'10'!O16</f>
        <v>8.2179883124999993</v>
      </c>
      <c r="P16" s="105">
        <f t="shared" ref="P16:P24" si="0">M16+N16+O16</f>
        <v>1651.8156508124998</v>
      </c>
      <c r="Q16" s="108"/>
      <c r="T16" s="163" t="str">
        <f>+'3'!A5</f>
        <v>Customer Name : 24/ Store</v>
      </c>
      <c r="U16" s="164">
        <f>+'3'!P35</f>
        <v>241.17449068800002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30</v>
      </c>
      <c r="I17" s="1">
        <f t="shared" ref="I17:I23" si="1">(G17*D17)*F17+H17*F17</f>
        <v>1573.875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55.085625000000007</v>
      </c>
      <c r="L17" s="174">
        <f>+'1'!L17+'2'!L17+'4'!L17+'3'!L17+'5'!L17+'6'!L17+'7'!L17+'8'!L17+'9'!L17+'10'!L17</f>
        <v>125.91</v>
      </c>
      <c r="M17" s="118">
        <f t="shared" ref="M17:M23" si="2">I17-K17-L17</f>
        <v>1392.879375</v>
      </c>
      <c r="N17" s="101">
        <f>+'1'!N17+'2'!N17+'4'!N17+'3'!N17+'5'!N17+'6'!N17+'7'!N17+'8'!N17+'9'!N17+'10'!N17</f>
        <v>250.71828749999997</v>
      </c>
      <c r="O17" s="101">
        <f>+'1'!O17+'2'!O17+'4'!O17+'3'!O17+'5'!O17+'6'!O17+'7'!O17+'8'!O17+'9'!O17+'10'!O17</f>
        <v>8.2179883124999993</v>
      </c>
      <c r="P17" s="120">
        <f t="shared" si="0"/>
        <v>1651.8156508124998</v>
      </c>
      <c r="S17" s="64"/>
      <c r="T17" s="163" t="str">
        <f>+'4'!A5</f>
        <v>Customer Name : CV Store</v>
      </c>
      <c r="U17" s="164">
        <f>+'4'!P35</f>
        <v>241.17449068800002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TS Store</v>
      </c>
      <c r="U18" s="164">
        <f>+'5'!P35</f>
        <v>241.17449068800002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470</v>
      </c>
      <c r="I19" s="1">
        <f t="shared" si="1"/>
        <v>34140.800000000003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50.848000000000006</v>
      </c>
      <c r="L19" s="174">
        <f>+'1'!L19+'2'!L19+'4'!L19+'3'!L19+'5'!L19+'6'!L19+'7'!L19+'8'!L19+'9'!L19+'10'!L19</f>
        <v>116.224</v>
      </c>
      <c r="M19" s="118">
        <f t="shared" si="2"/>
        <v>33973.728000000003</v>
      </c>
      <c r="N19" s="101">
        <f>+'1'!N19+'2'!N19+'4'!N19+'3'!N19+'5'!N19+'6'!N19+'7'!N19+'8'!N19+'9'!N19+'10'!N19</f>
        <v>231.43104</v>
      </c>
      <c r="O19" s="101">
        <f>+'1'!O19+'2'!O19+'4'!O19+'3'!O19+'5'!O19+'6'!O19+'7'!O19+'8'!O19+'9'!O19+'10'!O19</f>
        <v>7.5857951999999997</v>
      </c>
      <c r="P19" s="120">
        <f t="shared" si="0"/>
        <v>34212.744835200006</v>
      </c>
      <c r="T19" s="163" t="str">
        <f>+'6'!A5</f>
        <v>Customer Name : Afzal Store</v>
      </c>
      <c r="U19" s="164">
        <f>+'6'!P35</f>
        <v>401.95748448000006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Captan Mart </v>
      </c>
      <c r="U20" s="164">
        <f>+'7'!P35</f>
        <v>550.60521693750002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110</v>
      </c>
      <c r="I21" s="1">
        <f t="shared" si="1"/>
        <v>7990.4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152.54400000000001</v>
      </c>
      <c r="L21" s="174">
        <f>+'1'!L21+'2'!L21+'4'!L21+'3'!L21+'5'!L21+'6'!L21+'7'!L21+'8'!L21+'9'!L21+'10'!L21</f>
        <v>348.67200000000003</v>
      </c>
      <c r="M21" s="118">
        <f t="shared" si="2"/>
        <v>7489.1839999999993</v>
      </c>
      <c r="N21" s="101">
        <f>+'1'!N21+'2'!N21+'4'!N21+'3'!N21+'5'!N21+'6'!N21+'7'!N21+'8'!N21+'9'!N21+'10'!N21</f>
        <v>694.29311999999993</v>
      </c>
      <c r="O21" s="101">
        <f>+'1'!O21+'2'!O21+'4'!O21+'3'!O21+'5'!O21+'6'!O21+'7'!O21+'8'!O21+'9'!O21+'10'!O21</f>
        <v>22.757385599999999</v>
      </c>
      <c r="P21" s="120">
        <f t="shared" si="0"/>
        <v>8206.2345055999995</v>
      </c>
      <c r="T21" s="163" t="str">
        <f>+'8'!A5</f>
        <v>Customer Name : Fresh Store</v>
      </c>
      <c r="U21" s="164">
        <f>+'8'!P35</f>
        <v>550.60521693750002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74</v>
      </c>
      <c r="I22" s="1">
        <f t="shared" si="1"/>
        <v>2903.0200000000004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249.65972000000002</v>
      </c>
      <c r="L22" s="174">
        <f>+'1'!L22+'2'!L22+'4'!L22+'3'!L22+'5'!L22+'6'!L22+'7'!L22+'8'!L22+'9'!L22+'10'!L22</f>
        <v>145.15100000000004</v>
      </c>
      <c r="M22" s="118">
        <f t="shared" si="2"/>
        <v>2508.2092800000005</v>
      </c>
      <c r="N22" s="101">
        <f>+'1'!N22+'2'!N22+'4'!N22+'3'!N22+'5'!N22+'6'!N22+'7'!N22+'8'!N22+'9'!N22+'10'!N22</f>
        <v>451.47767040000002</v>
      </c>
      <c r="O22" s="101">
        <f>+'1'!O22+'2'!O22+'4'!O22+'3'!O22+'5'!O22+'6'!O22+'7'!O22+'8'!O22+'9'!O22+'10'!O22</f>
        <v>14.798434752000002</v>
      </c>
      <c r="P22" s="120">
        <f t="shared" si="0"/>
        <v>2974.4853851520006</v>
      </c>
      <c r="T22" s="163" t="str">
        <f>+'9'!A5</f>
        <v xml:space="preserve">Customer Name : Omega Mart </v>
      </c>
      <c r="U22" s="164">
        <f>+'9'!P35</f>
        <v>762.37241759999995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Fresh Hill </v>
      </c>
      <c r="U23" s="164">
        <f>+'10'!P35</f>
        <v>762.37241759999995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AL Jalil Mart </v>
      </c>
      <c r="U24" s="164">
        <f>+'11'!P35</f>
        <v>762.37241759999995</v>
      </c>
    </row>
    <row r="25" spans="1:21 16384:16384" ht="26.5" thickBot="1" x14ac:dyDescent="0.65">
      <c r="A25" s="234" t="s">
        <v>84</v>
      </c>
      <c r="B25" s="235"/>
      <c r="C25" s="236">
        <f>H25/40</f>
        <v>17.850000000000001</v>
      </c>
      <c r="D25" s="230"/>
      <c r="E25" s="230"/>
      <c r="F25" s="230"/>
      <c r="G25" s="175">
        <f t="shared" ref="G25:M25" si="3">SUM(G16:G24)</f>
        <v>0</v>
      </c>
      <c r="H25" s="176">
        <f t="shared" si="3"/>
        <v>714</v>
      </c>
      <c r="I25" s="177">
        <f t="shared" si="3"/>
        <v>48181.97</v>
      </c>
      <c r="J25" s="176">
        <f t="shared" si="3"/>
        <v>0</v>
      </c>
      <c r="K25" s="177">
        <f t="shared" si="3"/>
        <v>563.22297000000003</v>
      </c>
      <c r="L25" s="178">
        <f t="shared" si="3"/>
        <v>861.86700000000008</v>
      </c>
      <c r="M25" s="141">
        <f t="shared" si="3"/>
        <v>46756.880030000008</v>
      </c>
      <c r="N25" s="142">
        <f>SUM(N16:N24)</f>
        <v>1878.6384054</v>
      </c>
      <c r="O25" s="143">
        <f>SUM(O16:O24)</f>
        <v>61.577592177</v>
      </c>
      <c r="P25" s="144">
        <f>SUM(P16:P24)</f>
        <v>48697.096027577005</v>
      </c>
      <c r="T25" s="163" t="str">
        <f>+'12'!A5</f>
        <v>Customer Name : Shanim Store</v>
      </c>
      <c r="U25" s="164">
        <f>+'12'!P35</f>
        <v>762.37241759999995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Al Mazz Cash &amp; Carry </v>
      </c>
      <c r="U26" s="164">
        <f>+'13'!P35</f>
        <v>30494.896704000003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Smart Mart </v>
      </c>
      <c r="U27" s="164">
        <f>+'14'!P35</f>
        <v>6098.9793407999996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50495.716907576993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48181.97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861.86700000000008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563.22297000000003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46756.88003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1878.6384054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48635.518435400001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1215.887960885</v>
      </c>
    </row>
    <row r="43" spans="1:21" ht="15.75" customHeight="1" thickBot="1" x14ac:dyDescent="0.4">
      <c r="N43" s="228" t="s">
        <v>92</v>
      </c>
      <c r="O43" s="229"/>
      <c r="P43" s="160">
        <f>P41+P42</f>
        <v>49851.406396284998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120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26 16383:16384" ht="15" customHeight="1" x14ac:dyDescent="0.35">
      <c r="A6" s="210" t="s">
        <v>121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 t="s">
        <v>122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 t="shared" ref="O16:O24" si="1">(N16+M16)*$O$15</f>
        <v>5.4786588749999998</v>
      </c>
      <c r="P16" s="105">
        <f t="shared" ref="P16:P24" si="2">M16+N16+O16</f>
        <v>1101.210433875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/>
      <c r="K17" s="104">
        <f t="shared" ref="K17:K21" si="4">I17*3.5%</f>
        <v>36.723750000000003</v>
      </c>
      <c r="L17" s="105">
        <f t="shared" ref="L17:L21" si="5">I17*8%</f>
        <v>83.94</v>
      </c>
      <c r="M17" s="118">
        <f t="shared" ref="M17:M23" si="6">I17-K17-L17</f>
        <v>928.58625000000006</v>
      </c>
      <c r="N17" s="118">
        <f t="shared" si="0"/>
        <v>167.14552499999999</v>
      </c>
      <c r="O17" s="119">
        <f t="shared" si="1"/>
        <v>5.4786588749999998</v>
      </c>
      <c r="P17" s="120">
        <f t="shared" si="2"/>
        <v>1101.210433875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/>
      <c r="K19" s="104">
        <f t="shared" si="4"/>
        <v>50.848000000000006</v>
      </c>
      <c r="L19" s="105">
        <f t="shared" si="5"/>
        <v>116.224</v>
      </c>
      <c r="M19" s="118">
        <f t="shared" si="6"/>
        <v>1285.7280000000001</v>
      </c>
      <c r="N19" s="118">
        <f t="shared" si="0"/>
        <v>231.43104</v>
      </c>
      <c r="O19" s="119">
        <f t="shared" si="1"/>
        <v>7.5857951999999997</v>
      </c>
      <c r="P19" s="120">
        <f t="shared" si="2"/>
        <v>1524.7448351999999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232.44800000000001</v>
      </c>
      <c r="M21" s="118">
        <f t="shared" si="6"/>
        <v>2571.4560000000001</v>
      </c>
      <c r="N21" s="118">
        <f t="shared" si="0"/>
        <v>462.86207999999999</v>
      </c>
      <c r="O21" s="119">
        <f t="shared" si="1"/>
        <v>15.171590399999999</v>
      </c>
      <c r="P21" s="120">
        <f t="shared" si="2"/>
        <v>3049.4896703999998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6"/>
        <v>1355.7888000000003</v>
      </c>
      <c r="N22" s="118">
        <f t="shared" si="0"/>
        <v>244.04198400000004</v>
      </c>
      <c r="O22" s="119">
        <f t="shared" si="1"/>
        <v>7.9991539200000012</v>
      </c>
      <c r="P22" s="120">
        <f t="shared" si="2"/>
        <v>1607.8299379200002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140</v>
      </c>
      <c r="I25" s="137">
        <f t="shared" si="13"/>
        <v>8026.1</v>
      </c>
      <c r="J25" s="138"/>
      <c r="K25" s="139">
        <f t="shared" si="13"/>
        <v>360.94270000000006</v>
      </c>
      <c r="L25" s="140">
        <f t="shared" si="13"/>
        <v>595.01200000000006</v>
      </c>
      <c r="M25" s="141">
        <f t="shared" si="13"/>
        <v>7070.1453000000001</v>
      </c>
      <c r="N25" s="142">
        <f>SUM(N16:N24)</f>
        <v>1272.626154</v>
      </c>
      <c r="O25" s="143">
        <f>SUM(O16:O24)</f>
        <v>41.713857270000005</v>
      </c>
      <c r="P25" s="144">
        <f>SUM(P16:P24)</f>
        <v>8384.4853112700002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8026.1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595.01200000000006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360.94270000000006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7070.1453000000001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1272.626154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8342.7714539999997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41.713857269999998</v>
      </c>
    </row>
    <row r="35" spans="2:16" ht="15.75" customHeight="1" thickBot="1" x14ac:dyDescent="0.4">
      <c r="N35" s="228" t="s">
        <v>92</v>
      </c>
      <c r="O35" s="229"/>
      <c r="P35" s="160">
        <f>P33+P34</f>
        <v>8384.4853112700002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121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765478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1.1998730880000001</v>
      </c>
      <c r="P25" s="144">
        <f>SUM(P16:P24)</f>
        <v>241.17449068800002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235.38000000000002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11.769000000000002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20.24268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203.36832000000001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239.97461760000002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1.1998730880000001</v>
      </c>
    </row>
    <row r="35" spans="2:16" ht="15.75" customHeight="1" thickBot="1" x14ac:dyDescent="0.4">
      <c r="N35" s="228" t="s">
        <v>92</v>
      </c>
      <c r="O35" s="229"/>
      <c r="P35" s="160">
        <f>P33+P34</f>
        <v>241.17449068800002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121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>
        <v>875468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1.1998730880000001</v>
      </c>
      <c r="P25" s="144">
        <f>SUM(P16:P24)</f>
        <v>241.17449068800002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235.38000000000002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11.769000000000002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20.24268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203.36832000000001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239.97461760000002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1.1998730880000001</v>
      </c>
    </row>
    <row r="35" spans="2:16" ht="15.75" customHeight="1" thickBot="1" x14ac:dyDescent="0.4">
      <c r="N35" s="228" t="s">
        <v>92</v>
      </c>
      <c r="O35" s="229"/>
      <c r="P35" s="160">
        <f>P33+P34</f>
        <v>241.17449068800002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121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899547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1.1998730880000001</v>
      </c>
      <c r="P25" s="144">
        <f>SUM(P16:P24)</f>
        <v>241.17449068800002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235.38000000000002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11.769000000000002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20.24268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203.36832000000001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239.97461760000002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1.1998730880000001</v>
      </c>
    </row>
    <row r="35" spans="2:16" ht="15.75" customHeight="1" thickBot="1" x14ac:dyDescent="0.4">
      <c r="N35" s="228" t="s">
        <v>92</v>
      </c>
      <c r="O35" s="229"/>
      <c r="P35" s="160">
        <f>P33+P34</f>
        <v>241.17449068800002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126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121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1246976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1.1998730880000001</v>
      </c>
      <c r="P22" s="120">
        <f t="shared" si="1"/>
        <v>241.17449068800002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20.24268</v>
      </c>
      <c r="L25" s="140">
        <f t="shared" si="9"/>
        <v>11.769000000000002</v>
      </c>
      <c r="M25" s="141">
        <f t="shared" si="9"/>
        <v>203.36832000000001</v>
      </c>
      <c r="N25" s="142">
        <f>SUM(N16:N24)</f>
        <v>36.606297599999998</v>
      </c>
      <c r="O25" s="143">
        <f>SUM(O16:O24)</f>
        <v>1.1998730880000001</v>
      </c>
      <c r="P25" s="144">
        <f>SUM(P16:P24)</f>
        <v>241.17449068800002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235.38000000000002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11.769000000000002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20.24268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203.36832000000001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36.606297599999998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239.97461760000002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1.1998730880000001</v>
      </c>
    </row>
    <row r="35" spans="2:16" ht="15.75" customHeight="1" thickBot="1" x14ac:dyDescent="0.4">
      <c r="N35" s="228" t="s">
        <v>92</v>
      </c>
      <c r="O35" s="229"/>
      <c r="P35" s="160">
        <f>P33+P34</f>
        <v>241.17449068800002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127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121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86557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61.01049600000001</v>
      </c>
      <c r="O22" s="119">
        <f t="shared" si="6"/>
        <v>1.9997884800000003</v>
      </c>
      <c r="P22" s="120">
        <f t="shared" si="1"/>
        <v>401.95748448000006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33.7378</v>
      </c>
      <c r="L25" s="140">
        <f t="shared" si="9"/>
        <v>19.615000000000006</v>
      </c>
      <c r="M25" s="141">
        <f t="shared" si="9"/>
        <v>338.94720000000007</v>
      </c>
      <c r="N25" s="142">
        <f>SUM(N16:N24)</f>
        <v>61.01049600000001</v>
      </c>
      <c r="O25" s="143">
        <f>SUM(O16:O24)</f>
        <v>1.9997884800000003</v>
      </c>
      <c r="P25" s="144">
        <f>SUM(P16:P24)</f>
        <v>401.95748448000006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392.30000000000007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19.615000000000006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33.7378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338.94720000000007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61.01049600000001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399.95769600000006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1.9997884800000003</v>
      </c>
    </row>
    <row r="35" spans="2:16" ht="15.75" customHeight="1" thickBot="1" x14ac:dyDescent="0.4">
      <c r="N35" s="228" t="s">
        <v>92</v>
      </c>
      <c r="O35" s="229"/>
      <c r="P35" s="160">
        <f>P33+P34</f>
        <v>401.95748448000006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128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129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654788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524.625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41.97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18.361875000000001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464.29312499999997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547.86588749999999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28" t="s">
        <v>92</v>
      </c>
      <c r="O35" s="229"/>
      <c r="P35" s="160">
        <f>P33+P34</f>
        <v>550.60521693750002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130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121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>
        <v>123865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83.572762499999996</v>
      </c>
      <c r="O25" s="143">
        <f>SUM(O16:O24)</f>
        <v>2.7393294374999999</v>
      </c>
      <c r="P25" s="144">
        <f>SUM(P16:P24)</f>
        <v>550.60521693750002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524.625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41.97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18.361875000000001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464.29312499999997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83.572762499999996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547.86588749999999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2.7393294374999999</v>
      </c>
    </row>
    <row r="35" spans="2:16" ht="15.75" customHeight="1" thickBot="1" x14ac:dyDescent="0.4">
      <c r="N35" s="228" t="s">
        <v>92</v>
      </c>
      <c r="O35" s="229"/>
      <c r="P35" s="160">
        <f>P33+P34</f>
        <v>550.60521693750002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131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121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456544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121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235675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121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1245778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134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121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>
        <v>120764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726.4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58.112000000000002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25.424000000000003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642.86400000000003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758.57952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28" t="s">
        <v>92</v>
      </c>
      <c r="O35" s="229"/>
      <c r="P35" s="160">
        <f>P33+P34</f>
        <v>762.37241759999995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2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135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121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136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400</v>
      </c>
      <c r="I19" s="116">
        <f t="shared" si="2"/>
        <v>29056</v>
      </c>
      <c r="J19" s="117"/>
      <c r="K19" s="104">
        <f t="shared" si="3"/>
        <v>1016.9600000000002</v>
      </c>
      <c r="L19" s="105">
        <f t="shared" si="4"/>
        <v>2324.48</v>
      </c>
      <c r="M19" s="118">
        <f t="shared" si="5"/>
        <v>25714.560000000001</v>
      </c>
      <c r="N19" s="118">
        <f t="shared" si="0"/>
        <v>4628.6207999999997</v>
      </c>
      <c r="O19" s="119">
        <f t="shared" si="6"/>
        <v>151.71590400000002</v>
      </c>
      <c r="P19" s="120">
        <f t="shared" si="1"/>
        <v>30494.896704000003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400</v>
      </c>
      <c r="I25" s="137">
        <f t="shared" si="9"/>
        <v>29056</v>
      </c>
      <c r="J25" s="138"/>
      <c r="K25" s="139">
        <f t="shared" si="9"/>
        <v>1016.9600000000002</v>
      </c>
      <c r="L25" s="140">
        <f t="shared" si="9"/>
        <v>2324.48</v>
      </c>
      <c r="M25" s="141">
        <f t="shared" si="9"/>
        <v>25714.560000000001</v>
      </c>
      <c r="N25" s="142">
        <f>SUM(N16:N24)</f>
        <v>4628.6207999999997</v>
      </c>
      <c r="O25" s="143">
        <f>SUM(O16:O24)</f>
        <v>151.71590400000002</v>
      </c>
      <c r="P25" s="144">
        <f>SUM(P16:P24)</f>
        <v>30494.896704000003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29056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2324.48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1016.9600000000002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25714.560000000001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4628.6207999999997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30343.180800000002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151.71590400000002</v>
      </c>
    </row>
    <row r="35" spans="2:16" ht="15.75" customHeight="1" thickBot="1" x14ac:dyDescent="0.4">
      <c r="N35" s="228" t="s">
        <v>92</v>
      </c>
      <c r="O35" s="229"/>
      <c r="P35" s="160">
        <f>P33+P34</f>
        <v>30494.896704000003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123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121</v>
      </c>
      <c r="B6" s="210"/>
      <c r="C6" s="210"/>
      <c r="F6" s="70"/>
      <c r="G6" s="74"/>
      <c r="K6" s="210" t="s">
        <v>52</v>
      </c>
      <c r="L6" s="210"/>
      <c r="M6" s="210"/>
      <c r="N6" s="212" t="s">
        <v>41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 t="s">
        <v>137</v>
      </c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5811.2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464.89600000000002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203.39200000000002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5142.9120000000003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6068.63616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28" t="s">
        <v>92</v>
      </c>
      <c r="O35" s="229"/>
      <c r="P35" s="160">
        <f>P33+P34</f>
        <v>6098.9793407999996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46221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46220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2026-07-18T04:30:10Z</dcterms:modified>
</cp:coreProperties>
</file>