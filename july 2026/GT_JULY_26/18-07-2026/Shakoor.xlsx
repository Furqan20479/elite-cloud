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09941AB-71B6-4003-BD87-9FF8A10EFF8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6" l="1"/>
  <c r="L18" i="16"/>
  <c r="L19" i="16"/>
  <c r="L20" i="16"/>
  <c r="L21" i="16"/>
  <c r="L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M25" i="26" l="1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0" i="20" l="1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M23" i="22"/>
  <c r="N23" i="22" s="1"/>
  <c r="O23" i="22" s="1"/>
  <c r="L21" i="15"/>
  <c r="K25" i="19"/>
  <c r="P30" i="19" s="1"/>
  <c r="L19" i="15"/>
  <c r="M19" i="18"/>
  <c r="N19" i="18" s="1"/>
  <c r="O19" i="18" s="1"/>
  <c r="K18" i="15"/>
  <c r="L25" i="24"/>
  <c r="P29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7"/>
  <c r="O25" i="17" s="1"/>
  <c r="N25" i="17"/>
  <c r="P32" i="17" s="1"/>
  <c r="P33" i="20" l="1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<sst xmlns="http://schemas.openxmlformats.org/spreadsheetml/2006/main" count="1631" uniqueCount="123">
  <si>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</si>
  <si>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</si>
  <si>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</si>
  <si>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</si>
  <si>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</si>
  <si>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</si>
  <si>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</si>
  <si>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</si>
  <si>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</si>
  <si>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</si>
  <si>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</si>
  <si>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</si>
  <si>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</si>
  <si>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</si>
  <si>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</si>
  <si>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</si>
  <si>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</si>
  <si>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</si>
  <si>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</si>
  <si>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</si>
  <si>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</si>
  <si>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</si>
  <si>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</si>
  <si>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</si>
  <si>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</si>
  <si>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</si>
  <si>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</si>
  <si>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</si>
  <si>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</si>
  <si>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</si>
  <si>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</si>
  <si>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</si>
  <si>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</si>
  <si>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</si>
  <si>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</si>
  <si>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</si>
  <si>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</si>
  <si>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</si>
  <si>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</si>
  <si>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</si>
  <si>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</si>
  <si>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</si>
  <si>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</si>
  <si>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</si>
  <si>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</si>
  <si>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</si>
  <si>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</si>
  <si>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</si>
  <si>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</si>
  <si>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</si>
  <si>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</si>
  <si>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</si>
  <si>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</si>
  <si>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</si>
  <si>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</si>
  <si>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</si>
  <si>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</si>
  <si>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</si>
  <si>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</si>
  <si>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</si>
  <si>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</si>
  <si>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</si>
  <si>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</si>
  <si>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</si>
  <si>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</si>
  <si>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</si>
  <si>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</si>
  <si>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</si>
  <si>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</si>
  <si>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</si>
  <si>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</si>
  <si>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</si>
  <si>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</si>
  <si>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</si>
  <si>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</si>
  <si>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</si>
  <si>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</si>
  <si>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</si>
  <si>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</si>
  <si>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</si>
  <si>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</si>
  <si>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</si>
  <si>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</si>
  <si>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</si>
  <si>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</si>
  <si>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</si>
  <si>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</si>
  <si>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</si>
  <si>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</si>
  <si>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</si>
  <si>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</si>
  <si>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</si>
  <si>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</si>
  <si>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</si>
  <si>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</si>
  <si>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</si>
  <si>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</si>
  <si>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</si>
  <si>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</si>
  <si>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</si>
  <si>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</si>
  <si>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</si>
  <si>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</si>
  <si>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</si>
  <si>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</si>
  <si>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</si>
  <si>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</si>
  <si>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</si>
  <si>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</si>
  <si>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</si>
  <si>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</si>
  <si>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</si>
  <si>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</si>
  <si>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</si>
  <si>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</si>
  <si>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</si>
  <si>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</si>
  <si>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</si>
  <si>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</si>
  <si>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</si>
  <si>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Summary()</t>
  </si>
  <si>
    <t>Vacant</t>
  </si>
  <si>
    <t>Customer Name : Shakoor LMT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</si>
</sst>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S14" sqref="S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8" t="s">
        <v>45</v>
      </c>
      <c r="B2" s="208"/>
      <c r="C2" s="208"/>
    </row>
    <row r="3" spans="1:21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3" t="s">
        <v>121</v>
      </c>
      <c r="B5" s="213"/>
      <c r="C5" s="213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21 16383:16384" ht="15" customHeight="1" x14ac:dyDescent="0.35">
      <c r="A6" s="213"/>
      <c r="B6" s="213"/>
      <c r="C6" s="213"/>
      <c r="F6" s="70"/>
      <c r="G6" s="74"/>
      <c r="K6" s="210" t="s">
        <v>52</v>
      </c>
      <c r="L6" s="210"/>
      <c r="M6" s="210"/>
      <c r="N6" s="212" t="s">
        <v>42</v>
      </c>
      <c r="O6" s="212"/>
      <c r="P6" s="21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1 16383:16384" hidden="1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1 16383:16384" x14ac:dyDescent="0.35">
      <c r="A10" s="215"/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1 16383:16384" ht="15" thickBot="1" x14ac:dyDescent="0.4">
      <c r="A11" s="215"/>
      <c r="B11" s="76"/>
      <c r="C11" s="77"/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1 16383:16384" ht="14.65" customHeight="1" x14ac:dyDescent="0.35">
      <c r="A12" s="215"/>
      <c r="B12" s="76"/>
      <c r="C12" s="77"/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T12" s="224" t="s">
        <v>120</v>
      </c>
      <c r="U12" s="225"/>
      <c r="XFD12" t="s">
        <v>62</v>
      </c>
    </row>
    <row r="13" spans="1:21 16383:16384" ht="15" thickBot="1" x14ac:dyDescent="0.4">
      <c r="A13" s="252"/>
      <c r="J13" s="78"/>
      <c r="K13" s="78"/>
      <c r="L13" s="79">
        <v>0.05</v>
      </c>
      <c r="T13" s="226"/>
      <c r="U13" s="227"/>
      <c r="XFD13" t="s">
        <v>63</v>
      </c>
    </row>
    <row r="14" spans="1:21 16383:16384" ht="29.25" customHeight="1" x14ac:dyDescent="0.6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18" t="s">
        <v>68</v>
      </c>
      <c r="H14" s="219"/>
      <c r="I14" s="219" t="s">
        <v>69</v>
      </c>
      <c r="J14" s="219" t="s">
        <v>70</v>
      </c>
      <c r="K14" s="219"/>
      <c r="L14" s="221"/>
      <c r="M14" s="22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Shakoor LMT</v>
      </c>
      <c r="U14" s="164">
        <f>+'1'!P35</f>
        <v>2842.744608</v>
      </c>
      <c r="XFD14" t="s">
        <v>75</v>
      </c>
    </row>
    <row r="15" spans="1:21 16383:16384" ht="29.25" customHeight="1" thickBot="1" x14ac:dyDescent="0.65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0"/>
      <c r="J15" s="170" t="s">
        <v>78</v>
      </c>
      <c r="K15" s="170" t="s">
        <v>79</v>
      </c>
      <c r="L15" s="173" t="s">
        <v>80</v>
      </c>
      <c r="M15" s="22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50.848000000000006</v>
      </c>
      <c r="L19" s="174">
        <f>+'1'!L19+'2'!L19+'4'!L19+'3'!L19+'5'!L19+'6'!L19+'7'!L19+'8'!L19+'9'!L19+'10'!L19</f>
        <v>203.39200000000002</v>
      </c>
      <c r="M19" s="118">
        <f t="shared" si="2"/>
        <v>1198.56</v>
      </c>
      <c r="N19" s="101">
        <f>+'1'!N19+'2'!N19+'4'!N19+'3'!N19+'5'!N19+'6'!N19+'7'!N19+'8'!N19+'9'!N19+'10'!N19</f>
        <v>215.74079999999998</v>
      </c>
      <c r="O19" s="101">
        <f>+'1'!O19+'2'!O19+'4'!O19+'3'!O19+'5'!O19+'6'!O19+'7'!O19+'8'!O19+'9'!O19+'10'!O19</f>
        <v>7.071504</v>
      </c>
      <c r="P19" s="120">
        <f t="shared" si="0"/>
        <v>1421.372304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20</v>
      </c>
      <c r="I21" s="1">
        <f t="shared" si="1"/>
        <v>1452.8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50.848000000000006</v>
      </c>
      <c r="L21" s="174">
        <f>+'1'!L21+'2'!L21+'4'!L21+'3'!L21+'5'!L21+'6'!L21+'7'!L21+'8'!L21+'9'!L21+'10'!L21</f>
        <v>203.39200000000002</v>
      </c>
      <c r="M21" s="118">
        <f t="shared" si="2"/>
        <v>1198.56</v>
      </c>
      <c r="N21" s="101">
        <f>+'1'!N21+'2'!N21+'4'!N21+'3'!N21+'5'!N21+'6'!N21+'7'!N21+'8'!N21+'9'!N21+'10'!N21</f>
        <v>215.74079999999998</v>
      </c>
      <c r="O21" s="101">
        <f>+'1'!O21+'2'!O21+'4'!O21+'3'!O21+'5'!O21+'6'!O21+'7'!O21+'8'!O21+'9'!O21+'10'!O21</f>
        <v>7.071504</v>
      </c>
      <c r="P21" s="120">
        <f t="shared" si="0"/>
        <v>1421.372304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4" t="s">
        <v>84</v>
      </c>
      <c r="B25" s="235"/>
      <c r="C25" s="236">
        <f>H25/40</f>
        <v>1</v>
      </c>
      <c r="D25" s="230"/>
      <c r="E25" s="230"/>
      <c r="F25" s="230"/>
      <c r="G25" s="175">
        <f t="shared" ref="G25:M25" si="3">SUM(G16:G24)</f>
        <v>0</v>
      </c>
      <c r="H25" s="176">
        <f t="shared" si="3"/>
        <v>40</v>
      </c>
      <c r="I25" s="177">
        <f t="shared" si="3"/>
        <v>2905.6</v>
      </c>
      <c r="J25" s="176">
        <f t="shared" si="3"/>
        <v>0</v>
      </c>
      <c r="K25" s="177">
        <f t="shared" si="3"/>
        <v>101.69600000000001</v>
      </c>
      <c r="L25" s="178">
        <f t="shared" si="3"/>
        <v>406.78400000000005</v>
      </c>
      <c r="M25" s="141">
        <f t="shared" si="3"/>
        <v>2397.12</v>
      </c>
      <c r="N25" s="142">
        <f>SUM(N16:N24)</f>
        <v>431.48159999999996</v>
      </c>
      <c r="O25" s="143">
        <f>SUM(O16:O24)</f>
        <v>14.143008</v>
      </c>
      <c r="P25" s="144">
        <f>SUM(P16:P24)</f>
        <v>2842.744608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2842.744608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7" t="s">
        <v>85</v>
      </c>
      <c r="C36" s="238"/>
      <c r="D36" s="238"/>
      <c r="E36" s="238"/>
      <c r="F36" s="238"/>
      <c r="G36" s="238"/>
      <c r="H36" s="238"/>
      <c r="I36" s="238"/>
      <c r="J36" s="238"/>
      <c r="K36" s="238"/>
      <c r="L36" s="239"/>
      <c r="N36" s="246" t="s">
        <v>86</v>
      </c>
      <c r="O36" s="247"/>
      <c r="P36" s="152">
        <f>I25</f>
        <v>2905.6</v>
      </c>
    </row>
    <row r="37" spans="1:21" ht="15" customHeight="1" x14ac:dyDescent="0.35"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2"/>
      <c r="N37" s="248" t="s">
        <v>87</v>
      </c>
      <c r="O37" s="249"/>
      <c r="P37" s="153">
        <f>L25</f>
        <v>406.78400000000005</v>
      </c>
    </row>
    <row r="38" spans="1:21" ht="15" customHeight="1" x14ac:dyDescent="0.35">
      <c r="B38" s="240"/>
      <c r="C38" s="241"/>
      <c r="D38" s="241"/>
      <c r="E38" s="241"/>
      <c r="F38" s="241"/>
      <c r="G38" s="241"/>
      <c r="H38" s="241"/>
      <c r="I38" s="241"/>
      <c r="J38" s="241"/>
      <c r="K38" s="241"/>
      <c r="L38" s="242"/>
      <c r="N38" s="248" t="s">
        <v>4</v>
      </c>
      <c r="O38" s="249"/>
      <c r="P38" s="154">
        <f>K25</f>
        <v>101.69600000000001</v>
      </c>
    </row>
    <row r="39" spans="1:21" ht="15" customHeight="1" x14ac:dyDescent="0.35">
      <c r="B39" s="240"/>
      <c r="C39" s="241"/>
      <c r="D39" s="241"/>
      <c r="E39" s="241"/>
      <c r="F39" s="241"/>
      <c r="G39" s="241"/>
      <c r="H39" s="241"/>
      <c r="I39" s="241"/>
      <c r="J39" s="241"/>
      <c r="K39" s="241"/>
      <c r="L39" s="242"/>
      <c r="M39" s="2"/>
      <c r="N39" s="248" t="s">
        <v>88</v>
      </c>
      <c r="O39" s="249"/>
      <c r="P39" s="153">
        <f>P36-P37-P38</f>
        <v>2397.12</v>
      </c>
    </row>
    <row r="40" spans="1:21" ht="15" customHeight="1" x14ac:dyDescent="0.35">
      <c r="B40" s="240"/>
      <c r="C40" s="241"/>
      <c r="D40" s="241"/>
      <c r="E40" s="241"/>
      <c r="F40" s="241"/>
      <c r="G40" s="241"/>
      <c r="H40" s="241"/>
      <c r="I40" s="241"/>
      <c r="J40" s="241"/>
      <c r="K40" s="241"/>
      <c r="L40" s="242"/>
      <c r="M40" s="2"/>
      <c r="N40" s="155" t="s">
        <v>89</v>
      </c>
      <c r="O40" s="156">
        <f>IF(B12="Registered",18%,22%)</f>
        <v>0.22</v>
      </c>
      <c r="P40" s="153">
        <f>N25</f>
        <v>431.48159999999996</v>
      </c>
    </row>
    <row r="41" spans="1:21" ht="15" customHeight="1" x14ac:dyDescent="0.35">
      <c r="B41" s="240"/>
      <c r="C41" s="241"/>
      <c r="D41" s="241"/>
      <c r="E41" s="241"/>
      <c r="F41" s="241"/>
      <c r="G41" s="241"/>
      <c r="H41" s="241"/>
      <c r="I41" s="241"/>
      <c r="J41" s="241"/>
      <c r="K41" s="241"/>
      <c r="L41" s="242"/>
      <c r="M41" s="2"/>
      <c r="N41" s="250" t="s">
        <v>90</v>
      </c>
      <c r="O41" s="251"/>
      <c r="P41" s="153">
        <f>P39+P40</f>
        <v>2828.6016</v>
      </c>
    </row>
    <row r="42" spans="1:21" ht="15" customHeight="1" thickBot="1" x14ac:dyDescent="0.4">
      <c r="B42" s="243"/>
      <c r="C42" s="244"/>
      <c r="D42" s="244"/>
      <c r="E42" s="244"/>
      <c r="F42" s="244"/>
      <c r="G42" s="244"/>
      <c r="H42" s="244"/>
      <c r="I42" s="244"/>
      <c r="J42" s="244"/>
      <c r="K42" s="244"/>
      <c r="L42" s="245"/>
      <c r="M42" s="157"/>
      <c r="N42" s="158" t="s">
        <v>91</v>
      </c>
      <c r="O42" s="159">
        <f>IF(B11="Filer",0.5%,2.5%)</f>
        <v>2.5000000000000001E-2</v>
      </c>
      <c r="P42" s="153">
        <f>O42*P41</f>
        <v>70.715040000000002</v>
      </c>
    </row>
    <row r="43" spans="1:21" ht="15.75" customHeight="1" thickBot="1" x14ac:dyDescent="0.4">
      <c r="N43" s="228" t="s">
        <v>92</v>
      </c>
      <c r="O43" s="229"/>
      <c r="P43" s="160">
        <f>P41+P42</f>
        <v>2899.31664</v>
      </c>
    </row>
    <row r="44" spans="1:21" ht="15" thickBot="1" x14ac:dyDescent="0.4">
      <c r="B44" s="161" t="s">
        <v>93</v>
      </c>
      <c r="C44" s="230"/>
      <c r="D44" s="230"/>
      <c r="E44" s="230"/>
      <c r="F44" s="230"/>
      <c r="G44" s="230"/>
      <c r="H44" s="230"/>
      <c r="I44" s="231"/>
      <c r="J44" s="232"/>
      <c r="K44" s="233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8" t="s">
        <v>45</v>
      </c>
      <c r="B2" s="208"/>
      <c r="C2" s="208"/>
    </row>
    <row r="3" spans="1:26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5" t="s">
        <v>122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26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101</v>
      </c>
      <c r="O6" s="212"/>
      <c r="P6" s="21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26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26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26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26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26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S14" s="262" t="s">
        <v>117</v>
      </c>
      <c r="T14" s="262"/>
      <c r="U14" s="262"/>
      <c r="V14" s="262"/>
      <c r="W14" s="263" t="s">
        <v>119</v>
      </c>
      <c r="X14" s="263"/>
      <c r="Y14" s="263"/>
      <c r="Z14" s="263"/>
      <c r="XFD14" t="s">
        <v>75</v>
      </c>
    </row>
    <row r="15" spans="1:26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266">
        <v>0.14000000000000001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I16*14%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I17*14%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203.39200000000002</v>
      </c>
      <c r="M19" s="118">
        <f t="shared" si="6"/>
        <v>1198.56</v>
      </c>
      <c r="N19" s="118">
        <f t="shared" si="0"/>
        <v>215.74079999999998</v>
      </c>
      <c r="O19" s="119">
        <f t="shared" si="1"/>
        <v>7.071504</v>
      </c>
      <c r="P19" s="120">
        <f t="shared" si="2"/>
        <v>1421.372304</v>
      </c>
      <c r="S19" s="264" t="s">
        <v>118</v>
      </c>
      <c r="T19" s="264"/>
      <c r="U19" s="264"/>
      <c r="V19" s="264"/>
      <c r="W19" s="265" t="s">
        <v>116</v>
      </c>
      <c r="X19" s="265"/>
      <c r="Y19" s="265"/>
      <c r="Z19" s="265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203.39200000000002</v>
      </c>
      <c r="M21" s="118">
        <f t="shared" si="6"/>
        <v>1198.56</v>
      </c>
      <c r="N21" s="118">
        <f t="shared" si="0"/>
        <v>215.74079999999998</v>
      </c>
      <c r="O21" s="119">
        <f t="shared" si="1"/>
        <v>7.071504</v>
      </c>
      <c r="P21" s="120">
        <f t="shared" si="2"/>
        <v>1421.372304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13">SUM(G16:G24)</f>
        <v>0</v>
      </c>
      <c r="H25" s="136">
        <f t="shared" si="13"/>
        <v>40</v>
      </c>
      <c r="I25" s="137">
        <f t="shared" si="13"/>
        <v>2905.6</v>
      </c>
      <c r="J25" s="138"/>
      <c r="K25" s="139">
        <f t="shared" si="13"/>
        <v>101.69600000000001</v>
      </c>
      <c r="L25" s="140">
        <f t="shared" si="13"/>
        <v>406.78400000000005</v>
      </c>
      <c r="M25" s="141">
        <f t="shared" si="13"/>
        <v>2397.12</v>
      </c>
      <c r="N25" s="142">
        <f>SUM(N16:N24)</f>
        <v>431.48159999999996</v>
      </c>
      <c r="O25" s="143">
        <f>SUM(O16:O24)</f>
        <v>14.143008</v>
      </c>
      <c r="P25" s="144">
        <f>SUM(P16:P24)</f>
        <v>2842.744608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2905.6</v>
      </c>
    </row>
    <row r="29" spans="1:26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406.78400000000005</v>
      </c>
    </row>
    <row r="30" spans="1:26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101.69600000000001</v>
      </c>
    </row>
    <row r="31" spans="1:26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2397.12</v>
      </c>
    </row>
    <row r="32" spans="1:26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431.48159999999996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2828.6016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14.143008</v>
      </c>
    </row>
    <row r="35" spans="2:16" ht="15.75" customHeight="1" thickBot="1" x14ac:dyDescent="0.4">
      <c r="N35" s="228" t="s">
        <v>92</v>
      </c>
      <c r="O35" s="229"/>
      <c r="P35" s="160">
        <f>P33+P34</f>
        <v>2842.744608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2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4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168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3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5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6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7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8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9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8" thickBot="1" x14ac:dyDescent="0.4">
      <c r="A13" s="252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ht="17.5" x14ac:dyDescent="0.35">
      <c r="A10" s="215" t="s">
        <v>95</v>
      </c>
      <c r="B10" s="191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48</v>
      </c>
      <c r="C11" s="77" t="str">
        <f>IF($O34&gt;2.49%,"No","Yes")</f>
        <v>Yes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98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8" t="s">
        <v>45</v>
      </c>
      <c r="B2" s="208"/>
      <c r="C2" s="208"/>
    </row>
    <row r="3" spans="1:19 16383:16384" ht="15" customHeight="1" x14ac:dyDescent="0.35">
      <c r="A3" s="209" t="s">
        <v>46</v>
      </c>
      <c r="B3" s="209"/>
      <c r="C3" s="209"/>
      <c r="F3" s="70"/>
      <c r="G3" s="71"/>
      <c r="K3" s="210" t="s">
        <v>47</v>
      </c>
      <c r="L3" s="210"/>
      <c r="M3" s="210"/>
      <c r="N3" s="209">
        <v>10</v>
      </c>
      <c r="O3" s="209"/>
      <c r="P3" s="20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9" t="s">
        <v>94</v>
      </c>
      <c r="B4" s="209"/>
      <c r="C4" s="209"/>
      <c r="F4" s="70"/>
      <c r="G4" s="71"/>
      <c r="K4" s="210" t="s">
        <v>49</v>
      </c>
      <c r="L4" s="210"/>
      <c r="M4" s="210"/>
      <c r="N4" s="211">
        <f ca="1">TODAY()</f>
        <v>46223</v>
      </c>
      <c r="O4" s="211"/>
      <c r="P4" s="21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5" t="s">
        <v>102</v>
      </c>
      <c r="B5" s="255"/>
      <c r="C5" s="255"/>
      <c r="F5" s="70"/>
      <c r="G5" s="71"/>
      <c r="K5" s="210" t="s">
        <v>51</v>
      </c>
      <c r="L5" s="210"/>
      <c r="M5" s="210"/>
      <c r="N5" s="211">
        <f ca="1">N4-1</f>
        <v>46222</v>
      </c>
      <c r="O5" s="209"/>
      <c r="P5" s="209"/>
      <c r="R5" s="70"/>
      <c r="S5" s="71"/>
    </row>
    <row r="6" spans="1:19 16383:16384" ht="15" customHeight="1" x14ac:dyDescent="0.35">
      <c r="A6" s="210" t="s">
        <v>103</v>
      </c>
      <c r="B6" s="210"/>
      <c r="C6" s="210"/>
      <c r="F6" s="70"/>
      <c r="G6" s="74"/>
      <c r="K6" s="210" t="s">
        <v>52</v>
      </c>
      <c r="L6" s="210"/>
      <c r="M6" s="210"/>
      <c r="N6" s="212" t="s">
        <v>97</v>
      </c>
      <c r="O6" s="212"/>
      <c r="P6" s="21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0"/>
      <c r="B7" s="210"/>
      <c r="C7" s="210"/>
      <c r="F7" s="70"/>
      <c r="G7" s="74"/>
      <c r="K7" s="210"/>
      <c r="L7" s="210"/>
      <c r="M7" s="210"/>
      <c r="N7" s="212"/>
      <c r="O7" s="212"/>
      <c r="P7" s="21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4"/>
      <c r="B8" s="214"/>
      <c r="C8" s="214"/>
      <c r="F8" s="70"/>
      <c r="G8" s="74"/>
      <c r="K8" s="210"/>
      <c r="L8" s="210"/>
      <c r="M8" s="210"/>
      <c r="N8" s="212"/>
      <c r="O8" s="212"/>
      <c r="P8" s="212"/>
      <c r="R8" s="70"/>
      <c r="S8" s="74"/>
    </row>
    <row r="9" spans="1:19 16383:16384" x14ac:dyDescent="0.35">
      <c r="A9" s="214"/>
      <c r="B9" s="214"/>
      <c r="C9" s="214"/>
      <c r="F9" s="70"/>
      <c r="G9" s="74"/>
      <c r="K9" s="210"/>
      <c r="L9" s="210"/>
      <c r="M9" s="210"/>
      <c r="N9" s="212"/>
      <c r="O9" s="212"/>
      <c r="P9" s="212"/>
      <c r="R9" s="70"/>
      <c r="S9" s="74"/>
      <c r="XFD9" t="s">
        <v>55</v>
      </c>
    </row>
    <row r="10" spans="1:19 16383:16384" x14ac:dyDescent="0.35">
      <c r="A10" s="215" t="s">
        <v>95</v>
      </c>
      <c r="B10" s="75"/>
      <c r="C10" s="75"/>
      <c r="F10" s="70"/>
      <c r="G10" s="71"/>
      <c r="K10" s="210" t="s">
        <v>56</v>
      </c>
      <c r="L10" s="210"/>
      <c r="M10" s="210"/>
      <c r="N10" s="209" t="s">
        <v>57</v>
      </c>
      <c r="O10" s="209"/>
      <c r="P10" s="209"/>
      <c r="R10" s="70"/>
      <c r="S10" s="71"/>
      <c r="XFD10" t="s">
        <v>58</v>
      </c>
    </row>
    <row r="11" spans="1:19 16383:16384" x14ac:dyDescent="0.35">
      <c r="A11" s="215"/>
      <c r="B11" s="76" t="s">
        <v>50</v>
      </c>
      <c r="C11" s="77" t="str">
        <f>IF($O34&gt;2.49%,"No","Yes")</f>
        <v>No</v>
      </c>
      <c r="F11" s="70"/>
      <c r="G11" s="71"/>
      <c r="K11" s="210" t="s">
        <v>59</v>
      </c>
      <c r="L11" s="210"/>
      <c r="M11" s="210"/>
      <c r="N11" s="209" t="s">
        <v>55</v>
      </c>
      <c r="O11" s="209"/>
      <c r="P11" s="209"/>
      <c r="R11" s="70"/>
      <c r="S11" s="71"/>
    </row>
    <row r="12" spans="1:19 16383:16384" ht="14.65" customHeight="1" x14ac:dyDescent="0.35">
      <c r="A12" s="215" t="s">
        <v>60</v>
      </c>
      <c r="B12" s="76" t="s">
        <v>54</v>
      </c>
      <c r="C12" s="77" t="str">
        <f>IF($O32&gt;21.99%,"No","Yes")</f>
        <v>No</v>
      </c>
      <c r="F12" s="70"/>
      <c r="G12" s="71"/>
      <c r="K12" s="210" t="s">
        <v>61</v>
      </c>
      <c r="L12" s="210"/>
      <c r="M12" s="210"/>
      <c r="N12" s="209"/>
      <c r="O12" s="209"/>
      <c r="P12" s="209"/>
      <c r="R12" s="70"/>
      <c r="S12" s="71"/>
      <c r="XFD12" t="s">
        <v>62</v>
      </c>
    </row>
    <row r="13" spans="1:19 16383:16384" ht="15" thickBot="1" x14ac:dyDescent="0.4">
      <c r="A13" s="25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3" t="s">
        <v>64</v>
      </c>
      <c r="B14" s="222"/>
      <c r="C14" s="216" t="s">
        <v>65</v>
      </c>
      <c r="D14" s="80" t="s">
        <v>2</v>
      </c>
      <c r="E14" s="81" t="s">
        <v>66</v>
      </c>
      <c r="F14" s="82" t="s">
        <v>67</v>
      </c>
      <c r="G14" s="256" t="s">
        <v>68</v>
      </c>
      <c r="H14" s="257"/>
      <c r="I14" s="258" t="s">
        <v>69</v>
      </c>
      <c r="J14" s="256" t="s">
        <v>70</v>
      </c>
      <c r="K14" s="260"/>
      <c r="L14" s="257"/>
      <c r="M14" s="25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4"/>
      <c r="B15" s="223"/>
      <c r="C15" s="21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9"/>
      <c r="J15" s="88" t="s">
        <v>78</v>
      </c>
      <c r="K15" s="90" t="s">
        <v>79</v>
      </c>
      <c r="L15" s="91" t="s">
        <v>80</v>
      </c>
      <c r="M15" s="259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4" t="s">
        <v>84</v>
      </c>
      <c r="B25" s="235"/>
      <c r="C25" s="236"/>
      <c r="D25" s="230"/>
      <c r="E25" s="230"/>
      <c r="F25" s="261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7" t="s">
        <v>85</v>
      </c>
      <c r="C28" s="238"/>
      <c r="D28" s="238"/>
      <c r="E28" s="238"/>
      <c r="F28" s="238"/>
      <c r="G28" s="238"/>
      <c r="H28" s="238"/>
      <c r="I28" s="238"/>
      <c r="J28" s="238"/>
      <c r="K28" s="238"/>
      <c r="L28" s="239"/>
      <c r="N28" s="246" t="s">
        <v>86</v>
      </c>
      <c r="O28" s="247"/>
      <c r="P28" s="152">
        <f>I25</f>
        <v>0</v>
      </c>
    </row>
    <row r="29" spans="1:19 16384:16384" ht="15" customHeight="1" x14ac:dyDescent="0.35">
      <c r="B29" s="240"/>
      <c r="C29" s="241"/>
      <c r="D29" s="241"/>
      <c r="E29" s="241"/>
      <c r="F29" s="241"/>
      <c r="G29" s="241"/>
      <c r="H29" s="241"/>
      <c r="I29" s="241"/>
      <c r="J29" s="241"/>
      <c r="K29" s="241"/>
      <c r="L29" s="242"/>
      <c r="N29" s="248" t="s">
        <v>87</v>
      </c>
      <c r="O29" s="249"/>
      <c r="P29" s="153">
        <f>L25</f>
        <v>0</v>
      </c>
    </row>
    <row r="30" spans="1:19 16384:16384" ht="15" customHeight="1" x14ac:dyDescent="0.35">
      <c r="B30" s="240"/>
      <c r="C30" s="241"/>
      <c r="D30" s="241"/>
      <c r="E30" s="241"/>
      <c r="F30" s="241"/>
      <c r="G30" s="241"/>
      <c r="H30" s="241"/>
      <c r="I30" s="241"/>
      <c r="J30" s="241"/>
      <c r="K30" s="241"/>
      <c r="L30" s="242"/>
      <c r="N30" s="248" t="s">
        <v>4</v>
      </c>
      <c r="O30" s="249"/>
      <c r="P30" s="154">
        <f>K25</f>
        <v>0</v>
      </c>
    </row>
    <row r="31" spans="1:19 16384:16384" ht="15" customHeight="1" x14ac:dyDescent="0.35">
      <c r="B31" s="240"/>
      <c r="C31" s="241"/>
      <c r="D31" s="241"/>
      <c r="E31" s="241"/>
      <c r="F31" s="241"/>
      <c r="G31" s="241"/>
      <c r="H31" s="241"/>
      <c r="I31" s="241"/>
      <c r="J31" s="241"/>
      <c r="K31" s="241"/>
      <c r="L31" s="242"/>
      <c r="M31" s="2"/>
      <c r="N31" s="248" t="s">
        <v>88</v>
      </c>
      <c r="O31" s="249"/>
      <c r="P31" s="153">
        <f>P28-P29-P30</f>
        <v>0</v>
      </c>
    </row>
    <row r="32" spans="1:19 16384:16384" ht="15" customHeight="1" x14ac:dyDescent="0.35">
      <c r="B32" s="240"/>
      <c r="C32" s="241"/>
      <c r="D32" s="241"/>
      <c r="E32" s="241"/>
      <c r="F32" s="241"/>
      <c r="G32" s="241"/>
      <c r="H32" s="241"/>
      <c r="I32" s="241"/>
      <c r="J32" s="241"/>
      <c r="K32" s="241"/>
      <c r="L32" s="242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0"/>
      <c r="C33" s="241"/>
      <c r="D33" s="241"/>
      <c r="E33" s="241"/>
      <c r="F33" s="241"/>
      <c r="G33" s="241"/>
      <c r="H33" s="241"/>
      <c r="I33" s="241"/>
      <c r="J33" s="241"/>
      <c r="K33" s="241"/>
      <c r="L33" s="242"/>
      <c r="M33" s="2"/>
      <c r="N33" s="250" t="s">
        <v>90</v>
      </c>
      <c r="O33" s="251"/>
      <c r="P33" s="153">
        <f>P31+P32</f>
        <v>0</v>
      </c>
    </row>
    <row r="34" spans="2:16" ht="15" customHeight="1" thickBot="1" x14ac:dyDescent="0.4">
      <c r="B34" s="243"/>
      <c r="C34" s="244"/>
      <c r="D34" s="244"/>
      <c r="E34" s="244"/>
      <c r="F34" s="244"/>
      <c r="G34" s="244"/>
      <c r="H34" s="244"/>
      <c r="I34" s="244"/>
      <c r="J34" s="244"/>
      <c r="K34" s="244"/>
      <c r="L34" s="245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8" t="s">
        <v>92</v>
      </c>
      <c r="O35" s="229"/>
      <c r="P35" s="160">
        <f>P33+P34</f>
        <v>0</v>
      </c>
    </row>
    <row r="36" spans="2:16" ht="15" thickBot="1" x14ac:dyDescent="0.4">
      <c r="B36" s="161" t="s">
        <v>93</v>
      </c>
      <c r="C36" s="230"/>
      <c r="D36" s="230"/>
      <c r="E36" s="230"/>
      <c r="F36" s="230"/>
      <c r="G36" s="230"/>
      <c r="H36" s="230"/>
      <c r="I36" s="231"/>
      <c r="J36" s="232"/>
      <c r="K36" s="23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2026-07-20T06:11:53Z</dcterms:modified>
</cp:coreProperties>
</file>