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3255EC0F-B59C-4516-B125-BD3D58D2E379}" xr6:coauthVersionLast="47" xr6:coauthVersionMax="47" xr10:uidLastSave="{00000000-0000-0000-0000-000000000000}"/>
  <bookViews>
    <workbookView xWindow="-110" yWindow="-110" windowWidth="19420" windowHeight="10420" tabRatio="949" activeTab="4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K21" i="35" s="1"/>
  <c r="B21" i="35"/>
  <c r="C21" i="35" s="1"/>
  <c r="F20" i="35"/>
  <c r="E20" i="35"/>
  <c r="D20" i="35"/>
  <c r="I20" i="35" s="1"/>
  <c r="K20" i="35" s="1"/>
  <c r="B20" i="35"/>
  <c r="C20" i="35" s="1"/>
  <c r="F19" i="35"/>
  <c r="E19" i="35"/>
  <c r="D19" i="35"/>
  <c r="I19" i="35" s="1"/>
  <c r="K19" i="35" s="1"/>
  <c r="B19" i="35"/>
  <c r="C19" i="35" s="1"/>
  <c r="F18" i="35"/>
  <c r="E18" i="35"/>
  <c r="D18" i="35"/>
  <c r="I18" i="35" s="1"/>
  <c r="K18" i="35" s="1"/>
  <c r="B18" i="35"/>
  <c r="C18" i="35" s="1"/>
  <c r="F17" i="35"/>
  <c r="E17" i="35"/>
  <c r="D17" i="35"/>
  <c r="I17" i="35" s="1"/>
  <c r="K17" i="35" s="1"/>
  <c r="B17" i="35"/>
  <c r="C17" i="35" s="1"/>
  <c r="F16" i="35"/>
  <c r="E16" i="35"/>
  <c r="D16" i="35"/>
  <c r="I16" i="35" s="1"/>
  <c r="K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K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K16" i="28" s="1"/>
  <c r="I17" i="28"/>
  <c r="K17" i="28" s="1"/>
  <c r="I18" i="28"/>
  <c r="K18" i="28" s="1"/>
  <c r="I19" i="28"/>
  <c r="K19" i="28" s="1"/>
  <c r="I20" i="28"/>
  <c r="K20" i="28" s="1"/>
  <c r="I21" i="28"/>
  <c r="K21" i="28" s="1"/>
  <c r="I22" i="28"/>
  <c r="I23" i="28"/>
  <c r="L23" i="28" s="1"/>
  <c r="I24" i="28"/>
  <c r="I22" i="32"/>
  <c r="I18" i="33"/>
  <c r="K18" i="33" s="1"/>
  <c r="I20" i="33"/>
  <c r="K20" i="33" s="1"/>
  <c r="I16" i="30"/>
  <c r="K16" i="30" s="1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I23" i="30"/>
  <c r="K23" i="30" s="1"/>
  <c r="M23" i="30" s="1"/>
  <c r="I24" i="30"/>
  <c r="I16" i="32"/>
  <c r="K16" i="32" s="1"/>
  <c r="I17" i="32"/>
  <c r="K17" i="32" s="1"/>
  <c r="I18" i="32"/>
  <c r="K18" i="32" s="1"/>
  <c r="I19" i="32"/>
  <c r="K19" i="32" s="1"/>
  <c r="I20" i="32"/>
  <c r="K20" i="32" s="1"/>
  <c r="I21" i="32"/>
  <c r="K21" i="32" s="1"/>
  <c r="I16" i="33"/>
  <c r="I16" i="31"/>
  <c r="K16" i="31" s="1"/>
  <c r="I17" i="31"/>
  <c r="K17" i="31" s="1"/>
  <c r="I18" i="31"/>
  <c r="I19" i="31"/>
  <c r="K19" i="31" s="1"/>
  <c r="I20" i="31"/>
  <c r="K20" i="31" s="1"/>
  <c r="I21" i="31"/>
  <c r="K21" i="31" s="1"/>
  <c r="I22" i="31"/>
  <c r="I23" i="31"/>
  <c r="K23" i="31" s="1"/>
  <c r="I24" i="31"/>
  <c r="I23" i="32"/>
  <c r="I22" i="33"/>
  <c r="I16" i="34"/>
  <c r="K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I23" i="34"/>
  <c r="I24" i="34"/>
  <c r="L24" i="34" s="1"/>
  <c r="I16" i="29"/>
  <c r="K16" i="29" s="1"/>
  <c r="I17" i="29"/>
  <c r="K17" i="29" s="1"/>
  <c r="I18" i="29"/>
  <c r="K18" i="29" s="1"/>
  <c r="I19" i="29"/>
  <c r="K19" i="29" s="1"/>
  <c r="I20" i="29"/>
  <c r="K20" i="29" s="1"/>
  <c r="I21" i="29"/>
  <c r="K21" i="29" s="1"/>
  <c r="I22" i="29"/>
  <c r="I23" i="29"/>
  <c r="L23" i="29" s="1"/>
  <c r="I24" i="29"/>
  <c r="I24" i="32"/>
  <c r="I19" i="33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K23" i="34"/>
  <c r="L21" i="33"/>
  <c r="K24" i="33"/>
  <c r="L24" i="33"/>
  <c r="M17" i="33"/>
  <c r="K24" i="32"/>
  <c r="L24" i="32"/>
  <c r="L17" i="32"/>
  <c r="L21" i="32"/>
  <c r="K23" i="32"/>
  <c r="L23" i="32"/>
  <c r="M23" i="32" s="1"/>
  <c r="K24" i="31"/>
  <c r="L24" i="31"/>
  <c r="L16" i="31"/>
  <c r="L23" i="31"/>
  <c r="L23" i="30"/>
  <c r="L16" i="30"/>
  <c r="K24" i="30"/>
  <c r="L24" i="30"/>
  <c r="L16" i="29"/>
  <c r="K24" i="29"/>
  <c r="M24" i="29" s="1"/>
  <c r="L24" i="29"/>
  <c r="L19" i="28"/>
  <c r="L20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K20" i="27" s="1"/>
  <c r="B20" i="27"/>
  <c r="C20" i="27" s="1"/>
  <c r="F19" i="27"/>
  <c r="E19" i="27"/>
  <c r="D19" i="27"/>
  <c r="I19" i="27" s="1"/>
  <c r="K19" i="27" s="1"/>
  <c r="B19" i="27"/>
  <c r="C19" i="27" s="1"/>
  <c r="F18" i="27"/>
  <c r="E18" i="27"/>
  <c r="D18" i="27"/>
  <c r="I18" i="27" s="1"/>
  <c r="K18" i="27" s="1"/>
  <c r="B18" i="27"/>
  <c r="C18" i="27" s="1"/>
  <c r="F17" i="27"/>
  <c r="E17" i="27"/>
  <c r="D17" i="27"/>
  <c r="I17" i="27" s="1"/>
  <c r="K17" i="27" s="1"/>
  <c r="B17" i="27"/>
  <c r="C17" i="27" s="1"/>
  <c r="F16" i="27"/>
  <c r="E16" i="27"/>
  <c r="D16" i="27"/>
  <c r="I16" i="27" s="1"/>
  <c r="K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L21" i="28" l="1"/>
  <c r="L21" i="30"/>
  <c r="M21" i="30" s="1"/>
  <c r="L21" i="34"/>
  <c r="L20" i="33"/>
  <c r="M20" i="33" s="1"/>
  <c r="N20" i="33" s="1"/>
  <c r="O20" i="33" s="1"/>
  <c r="L19" i="33"/>
  <c r="K19" i="33"/>
  <c r="L18" i="34"/>
  <c r="L18" i="31"/>
  <c r="K18" i="31"/>
  <c r="L17" i="30"/>
  <c r="M17" i="30" s="1"/>
  <c r="N17" i="30" s="1"/>
  <c r="O17" i="30" s="1"/>
  <c r="L17" i="31"/>
  <c r="M17" i="31" s="1"/>
  <c r="N17" i="31" s="1"/>
  <c r="O17" i="31" s="1"/>
  <c r="L17" i="29"/>
  <c r="L16" i="33"/>
  <c r="K16" i="33"/>
  <c r="L16" i="32"/>
  <c r="I25" i="32"/>
  <c r="P28" i="32" s="1"/>
  <c r="L20" i="32"/>
  <c r="M20" i="32" s="1"/>
  <c r="N20" i="32" s="1"/>
  <c r="O20" i="32" s="1"/>
  <c r="L19" i="32"/>
  <c r="M19" i="32" s="1"/>
  <c r="N19" i="32" s="1"/>
  <c r="O19" i="32" s="1"/>
  <c r="L20" i="31"/>
  <c r="L21" i="31"/>
  <c r="M21" i="31" s="1"/>
  <c r="N21" i="31" s="1"/>
  <c r="O21" i="31" s="1"/>
  <c r="L20" i="30"/>
  <c r="L21" i="29"/>
  <c r="L20" i="29"/>
  <c r="L17" i="28"/>
  <c r="M17" i="28" s="1"/>
  <c r="L16" i="28"/>
  <c r="I25" i="28"/>
  <c r="P28" i="28" s="1"/>
  <c r="M22" i="35"/>
  <c r="K22" i="34"/>
  <c r="L22" i="34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K22" i="30"/>
  <c r="L22" i="30"/>
  <c r="K22" i="28"/>
  <c r="K25" i="28" s="1"/>
  <c r="P30" i="28" s="1"/>
  <c r="L22" i="28"/>
  <c r="K23" i="28"/>
  <c r="M23" i="28" s="1"/>
  <c r="K23" i="29"/>
  <c r="L19" i="30"/>
  <c r="M19" i="30" s="1"/>
  <c r="N19" i="30" s="1"/>
  <c r="O19" i="30" s="1"/>
  <c r="P19" i="30" s="1"/>
  <c r="L19" i="31"/>
  <c r="K24" i="34"/>
  <c r="M24" i="34" s="1"/>
  <c r="L20" i="34"/>
  <c r="M20" i="34" s="1"/>
  <c r="N20" i="34" s="1"/>
  <c r="O20" i="34" s="1"/>
  <c r="M21" i="35"/>
  <c r="I25" i="34"/>
  <c r="P28" i="34" s="1"/>
  <c r="M24" i="28"/>
  <c r="L18" i="28"/>
  <c r="L18" i="29"/>
  <c r="M18" i="29" s="1"/>
  <c r="N18" i="29" s="1"/>
  <c r="O18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K16" i="26" s="1"/>
  <c r="I17" i="26"/>
  <c r="K17" i="26" s="1"/>
  <c r="I18" i="26"/>
  <c r="K18" i="26" s="1"/>
  <c r="I19" i="26"/>
  <c r="K19" i="26" s="1"/>
  <c r="I20" i="26"/>
  <c r="I21" i="26"/>
  <c r="K21" i="26" s="1"/>
  <c r="I22" i="26"/>
  <c r="I23" i="26"/>
  <c r="I24" i="26"/>
  <c r="L24" i="26" s="1"/>
  <c r="M24" i="26" s="1"/>
  <c r="I21" i="27"/>
  <c r="K21" i="27" s="1"/>
  <c r="M18" i="28"/>
  <c r="N18" i="28" s="1"/>
  <c r="O18" i="28" s="1"/>
  <c r="P18" i="28" s="1"/>
  <c r="M20" i="29"/>
  <c r="N20" i="29" s="1"/>
  <c r="O20" i="29" s="1"/>
  <c r="M23" i="31"/>
  <c r="N23" i="31" s="1"/>
  <c r="O23" i="31" s="1"/>
  <c r="I25" i="31"/>
  <c r="P28" i="31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19" i="33"/>
  <c r="N19" i="33" s="1"/>
  <c r="O19" i="33" s="1"/>
  <c r="M19" i="34"/>
  <c r="N19" i="34" s="1"/>
  <c r="O19" i="34" s="1"/>
  <c r="M19" i="28"/>
  <c r="N19" i="28" s="1"/>
  <c r="O19" i="28" s="1"/>
  <c r="M16" i="29"/>
  <c r="N16" i="29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5"/>
  <c r="N20" i="35" s="1"/>
  <c r="O20" i="35" s="1"/>
  <c r="P20" i="35" s="1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N21" i="28" s="1"/>
  <c r="O21" i="28" s="1"/>
  <c r="M19" i="29"/>
  <c r="N19" i="29" s="1"/>
  <c r="O19" i="29" s="1"/>
  <c r="M18" i="30"/>
  <c r="N18" i="30" s="1"/>
  <c r="O18" i="30" s="1"/>
  <c r="P18" i="30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M20" i="28"/>
  <c r="N20" i="28" s="1"/>
  <c r="O20" i="28" s="1"/>
  <c r="P20" i="28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N24" i="31"/>
  <c r="O24" i="31" s="1"/>
  <c r="P24" i="31"/>
  <c r="M16" i="31"/>
  <c r="K25" i="31"/>
  <c r="P30" i="31" s="1"/>
  <c r="N21" i="30"/>
  <c r="O21" i="30" s="1"/>
  <c r="N24" i="30"/>
  <c r="O24" i="30" s="1"/>
  <c r="P24" i="30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N17" i="28"/>
  <c r="O17" i="28" s="1"/>
  <c r="J25" i="15"/>
  <c r="L16" i="27"/>
  <c r="L17" i="27"/>
  <c r="L20" i="27"/>
  <c r="K23" i="27"/>
  <c r="L23" i="27"/>
  <c r="K24" i="27"/>
  <c r="L24" i="27"/>
  <c r="L19" i="27"/>
  <c r="L18" i="27"/>
  <c r="L17" i="26"/>
  <c r="K23" i="26"/>
  <c r="L23" i="26"/>
  <c r="L18" i="26"/>
  <c r="K24" i="26"/>
  <c r="L16" i="26"/>
  <c r="T23" i="15"/>
  <c r="T22" i="15"/>
  <c r="T21" i="15"/>
  <c r="T20" i="15"/>
  <c r="T19" i="15"/>
  <c r="T18" i="15"/>
  <c r="T15" i="15"/>
  <c r="T14" i="15"/>
  <c r="L25" i="33" l="1"/>
  <c r="P29" i="33" s="1"/>
  <c r="I25" i="27"/>
  <c r="P28" i="27" s="1"/>
  <c r="L21" i="27"/>
  <c r="L21" i="26"/>
  <c r="M21" i="26" s="1"/>
  <c r="N21" i="26" s="1"/>
  <c r="O21" i="26" s="1"/>
  <c r="L25" i="34"/>
  <c r="P29" i="34" s="1"/>
  <c r="L25" i="32"/>
  <c r="P29" i="32" s="1"/>
  <c r="P31" i="32" s="1"/>
  <c r="L19" i="26"/>
  <c r="L25" i="30"/>
  <c r="P29" i="30" s="1"/>
  <c r="L25" i="28"/>
  <c r="P29" i="28" s="1"/>
  <c r="P31" i="28" s="1"/>
  <c r="L25" i="31"/>
  <c r="P29" i="31" s="1"/>
  <c r="P31" i="31" s="1"/>
  <c r="L20" i="26"/>
  <c r="K20" i="26"/>
  <c r="M20" i="26" s="1"/>
  <c r="N20" i="26" s="1"/>
  <c r="O20" i="26" s="1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N24" i="34"/>
  <c r="O24" i="34" s="1"/>
  <c r="K25" i="34"/>
  <c r="P30" i="34" s="1"/>
  <c r="I25" i="26"/>
  <c r="P28" i="26" s="1"/>
  <c r="M23" i="27"/>
  <c r="N23" i="27" s="1"/>
  <c r="O23" i="27" s="1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18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4" i="27"/>
  <c r="O24" i="27" s="1"/>
  <c r="L25" i="27"/>
  <c r="P29" i="27" s="1"/>
  <c r="K25" i="27"/>
  <c r="P30" i="27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K18" i="22" s="1"/>
  <c r="B18" i="22"/>
  <c r="C18" i="22" s="1"/>
  <c r="F17" i="22"/>
  <c r="E17" i="22"/>
  <c r="D17" i="22"/>
  <c r="I17" i="22" s="1"/>
  <c r="K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L25" i="26" l="1"/>
  <c r="P29" i="26" s="1"/>
  <c r="P31" i="34"/>
  <c r="M25" i="28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P34" i="32" s="1"/>
  <c r="P35" i="32" s="1"/>
  <c r="U30" i="15" s="1"/>
  <c r="N25" i="34"/>
  <c r="P32" i="34" s="1"/>
  <c r="P24" i="34"/>
  <c r="I16" i="25"/>
  <c r="K16" i="25" s="1"/>
  <c r="I17" i="25"/>
  <c r="K17" i="25" s="1"/>
  <c r="I18" i="25"/>
  <c r="K18" i="25" s="1"/>
  <c r="I19" i="25"/>
  <c r="K19" i="25" s="1"/>
  <c r="I20" i="25"/>
  <c r="K20" i="25" s="1"/>
  <c r="I22" i="25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I16" i="24"/>
  <c r="I17" i="24"/>
  <c r="I18" i="24"/>
  <c r="K18" i="24" s="1"/>
  <c r="I19" i="24"/>
  <c r="I20" i="24"/>
  <c r="K20" i="24" s="1"/>
  <c r="I21" i="24"/>
  <c r="I22" i="24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K18" i="20" s="1"/>
  <c r="I20" i="20"/>
  <c r="I22" i="20"/>
  <c r="I24" i="20"/>
  <c r="K24" i="20" s="1"/>
  <c r="I16" i="21"/>
  <c r="I18" i="21"/>
  <c r="K18" i="21" s="1"/>
  <c r="I20" i="21"/>
  <c r="K20" i="21" s="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L18" i="25"/>
  <c r="K24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M25" i="26" l="1"/>
  <c r="L21" i="17"/>
  <c r="K21" i="17"/>
  <c r="L21" i="19"/>
  <c r="K21" i="19"/>
  <c r="L20" i="23"/>
  <c r="K20" i="23"/>
  <c r="L20" i="19"/>
  <c r="L20" i="18"/>
  <c r="K20" i="18"/>
  <c r="P33" i="34"/>
  <c r="P34" i="34" s="1"/>
  <c r="P35" i="34" s="1"/>
  <c r="U32" i="15" s="1"/>
  <c r="L19" i="19"/>
  <c r="K19" i="19"/>
  <c r="L18" i="23"/>
  <c r="K18" i="23"/>
  <c r="L18" i="19"/>
  <c r="K18" i="19"/>
  <c r="M18" i="19" s="1"/>
  <c r="N18" i="19" s="1"/>
  <c r="O18" i="19" s="1"/>
  <c r="L18" i="18"/>
  <c r="K18" i="18"/>
  <c r="M18" i="18" s="1"/>
  <c r="N18" i="18" s="1"/>
  <c r="O18" i="18" s="1"/>
  <c r="L17" i="18"/>
  <c r="M17" i="18" s="1"/>
  <c r="N17" i="18" s="1"/>
  <c r="O17" i="18" s="1"/>
  <c r="K17" i="18"/>
  <c r="L17" i="25"/>
  <c r="L17" i="24"/>
  <c r="M17" i="24" s="1"/>
  <c r="N17" i="24" s="1"/>
  <c r="O17" i="24" s="1"/>
  <c r="K17" i="24"/>
  <c r="L16" i="20"/>
  <c r="K16" i="20"/>
  <c r="L16" i="25"/>
  <c r="L16" i="18"/>
  <c r="K16" i="18"/>
  <c r="L16" i="24"/>
  <c r="K16" i="24"/>
  <c r="L20" i="25"/>
  <c r="L21" i="25"/>
  <c r="M21" i="25" s="1"/>
  <c r="N21" i="25" s="1"/>
  <c r="O21" i="25" s="1"/>
  <c r="P21" i="25" s="1"/>
  <c r="K21" i="25"/>
  <c r="L21" i="24"/>
  <c r="M21" i="24" s="1"/>
  <c r="N21" i="24" s="1"/>
  <c r="O21" i="24" s="1"/>
  <c r="K21" i="24"/>
  <c r="L19" i="24"/>
  <c r="M19" i="24" s="1"/>
  <c r="N19" i="24" s="1"/>
  <c r="O19" i="24" s="1"/>
  <c r="P19" i="24" s="1"/>
  <c r="K19" i="24"/>
  <c r="L17" i="23"/>
  <c r="K17" i="23"/>
  <c r="L16" i="23"/>
  <c r="K16" i="23"/>
  <c r="L17" i="21"/>
  <c r="M17" i="21" s="1"/>
  <c r="N17" i="21" s="1"/>
  <c r="O17" i="21" s="1"/>
  <c r="P17" i="21" s="1"/>
  <c r="K17" i="21"/>
  <c r="L16" i="21"/>
  <c r="K16" i="21"/>
  <c r="M16" i="21" s="1"/>
  <c r="N16" i="21" s="1"/>
  <c r="L20" i="20"/>
  <c r="K20" i="20"/>
  <c r="L21" i="20"/>
  <c r="K21" i="20"/>
  <c r="M21" i="20" s="1"/>
  <c r="N21" i="20" s="1"/>
  <c r="O21" i="20" s="1"/>
  <c r="L17" i="19"/>
  <c r="M17" i="19" s="1"/>
  <c r="N17" i="19" s="1"/>
  <c r="O17" i="19" s="1"/>
  <c r="K17" i="19"/>
  <c r="L16" i="19"/>
  <c r="K16" i="19"/>
  <c r="K22" i="23"/>
  <c r="L22" i="23"/>
  <c r="K22" i="17"/>
  <c r="L22" i="17"/>
  <c r="M22" i="17" s="1"/>
  <c r="N22" i="17" s="1"/>
  <c r="O22" i="17" s="1"/>
  <c r="K22" i="21"/>
  <c r="L22" i="21"/>
  <c r="K22" i="19"/>
  <c r="L22" i="19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9" i="25" s="1"/>
  <c r="N19" i="25" s="1"/>
  <c r="O19" i="25" s="1"/>
  <c r="M16" i="24"/>
  <c r="N16" i="24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18" i="25"/>
  <c r="N18" i="25" s="1"/>
  <c r="O18" i="25" s="1"/>
  <c r="M20" i="25"/>
  <c r="N20" i="25" s="1"/>
  <c r="O20" i="25" s="1"/>
  <c r="M24" i="24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I25" i="20"/>
  <c r="P28" i="20" s="1"/>
  <c r="M20" i="19"/>
  <c r="N20" i="19" s="1"/>
  <c r="O20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24" i="20"/>
  <c r="N24" i="20" s="1"/>
  <c r="O24" i="20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K25" i="25"/>
  <c r="P30" i="25" s="1"/>
  <c r="M16" i="25"/>
  <c r="N23" i="25"/>
  <c r="O23" i="25" s="1"/>
  <c r="P23" i="25" s="1"/>
  <c r="N24" i="24"/>
  <c r="O24" i="24" s="1"/>
  <c r="M16" i="22"/>
  <c r="M21" i="21"/>
  <c r="N21" i="21" s="1"/>
  <c r="N24" i="19"/>
  <c r="O24" i="19" s="1"/>
  <c r="N24" i="18"/>
  <c r="O24" i="18" s="1"/>
  <c r="I23" i="15"/>
  <c r="M19" i="19" l="1"/>
  <c r="N19" i="19" s="1"/>
  <c r="O19" i="19" s="1"/>
  <c r="M21" i="19"/>
  <c r="M20" i="20"/>
  <c r="N20" i="20" s="1"/>
  <c r="O20" i="20" s="1"/>
  <c r="L25" i="19"/>
  <c r="P29" i="19" s="1"/>
  <c r="K25" i="24"/>
  <c r="P30" i="24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K22" i="15" s="1"/>
  <c r="L25" i="25"/>
  <c r="P29" i="25" s="1"/>
  <c r="L17" i="16"/>
  <c r="M23" i="22"/>
  <c r="N23" i="22" s="1"/>
  <c r="O23" i="22" s="1"/>
  <c r="L21" i="16"/>
  <c r="L21" i="15" s="1"/>
  <c r="K25" i="19"/>
  <c r="P30" i="19" s="1"/>
  <c r="L19" i="16"/>
  <c r="L19" i="15" s="1"/>
  <c r="M19" i="18"/>
  <c r="N19" i="18" s="1"/>
  <c r="O19" i="18" s="1"/>
  <c r="K18" i="15"/>
  <c r="L25" i="24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P24" i="23"/>
  <c r="P18" i="20"/>
  <c r="P24" i="20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O16" i="21"/>
  <c r="P18" i="21"/>
  <c r="P20" i="21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0" i="20" l="1"/>
  <c r="P22" i="21"/>
  <c r="N25" i="21"/>
  <c r="P32" i="21" s="1"/>
  <c r="M25" i="21"/>
  <c r="M21" i="15"/>
  <c r="P31" i="24"/>
  <c r="P31" i="19"/>
  <c r="P23" i="22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O16" i="17"/>
  <c r="O25" i="17" s="1"/>
  <c r="N25" i="17"/>
  <c r="P32" i="17" s="1"/>
  <c r="P33" i="18" l="1"/>
  <c r="P33" i="20"/>
  <c r="P34" i="20" s="1"/>
  <c r="P35" i="20" s="1"/>
  <c r="U18" i="15" s="1"/>
  <c r="N16" i="15"/>
  <c r="N18" i="15"/>
  <c r="P18" i="15" s="1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<sst xmlns="http://schemas.openxmlformats.org/spreadsheetml/2006/main" count="1632" uniqueCount="131">
  <si>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</si>
  <si>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</si>
  <si>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</si>
  <si>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</si>
  <si>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</si>
  <si>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</si>
  <si>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</si>
  <si>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</si>
  <si>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</si>
  <si>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</si>
  <si>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</si>
  <si>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</si>
  <si>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</si>
  <si>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</si>
  <si>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</si>
  <si>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</si>
  <si>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</si>
  <si>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</si>
  <si>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</si>
  <si>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</si>
  <si>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</si>
  <si>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</si>
  <si>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</si>
  <si>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</si>
  <si>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</si>
  <si>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</si>
  <si>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</si>
  <si>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</si>
  <si>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</si>
  <si>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</si>
  <si>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</si>
  <si>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</si>
  <si>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</si>
  <si>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</si>
  <si>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</si>
  <si>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</si>
  <si>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</si>
  <si>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</si>
  <si>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</si>
  <si>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</si>
  <si>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</si>
  <si>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</si>
  <si>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</si>
  <si>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</si>
  <si>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</si>
  <si>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</si>
  <si>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</si>
  <si>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</si>
  <si>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</si>
  <si>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</si>
  <si>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</si>
  <si>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</si>
  <si>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</si>
  <si>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</si>
  <si>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</si>
  <si>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</si>
  <si>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</si>
  <si>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</si>
  <si>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</si>
  <si>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</si>
  <si>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</si>
  <si>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</si>
  <si>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</si>
  <si>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</si>
  <si>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</si>
  <si>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</si>
  <si>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</si>
  <si>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</si>
  <si>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</si>
  <si>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</si>
  <si>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</si>
  <si>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</si>
  <si>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</si>
  <si>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</si>
  <si>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</si>
  <si>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</si>
  <si>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</si>
  <si>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</si>
  <si>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</si>
  <si>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</si>
  <si>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</si>
  <si>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</si>
  <si>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</si>
  <si>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</si>
  <si>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</si>
  <si>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</si>
  <si>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</si>
  <si>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</si>
  <si>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</si>
  <si>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</si>
  <si>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</si>
  <si>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</si>
  <si>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</si>
  <si>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</si>
  <si>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</si>
  <si>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</si>
  <si>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</si>
  <si>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</si>
  <si>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</si>
  <si>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</si>
  <si>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</si>
  <si>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</si>
  <si>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</si>
  <si>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</si>
  <si>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</si>
  <si>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</si>
  <si>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</si>
  <si>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</si>
  <si>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</si>
  <si>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</si>
  <si>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</si>
  <si>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</si>
  <si>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</si>
  <si>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</si>
  <si>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</si>
  <si>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</si>
  <si>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</si>
  <si>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</si>
  <si>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</si>
  <si>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</si>
  <si>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Salman</t>
  </si>
  <si>
    <t>Shop Bill Summary(Salman)</t>
  </si>
  <si>
    <t>Customer Name : Wali Super Store</t>
  </si>
  <si>
    <t>Address: Street 10</t>
  </si>
  <si>
    <t>Customer Name : Umer Khan Zada Store</t>
  </si>
  <si>
    <t>Address: Mandi Stop</t>
  </si>
  <si>
    <t>Customer Name : Aashiyana Store</t>
  </si>
  <si>
    <t>Address: Seven Street</t>
  </si>
  <si>
    <t>Customer Name : Al Shreef GS</t>
  </si>
  <si>
    <t xml:space="preserve">Address: Seven Street </t>
  </si>
  <si>
    <t>Customer Name : Al Sheikh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</si>
</sst>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1F293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6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9" fillId="0" borderId="0" xfId="0" applyFon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D39" sqref="D3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D39" sqref="D39"/>
      <selection pane="topRight" activeCell="D39" sqref="D39"/>
      <selection pane="bottomLeft" activeCell="D39" sqref="D39"/>
      <selection pane="bottomRight" activeCell="D39" sqref="D3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2"/>
      <c r="B3" s="192"/>
      <c r="C3" s="192"/>
      <c r="D3" s="192"/>
      <c r="E3" s="192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</row>
    <row r="4" spans="1:29" x14ac:dyDescent="0.35">
      <c r="A4" s="194" t="s">
        <v>6</v>
      </c>
      <c r="B4" s="5" t="s">
        <v>7</v>
      </c>
      <c r="C4" s="5"/>
      <c r="D4" s="196" t="s">
        <v>8</v>
      </c>
      <c r="E4" s="198" t="s">
        <v>9</v>
      </c>
      <c r="F4" s="200" t="s">
        <v>3</v>
      </c>
      <c r="G4" s="200"/>
      <c r="H4" s="201" t="s">
        <v>10</v>
      </c>
      <c r="I4" s="201"/>
      <c r="J4" s="202" t="s">
        <v>11</v>
      </c>
      <c r="K4" s="203"/>
      <c r="L4" s="202" t="s">
        <v>12</v>
      </c>
      <c r="M4" s="203"/>
      <c r="N4" s="204" t="s">
        <v>13</v>
      </c>
      <c r="O4" s="204"/>
      <c r="P4" s="202" t="s">
        <v>4</v>
      </c>
      <c r="Q4" s="203"/>
      <c r="R4" s="202" t="s">
        <v>14</v>
      </c>
      <c r="S4" s="203"/>
      <c r="T4" s="205" t="s">
        <v>15</v>
      </c>
      <c r="U4" s="205"/>
      <c r="V4" s="206" t="s">
        <v>16</v>
      </c>
      <c r="W4" s="207"/>
      <c r="X4" s="206" t="s">
        <v>17</v>
      </c>
      <c r="Y4" s="207"/>
    </row>
    <row r="5" spans="1:29" ht="26.25" customHeight="1" thickBot="1" x14ac:dyDescent="0.4">
      <c r="A5" s="195"/>
      <c r="B5" s="7" t="s">
        <v>18</v>
      </c>
      <c r="C5" s="7" t="s">
        <v>8</v>
      </c>
      <c r="D5" s="197"/>
      <c r="E5" s="19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opLeftCell="A11" zoomScale="70" zoomScaleNormal="70" workbookViewId="0">
      <selection activeCell="T15" sqref="T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4" t="s">
        <v>45</v>
      </c>
      <c r="B2" s="254"/>
      <c r="C2" s="254"/>
    </row>
    <row r="3" spans="1:21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3" t="s">
        <v>120</v>
      </c>
      <c r="B5" s="253"/>
      <c r="C5" s="253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21 16383:16384" ht="15" customHeight="1" x14ac:dyDescent="0.35">
      <c r="A6" s="253"/>
      <c r="B6" s="253"/>
      <c r="C6" s="253"/>
      <c r="F6" s="70"/>
      <c r="G6" s="74"/>
      <c r="K6" s="238" t="s">
        <v>52</v>
      </c>
      <c r="L6" s="238"/>
      <c r="M6" s="238"/>
      <c r="N6" s="251" t="s">
        <v>42</v>
      </c>
      <c r="O6" s="251"/>
      <c r="P6" s="251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1 16383:16384" hidden="1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1 16383:16384" x14ac:dyDescent="0.35">
      <c r="A10" s="236"/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1 16383:16384" ht="15" thickBot="1" x14ac:dyDescent="0.4">
      <c r="A11" s="236"/>
      <c r="B11" s="76"/>
      <c r="C11" s="77"/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1 16383:16384" ht="14.65" customHeight="1" x14ac:dyDescent="0.35">
      <c r="A12" s="236"/>
      <c r="B12" s="76"/>
      <c r="C12" s="77"/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T12" s="208" t="s">
        <v>121</v>
      </c>
      <c r="U12" s="209"/>
      <c r="XFD12" t="s">
        <v>62</v>
      </c>
    </row>
    <row r="13" spans="1:21 16383:16384" ht="15" thickBot="1" x14ac:dyDescent="0.4">
      <c r="A13" s="237"/>
      <c r="J13" s="78"/>
      <c r="K13" s="78"/>
      <c r="L13" s="79">
        <v>0.05</v>
      </c>
      <c r="T13" s="210"/>
      <c r="U13" s="211"/>
      <c r="XFD13" t="s">
        <v>63</v>
      </c>
    </row>
    <row r="14" spans="1:21 16383:16384" ht="29.25" customHeight="1" x14ac:dyDescent="0.6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7" t="s">
        <v>69</v>
      </c>
      <c r="J14" s="247" t="s">
        <v>70</v>
      </c>
      <c r="K14" s="247"/>
      <c r="L14" s="249"/>
      <c r="M14" s="241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Wali Super Store</v>
      </c>
      <c r="U14" s="164">
        <f>+'1'!P35</f>
        <v>1607.8299379200002</v>
      </c>
      <c r="XFD14" t="s">
        <v>75</v>
      </c>
    </row>
    <row r="15" spans="1:21 16383:16384" ht="29.25" customHeight="1" thickBot="1" x14ac:dyDescent="0.65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8"/>
      <c r="J15" s="170" t="s">
        <v>78</v>
      </c>
      <c r="K15" s="170" t="s">
        <v>79</v>
      </c>
      <c r="L15" s="173" t="s">
        <v>80</v>
      </c>
      <c r="M15" s="24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Umer Khan Zada Store</v>
      </c>
      <c r="U15" s="164">
        <f>+'2'!P35</f>
        <v>14566.549754789999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9">
        <f>VLOOKUP(A16,'[1]Cust. Price List'!D6:M14,10,0)</f>
        <v>52.462499999999999</v>
      </c>
      <c r="G16" s="114"/>
      <c r="H16" s="171">
        <f>+'1'!H16+'2'!H16+'4'!H16+'3'!H16+'5'!H16+'6'!H16+'7'!H16+'8'!H16+'9'!H16+'10'!H16+'11'!H16+'12'!H16+'13'!H16+'14'!H16+'15'!H16+'16'!H16+'17'!H16+'18'!H16+'19'!H16+'20'!H16</f>
        <v>20</v>
      </c>
      <c r="I16" s="1">
        <f>(G16*D16)*F16+H16*F16</f>
        <v>1049.25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36.723750000000003</v>
      </c>
      <c r="L16" s="174">
        <f>+'1'!L16+'2'!L16+'4'!L16+'3'!L16+'5'!L16+'6'!L16+'7'!L16+'8'!L16+'9'!L16+'10'!L16</f>
        <v>83.94</v>
      </c>
      <c r="M16" s="106">
        <f>I16-K16-L16</f>
        <v>928.58625000000006</v>
      </c>
      <c r="N16" s="101">
        <f>+'1'!N16+'2'!N16+'4'!N16+'3'!N16+'5'!N16+'6'!N16+'7'!N16+'8'!N16+'9'!N16+'10'!N16</f>
        <v>167.14552499999999</v>
      </c>
      <c r="O16" s="101">
        <f>+'1'!O16+'2'!O16+'4'!O16+'3'!O16+'5'!O16+'6'!O16+'7'!O16+'8'!O16+'9'!O16+'10'!O16</f>
        <v>5.4786588749999998</v>
      </c>
      <c r="P16" s="105">
        <f t="shared" ref="P16:P24" si="0">M16+N16+O16</f>
        <v>1101.210433875</v>
      </c>
      <c r="Q16" s="108"/>
      <c r="T16" s="163" t="str">
        <f>+'3'!A5</f>
        <v>Customer Name : Aashiyana Store</v>
      </c>
      <c r="U16" s="164">
        <f>+'3'!P35</f>
        <v>2837.7224697375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1">
        <f>+'1'!H17+'2'!H17+'4'!H17+'3'!H17+'5'!H17+'6'!H17+'7'!H17+'8'!H17+'9'!H17+'10'!H17+'11'!H17+'12'!H17+'13'!H17+'14'!H17+'15'!H17+'16'!H17+'17'!H17+'18'!H17+'19'!H17+'20'!H17</f>
        <v>70</v>
      </c>
      <c r="I17" s="1">
        <f t="shared" ref="I17:I23" si="1">(G17*D17)*F17+H17*F17</f>
        <v>3672.375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128.53312500000001</v>
      </c>
      <c r="L17" s="174">
        <f>+'1'!L17+'2'!L17+'4'!L17+'3'!L17+'5'!L17+'6'!L17+'7'!L17+'8'!L17+'9'!L17+'10'!L17</f>
        <v>293.78999999999996</v>
      </c>
      <c r="M17" s="118">
        <f t="shared" ref="M17:M23" si="2">I17-K17-L17</f>
        <v>3250.0518750000001</v>
      </c>
      <c r="N17" s="101">
        <f>+'1'!N17+'2'!N17+'4'!N17+'3'!N17+'5'!N17+'6'!N17+'7'!N17+'8'!N17+'9'!N17+'10'!N17</f>
        <v>585.0093374999999</v>
      </c>
      <c r="O17" s="101">
        <f>+'1'!O17+'2'!O17+'4'!O17+'3'!O17+'5'!O17+'6'!O17+'7'!O17+'8'!O17+'9'!O17+'10'!O17</f>
        <v>19.175306062499999</v>
      </c>
      <c r="P17" s="120">
        <f t="shared" si="0"/>
        <v>3854.2365185624999</v>
      </c>
      <c r="S17" s="64"/>
      <c r="T17" s="163" t="str">
        <f>+'4'!A5</f>
        <v>Customer Name : Al Shreef GS</v>
      </c>
      <c r="U17" s="164">
        <f>+'4'!P35</f>
        <v>3006.3358367100004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Al Sheikh Store</v>
      </c>
      <c r="U18" s="164">
        <f>+'5'!P35</f>
        <v>1746.49485312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1">
        <f>+'1'!H19+'2'!H19+'4'!H19+'3'!H19+'5'!H19+'6'!H19+'7'!H19+'8'!H19+'9'!H19+'10'!H19+'11'!H19+'12'!H19+'13'!H19+'14'!H19+'15'!H19+'16'!H19+'17'!H19+'18'!H19+'19'!H19+'20'!H19</f>
        <v>70</v>
      </c>
      <c r="I19" s="1">
        <f t="shared" si="1"/>
        <v>5084.8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177.96800000000002</v>
      </c>
      <c r="L19" s="174">
        <f>+'1'!L19+'2'!L19+'4'!L19+'3'!L19+'5'!L19+'6'!L19+'7'!L19+'8'!L19+'9'!L19+'10'!L19</f>
        <v>406.78399999999999</v>
      </c>
      <c r="M19" s="118">
        <f t="shared" si="2"/>
        <v>4500.0480000000007</v>
      </c>
      <c r="N19" s="101">
        <f>+'1'!N19+'2'!N19+'4'!N19+'3'!N19+'5'!N19+'6'!N19+'7'!N19+'8'!N19+'9'!N19+'10'!N19</f>
        <v>810.0086399999999</v>
      </c>
      <c r="O19" s="101">
        <f>+'1'!O19+'2'!O19+'4'!O19+'3'!O19+'5'!O19+'6'!O19+'7'!O19+'8'!O19+'9'!O19+'10'!O19</f>
        <v>26.550283199999996</v>
      </c>
      <c r="P19" s="120">
        <f t="shared" si="0"/>
        <v>5336.6069232000009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1">
        <f>+'1'!H20+'2'!H20+'4'!H20+'3'!H20+'5'!H20+'6'!H20+'7'!H20+'8'!H20+'9'!H20+'10'!H20+'11'!H20+'12'!H20+'13'!H20+'14'!H20+'15'!H20+'16'!H20+'17'!H20+'18'!H20+'19'!H20+'20'!H20</f>
        <v>0</v>
      </c>
      <c r="I20" s="1">
        <f t="shared" si="1"/>
        <v>0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0</v>
      </c>
      <c r="M20" s="118">
        <f t="shared" si="2"/>
        <v>0</v>
      </c>
      <c r="N20" s="101">
        <f>+'1'!N20+'2'!N20+'4'!N20+'3'!N20+'5'!N20+'6'!N20+'7'!N20+'8'!N20+'9'!N20+'10'!N20</f>
        <v>0</v>
      </c>
      <c r="O20" s="101">
        <f>+'1'!O20+'2'!O20+'4'!O20+'3'!O20+'5'!O20+'6'!O20+'7'!O20+'8'!O20+'9'!O20+'10'!O20</f>
        <v>0</v>
      </c>
      <c r="P20" s="120">
        <f t="shared" si="0"/>
        <v>0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1">
        <f>+'1'!H21+'2'!H21+'4'!H21+'3'!H21+'5'!H21+'6'!H21+'7'!H21+'8'!H21+'9'!H21+'10'!H21+'11'!H21+'12'!H21+'13'!H21+'14'!H21+'15'!H21+'16'!H21+'17'!H21+'18'!H21+'19'!H21+'20'!H21</f>
        <v>95</v>
      </c>
      <c r="I21" s="1">
        <f t="shared" si="1"/>
        <v>6900.8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241.52800000000002</v>
      </c>
      <c r="L21" s="174">
        <f>+'1'!L21+'2'!L21+'4'!L21+'3'!L21+'5'!L21+'6'!L21+'7'!L21+'8'!L21+'9'!L21+'10'!L21</f>
        <v>552.06399999999996</v>
      </c>
      <c r="M21" s="118">
        <f t="shared" si="2"/>
        <v>6107.2079999999996</v>
      </c>
      <c r="N21" s="101">
        <f>+'1'!N21+'2'!N21+'4'!N21+'3'!N21+'5'!N21+'6'!N21+'7'!N21+'8'!N21+'9'!N21+'10'!N21</f>
        <v>1099.2974400000001</v>
      </c>
      <c r="O21" s="101">
        <f>+'1'!O21+'2'!O21+'4'!O21+'3'!O21+'5'!O21+'6'!O21+'7'!O21+'8'!O21+'9'!O21+'10'!O21</f>
        <v>36.032527199999997</v>
      </c>
      <c r="P21" s="120">
        <f t="shared" si="0"/>
        <v>7242.5379671999999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1">
        <f>+'1'!H22+'2'!H22+'4'!H22+'3'!H22+'5'!H22+'6'!H22+'7'!H22+'8'!H22+'9'!H22+'10'!H22+'11'!H22+'12'!H22+'13'!H22+'14'!H22+'15'!H22+'16'!H22+'17'!H22+'18'!H22+'19'!H22+'20'!H22</f>
        <v>155</v>
      </c>
      <c r="I22" s="1">
        <f t="shared" si="1"/>
        <v>6080.6500000000005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522.93590000000006</v>
      </c>
      <c r="L22" s="174">
        <f>+'1'!L22+'2'!L22+'4'!L22+'3'!L22+'5'!L22+'6'!L22+'7'!L22+'8'!L22+'9'!L22+'10'!L22</f>
        <v>304.03250000000008</v>
      </c>
      <c r="M22" s="118">
        <f t="shared" si="2"/>
        <v>5253.6815999999999</v>
      </c>
      <c r="N22" s="101">
        <f>+'1'!N22+'2'!N22+'4'!N22+'3'!N22+'5'!N22+'6'!N22+'7'!N22+'8'!N22+'9'!N22+'10'!N22</f>
        <v>945.66268800000012</v>
      </c>
      <c r="O22" s="101">
        <f>+'1'!O22+'2'!O22+'4'!O22+'3'!O22+'5'!O22+'6'!O22+'7'!O22+'8'!O22+'9'!O22+'10'!O22</f>
        <v>30.996721440000005</v>
      </c>
      <c r="P22" s="120">
        <f t="shared" si="0"/>
        <v>6230.3410094400006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8" t="s">
        <v>84</v>
      </c>
      <c r="B25" s="219"/>
      <c r="C25" s="220">
        <f>H25/40</f>
        <v>10.25</v>
      </c>
      <c r="D25" s="214"/>
      <c r="E25" s="214"/>
      <c r="F25" s="214"/>
      <c r="G25" s="175">
        <f t="shared" ref="G25:M25" si="3">SUM(G16:G24)</f>
        <v>0</v>
      </c>
      <c r="H25" s="176">
        <f t="shared" si="3"/>
        <v>410</v>
      </c>
      <c r="I25" s="177">
        <f t="shared" si="3"/>
        <v>22787.875</v>
      </c>
      <c r="J25" s="176">
        <f t="shared" si="3"/>
        <v>0</v>
      </c>
      <c r="K25" s="177">
        <f t="shared" si="3"/>
        <v>1107.6887750000001</v>
      </c>
      <c r="L25" s="178">
        <f t="shared" si="3"/>
        <v>1640.6105</v>
      </c>
      <c r="M25" s="141">
        <f t="shared" si="3"/>
        <v>20039.575724999999</v>
      </c>
      <c r="N25" s="142">
        <f>SUM(N16:N24)</f>
        <v>3607.1236305000002</v>
      </c>
      <c r="O25" s="143">
        <f>SUM(O16:O24)</f>
        <v>118.23349677749999</v>
      </c>
      <c r="P25" s="144">
        <f>SUM(P16:P24)</f>
        <v>23764.932852277503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0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79" t="str">
        <f>+'16'!A5</f>
        <v xml:space="preserve">Customer Name : </v>
      </c>
      <c r="U29" s="180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79" t="str">
        <f>+'17'!A5</f>
        <v xml:space="preserve">Customer Name : </v>
      </c>
      <c r="U30" s="180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79" t="str">
        <f>+'18'!A5</f>
        <v xml:space="preserve">Customer Name : </v>
      </c>
      <c r="U31" s="180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79" t="str">
        <f>+'19'!A5</f>
        <v xml:space="preserve">Customer Name : </v>
      </c>
      <c r="U32" s="180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79" t="str">
        <f>+'20'!A5</f>
        <v xml:space="preserve">Customer Name : </v>
      </c>
      <c r="U33" s="180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23764.932852277499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1" t="s">
        <v>85</v>
      </c>
      <c r="C36" s="222"/>
      <c r="D36" s="222"/>
      <c r="E36" s="222"/>
      <c r="F36" s="222"/>
      <c r="G36" s="222"/>
      <c r="H36" s="222"/>
      <c r="I36" s="222"/>
      <c r="J36" s="222"/>
      <c r="K36" s="222"/>
      <c r="L36" s="223"/>
      <c r="N36" s="230" t="s">
        <v>86</v>
      </c>
      <c r="O36" s="231"/>
      <c r="P36" s="152">
        <f>I25</f>
        <v>22787.875</v>
      </c>
    </row>
    <row r="37" spans="1:21" ht="15" customHeight="1" x14ac:dyDescent="0.35">
      <c r="B37" s="224"/>
      <c r="C37" s="225"/>
      <c r="D37" s="225"/>
      <c r="E37" s="225"/>
      <c r="F37" s="225"/>
      <c r="G37" s="225"/>
      <c r="H37" s="225"/>
      <c r="I37" s="225"/>
      <c r="J37" s="225"/>
      <c r="K37" s="225"/>
      <c r="L37" s="226"/>
      <c r="N37" s="232" t="s">
        <v>87</v>
      </c>
      <c r="O37" s="233"/>
      <c r="P37" s="153">
        <f>L25</f>
        <v>1640.6105</v>
      </c>
    </row>
    <row r="38" spans="1:21" ht="15" customHeight="1" x14ac:dyDescent="0.35">
      <c r="B38" s="224"/>
      <c r="C38" s="225"/>
      <c r="D38" s="225"/>
      <c r="E38" s="225"/>
      <c r="F38" s="225"/>
      <c r="G38" s="225"/>
      <c r="H38" s="225"/>
      <c r="I38" s="225"/>
      <c r="J38" s="225"/>
      <c r="K38" s="225"/>
      <c r="L38" s="226"/>
      <c r="N38" s="232" t="s">
        <v>4</v>
      </c>
      <c r="O38" s="233"/>
      <c r="P38" s="154">
        <f>K25</f>
        <v>1107.6887750000001</v>
      </c>
    </row>
    <row r="39" spans="1:21" ht="15" customHeight="1" x14ac:dyDescent="0.35">
      <c r="B39" s="224"/>
      <c r="C39" s="225"/>
      <c r="D39" s="225"/>
      <c r="E39" s="225"/>
      <c r="F39" s="225"/>
      <c r="G39" s="225"/>
      <c r="H39" s="225"/>
      <c r="I39" s="225"/>
      <c r="J39" s="225"/>
      <c r="K39" s="225"/>
      <c r="L39" s="226"/>
      <c r="M39" s="2"/>
      <c r="N39" s="232" t="s">
        <v>88</v>
      </c>
      <c r="O39" s="233"/>
      <c r="P39" s="153">
        <f>P36-P37-P38</f>
        <v>20039.575725000002</v>
      </c>
    </row>
    <row r="40" spans="1:21" ht="15" customHeight="1" x14ac:dyDescent="0.35">
      <c r="B40" s="224"/>
      <c r="C40" s="225"/>
      <c r="D40" s="225"/>
      <c r="E40" s="225"/>
      <c r="F40" s="225"/>
      <c r="G40" s="225"/>
      <c r="H40" s="225"/>
      <c r="I40" s="225"/>
      <c r="J40" s="225"/>
      <c r="K40" s="225"/>
      <c r="L40" s="226"/>
      <c r="M40" s="2"/>
      <c r="N40" s="155" t="s">
        <v>89</v>
      </c>
      <c r="O40" s="156">
        <f>IF(B12="Registered",18%,22%)</f>
        <v>0.22</v>
      </c>
      <c r="P40" s="153">
        <f>N25</f>
        <v>3607.1236305000002</v>
      </c>
    </row>
    <row r="41" spans="1:21" ht="15" customHeight="1" x14ac:dyDescent="0.35">
      <c r="B41" s="224"/>
      <c r="C41" s="225"/>
      <c r="D41" s="225"/>
      <c r="E41" s="225"/>
      <c r="F41" s="225"/>
      <c r="G41" s="225"/>
      <c r="H41" s="225"/>
      <c r="I41" s="225"/>
      <c r="J41" s="225"/>
      <c r="K41" s="225"/>
      <c r="L41" s="226"/>
      <c r="M41" s="2"/>
      <c r="N41" s="234" t="s">
        <v>90</v>
      </c>
      <c r="O41" s="235"/>
      <c r="P41" s="153">
        <f>P39+P40</f>
        <v>23646.699355500001</v>
      </c>
    </row>
    <row r="42" spans="1:21" ht="15" customHeight="1" thickBot="1" x14ac:dyDescent="0.4">
      <c r="B42" s="227"/>
      <c r="C42" s="228"/>
      <c r="D42" s="228"/>
      <c r="E42" s="228"/>
      <c r="F42" s="228"/>
      <c r="G42" s="228"/>
      <c r="H42" s="228"/>
      <c r="I42" s="228"/>
      <c r="J42" s="228"/>
      <c r="K42" s="228"/>
      <c r="L42" s="229"/>
      <c r="M42" s="157"/>
      <c r="N42" s="158" t="s">
        <v>91</v>
      </c>
      <c r="O42" s="159">
        <f>IF(B11="Filer",0.5%,2.5%)</f>
        <v>2.5000000000000001E-2</v>
      </c>
      <c r="P42" s="153">
        <f>O42*P41</f>
        <v>591.1674838875</v>
      </c>
    </row>
    <row r="43" spans="1:21" ht="15.75" customHeight="1" thickBot="1" x14ac:dyDescent="0.4">
      <c r="N43" s="212" t="s">
        <v>92</v>
      </c>
      <c r="O43" s="213"/>
      <c r="P43" s="160">
        <f>P41+P42</f>
        <v>24237.866839387501</v>
      </c>
    </row>
    <row r="44" spans="1:21" ht="15" thickBot="1" x14ac:dyDescent="0.4">
      <c r="B44" s="161" t="s">
        <v>93</v>
      </c>
      <c r="C44" s="214"/>
      <c r="D44" s="214"/>
      <c r="E44" s="214"/>
      <c r="F44" s="214"/>
      <c r="G44" s="214"/>
      <c r="H44" s="214"/>
      <c r="I44" s="215"/>
      <c r="J44" s="216"/>
      <c r="K44" s="217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9" workbookViewId="0">
      <selection activeCell="E37" sqref="E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4" t="s">
        <v>45</v>
      </c>
      <c r="B2" s="254"/>
      <c r="C2" s="254"/>
    </row>
    <row r="3" spans="1:26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5" t="s">
        <v>122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26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6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6 16383:16384" x14ac:dyDescent="0.35">
      <c r="A10" s="236" t="s">
        <v>95</v>
      </c>
      <c r="B10" s="75">
        <v>1561561651561650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6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6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26 16383:16384" ht="15" thickBot="1" x14ac:dyDescent="0.4">
      <c r="A13" s="237"/>
      <c r="B13" s="167"/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S14" s="255" t="s">
        <v>117</v>
      </c>
      <c r="T14" s="255"/>
      <c r="U14" s="255"/>
      <c r="V14" s="255"/>
      <c r="W14" s="256" t="s">
        <v>119</v>
      </c>
      <c r="X14" s="256"/>
      <c r="Y14" s="256"/>
      <c r="Z14" s="256"/>
      <c r="XFD14" t="s">
        <v>75</v>
      </c>
    </row>
    <row r="15" spans="1:26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3" t="s">
        <v>109</v>
      </c>
      <c r="T15" s="183" t="s">
        <v>110</v>
      </c>
      <c r="U15" s="183" t="s">
        <v>114</v>
      </c>
      <c r="V15" s="183" t="s">
        <v>115</v>
      </c>
      <c r="W15" s="184" t="s">
        <v>109</v>
      </c>
      <c r="X15" s="184" t="s">
        <v>110</v>
      </c>
      <c r="Y15" s="184" t="s">
        <v>114</v>
      </c>
      <c r="Z15" s="184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1" t="s">
        <v>106</v>
      </c>
      <c r="T16" s="181">
        <v>1697</v>
      </c>
      <c r="U16" s="181" t="s">
        <v>111</v>
      </c>
      <c r="V16" s="181">
        <f>T16/40</f>
        <v>42.424999999999997</v>
      </c>
      <c r="W16" s="185" t="s">
        <v>106</v>
      </c>
      <c r="X16" s="185">
        <v>1664</v>
      </c>
      <c r="Y16" s="185" t="s">
        <v>111</v>
      </c>
      <c r="Z16" s="185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2" t="s">
        <v>108</v>
      </c>
      <c r="T17" s="181">
        <v>2322</v>
      </c>
      <c r="U17" s="181" t="s">
        <v>112</v>
      </c>
      <c r="V17" s="181">
        <f t="shared" ref="V17:V18" si="7">T17/40</f>
        <v>58.05</v>
      </c>
      <c r="W17" s="186" t="s">
        <v>108</v>
      </c>
      <c r="X17" s="185">
        <v>2277</v>
      </c>
      <c r="Y17" s="185" t="s">
        <v>112</v>
      </c>
      <c r="Z17" s="185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1" t="s">
        <v>107</v>
      </c>
      <c r="T18" s="181">
        <v>3216</v>
      </c>
      <c r="U18" s="181" t="s">
        <v>113</v>
      </c>
      <c r="V18" s="181">
        <f t="shared" si="7"/>
        <v>80.400000000000006</v>
      </c>
      <c r="W18" s="185" t="s">
        <v>107</v>
      </c>
      <c r="X18" s="185">
        <v>3153</v>
      </c>
      <c r="Y18" s="185" t="s">
        <v>113</v>
      </c>
      <c r="Z18" s="185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57" t="s">
        <v>118</v>
      </c>
      <c r="T19" s="257"/>
      <c r="U19" s="257"/>
      <c r="V19" s="257"/>
      <c r="W19" s="258" t="s">
        <v>116</v>
      </c>
      <c r="X19" s="258"/>
      <c r="Y19" s="258"/>
      <c r="Z19" s="258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3" t="s">
        <v>109</v>
      </c>
      <c r="T20" s="183" t="s">
        <v>110</v>
      </c>
      <c r="U20" s="183" t="s">
        <v>114</v>
      </c>
      <c r="V20" s="183" t="s">
        <v>115</v>
      </c>
      <c r="W20" s="183" t="s">
        <v>109</v>
      </c>
      <c r="X20" s="183" t="s">
        <v>110</v>
      </c>
      <c r="Y20" s="183" t="s">
        <v>114</v>
      </c>
      <c r="Z20" s="183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7" t="s">
        <v>106</v>
      </c>
      <c r="T21" s="187">
        <v>1610</v>
      </c>
      <c r="U21" s="187" t="s">
        <v>111</v>
      </c>
      <c r="V21" s="187">
        <f>T21/40</f>
        <v>40.25</v>
      </c>
      <c r="W21" s="189" t="s">
        <v>106</v>
      </c>
      <c r="X21" s="189">
        <v>1642</v>
      </c>
      <c r="Y21" s="189" t="s">
        <v>111</v>
      </c>
      <c r="Z21" s="189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3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6"/>
        <v>1355.7888000000003</v>
      </c>
      <c r="N22" s="118">
        <f t="shared" si="0"/>
        <v>244.04198400000004</v>
      </c>
      <c r="O22" s="119">
        <f t="shared" si="1"/>
        <v>7.9991539200000012</v>
      </c>
      <c r="P22" s="120">
        <f t="shared" si="2"/>
        <v>1607.8299379200002</v>
      </c>
      <c r="S22" s="188" t="s">
        <v>108</v>
      </c>
      <c r="T22" s="187">
        <v>2202</v>
      </c>
      <c r="U22" s="187" t="s">
        <v>112</v>
      </c>
      <c r="V22" s="187">
        <f t="shared" ref="V22:V25" si="9">T22/40</f>
        <v>55.05</v>
      </c>
      <c r="W22" s="190" t="s">
        <v>108</v>
      </c>
      <c r="X22" s="189">
        <v>2246</v>
      </c>
      <c r="Y22" s="189" t="s">
        <v>112</v>
      </c>
      <c r="Z22" s="189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7" t="s">
        <v>107</v>
      </c>
      <c r="T23" s="187">
        <v>3216</v>
      </c>
      <c r="U23" s="187" t="s">
        <v>113</v>
      </c>
      <c r="V23" s="187">
        <f t="shared" si="9"/>
        <v>80.400000000000006</v>
      </c>
      <c r="W23" s="189" t="s">
        <v>107</v>
      </c>
      <c r="X23" s="189">
        <v>3216</v>
      </c>
      <c r="Y23" s="189" t="s">
        <v>112</v>
      </c>
      <c r="Z23" s="189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7" t="s">
        <v>107</v>
      </c>
      <c r="T24" s="187">
        <v>3216</v>
      </c>
      <c r="U24" s="187" t="s">
        <v>113</v>
      </c>
      <c r="V24" s="187">
        <f t="shared" si="9"/>
        <v>80.400000000000006</v>
      </c>
      <c r="W24" s="189"/>
      <c r="X24" s="189"/>
      <c r="Y24" s="189" t="s">
        <v>112</v>
      </c>
      <c r="Z24" s="189">
        <f t="shared" si="10"/>
        <v>0</v>
      </c>
    </row>
    <row r="25" spans="1:26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13">SUM(G16:G24)</f>
        <v>0</v>
      </c>
      <c r="H25" s="136">
        <f t="shared" si="13"/>
        <v>40</v>
      </c>
      <c r="I25" s="137">
        <f t="shared" si="13"/>
        <v>1569.2000000000003</v>
      </c>
      <c r="J25" s="138"/>
      <c r="K25" s="139">
        <f t="shared" si="13"/>
        <v>134.9512</v>
      </c>
      <c r="L25" s="140">
        <f t="shared" si="13"/>
        <v>78.460000000000022</v>
      </c>
      <c r="M25" s="141">
        <f t="shared" si="13"/>
        <v>1355.7888000000003</v>
      </c>
      <c r="N25" s="142">
        <f>SUM(N16:N24)</f>
        <v>244.04198400000004</v>
      </c>
      <c r="O25" s="143">
        <f>SUM(O16:O24)</f>
        <v>7.9991539200000012</v>
      </c>
      <c r="P25" s="144">
        <f>SUM(P16:P24)</f>
        <v>1607.8299379200002</v>
      </c>
      <c r="S25" s="187" t="s">
        <v>107</v>
      </c>
      <c r="T25" s="187">
        <v>3216</v>
      </c>
      <c r="U25" s="187" t="s">
        <v>113</v>
      </c>
      <c r="V25" s="187">
        <f t="shared" si="9"/>
        <v>80.400000000000006</v>
      </c>
      <c r="W25" s="189" t="s">
        <v>107</v>
      </c>
      <c r="X25" s="189">
        <v>3110</v>
      </c>
      <c r="Y25" s="189" t="s">
        <v>113</v>
      </c>
      <c r="Z25" s="189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1569.2000000000003</v>
      </c>
    </row>
    <row r="29" spans="1:26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78.460000000000022</v>
      </c>
    </row>
    <row r="30" spans="1:26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134.9512</v>
      </c>
    </row>
    <row r="31" spans="1:26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1355.7888000000003</v>
      </c>
    </row>
    <row r="32" spans="1:26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244.04198400000004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1599.8307840000002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7.9991539200000012</v>
      </c>
    </row>
    <row r="35" spans="2:16" ht="15.75" customHeight="1" thickBot="1" x14ac:dyDescent="0.4">
      <c r="N35" s="212" t="s">
        <v>92</v>
      </c>
      <c r="O35" s="213"/>
      <c r="P35" s="160">
        <f>P33+P34</f>
        <v>1607.8299379200002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abSelected="1" topLeftCell="A7" workbookViewId="0">
      <selection activeCell="I9" sqref="I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2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124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125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3520296393577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/>
      <c r="K17" s="104">
        <f t="shared" ref="K17:K21" si="3">I17*3.5%</f>
        <v>73.447500000000005</v>
      </c>
      <c r="L17" s="105">
        <f t="shared" ref="L17:L21" si="4">I17*8%</f>
        <v>167.88</v>
      </c>
      <c r="M17" s="118">
        <f t="shared" ref="M17:M23" si="5">I17-K17-L17</f>
        <v>1857.1725000000001</v>
      </c>
      <c r="N17" s="118">
        <f t="shared" si="0"/>
        <v>334.29104999999998</v>
      </c>
      <c r="O17" s="119">
        <f t="shared" ref="O17:O24" si="6">(N17+M17)*$O$15</f>
        <v>10.95731775</v>
      </c>
      <c r="P17" s="120">
        <f t="shared" si="1"/>
        <v>2202.4208677500001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462.86207999999999</v>
      </c>
      <c r="O19" s="119">
        <f t="shared" si="6"/>
        <v>15.171590399999999</v>
      </c>
      <c r="P19" s="120">
        <f t="shared" si="1"/>
        <v>3049.4896703999998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2"/>
        <v>5811.2</v>
      </c>
      <c r="J21" s="117"/>
      <c r="K21" s="104">
        <f t="shared" si="3"/>
        <v>203.39200000000002</v>
      </c>
      <c r="L21" s="105">
        <f t="shared" si="4"/>
        <v>464.89600000000002</v>
      </c>
      <c r="M21" s="118">
        <f t="shared" si="5"/>
        <v>5142.9120000000003</v>
      </c>
      <c r="N21" s="118">
        <f t="shared" si="0"/>
        <v>925.72415999999998</v>
      </c>
      <c r="O21" s="119">
        <f t="shared" si="6"/>
        <v>30.343180799999999</v>
      </c>
      <c r="P21" s="120">
        <f t="shared" si="1"/>
        <v>6098.9793407999996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80</v>
      </c>
      <c r="I22" s="116">
        <f t="shared" si="2"/>
        <v>3138.4000000000005</v>
      </c>
      <c r="J22" s="117"/>
      <c r="K22" s="104">
        <f>I22*8.6%</f>
        <v>269.9024</v>
      </c>
      <c r="L22" s="120">
        <f>I22*5%</f>
        <v>156.92000000000004</v>
      </c>
      <c r="M22" s="118">
        <f t="shared" si="5"/>
        <v>2711.5776000000005</v>
      </c>
      <c r="N22" s="118">
        <f t="shared" si="0"/>
        <v>488.08396800000008</v>
      </c>
      <c r="O22" s="119">
        <f t="shared" si="6"/>
        <v>15.998307840000002</v>
      </c>
      <c r="P22" s="120">
        <f t="shared" si="1"/>
        <v>3215.6598758400005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240</v>
      </c>
      <c r="I25" s="137">
        <f t="shared" si="9"/>
        <v>13953.7</v>
      </c>
      <c r="J25" s="138"/>
      <c r="K25" s="139">
        <f t="shared" si="9"/>
        <v>648.43790000000013</v>
      </c>
      <c r="L25" s="140">
        <f t="shared" si="9"/>
        <v>1022.144</v>
      </c>
      <c r="M25" s="141">
        <f t="shared" si="9"/>
        <v>12283.118100000002</v>
      </c>
      <c r="N25" s="142">
        <f>SUM(N16:N24)</f>
        <v>2210.9612579999998</v>
      </c>
      <c r="O25" s="143">
        <f>SUM(O16:O24)</f>
        <v>72.470396789999995</v>
      </c>
      <c r="P25" s="144">
        <f>SUM(P16:P24)</f>
        <v>14566.549754789998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13953.7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1022.144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648.43790000000013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12283.1181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2210.9612579999998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14494.079357999999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72.470396789999995</v>
      </c>
    </row>
    <row r="35" spans="2:16" ht="15.75" customHeight="1" thickBot="1" x14ac:dyDescent="0.4">
      <c r="N35" s="212" t="s">
        <v>92</v>
      </c>
      <c r="O35" s="213"/>
      <c r="P35" s="160">
        <f>P33+P34</f>
        <v>14566.549754789999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E37" sqref="E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4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126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127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168">
        <v>3520133034223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/>
      <c r="K17" s="104">
        <f t="shared" ref="K17:K21" si="3">I17*3.5%</f>
        <v>18.361875000000001</v>
      </c>
      <c r="L17" s="105">
        <f t="shared" ref="L17:L21" si="4">I17*8%</f>
        <v>41.97</v>
      </c>
      <c r="M17" s="118">
        <f t="shared" ref="M17:M23" si="5">I17-K17-L17</f>
        <v>464.29312500000003</v>
      </c>
      <c r="N17" s="118">
        <f t="shared" si="0"/>
        <v>83.572762499999996</v>
      </c>
      <c r="O17" s="119">
        <f t="shared" ref="O17:O24" si="6">(N17+M17)*$O$15</f>
        <v>2.7393294374999999</v>
      </c>
      <c r="P17" s="120">
        <f t="shared" si="1"/>
        <v>550.60521693750002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04">
        <f t="shared" si="3"/>
        <v>38.136000000000003</v>
      </c>
      <c r="L19" s="105">
        <f t="shared" si="4"/>
        <v>87.167999999999992</v>
      </c>
      <c r="M19" s="118">
        <f t="shared" si="5"/>
        <v>964.29599999999994</v>
      </c>
      <c r="N19" s="118">
        <f t="shared" si="0"/>
        <v>173.57327999999998</v>
      </c>
      <c r="O19" s="119">
        <f t="shared" si="6"/>
        <v>5.6893463999999998</v>
      </c>
      <c r="P19" s="120">
        <f t="shared" si="1"/>
        <v>1143.5586263999999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04">
        <f t="shared" si="3"/>
        <v>38.136000000000003</v>
      </c>
      <c r="L21" s="105">
        <f t="shared" si="4"/>
        <v>87.167999999999992</v>
      </c>
      <c r="M21" s="118">
        <f t="shared" si="5"/>
        <v>964.29599999999994</v>
      </c>
      <c r="N21" s="118">
        <f t="shared" si="0"/>
        <v>173.57327999999998</v>
      </c>
      <c r="O21" s="119">
        <f t="shared" si="6"/>
        <v>5.6893463999999998</v>
      </c>
      <c r="P21" s="120">
        <f t="shared" si="1"/>
        <v>1143.5586263999999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40</v>
      </c>
      <c r="I25" s="137">
        <f t="shared" si="9"/>
        <v>2703.8249999999998</v>
      </c>
      <c r="J25" s="138"/>
      <c r="K25" s="139">
        <f t="shared" si="9"/>
        <v>94.633875000000018</v>
      </c>
      <c r="L25" s="140">
        <f t="shared" si="9"/>
        <v>216.30599999999998</v>
      </c>
      <c r="M25" s="141">
        <f t="shared" si="9"/>
        <v>2392.8851249999998</v>
      </c>
      <c r="N25" s="142">
        <f>SUM(N16:N24)</f>
        <v>430.71932249999998</v>
      </c>
      <c r="O25" s="143">
        <f>SUM(O16:O24)</f>
        <v>14.1180222375</v>
      </c>
      <c r="P25" s="144">
        <f>SUM(P16:P24)</f>
        <v>2837.7224697374995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2703.8249999999998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216.30599999999998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94.633875000000018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2392.8851249999998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430.71932249999998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2823.6044474999999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14.1180222375</v>
      </c>
    </row>
    <row r="35" spans="2:16" ht="15.75" customHeight="1" thickBot="1" x14ac:dyDescent="0.4">
      <c r="N35" s="212" t="s">
        <v>92</v>
      </c>
      <c r="O35" s="213"/>
      <c r="P35" s="160">
        <f>P33+P34</f>
        <v>2837.7224697375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6" workbookViewId="0">
      <selection activeCell="E37" sqref="E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3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128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129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5465156651561560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/>
      <c r="K16" s="104">
        <f>I16*3.5%</f>
        <v>36.723750000000003</v>
      </c>
      <c r="L16" s="105">
        <f>I16*8%</f>
        <v>83.94</v>
      </c>
      <c r="M16" s="106">
        <f>I16-K16-L16</f>
        <v>928.58625000000006</v>
      </c>
      <c r="N16" s="106">
        <f t="shared" ref="N16:N24" si="0">(M16*$N$15)+(J16*F16)*$N$15</f>
        <v>167.14552499999999</v>
      </c>
      <c r="O16" s="107">
        <f>(N16+M16)*$O$15</f>
        <v>5.4786588749999998</v>
      </c>
      <c r="P16" s="105">
        <f t="shared" ref="P16:P24" si="1">M16+N16+O16</f>
        <v>1101.210433875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/>
      <c r="K17" s="104">
        <f t="shared" ref="K17:K21" si="3">I17*3.5%</f>
        <v>36.723750000000003</v>
      </c>
      <c r="L17" s="105">
        <f t="shared" ref="L17:L21" si="4">I17*8%</f>
        <v>83.94</v>
      </c>
      <c r="M17" s="118">
        <f t="shared" ref="M17:M23" si="5">I17-K17-L17</f>
        <v>928.58625000000006</v>
      </c>
      <c r="N17" s="118">
        <f t="shared" si="0"/>
        <v>167.14552499999999</v>
      </c>
      <c r="O17" s="119">
        <f t="shared" ref="O17:O24" si="6">(N17+M17)*$O$15</f>
        <v>5.4786588749999998</v>
      </c>
      <c r="P17" s="120">
        <f t="shared" si="1"/>
        <v>1101.210433875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04">
        <f>I22*8.6%</f>
        <v>67.4756</v>
      </c>
      <c r="L22" s="120">
        <f>I22*5%</f>
        <v>39.230000000000011</v>
      </c>
      <c r="M22" s="118">
        <f t="shared" si="5"/>
        <v>677.89440000000013</v>
      </c>
      <c r="N22" s="118">
        <f t="shared" si="0"/>
        <v>122.02099200000002</v>
      </c>
      <c r="O22" s="119">
        <f t="shared" si="6"/>
        <v>3.9995769600000006</v>
      </c>
      <c r="P22" s="120">
        <f t="shared" si="1"/>
        <v>803.91496896000012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60</v>
      </c>
      <c r="I25" s="137">
        <f t="shared" si="9"/>
        <v>2883.1000000000004</v>
      </c>
      <c r="J25" s="138"/>
      <c r="K25" s="139">
        <f t="shared" si="9"/>
        <v>140.92310000000001</v>
      </c>
      <c r="L25" s="140">
        <f t="shared" si="9"/>
        <v>207.11</v>
      </c>
      <c r="M25" s="141">
        <f t="shared" si="9"/>
        <v>2535.0669000000003</v>
      </c>
      <c r="N25" s="142">
        <f>SUM(N16:N24)</f>
        <v>456.31204200000002</v>
      </c>
      <c r="O25" s="143">
        <f>SUM(O16:O24)</f>
        <v>14.95689471</v>
      </c>
      <c r="P25" s="144">
        <f>SUM(P16:P24)</f>
        <v>3006.33583671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2883.1000000000004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207.11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140.92310000000001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2535.0669000000003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456.31204200000002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2991.3789420000003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14.956894710000002</v>
      </c>
    </row>
    <row r="35" spans="2:16" ht="15.75" customHeight="1" thickBot="1" x14ac:dyDescent="0.4">
      <c r="N35" s="212" t="s">
        <v>92</v>
      </c>
      <c r="O35" s="213"/>
      <c r="P35" s="160">
        <f>P33+P34</f>
        <v>3006.3358367100004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6" workbookViewId="0">
      <selection activeCell="E37" sqref="E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5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130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127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1.5615615615615601E+18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04">
        <f t="shared" si="3"/>
        <v>38.136000000000003</v>
      </c>
      <c r="L19" s="105">
        <f t="shared" si="4"/>
        <v>87.167999999999992</v>
      </c>
      <c r="M19" s="118">
        <f t="shared" si="5"/>
        <v>964.29599999999994</v>
      </c>
      <c r="N19" s="118">
        <f t="shared" si="0"/>
        <v>173.57327999999998</v>
      </c>
      <c r="O19" s="119">
        <f t="shared" si="6"/>
        <v>5.6893463999999998</v>
      </c>
      <c r="P19" s="120">
        <f t="shared" si="1"/>
        <v>1143.5586263999999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15</v>
      </c>
      <c r="I22" s="116">
        <f t="shared" si="2"/>
        <v>588.45000000000005</v>
      </c>
      <c r="J22" s="117"/>
      <c r="K22" s="104">
        <f>I22*8.6%</f>
        <v>50.606699999999996</v>
      </c>
      <c r="L22" s="120">
        <f>I22*5%</f>
        <v>29.422500000000003</v>
      </c>
      <c r="M22" s="118">
        <f t="shared" si="5"/>
        <v>508.42079999999999</v>
      </c>
      <c r="N22" s="118">
        <f t="shared" si="0"/>
        <v>91.515743999999998</v>
      </c>
      <c r="O22" s="119">
        <f t="shared" si="6"/>
        <v>2.99968272</v>
      </c>
      <c r="P22" s="120">
        <f t="shared" si="1"/>
        <v>602.93622672000004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30</v>
      </c>
      <c r="I25" s="137">
        <f t="shared" si="9"/>
        <v>1678.05</v>
      </c>
      <c r="J25" s="138"/>
      <c r="K25" s="139">
        <f t="shared" si="9"/>
        <v>88.742699999999999</v>
      </c>
      <c r="L25" s="140">
        <f t="shared" si="9"/>
        <v>116.59049999999999</v>
      </c>
      <c r="M25" s="141">
        <f t="shared" si="9"/>
        <v>1472.7167999999999</v>
      </c>
      <c r="N25" s="142">
        <f>SUM(N16:N24)</f>
        <v>265.08902399999999</v>
      </c>
      <c r="O25" s="143">
        <f>SUM(O16:O24)</f>
        <v>8.6890291200000007</v>
      </c>
      <c r="P25" s="144">
        <f>SUM(P16:P24)</f>
        <v>1746.4948531199998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1678.05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116.59049999999999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88.742699999999999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1472.7167999999999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265.08902399999999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1737.805824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8.6890291200000007</v>
      </c>
    </row>
    <row r="35" spans="2:16" ht="15.75" customHeight="1" thickBot="1" x14ac:dyDescent="0.4">
      <c r="N35" s="212" t="s">
        <v>92</v>
      </c>
      <c r="O35" s="213"/>
      <c r="P35" s="160">
        <f>P33+P34</f>
        <v>1746.49485312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6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7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8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9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topLeftCell="A20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2026-07-18T06:42:12Z</dcterms:modified>
</cp:coreProperties>
</file>