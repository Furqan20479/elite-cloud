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25CAA9F-E658-4D33-B5E4-039285E5EC5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C11" i="32" s="1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N4" i="32"/>
  <c r="N5" i="32" s="1"/>
  <c r="O34" i="31"/>
  <c r="C11" i="31" s="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C11" i="29" s="1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33" l="1"/>
  <c r="K17" i="33" s="1"/>
  <c r="I21" i="33"/>
  <c r="K21" i="33" s="1"/>
  <c r="I24" i="33"/>
  <c r="I16" i="35"/>
  <c r="K16" i="35" s="1"/>
  <c r="I19" i="35"/>
  <c r="K19" i="35" s="1"/>
  <c r="I22" i="35"/>
  <c r="K22" i="35" s="1"/>
  <c r="I17" i="35"/>
  <c r="K17" i="35" s="1"/>
  <c r="I20" i="35"/>
  <c r="K20" i="35" s="1"/>
  <c r="I23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K24" i="31" s="1"/>
  <c r="I23" i="32"/>
  <c r="K23" i="32" s="1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K23" i="34" s="1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L24" i="29" s="1"/>
  <c r="I24" i="32"/>
  <c r="K24" i="32" s="1"/>
  <c r="I19" i="33"/>
  <c r="I23" i="33"/>
  <c r="L23" i="33" s="1"/>
  <c r="L17" i="33"/>
  <c r="L16" i="35"/>
  <c r="L17" i="35"/>
  <c r="M17" i="35" s="1"/>
  <c r="L18" i="35"/>
  <c r="M18" i="35" s="1"/>
  <c r="L19" i="35"/>
  <c r="L21" i="35"/>
  <c r="K23" i="35"/>
  <c r="L23" i="35"/>
  <c r="K24" i="35"/>
  <c r="L24" i="35"/>
  <c r="L21" i="33"/>
  <c r="K24" i="33"/>
  <c r="L24" i="33"/>
  <c r="M17" i="33"/>
  <c r="L24" i="31"/>
  <c r="L16" i="31"/>
  <c r="L23" i="31"/>
  <c r="K24" i="30"/>
  <c r="L24" i="30"/>
  <c r="K24" i="29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0" i="35" l="1"/>
  <c r="L23" i="32"/>
  <c r="L17" i="32"/>
  <c r="L23" i="30"/>
  <c r="I17" i="27"/>
  <c r="K17" i="27" s="1"/>
  <c r="I20" i="27"/>
  <c r="K20" i="27" s="1"/>
  <c r="I23" i="27"/>
  <c r="K23" i="27" s="1"/>
  <c r="M23" i="32"/>
  <c r="L24" i="32"/>
  <c r="L22" i="35"/>
  <c r="M22" i="35" s="1"/>
  <c r="N22" i="35" s="1"/>
  <c r="O22" i="35" s="1"/>
  <c r="M24" i="29"/>
  <c r="N24" i="29" s="1"/>
  <c r="O24" i="29" s="1"/>
  <c r="P24" i="29" s="1"/>
  <c r="L21" i="32"/>
  <c r="M21" i="32" s="1"/>
  <c r="N21" i="32" s="1"/>
  <c r="O21" i="32" s="1"/>
  <c r="L19" i="28"/>
  <c r="M19" i="28" s="1"/>
  <c r="N19" i="28" s="1"/>
  <c r="O19" i="28" s="1"/>
  <c r="L16" i="34"/>
  <c r="L16" i="29"/>
  <c r="M16" i="29" s="1"/>
  <c r="N16" i="29" s="1"/>
  <c r="I16" i="27"/>
  <c r="K16" i="27" s="1"/>
  <c r="I19" i="27"/>
  <c r="K19" i="27" s="1"/>
  <c r="I22" i="27"/>
  <c r="M23" i="30"/>
  <c r="N23" i="30" s="1"/>
  <c r="O23" i="30" s="1"/>
  <c r="L16" i="30"/>
  <c r="L20" i="28"/>
  <c r="M20" i="28" s="1"/>
  <c r="N20" i="28" s="1"/>
  <c r="O20" i="28" s="1"/>
  <c r="P20" i="28" s="1"/>
  <c r="L17" i="34"/>
  <c r="M17" i="34" s="1"/>
  <c r="N17" i="34" s="1"/>
  <c r="O17" i="34" s="1"/>
  <c r="I25" i="35"/>
  <c r="P28" i="35" s="1"/>
  <c r="L21" i="28"/>
  <c r="M21" i="28" s="1"/>
  <c r="N21" i="28" s="1"/>
  <c r="O21" i="28" s="1"/>
  <c r="L21" i="30"/>
  <c r="M21" i="30" s="1"/>
  <c r="L21" i="34"/>
  <c r="M21" i="34" s="1"/>
  <c r="N21" i="34" s="1"/>
  <c r="O21" i="34" s="1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M17" i="29" s="1"/>
  <c r="N17" i="29" s="1"/>
  <c r="O17" i="29" s="1"/>
  <c r="P17" i="29" s="1"/>
  <c r="L16" i="33"/>
  <c r="K16" i="33"/>
  <c r="L16" i="32"/>
  <c r="M16" i="32" s="1"/>
  <c r="N16" i="32" s="1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M20" i="30" s="1"/>
  <c r="N20" i="30" s="1"/>
  <c r="O20" i="30" s="1"/>
  <c r="L21" i="29"/>
  <c r="M21" i="29" s="1"/>
  <c r="N21" i="29" s="1"/>
  <c r="O21" i="29" s="1"/>
  <c r="L20" i="29"/>
  <c r="M20" i="29" s="1"/>
  <c r="N20" i="29" s="1"/>
  <c r="O20" i="29" s="1"/>
  <c r="L17" i="28"/>
  <c r="M17" i="28" s="1"/>
  <c r="N17" i="28" s="1"/>
  <c r="O17" i="28" s="1"/>
  <c r="L16" i="28"/>
  <c r="M16" i="28" s="1"/>
  <c r="I25" i="28"/>
  <c r="P28" i="28" s="1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L22" i="28"/>
  <c r="K23" i="28"/>
  <c r="M23" i="28" s="1"/>
  <c r="N23" i="28" s="1"/>
  <c r="O23" i="28" s="1"/>
  <c r="P23" i="28" s="1"/>
  <c r="K23" i="29"/>
  <c r="M23" i="29" s="1"/>
  <c r="N23" i="29" s="1"/>
  <c r="O23" i="29" s="1"/>
  <c r="L19" i="30"/>
  <c r="M19" i="30" s="1"/>
  <c r="N19" i="30" s="1"/>
  <c r="O19" i="30" s="1"/>
  <c r="P19" i="30" s="1"/>
  <c r="L19" i="31"/>
  <c r="M19" i="31" s="1"/>
  <c r="N19" i="31" s="1"/>
  <c r="O19" i="31" s="1"/>
  <c r="K24" i="34"/>
  <c r="M24" i="34" s="1"/>
  <c r="L20" i="34"/>
  <c r="M20" i="34" s="1"/>
  <c r="N20" i="34" s="1"/>
  <c r="O20" i="34" s="1"/>
  <c r="M21" i="35"/>
  <c r="N21" i="35" s="1"/>
  <c r="O21" i="35" s="1"/>
  <c r="I25" i="34"/>
  <c r="P28" i="34" s="1"/>
  <c r="M24" i="28"/>
  <c r="N24" i="28" s="1"/>
  <c r="O24" i="28" s="1"/>
  <c r="P24" i="28" s="1"/>
  <c r="L18" i="28"/>
  <c r="L18" i="29"/>
  <c r="M18" i="29" s="1"/>
  <c r="N18" i="29" s="1"/>
  <c r="O18" i="29" s="1"/>
  <c r="M24" i="30"/>
  <c r="N24" i="30" s="1"/>
  <c r="O24" i="30" s="1"/>
  <c r="P24" i="30" s="1"/>
  <c r="L18" i="30"/>
  <c r="L18" i="32"/>
  <c r="M18" i="32" s="1"/>
  <c r="N18" i="32" s="1"/>
  <c r="O18" i="32" s="1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19" i="34" s="1"/>
  <c r="N19" i="34" s="1"/>
  <c r="O19" i="34" s="1"/>
  <c r="M24" i="35"/>
  <c r="N24" i="35" s="1"/>
  <c r="O24" i="35" s="1"/>
  <c r="P24" i="35" s="1"/>
  <c r="L18" i="33"/>
  <c r="M18" i="33" s="1"/>
  <c r="N18" i="33" s="1"/>
  <c r="O18" i="33" s="1"/>
  <c r="I25" i="30"/>
  <c r="P28" i="30" s="1"/>
  <c r="M24" i="31"/>
  <c r="M24" i="33"/>
  <c r="M23" i="35"/>
  <c r="N23" i="35" s="1"/>
  <c r="O23" i="35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L23" i="26" s="1"/>
  <c r="I24" i="26"/>
  <c r="L24" i="26" s="1"/>
  <c r="I21" i="27"/>
  <c r="K21" i="27" s="1"/>
  <c r="M18" i="28"/>
  <c r="N18" i="28" s="1"/>
  <c r="O18" i="28" s="1"/>
  <c r="P18" i="28" s="1"/>
  <c r="M23" i="31"/>
  <c r="N23" i="31" s="1"/>
  <c r="O23" i="31" s="1"/>
  <c r="I25" i="31"/>
  <c r="P28" i="31" s="1"/>
  <c r="M17" i="32"/>
  <c r="N17" i="32" s="1"/>
  <c r="O17" i="32" s="1"/>
  <c r="M16" i="34"/>
  <c r="N16" i="34" s="1"/>
  <c r="I25" i="33"/>
  <c r="P28" i="33" s="1"/>
  <c r="L19" i="29"/>
  <c r="M19" i="29" s="1"/>
  <c r="N19" i="29" s="1"/>
  <c r="O19" i="29" s="1"/>
  <c r="I25" i="29"/>
  <c r="P28" i="29" s="1"/>
  <c r="M21" i="33"/>
  <c r="N21" i="33" s="1"/>
  <c r="O21" i="33" s="1"/>
  <c r="M19" i="33"/>
  <c r="N19" i="33" s="1"/>
  <c r="O19" i="33" s="1"/>
  <c r="M19" i="35"/>
  <c r="N19" i="35" s="1"/>
  <c r="O19" i="35" s="1"/>
  <c r="M20" i="31"/>
  <c r="N20" i="31" s="1"/>
  <c r="O20" i="31" s="1"/>
  <c r="M20" i="35"/>
  <c r="N20" i="35" s="1"/>
  <c r="O20" i="35" s="1"/>
  <c r="P20" i="35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N18" i="35"/>
  <c r="O18" i="35" s="1"/>
  <c r="N17" i="35"/>
  <c r="O17" i="35" s="1"/>
  <c r="K25" i="35"/>
  <c r="P30" i="35" s="1"/>
  <c r="L25" i="35"/>
  <c r="P29" i="35" s="1"/>
  <c r="M16" i="35"/>
  <c r="N24" i="33"/>
  <c r="O24" i="33" s="1"/>
  <c r="N17" i="33"/>
  <c r="O17" i="33" s="1"/>
  <c r="N23" i="32"/>
  <c r="O23" i="32" s="1"/>
  <c r="N24" i="31"/>
  <c r="O24" i="31" s="1"/>
  <c r="M16" i="31"/>
  <c r="K25" i="31"/>
  <c r="P30" i="31" s="1"/>
  <c r="N21" i="30"/>
  <c r="O21" i="30" s="1"/>
  <c r="J25" i="15"/>
  <c r="L16" i="27"/>
  <c r="L17" i="27"/>
  <c r="L20" i="27"/>
  <c r="K24" i="27"/>
  <c r="L24" i="27"/>
  <c r="L19" i="27"/>
  <c r="L18" i="27"/>
  <c r="L16" i="26"/>
  <c r="T23" i="15"/>
  <c r="T22" i="15"/>
  <c r="T21" i="15"/>
  <c r="T20" i="15"/>
  <c r="T19" i="15"/>
  <c r="T18" i="15"/>
  <c r="T15" i="15"/>
  <c r="T14" i="15"/>
  <c r="L23" i="27" l="1"/>
  <c r="M22" i="34"/>
  <c r="N22" i="34" s="1"/>
  <c r="O22" i="34" s="1"/>
  <c r="P24" i="31"/>
  <c r="K25" i="33"/>
  <c r="P30" i="33" s="1"/>
  <c r="K24" i="26"/>
  <c r="K23" i="26"/>
  <c r="L18" i="26"/>
  <c r="M16" i="33"/>
  <c r="M24" i="26"/>
  <c r="N24" i="26" s="1"/>
  <c r="O24" i="26" s="1"/>
  <c r="K25" i="28"/>
  <c r="P30" i="28" s="1"/>
  <c r="L17" i="26"/>
  <c r="M17" i="26" s="1"/>
  <c r="N17" i="26" s="1"/>
  <c r="O17" i="26" s="1"/>
  <c r="P17" i="26" s="1"/>
  <c r="L25" i="33"/>
  <c r="P29" i="33" s="1"/>
  <c r="I25" i="27"/>
  <c r="P28" i="27" s="1"/>
  <c r="L21" i="27"/>
  <c r="M21" i="27" s="1"/>
  <c r="N21" i="27" s="1"/>
  <c r="L21" i="26"/>
  <c r="M21" i="26" s="1"/>
  <c r="N21" i="26" s="1"/>
  <c r="O21" i="26" s="1"/>
  <c r="L25" i="34"/>
  <c r="P29" i="34" s="1"/>
  <c r="L25" i="32"/>
  <c r="P29" i="32" s="1"/>
  <c r="P31" i="32" s="1"/>
  <c r="L19" i="26"/>
  <c r="M19" i="26" s="1"/>
  <c r="N19" i="26" s="1"/>
  <c r="O19" i="26" s="1"/>
  <c r="L25" i="30"/>
  <c r="P29" i="30" s="1"/>
  <c r="L25" i="28"/>
  <c r="P29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25" i="34"/>
  <c r="P17" i="31"/>
  <c r="P18" i="29"/>
  <c r="P19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N16" i="33"/>
  <c r="P21" i="33"/>
  <c r="P24" i="33"/>
  <c r="P23" i="33"/>
  <c r="O16" i="32"/>
  <c r="P20" i="32"/>
  <c r="P18" i="32"/>
  <c r="P21" i="32"/>
  <c r="P19" i="31"/>
  <c r="N16" i="31"/>
  <c r="O16" i="30"/>
  <c r="P23" i="30"/>
  <c r="P17" i="30"/>
  <c r="P20" i="30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2" i="29" l="1"/>
  <c r="L25" i="27"/>
  <c r="P29" i="27" s="1"/>
  <c r="M25" i="31"/>
  <c r="I18" i="22"/>
  <c r="K18" i="22" s="1"/>
  <c r="I21" i="22"/>
  <c r="K21" i="22" s="1"/>
  <c r="P22" i="33"/>
  <c r="M25" i="33"/>
  <c r="M25" i="32"/>
  <c r="O25" i="32"/>
  <c r="M25" i="29"/>
  <c r="P31" i="28"/>
  <c r="N25" i="29"/>
  <c r="P32" i="29" s="1"/>
  <c r="P33" i="29" s="1"/>
  <c r="P34" i="29" s="1"/>
  <c r="P35" i="29" s="1"/>
  <c r="U27" i="15" s="1"/>
  <c r="N25" i="32"/>
  <c r="P32" i="32" s="1"/>
  <c r="P33" i="32" s="1"/>
  <c r="P34" i="32" s="1"/>
  <c r="P35" i="32" s="1"/>
  <c r="U30" i="15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K23" i="25" s="1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23" i="23"/>
  <c r="K23" i="23"/>
  <c r="L16" i="22"/>
  <c r="L18" i="22"/>
  <c r="L20" i="22"/>
  <c r="L17" i="22"/>
  <c r="L19" i="22"/>
  <c r="L21" i="22"/>
  <c r="K23" i="20"/>
  <c r="K24" i="19"/>
  <c r="L24" i="19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1" i="18" s="1"/>
  <c r="N21" i="18" s="1"/>
  <c r="O21" i="18" s="1"/>
  <c r="P33" i="28"/>
  <c r="K24" i="18"/>
  <c r="M24" i="18" s="1"/>
  <c r="L23" i="25"/>
  <c r="K24" i="25"/>
  <c r="L24" i="20"/>
  <c r="L18" i="25"/>
  <c r="M25" i="26"/>
  <c r="L21" i="17"/>
  <c r="K21" i="17"/>
  <c r="L21" i="19"/>
  <c r="K21" i="19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L17" i="18"/>
  <c r="K17" i="18"/>
  <c r="L17" i="25"/>
  <c r="L17" i="24"/>
  <c r="K17" i="24"/>
  <c r="L16" i="20"/>
  <c r="K16" i="20"/>
  <c r="M16" i="20" s="1"/>
  <c r="N16" i="20" s="1"/>
  <c r="L16" i="25"/>
  <c r="L16" i="18"/>
  <c r="K16" i="18"/>
  <c r="L16" i="24"/>
  <c r="K16" i="24"/>
  <c r="L20" i="25"/>
  <c r="M20" i="25" s="1"/>
  <c r="N20" i="25" s="1"/>
  <c r="O20" i="25" s="1"/>
  <c r="L21" i="25"/>
  <c r="K21" i="25"/>
  <c r="L21" i="24"/>
  <c r="K21" i="24"/>
  <c r="L19" i="24"/>
  <c r="K19" i="24"/>
  <c r="L17" i="23"/>
  <c r="K17" i="23"/>
  <c r="L16" i="23"/>
  <c r="K16" i="23"/>
  <c r="L17" i="21"/>
  <c r="K17" i="21"/>
  <c r="L16" i="21"/>
  <c r="K16" i="21"/>
  <c r="L20" i="20"/>
  <c r="K20" i="20"/>
  <c r="L21" i="20"/>
  <c r="K21" i="20"/>
  <c r="M21" i="20" s="1"/>
  <c r="N21" i="20" s="1"/>
  <c r="O21" i="20" s="1"/>
  <c r="L17" i="19"/>
  <c r="K17" i="19"/>
  <c r="L16" i="19"/>
  <c r="K16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K22" i="18"/>
  <c r="L22" i="18"/>
  <c r="K22" i="25"/>
  <c r="L22" i="25"/>
  <c r="L24" i="17"/>
  <c r="K23" i="24"/>
  <c r="M23" i="24" s="1"/>
  <c r="N23" i="24" s="1"/>
  <c r="O23" i="24" s="1"/>
  <c r="I25" i="25"/>
  <c r="P28" i="25" s="1"/>
  <c r="L18" i="17"/>
  <c r="M18" i="17" s="1"/>
  <c r="N18" i="17" s="1"/>
  <c r="O18" i="17" s="1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M24" i="21" s="1"/>
  <c r="N24" i="21" s="1"/>
  <c r="O24" i="21" s="1"/>
  <c r="P24" i="21" s="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L24" i="24"/>
  <c r="M24" i="24" s="1"/>
  <c r="N24" i="24" s="1"/>
  <c r="O24" i="24" s="1"/>
  <c r="L18" i="24"/>
  <c r="M18" i="24" s="1"/>
  <c r="N18" i="24" s="1"/>
  <c r="O18" i="24" s="1"/>
  <c r="L18" i="21"/>
  <c r="M18" i="21" s="1"/>
  <c r="N18" i="21" s="1"/>
  <c r="O18" i="21" s="1"/>
  <c r="L19" i="21"/>
  <c r="M19" i="21" s="1"/>
  <c r="N19" i="21" s="1"/>
  <c r="O19" i="21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M23" i="18" s="1"/>
  <c r="N23" i="18" s="1"/>
  <c r="O23" i="18" s="1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4" i="20"/>
  <c r="N24" i="20" s="1"/>
  <c r="O24" i="20" s="1"/>
  <c r="M24" i="19"/>
  <c r="N24" i="19" s="1"/>
  <c r="O24" i="19" s="1"/>
  <c r="M20" i="22"/>
  <c r="N20" i="22" s="1"/>
  <c r="O20" i="22" s="1"/>
  <c r="M23" i="23"/>
  <c r="N23" i="23" s="1"/>
  <c r="O23" i="23" s="1"/>
  <c r="K25" i="25"/>
  <c r="P30" i="25" s="1"/>
  <c r="M16" i="25"/>
  <c r="M16" i="22"/>
  <c r="N24" i="18"/>
  <c r="O24" i="18" s="1"/>
  <c r="I23" i="15"/>
  <c r="M18" i="23" l="1"/>
  <c r="N18" i="23" s="1"/>
  <c r="O18" i="23" s="1"/>
  <c r="M19" i="19"/>
  <c r="N19" i="19" s="1"/>
  <c r="O19" i="19" s="1"/>
  <c r="M16" i="23"/>
  <c r="N16" i="23" s="1"/>
  <c r="M20" i="23"/>
  <c r="N20" i="23" s="1"/>
  <c r="O20" i="23" s="1"/>
  <c r="M17" i="23"/>
  <c r="N17" i="23" s="1"/>
  <c r="O17" i="23" s="1"/>
  <c r="M19" i="24"/>
  <c r="N19" i="24" s="1"/>
  <c r="O19" i="24" s="1"/>
  <c r="P19" i="24" s="1"/>
  <c r="M22" i="25"/>
  <c r="N22" i="25" s="1"/>
  <c r="O22" i="25" s="1"/>
  <c r="M22" i="17"/>
  <c r="N22" i="17" s="1"/>
  <c r="O22" i="17" s="1"/>
  <c r="M16" i="21"/>
  <c r="N16" i="21" s="1"/>
  <c r="M20" i="18"/>
  <c r="N20" i="18" s="1"/>
  <c r="O20" i="18" s="1"/>
  <c r="M22" i="18"/>
  <c r="N22" i="18" s="1"/>
  <c r="O22" i="18" s="1"/>
  <c r="M17" i="18"/>
  <c r="N17" i="18" s="1"/>
  <c r="O17" i="18" s="1"/>
  <c r="M16" i="24"/>
  <c r="N16" i="24" s="1"/>
  <c r="M18" i="18"/>
  <c r="N18" i="18" s="1"/>
  <c r="O18" i="18" s="1"/>
  <c r="M17" i="21"/>
  <c r="N17" i="21" s="1"/>
  <c r="O17" i="21" s="1"/>
  <c r="P17" i="21" s="1"/>
  <c r="K25" i="22"/>
  <c r="P30" i="22" s="1"/>
  <c r="P31" i="22" s="1"/>
  <c r="M22" i="24"/>
  <c r="N22" i="24" s="1"/>
  <c r="O22" i="24" s="1"/>
  <c r="M17" i="19"/>
  <c r="N17" i="19" s="1"/>
  <c r="O17" i="19" s="1"/>
  <c r="M21" i="24"/>
  <c r="N21" i="24" s="1"/>
  <c r="O21" i="24" s="1"/>
  <c r="M17" i="24"/>
  <c r="N17" i="24" s="1"/>
  <c r="O17" i="24" s="1"/>
  <c r="M21" i="25"/>
  <c r="N21" i="25" s="1"/>
  <c r="O21" i="25" s="1"/>
  <c r="P21" i="25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L17" i="15" s="1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K20" i="15"/>
  <c r="K21" i="15"/>
  <c r="P16" i="26"/>
  <c r="P25" i="26" s="1"/>
  <c r="K25" i="23"/>
  <c r="P30" i="23" s="1"/>
  <c r="P34" i="26"/>
  <c r="P35" i="26" s="1"/>
  <c r="U24" i="15" s="1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N16" i="25"/>
  <c r="P18" i="25"/>
  <c r="P17" i="25"/>
  <c r="P19" i="25"/>
  <c r="O16" i="24"/>
  <c r="P22" i="24"/>
  <c r="P23" i="24"/>
  <c r="P24" i="24"/>
  <c r="P18" i="24"/>
  <c r="P20" i="24"/>
  <c r="P18" i="23"/>
  <c r="P23" i="23"/>
  <c r="P21" i="23"/>
  <c r="P17" i="23"/>
  <c r="O16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20" i="18"/>
  <c r="P21" i="18"/>
  <c r="P23" i="18"/>
  <c r="P24" i="18"/>
  <c r="P22" i="18"/>
  <c r="P18" i="18"/>
  <c r="P17" i="17"/>
  <c r="N16" i="17"/>
  <c r="P20" i="17"/>
  <c r="P24" i="17"/>
  <c r="P18" i="17"/>
  <c r="P22" i="17"/>
  <c r="P17" i="18" l="1"/>
  <c r="P20" i="23"/>
  <c r="M25" i="25"/>
  <c r="M25" i="24"/>
  <c r="N25" i="24"/>
  <c r="P32" i="24" s="1"/>
  <c r="M24" i="15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N25" i="18" l="1"/>
  <c r="P32" i="18" s="1"/>
  <c r="P33" i="18" s="1"/>
  <c r="P34" i="18" s="1"/>
  <c r="P35" i="18" s="1"/>
  <c r="U17" i="15" s="1"/>
  <c r="P33" i="23"/>
  <c r="P34" i="23" s="1"/>
  <c r="P35" i="23" s="1"/>
  <c r="U21" i="15" s="1"/>
  <c r="P33" i="21"/>
  <c r="P34" i="21" s="1"/>
  <c r="P35" i="21" s="1"/>
  <c r="U19" i="15" s="1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U7" i="6" s="1"/>
  <c r="S9" i="6"/>
  <c r="S13" i="6"/>
  <c r="Q7" i="6"/>
  <c r="Q9" i="6"/>
  <c r="Q13" i="6"/>
  <c r="S8" i="6"/>
  <c r="S14" i="6"/>
  <c r="S11" i="6"/>
  <c r="S10" i="6"/>
  <c r="S6" i="6"/>
  <c r="Q6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O8" i="6"/>
  <c r="U8" i="6" s="1"/>
  <c r="N9" i="6"/>
  <c r="W6" i="6" l="1"/>
  <c r="Y6" i="6" s="1"/>
  <c r="O9" i="6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<sst xmlns="http://schemas.openxmlformats.org/spreadsheetml/2006/main" count="1633" uniqueCount="133">
  <si>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</si>
  <si>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</si>
  <si>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</si>
  <si>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</si>
  <si>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</si>
  <si>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</si>
  <si>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</si>
  <si>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</si>
  <si>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</si>
  <si>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</si>
  <si>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</si>
  <si>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</si>
  <si>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</si>
  <si>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</si>
  <si>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</si>
  <si>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</si>
  <si>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</si>
  <si>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</si>
  <si>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</si>
  <si>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</si>
  <si>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</si>
  <si>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</si>
  <si>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</si>
  <si>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</si>
  <si>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</si>
  <si>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</si>
  <si>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</si>
  <si>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</si>
  <si>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</si>
  <si>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</si>
  <si>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</si>
  <si>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</si>
  <si>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</si>
  <si>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</si>
  <si>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</si>
  <si>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</si>
  <si>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</si>
  <si>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</si>
  <si>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</si>
  <si>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</si>
  <si>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</si>
  <si>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</si>
  <si>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</si>
  <si>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</si>
  <si>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</si>
  <si>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</si>
  <si>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</si>
  <si>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</si>
  <si>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</si>
  <si>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</si>
  <si>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</si>
  <si>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</si>
  <si>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</si>
  <si>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</si>
  <si>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</si>
  <si>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</si>
  <si>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</si>
  <si>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</si>
  <si>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</si>
  <si>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</si>
  <si>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</si>
  <si>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</si>
  <si>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</si>
  <si>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</si>
  <si>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</si>
  <si>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</si>
  <si>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</si>
  <si>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</si>
  <si>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</si>
  <si>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</si>
  <si>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</si>
  <si>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</si>
  <si>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</si>
  <si>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</si>
  <si>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</si>
  <si>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</si>
  <si>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</si>
  <si>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</si>
  <si>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</si>
  <si>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</si>
  <si>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</si>
  <si>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</si>
  <si>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</si>
  <si>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</si>
  <si>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</si>
  <si>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</si>
  <si>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</si>
  <si>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</si>
  <si>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</si>
  <si>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</si>
  <si>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</si>
  <si>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</si>
  <si>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</si>
  <si>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</si>
  <si>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</si>
  <si>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</si>
  <si>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</si>
  <si>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</si>
  <si>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</si>
  <si>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</si>
  <si>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</si>
  <si>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</si>
  <si>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</si>
  <si>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</si>
  <si>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</si>
  <si>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</si>
  <si>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</si>
  <si>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</si>
  <si>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</si>
  <si>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</si>
  <si>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</si>
  <si>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</si>
  <si>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</si>
  <si>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</si>
  <si>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</si>
  <si>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</si>
  <si>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</si>
  <si>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</si>
  <si>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</si>
  <si>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</si>
  <si>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</si>
  <si>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</si>
  <si>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>Customer Name : Chuhan Super Store</t>
  </si>
  <si>
    <t xml:space="preserve">Address: Pak Arab Cociety </t>
  </si>
  <si>
    <t>Customer Name :Bismillah Super Store</t>
  </si>
  <si>
    <t xml:space="preserve">Address: Pak Arab Society </t>
  </si>
  <si>
    <t>Customer Name : Awan Super Store</t>
  </si>
  <si>
    <t>Customer Name : Zam Zam Store</t>
  </si>
  <si>
    <t xml:space="preserve">Customer Name : MashaAllah Cash &amp; Carry </t>
  </si>
  <si>
    <t>Customer Name : Waleed Super Store</t>
  </si>
  <si>
    <t>Customer Name : Haris Super Store</t>
  </si>
  <si>
    <t>Customer Name : Kekiz Super Store</t>
  </si>
  <si>
    <t>A214932_3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</si>
</sst>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activeCell="U19" sqref="U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Chuhan Super Store</v>
      </c>
      <c r="U14" s="164">
        <f>+'1'!P35</f>
        <v>2202.4208677500001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:Bismillah Super Store</v>
      </c>
      <c r="U15" s="164">
        <f>+'2'!P35</f>
        <v>1524.7448351999999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36.723750000000003</v>
      </c>
      <c r="L16" s="174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167.14552499999999</v>
      </c>
      <c r="O16" s="101">
        <f>+'1'!O16+'2'!O16+'4'!O16+'3'!O16+'5'!O16+'6'!O16+'7'!O16+'8'!O16+'9'!O16+'10'!O16</f>
        <v>5.4786588749999998</v>
      </c>
      <c r="P16" s="105">
        <f t="shared" ref="P16:P24" si="0">M16+N16+O16</f>
        <v>1101.210433875</v>
      </c>
      <c r="Q16" s="108"/>
      <c r="T16" s="163" t="str">
        <f>+'3'!A5</f>
        <v>Customer Name : Awan Super Store</v>
      </c>
      <c r="U16" s="164">
        <f>+'3'!P35</f>
        <v>1555.0880159999999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36.723750000000003</v>
      </c>
      <c r="L17" s="174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>Customer Name : Zam Zam Store</v>
      </c>
      <c r="U17" s="164">
        <f>+'4'!P35</f>
        <v>819.91327680000006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MashaAllah Cash &amp; Carry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30</v>
      </c>
      <c r="I19" s="1">
        <f t="shared" si="1"/>
        <v>2179.1999999999998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76.272000000000006</v>
      </c>
      <c r="L19" s="174">
        <f>+'1'!L19+'2'!L19+'4'!L19+'3'!L19+'5'!L19+'6'!L19+'7'!L19+'8'!L19+'9'!L19+'10'!L19</f>
        <v>174.33600000000001</v>
      </c>
      <c r="M19" s="118">
        <f t="shared" si="2"/>
        <v>1928.5919999999999</v>
      </c>
      <c r="N19" s="101">
        <f>+'1'!N19+'2'!N19+'4'!N19+'3'!N19+'5'!N19+'6'!N19+'7'!N19+'8'!N19+'9'!N19+'10'!N19</f>
        <v>347.14656000000002</v>
      </c>
      <c r="O19" s="101">
        <f>+'1'!O19+'2'!O19+'4'!O19+'3'!O19+'5'!O19+'6'!O19+'7'!O19+'8'!O19+'9'!O19+'10'!O19</f>
        <v>41.721873599999995</v>
      </c>
      <c r="P19" s="120">
        <f t="shared" si="0"/>
        <v>2317.4604335999998</v>
      </c>
      <c r="T19" s="163" t="str">
        <f>+'6'!A5</f>
        <v>Customer Name : Waleed Super Store</v>
      </c>
      <c r="U19" s="164">
        <f>+'6'!P35</f>
        <v>3194.9145695999996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>Customer Name : Haris Super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30</v>
      </c>
      <c r="I21" s="1">
        <f t="shared" si="1"/>
        <v>2179.1999999999998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76.272000000000006</v>
      </c>
      <c r="L21" s="174">
        <f>+'1'!L21+'2'!L21+'4'!L21+'3'!L21+'5'!L21+'6'!L21+'7'!L21+'8'!L21+'9'!L21+'10'!L21</f>
        <v>174.33600000000001</v>
      </c>
      <c r="M21" s="118">
        <f t="shared" si="2"/>
        <v>1928.5919999999999</v>
      </c>
      <c r="N21" s="101">
        <f>+'1'!N21+'2'!N21+'4'!N21+'3'!N21+'5'!N21+'6'!N21+'7'!N21+'8'!N21+'9'!N21+'10'!N21</f>
        <v>347.14656000000002</v>
      </c>
      <c r="O21" s="101">
        <f>+'1'!O21+'2'!O21+'4'!O21+'3'!O21+'5'!O21+'6'!O21+'7'!O21+'8'!O21+'9'!O21+'10'!O21</f>
        <v>41.721873599999995</v>
      </c>
      <c r="P21" s="120">
        <f t="shared" si="0"/>
        <v>2317.4604335999998</v>
      </c>
      <c r="T21" s="163" t="str">
        <f>+'8'!A5</f>
        <v>Customer Name : Kekiz Super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60</v>
      </c>
      <c r="I22" s="1">
        <f t="shared" si="1"/>
        <v>2353.8000000000002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202.42680000000001</v>
      </c>
      <c r="L22" s="174">
        <f>+'1'!L22+'2'!L22+'4'!L22+'3'!L22+'5'!L22+'6'!L22+'7'!L22+'8'!L22+'9'!L22+'10'!L22</f>
        <v>117.69000000000003</v>
      </c>
      <c r="M22" s="118">
        <f t="shared" si="2"/>
        <v>2033.6831999999999</v>
      </c>
      <c r="N22" s="101">
        <f>+'1'!N22+'2'!N22+'4'!N22+'3'!N22+'5'!N22+'6'!N22+'7'!N22+'8'!N22+'9'!N22+'10'!N22</f>
        <v>366.06297600000005</v>
      </c>
      <c r="O22" s="101">
        <f>+'1'!O22+'2'!O22+'4'!O22+'3'!O22+'5'!O22+'6'!O22+'7'!O22+'8'!O22+'9'!O22+'10'!O22</f>
        <v>59.993654400000011</v>
      </c>
      <c r="P22" s="120">
        <f t="shared" si="0"/>
        <v>2459.7398304000003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4</v>
      </c>
      <c r="D25" s="230"/>
      <c r="E25" s="230"/>
      <c r="F25" s="230"/>
      <c r="G25" s="175">
        <f t="shared" ref="G25:M25" si="3">SUM(G16:G24)</f>
        <v>0</v>
      </c>
      <c r="H25" s="176">
        <f t="shared" si="3"/>
        <v>160</v>
      </c>
      <c r="I25" s="177">
        <f t="shared" si="3"/>
        <v>8810.7000000000007</v>
      </c>
      <c r="J25" s="176">
        <f t="shared" si="3"/>
        <v>0</v>
      </c>
      <c r="K25" s="177">
        <f t="shared" si="3"/>
        <v>428.41830000000004</v>
      </c>
      <c r="L25" s="178">
        <f t="shared" si="3"/>
        <v>634.24200000000008</v>
      </c>
      <c r="M25" s="141">
        <f t="shared" si="3"/>
        <v>7748.0396999999994</v>
      </c>
      <c r="N25" s="142">
        <f>SUM(N16:N24)</f>
        <v>1394.6471460000002</v>
      </c>
      <c r="O25" s="143">
        <f>SUM(O16:O24)</f>
        <v>154.39471935</v>
      </c>
      <c r="P25" s="144">
        <f>SUM(P16:P24)</f>
        <v>9297.0815653499994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9297.0815653499994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8810.7000000000007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634.24200000000008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428.41830000000004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7748.0397000000003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1394.6471460000002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9142.6868460000005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228.56717115000004</v>
      </c>
    </row>
    <row r="43" spans="1:21" ht="15.75" customHeight="1" thickBot="1" x14ac:dyDescent="0.4">
      <c r="N43" s="228" t="s">
        <v>92</v>
      </c>
      <c r="O43" s="229"/>
      <c r="P43" s="160">
        <f>P41+P42</f>
        <v>9371.2540171500004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>
        <v>3540444701307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40</v>
      </c>
      <c r="I25" s="137">
        <f t="shared" si="13"/>
        <v>2098.5</v>
      </c>
      <c r="J25" s="138"/>
      <c r="K25" s="139">
        <f t="shared" si="13"/>
        <v>73.447500000000005</v>
      </c>
      <c r="L25" s="140">
        <f t="shared" si="13"/>
        <v>167.88</v>
      </c>
      <c r="M25" s="141">
        <f t="shared" si="13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2098.5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167.88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73.447500000000005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1857.1724999999999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2191.4635499999999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8" t="s">
        <v>92</v>
      </c>
      <c r="O35" s="229"/>
      <c r="P35" s="160">
        <f>P33+P34</f>
        <v>2202.4208677500001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3520186128205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1517.15904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7.5857951999999997</v>
      </c>
    </row>
    <row r="35" spans="2:16" ht="15.75" customHeight="1" thickBot="1" x14ac:dyDescent="0.4">
      <c r="N35" s="228" t="s">
        <v>92</v>
      </c>
      <c r="O35" s="229"/>
      <c r="P35" s="160">
        <f>P33+P34</f>
        <v>1524.7448351999999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18.964487999999999</v>
      </c>
      <c r="P21" s="120">
        <f t="shared" si="1"/>
        <v>777.54400799999996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37.928975999999999</v>
      </c>
      <c r="P25" s="144">
        <f>SUM(P16:P24)</f>
        <v>1555.0880159999999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1517.15904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37.928975999999999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1555.0880159999999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784.60000000000014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39.230000000000011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67.4756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677.89440000000013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799.91539200000011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28" t="s">
        <v>92</v>
      </c>
      <c r="O35" s="229"/>
      <c r="P35" s="160">
        <f>P33+P34</f>
        <v>819.91327680000006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18.964487999999999</v>
      </c>
      <c r="P21" s="120">
        <f t="shared" si="1"/>
        <v>777.54400799999996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60</v>
      </c>
      <c r="I25" s="137">
        <f t="shared" si="9"/>
        <v>3022</v>
      </c>
      <c r="J25" s="138"/>
      <c r="K25" s="139">
        <f t="shared" si="9"/>
        <v>185.79920000000001</v>
      </c>
      <c r="L25" s="140">
        <f t="shared" si="9"/>
        <v>194.68400000000003</v>
      </c>
      <c r="M25" s="141">
        <f t="shared" si="9"/>
        <v>2641.5168000000003</v>
      </c>
      <c r="N25" s="142">
        <f>SUM(N16:N24)</f>
        <v>475.47302400000001</v>
      </c>
      <c r="O25" s="143">
        <f>SUM(O16:O24)</f>
        <v>77.924745600000008</v>
      </c>
      <c r="P25" s="144">
        <f>SUM(P16:P24)</f>
        <v>3194.9145696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3022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194.68400000000003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185.79920000000001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2641.5167999999999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475.47302400000001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3116.9898239999998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77.924745599999994</v>
      </c>
    </row>
    <row r="35" spans="2:16" ht="15.75" customHeight="1" thickBot="1" x14ac:dyDescent="0.4">
      <c r="N35" s="228" t="s">
        <v>92</v>
      </c>
      <c r="O35" s="229"/>
      <c r="P35" s="160">
        <f>P33+P34</f>
        <v>3194.9145695999996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1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9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132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2026-07-20T04:43:57Z</dcterms:modified>
</cp:coreProperties>
</file>