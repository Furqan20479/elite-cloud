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3DFD142-1445-4C40-A80F-86C2387C533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17" i="26" l="1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29" l="1"/>
  <c r="P32" i="29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M20" i="25" s="1"/>
  <c r="N20" i="25" s="1"/>
  <c r="O20" i="25" s="1"/>
  <c r="L21" i="25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1" i="25" l="1"/>
  <c r="N21" i="25" s="1"/>
  <c r="O21" i="25" s="1"/>
  <c r="P21" i="25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<sst xmlns="http://schemas.openxmlformats.org/spreadsheetml/2006/main" count="1637" uniqueCount="146">
  <si>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</si>
  <si>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</si>
  <si>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</si>
  <si>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</si>
  <si>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</si>
  <si>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</si>
  <si>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</si>
  <si>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</si>
  <si>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</si>
  <si>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</si>
  <si>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</si>
  <si>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</si>
  <si>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</si>
  <si>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</si>
  <si>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</si>
  <si>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</si>
  <si>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</si>
  <si>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</si>
  <si>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</si>
  <si>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</si>
  <si>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</si>
  <si>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</si>
  <si>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</si>
  <si>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</si>
  <si>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</si>
  <si>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</si>
  <si>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</si>
  <si>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</si>
  <si>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</si>
  <si>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</si>
  <si>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</si>
  <si>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</si>
  <si>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</si>
  <si>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</si>
  <si>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</si>
  <si>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</si>
  <si>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</si>
  <si>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</si>
  <si>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</si>
  <si>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</si>
  <si>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</si>
  <si>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</si>
  <si>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</si>
  <si>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</si>
  <si>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</si>
  <si>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</si>
  <si>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</si>
  <si>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</si>
  <si>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</si>
  <si>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</si>
  <si>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</si>
  <si>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</si>
  <si>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</si>
  <si>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</si>
  <si>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</si>
  <si>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</si>
  <si>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</si>
  <si>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</si>
  <si>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</si>
  <si>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</si>
  <si>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</si>
  <si>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</si>
  <si>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</si>
  <si>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</si>
  <si>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</si>
  <si>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</si>
  <si>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</si>
  <si>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</si>
  <si>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</si>
  <si>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</si>
  <si>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</si>
  <si>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</si>
  <si>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</si>
  <si>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</si>
  <si>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</si>
  <si>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</si>
  <si>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</si>
  <si>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</si>
  <si>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</si>
  <si>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</si>
  <si>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</si>
  <si>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</si>
  <si>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</si>
  <si>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</si>
  <si>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</si>
  <si>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</si>
  <si>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</si>
  <si>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</si>
  <si>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</si>
  <si>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</si>
  <si>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</si>
  <si>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</si>
  <si>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</si>
  <si>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</si>
  <si>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</si>
  <si>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</si>
  <si>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</si>
  <si>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</si>
  <si>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</si>
  <si>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</si>
  <si>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</si>
  <si>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</si>
  <si>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</si>
  <si>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</si>
  <si>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</si>
  <si>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</si>
  <si>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</si>
  <si>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</si>
  <si>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</si>
  <si>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</si>
  <si>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</si>
  <si>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</si>
  <si>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</si>
  <si>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</si>
  <si>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</si>
  <si>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</si>
  <si>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</si>
  <si>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</si>
  <si>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</si>
  <si>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</si>
  <si>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</si>
  <si>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</si>
  <si>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Latif Store</t>
  </si>
  <si>
    <t>Address: Nishat</t>
  </si>
  <si>
    <t>3105302-5</t>
  </si>
  <si>
    <t>Customer Name : Mian Store</t>
  </si>
  <si>
    <t>654468-5</t>
  </si>
  <si>
    <t>Customer Name : Sheikh Store</t>
  </si>
  <si>
    <t>Customer Name : Khan Store</t>
  </si>
  <si>
    <t>Customer Name : Lal Store</t>
  </si>
  <si>
    <t>Address: Nishter</t>
  </si>
  <si>
    <t>Customer Name : 786 Store</t>
  </si>
  <si>
    <t>Customer Name : Nishat Store</t>
  </si>
  <si>
    <t xml:space="preserve">Customer Name : Deleshia Bakers </t>
  </si>
  <si>
    <t>Customer Name : Qadir Store</t>
  </si>
  <si>
    <t>Customer Name : Bilal Store</t>
  </si>
  <si>
    <t>65448-5</t>
  </si>
  <si>
    <t xml:space="preserve">Customer Name : Rakaposhi </t>
  </si>
  <si>
    <t>Customer Name : Imran Store</t>
  </si>
  <si>
    <t>Customer Name : Faizan Store</t>
  </si>
  <si>
    <t>214755-6</t>
  </si>
  <si>
    <t xml:space="preserve">Customer Name : Adeel Pharmacy </t>
  </si>
  <si>
    <t>4592867-1</t>
  </si>
  <si>
    <t>Customer Name : MS Store</t>
  </si>
  <si>
    <t>Customer Name : Subedar  Store</t>
  </si>
  <si>
    <t>Customer Name : Sobaidar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</si>
</sst>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N6" sqref="N6:P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N6" sqref="N6:P6"/>
      <selection pane="topRight" activeCell="N6" sqref="N6:P6"/>
      <selection pane="bottomLeft" activeCell="N6" sqref="N6:P6"/>
      <selection pane="bottomRight" activeCell="N6" sqref="N6:P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5" zoomScale="70" zoomScaleNormal="70" workbookViewId="0">
      <selection activeCell="S31" sqref="S3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Latif Store</v>
      </c>
      <c r="U14" s="164">
        <f>+'1'!P35</f>
        <v>12197.958681599999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Mian Store</v>
      </c>
      <c r="U15" s="164">
        <f>+'2'!P35</f>
        <v>401.95748448000006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Sheikh Store</v>
      </c>
      <c r="U16" s="164">
        <f>+'3'!P35</f>
        <v>401.95748448000006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</v>
      </c>
      <c r="I17" s="1">
        <f t="shared" ref="I17:I23" si="1">(G17*D17)*F17+H17*F17</f>
        <v>524.625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524.625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524.625</v>
      </c>
      <c r="S17" s="64"/>
      <c r="T17" s="163" t="str">
        <f>+'4'!A5</f>
        <v>Customer Name : Khan Store</v>
      </c>
      <c r="U17" s="164">
        <f>+'4'!P35</f>
        <v>401.95748448000006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Lal Store</v>
      </c>
      <c r="U18" s="164">
        <f>+'5'!P35</f>
        <v>401.95748448000006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82</v>
      </c>
      <c r="I19" s="1">
        <f t="shared" si="1"/>
        <v>5956.4800000000005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177.96800000000002</v>
      </c>
      <c r="L19" s="174">
        <f>+'1'!L19+'2'!L19+'4'!L19+'3'!L19+'5'!L19+'6'!L19+'7'!L19+'8'!L19+'9'!L19+'10'!L19</f>
        <v>406.78399999999999</v>
      </c>
      <c r="M19" s="118">
        <f t="shared" si="2"/>
        <v>5371.728000000001</v>
      </c>
      <c r="N19" s="101">
        <f>+'1'!N19+'2'!N19+'4'!N19+'3'!N19+'5'!N19+'6'!N19+'7'!N19+'8'!N19+'9'!N19+'10'!N19</f>
        <v>810.0086399999999</v>
      </c>
      <c r="O19" s="101">
        <f>+'1'!O19+'2'!O19+'4'!O19+'3'!O19+'5'!O19+'6'!O19+'7'!O19+'8'!O19+'9'!O19+'10'!O19</f>
        <v>41.721873599999995</v>
      </c>
      <c r="P19" s="120">
        <f t="shared" si="0"/>
        <v>6223.4585136000014</v>
      </c>
      <c r="T19" s="163" t="str">
        <f>+'6'!A5</f>
        <v>Customer Name : 786 Store</v>
      </c>
      <c r="U19" s="164">
        <f>+'6'!P35</f>
        <v>3049.4896703999998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65</v>
      </c>
      <c r="I20" s="1">
        <f t="shared" si="1"/>
        <v>4721.6000000000004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165.256</v>
      </c>
      <c r="L20" s="174">
        <f>+'1'!L20+'2'!L20+'4'!L20+'3'!L20+'5'!L20+'6'!L20+'7'!L20+'8'!L20+'9'!L20+'10'!L20</f>
        <v>377.72800000000001</v>
      </c>
      <c r="M20" s="118">
        <f t="shared" si="2"/>
        <v>4178.616</v>
      </c>
      <c r="N20" s="101">
        <f>+'1'!N20+'2'!N20+'4'!N20+'3'!N20+'5'!N20+'6'!N20+'7'!N20+'8'!N20+'9'!N20+'10'!N20</f>
        <v>752.15087999999992</v>
      </c>
      <c r="O20" s="101">
        <f>+'1'!O20+'2'!O20+'4'!O20+'3'!O20+'5'!O20+'6'!O20+'7'!O20+'8'!O20+'9'!O20+'10'!O20</f>
        <v>24.653834400000001</v>
      </c>
      <c r="P20" s="120">
        <f t="shared" si="0"/>
        <v>4955.4207144000002</v>
      </c>
      <c r="T20" s="163" t="str">
        <f>+'7'!A5</f>
        <v>Customer Name : Nishat Store</v>
      </c>
      <c r="U20" s="164">
        <f>+'7'!P35</f>
        <v>762.37241759999995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130</v>
      </c>
      <c r="I21" s="1">
        <f t="shared" si="1"/>
        <v>9443.2000000000007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279.66399999999999</v>
      </c>
      <c r="L21" s="174">
        <f>+'1'!L21+'2'!L21+'4'!L21+'3'!L21+'5'!L21+'6'!L21+'7'!L21+'8'!L21+'9'!L21+'10'!L21</f>
        <v>639.23199999999997</v>
      </c>
      <c r="M21" s="118">
        <f t="shared" si="2"/>
        <v>8524.3040000000001</v>
      </c>
      <c r="N21" s="101">
        <f>+'1'!N21+'2'!N21+'4'!N21+'3'!N21+'5'!N21+'6'!N21+'7'!N21+'8'!N21+'9'!N21+'10'!N21</f>
        <v>1272.8707200000001</v>
      </c>
      <c r="O21" s="101">
        <f>+'1'!O21+'2'!O21+'4'!O21+'3'!O21+'5'!O21+'6'!O21+'7'!O21+'8'!O21+'9'!O21+'10'!O21</f>
        <v>41.721873599999995</v>
      </c>
      <c r="P21" s="120">
        <f t="shared" si="0"/>
        <v>9838.8965936000004</v>
      </c>
      <c r="T21" s="163" t="str">
        <f>+'8'!A5</f>
        <v xml:space="preserve">Customer Name : Deleshia Bakers </v>
      </c>
      <c r="U21" s="164">
        <f>+'8'!P35</f>
        <v>777.54400799999996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70</v>
      </c>
      <c r="I22" s="1">
        <f t="shared" si="1"/>
        <v>2746.1000000000004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2532.6888000000004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2784.7299379200003</v>
      </c>
      <c r="T22" s="163" t="str">
        <f>+'9'!A5</f>
        <v>Customer Name : Qadir Store</v>
      </c>
      <c r="U22" s="164">
        <f>+'9'!P35</f>
        <v>762.37241759999995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Bilal Store</v>
      </c>
      <c r="U23" s="164">
        <f>+'10'!P35</f>
        <v>1143.5586263999999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Rakaposhi </v>
      </c>
      <c r="U24" s="164">
        <f>+'11'!P35</f>
        <v>550.60521693750002</v>
      </c>
    </row>
    <row r="25" spans="1:21 16384:16384" ht="26.5" thickBot="1" x14ac:dyDescent="0.65">
      <c r="A25" s="234" t="s">
        <v>84</v>
      </c>
      <c r="B25" s="235"/>
      <c r="C25" s="236">
        <f>H25/40</f>
        <v>8.9250000000000007</v>
      </c>
      <c r="D25" s="230"/>
      <c r="E25" s="230"/>
      <c r="F25" s="230"/>
      <c r="G25" s="175">
        <f t="shared" ref="G25:M25" si="3">SUM(G16:G24)</f>
        <v>0</v>
      </c>
      <c r="H25" s="176">
        <f t="shared" si="3"/>
        <v>357</v>
      </c>
      <c r="I25" s="177">
        <f t="shared" si="3"/>
        <v>23392.005000000005</v>
      </c>
      <c r="J25" s="176">
        <f t="shared" si="3"/>
        <v>0</v>
      </c>
      <c r="K25" s="177">
        <f t="shared" si="3"/>
        <v>757.83920000000001</v>
      </c>
      <c r="L25" s="178">
        <f t="shared" si="3"/>
        <v>1502.204</v>
      </c>
      <c r="M25" s="141">
        <f t="shared" si="3"/>
        <v>21131.961800000001</v>
      </c>
      <c r="N25" s="142">
        <f>SUM(N16:N24)</f>
        <v>3079.072224</v>
      </c>
      <c r="O25" s="143">
        <f>SUM(O16:O24)</f>
        <v>116.09673552</v>
      </c>
      <c r="P25" s="144">
        <f>SUM(P16:P24)</f>
        <v>24327.130759520001</v>
      </c>
      <c r="T25" s="163" t="str">
        <f>+'12'!A5</f>
        <v>Customer Name : Imran Store</v>
      </c>
      <c r="U25" s="164">
        <f>+'12'!P35</f>
        <v>401.95748448000006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Faizan Store</v>
      </c>
      <c r="U26" s="164">
        <f>+'13'!P35</f>
        <v>401.95748448000006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Adeel Pharmacy </v>
      </c>
      <c r="U27" s="164">
        <f>+'14'!P35</f>
        <v>401.95748448000006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MS Store</v>
      </c>
      <c r="U28" s="180">
        <f>+'15'!P35</f>
        <v>762.37241759999995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Subedar  Store</v>
      </c>
      <c r="U29" s="180">
        <f>+'16'!P35</f>
        <v>1219.7958681600001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>Customer Name : Sobaidar Store</v>
      </c>
      <c r="U30" s="180">
        <f>+'17'!P35</f>
        <v>482.34085920000001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24522.112574857507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23392.005000000005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1502.204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757.83920000000001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21131.961800000005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3079.072224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24211.034024000004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605.27585060000013</v>
      </c>
    </row>
    <row r="43" spans="1:21" ht="15.75" customHeight="1" thickBot="1" x14ac:dyDescent="0.4">
      <c r="N43" s="228" t="s">
        <v>92</v>
      </c>
      <c r="O43" s="229"/>
      <c r="P43" s="160">
        <f>P41+P42</f>
        <v>24816.309874600003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464.89600000000002</v>
      </c>
      <c r="M21" s="118">
        <f t="shared" si="6"/>
        <v>5142.9120000000003</v>
      </c>
      <c r="N21" s="118">
        <f t="shared" si="0"/>
        <v>925.72415999999998</v>
      </c>
      <c r="O21" s="119">
        <f t="shared" si="1"/>
        <v>30.343180799999999</v>
      </c>
      <c r="P21" s="120">
        <f t="shared" si="2"/>
        <v>6098.9793407999996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160</v>
      </c>
      <c r="I25" s="137">
        <f t="shared" si="13"/>
        <v>11622.4</v>
      </c>
      <c r="J25" s="138"/>
      <c r="K25" s="139">
        <f t="shared" si="13"/>
        <v>406.78400000000005</v>
      </c>
      <c r="L25" s="140">
        <f t="shared" si="13"/>
        <v>929.79200000000003</v>
      </c>
      <c r="M25" s="141">
        <f t="shared" si="13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11622.4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929.79200000000003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406.78400000000005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10285.824000000001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12137.27232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28" t="s">
        <v>92</v>
      </c>
      <c r="O35" s="229"/>
      <c r="P35" s="160">
        <f>P33+P34</f>
        <v>12197.958681599999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>
        <v>7533470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235678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478965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8058676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232.44799999999998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653368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18.964487999999999</v>
      </c>
      <c r="P25" s="144">
        <f>SUM(P16:P24)</f>
        <v>777.54400799999996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18.964487999999999</v>
      </c>
    </row>
    <row r="35" spans="2:16" ht="15.75" customHeight="1" thickBot="1" x14ac:dyDescent="0.4">
      <c r="N35" s="228" t="s">
        <v>92</v>
      </c>
      <c r="O35" s="229"/>
      <c r="P35" s="160">
        <f>P33+P34</f>
        <v>777.54400799999996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8754478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04">
        <f t="shared" si="3"/>
        <v>12.712000000000002</v>
      </c>
      <c r="L19" s="105">
        <f t="shared" si="4"/>
        <v>29.056000000000001</v>
      </c>
      <c r="M19" s="118">
        <f t="shared" si="5"/>
        <v>321.43200000000002</v>
      </c>
      <c r="N19" s="118">
        <f t="shared" si="0"/>
        <v>57.857759999999999</v>
      </c>
      <c r="O19" s="119">
        <f t="shared" si="6"/>
        <v>1.8964487999999999</v>
      </c>
      <c r="P19" s="120">
        <f t="shared" si="1"/>
        <v>381.18620879999997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04">
        <f t="shared" si="3"/>
        <v>12.712000000000002</v>
      </c>
      <c r="L20" s="105">
        <f t="shared" si="4"/>
        <v>29.056000000000001</v>
      </c>
      <c r="M20" s="118">
        <f t="shared" si="5"/>
        <v>321.43200000000002</v>
      </c>
      <c r="N20" s="118">
        <f t="shared" si="0"/>
        <v>57.857759999999999</v>
      </c>
      <c r="O20" s="119">
        <f t="shared" si="6"/>
        <v>1.8964487999999999</v>
      </c>
      <c r="P20" s="120">
        <f t="shared" si="1"/>
        <v>381.18620879999997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04">
        <f t="shared" si="3"/>
        <v>12.712000000000002</v>
      </c>
      <c r="L21" s="105">
        <f t="shared" si="4"/>
        <v>29.056000000000001</v>
      </c>
      <c r="M21" s="118">
        <f t="shared" si="5"/>
        <v>321.43200000000002</v>
      </c>
      <c r="N21" s="118">
        <f t="shared" si="0"/>
        <v>57.857759999999999</v>
      </c>
      <c r="O21" s="119">
        <f t="shared" si="6"/>
        <v>1.8964487999999999</v>
      </c>
      <c r="P21" s="120">
        <f t="shared" si="1"/>
        <v>381.18620879999997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15</v>
      </c>
      <c r="I25" s="137">
        <f t="shared" si="9"/>
        <v>1089.5999999999999</v>
      </c>
      <c r="J25" s="138"/>
      <c r="K25" s="139">
        <f t="shared" si="9"/>
        <v>38.136000000000003</v>
      </c>
      <c r="L25" s="140">
        <f t="shared" si="9"/>
        <v>87.168000000000006</v>
      </c>
      <c r="M25" s="141">
        <f t="shared" si="9"/>
        <v>964.29600000000005</v>
      </c>
      <c r="N25" s="142">
        <f>SUM(N16:N24)</f>
        <v>173.57328000000001</v>
      </c>
      <c r="O25" s="143">
        <f>SUM(O16:O24)</f>
        <v>5.6893463999999998</v>
      </c>
      <c r="P25" s="144">
        <f>SUM(P16:P24)</f>
        <v>1143.5586263999999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1089.5999999999999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87.168000000000006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38.136000000000003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964.29599999999994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173.57328000000001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1137.8692799999999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5.6893463999999998</v>
      </c>
    </row>
    <row r="35" spans="2:16" ht="15.75" customHeight="1" thickBot="1" x14ac:dyDescent="0.4">
      <c r="N35" s="228" t="s">
        <v>92</v>
      </c>
      <c r="O35" s="229"/>
      <c r="P35" s="160">
        <f>P33+P34</f>
        <v>1143.5586263999999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667757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524.625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41.97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18.361875000000001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464.29312499999997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547.86588749999999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28" t="s">
        <v>92</v>
      </c>
      <c r="O35" s="229"/>
      <c r="P35" s="160">
        <f>P33+P34</f>
        <v>550.60521693750002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754478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140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142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553568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2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764337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16</v>
      </c>
      <c r="I25" s="137">
        <f t="shared" si="9"/>
        <v>1162.24</v>
      </c>
      <c r="J25" s="138"/>
      <c r="K25" s="139">
        <f t="shared" si="9"/>
        <v>40.678400000000003</v>
      </c>
      <c r="L25" s="140">
        <f t="shared" si="9"/>
        <v>92.979200000000006</v>
      </c>
      <c r="M25" s="141">
        <f t="shared" si="9"/>
        <v>1028.5824</v>
      </c>
      <c r="N25" s="142">
        <f>SUM(N16:N24)</f>
        <v>185.14483200000001</v>
      </c>
      <c r="O25" s="143">
        <f>SUM(O16:O24)</f>
        <v>6.0686361600000005</v>
      </c>
      <c r="P25" s="144">
        <f>SUM(P16:P24)</f>
        <v>1219.7958681599998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1162.24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92.979200000000006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40.678400000000003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1028.5824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185.14483200000001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1213.727232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6.0686361599999996</v>
      </c>
    </row>
    <row r="35" spans="2:16" ht="15.75" customHeight="1" thickBot="1" x14ac:dyDescent="0.4">
      <c r="N35" s="228" t="s">
        <v>92</v>
      </c>
      <c r="O35" s="229"/>
      <c r="P35" s="160">
        <f>P33+P34</f>
        <v>1219.7958681600001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764337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11.764411200000001</v>
      </c>
      <c r="P19" s="120">
        <f t="shared" si="1"/>
        <v>482.34085920000001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84.858048000000011</v>
      </c>
      <c r="O25" s="143">
        <f>SUM(O16:O24)</f>
        <v>11.764411200000001</v>
      </c>
      <c r="P25" s="144">
        <f>SUM(P16:P24)</f>
        <v>482.34085920000001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435.84000000000003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34.867200000000004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15.254400000000002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385.71840000000003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84.858048000000011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470.57644800000003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11.764411200000001</v>
      </c>
    </row>
    <row r="35" spans="2:16" ht="15.75" customHeight="1" thickBot="1" x14ac:dyDescent="0.4">
      <c r="N35" s="228" t="s">
        <v>92</v>
      </c>
      <c r="O35" s="229"/>
      <c r="P35" s="160">
        <f>P33+P34</f>
        <v>482.34085920000001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46224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46223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2026-07-21T12:46:32Z</dcterms:modified>
</cp:coreProperties>
</file>