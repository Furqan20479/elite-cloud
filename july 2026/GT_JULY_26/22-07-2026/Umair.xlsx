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5933B74-3D7C-40A6-8F61-0AB71E5F9F1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5" l="1"/>
  <c r="N21" i="25" s="1"/>
  <c r="O21" i="25" s="1"/>
  <c r="P21" i="25" s="1"/>
  <c r="M17" i="24"/>
  <c r="N17" i="24" s="1"/>
  <c r="O17" i="24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3" i="24" s="1"/>
  <c r="P34" i="24" s="1"/>
  <c r="P35" i="24" s="1"/>
  <c r="U22" i="15" s="1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<sst xmlns="http://schemas.openxmlformats.org/spreadsheetml/2006/main" count="1633" uniqueCount="137">
  <si>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</si>
  <si>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</si>
  <si>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</si>
  <si>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</si>
  <si>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</si>
  <si>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</si>
  <si>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</si>
  <si>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</si>
  <si>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</si>
  <si>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</si>
  <si>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</si>
  <si>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</si>
  <si>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</si>
  <si>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</si>
  <si>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</si>
  <si>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</si>
  <si>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</si>
  <si>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</si>
  <si>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</si>
  <si>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</si>
  <si>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</si>
  <si>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</si>
  <si>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</si>
  <si>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</si>
  <si>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</si>
  <si>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</si>
  <si>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</si>
  <si>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</si>
  <si>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</si>
  <si>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</si>
  <si>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</si>
  <si>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</si>
  <si>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</si>
  <si>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</si>
  <si>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</si>
  <si>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</si>
  <si>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</si>
  <si>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</si>
  <si>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</si>
  <si>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</si>
  <si>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</si>
  <si>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</si>
  <si>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</si>
  <si>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</si>
  <si>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</si>
  <si>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</si>
  <si>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</si>
  <si>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</si>
  <si>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</si>
  <si>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</si>
  <si>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</si>
  <si>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</si>
  <si>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</si>
  <si>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</si>
  <si>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</si>
  <si>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</si>
  <si>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</si>
  <si>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</si>
  <si>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</si>
  <si>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</si>
  <si>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</si>
  <si>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</si>
  <si>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</si>
  <si>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</si>
  <si>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</si>
  <si>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</si>
  <si>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</si>
  <si>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</si>
  <si>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</si>
  <si>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</si>
  <si>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</si>
  <si>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</si>
  <si>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</si>
  <si>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</si>
  <si>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</si>
  <si>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</si>
  <si>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</si>
  <si>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</si>
  <si>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</si>
  <si>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</si>
  <si>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</si>
  <si>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</si>
  <si>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</si>
  <si>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</si>
  <si>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</si>
  <si>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</si>
  <si>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</si>
  <si>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</si>
  <si>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</si>
  <si>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</si>
  <si>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</si>
  <si>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</si>
  <si>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</si>
  <si>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</si>
  <si>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</si>
  <si>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</si>
  <si>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</si>
  <si>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</si>
  <si>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</si>
  <si>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</si>
  <si>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</si>
  <si>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</si>
  <si>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</si>
  <si>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</si>
  <si>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</si>
  <si>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</si>
  <si>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</si>
  <si>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</si>
  <si>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</si>
  <si>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</si>
  <si>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</si>
  <si>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</si>
  <si>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</si>
  <si>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</si>
  <si>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</si>
  <si>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</si>
  <si>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</si>
  <si>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</si>
  <si>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</si>
  <si>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</si>
  <si>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</si>
  <si>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</si>
  <si>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Palace Bakers </t>
  </si>
  <si>
    <t>Address: Kacha Jail Road</t>
  </si>
  <si>
    <t>Customer Name : Al makkah GS</t>
  </si>
  <si>
    <t xml:space="preserve">Address: Awan Market </t>
  </si>
  <si>
    <t xml:space="preserve">Customer Name : Gulshan Bakers </t>
  </si>
  <si>
    <t>6925517-8</t>
  </si>
  <si>
    <t>Customer Name : Rana Super Store</t>
  </si>
  <si>
    <t>Customer Name : Shah Taj GS</t>
  </si>
  <si>
    <t xml:space="preserve">Customer Name : Hafiz Bakery </t>
  </si>
  <si>
    <t xml:space="preserve">Customer Name : Al Fazal Cash &amp; Carry </t>
  </si>
  <si>
    <t>Address: Nashter Main Bazar</t>
  </si>
  <si>
    <t>Address: Nashter Main Road</t>
  </si>
  <si>
    <t>Customer Name : S.S Sweets</t>
  </si>
  <si>
    <t>Customer Name : Ali Super Store</t>
  </si>
  <si>
    <t xml:space="preserve">Customer Name : Alhamd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</si>
</sst>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W19" sqref="W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Palace Bakers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makkah GS</v>
      </c>
      <c r="U15" s="164">
        <f>+'2'!P35</f>
        <v>245.97398304000001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10</v>
      </c>
      <c r="I16" s="1">
        <f>(G16*D16)*F16+H16*F16</f>
        <v>524.625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18.361875000000001</v>
      </c>
      <c r="L16" s="174">
        <f>+'1'!L16+'2'!L16+'4'!L16+'3'!L16+'5'!L16+'6'!L16+'7'!L16+'8'!L16+'9'!L16+'10'!L16</f>
        <v>41.97</v>
      </c>
      <c r="M16" s="106">
        <f>I16-K16-L16</f>
        <v>464.29312500000003</v>
      </c>
      <c r="N16" s="101">
        <f>+'1'!N16+'2'!N16+'4'!N16+'3'!N16+'5'!N16+'6'!N16+'7'!N16+'8'!N16+'9'!N16+'10'!N16</f>
        <v>83.572762499999996</v>
      </c>
      <c r="O16" s="101">
        <f>+'1'!O16+'2'!O16+'4'!O16+'3'!O16+'5'!O16+'6'!O16+'7'!O16+'8'!O16+'9'!O16+'10'!O16</f>
        <v>13.6966471875</v>
      </c>
      <c r="P16" s="105">
        <f t="shared" ref="P16:P24" si="0">M16+N16+O16</f>
        <v>561.56253468750003</v>
      </c>
      <c r="Q16" s="108"/>
      <c r="T16" s="163" t="str">
        <f>+'3'!A5</f>
        <v xml:space="preserve">Customer Name : Gulshan Bakers </v>
      </c>
      <c r="U16" s="164">
        <f>+'3'!P35</f>
        <v>1607.8299379200002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18.361875000000001</v>
      </c>
      <c r="L17" s="174">
        <f>+'1'!L17+'2'!L17+'4'!L17+'3'!L17+'5'!L17+'6'!L17+'7'!L17+'8'!L17+'9'!L17+'10'!L17</f>
        <v>41.97</v>
      </c>
      <c r="M17" s="118">
        <f t="shared" ref="M17:M23" si="2">I17-K17-L17</f>
        <v>464.29312500000003</v>
      </c>
      <c r="N17" s="101">
        <f>+'1'!N17+'2'!N17+'4'!N17+'3'!N17+'5'!N17+'6'!N17+'7'!N17+'8'!N17+'9'!N17+'10'!N17</f>
        <v>83.572762499999996</v>
      </c>
      <c r="O17" s="101">
        <f>+'1'!O17+'2'!O17+'4'!O17+'3'!O17+'5'!O17+'6'!O17+'7'!O17+'8'!O17+'9'!O17+'10'!O17</f>
        <v>13.6966471875</v>
      </c>
      <c r="P17" s="120">
        <f t="shared" si="0"/>
        <v>561.56253468750003</v>
      </c>
      <c r="S17" s="64"/>
      <c r="T17" s="163" t="str">
        <f>+'4'!A5</f>
        <v>Customer Name : Rana Super Store</v>
      </c>
      <c r="U17" s="164">
        <f>+'4'!P35</f>
        <v>1639.8265536000001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Shah Taj GS</v>
      </c>
      <c r="U18" s="164">
        <f>+'5'!P35</f>
        <v>245.97398304000001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38</v>
      </c>
      <c r="I19" s="1">
        <f t="shared" si="1"/>
        <v>2760.32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96.611200000000011</v>
      </c>
      <c r="L19" s="174">
        <f>+'1'!L19+'2'!L19+'4'!L19+'3'!L19+'5'!L19+'6'!L19+'7'!L19+'8'!L19+'9'!L19+'10'!L19</f>
        <v>220.82560000000001</v>
      </c>
      <c r="M19" s="118">
        <f t="shared" si="2"/>
        <v>2442.8832000000002</v>
      </c>
      <c r="N19" s="101">
        <f>+'1'!N19+'2'!N19+'4'!N19+'3'!N19+'5'!N19+'6'!N19+'7'!N19+'8'!N19+'9'!N19+'10'!N19</f>
        <v>470.57644800000003</v>
      </c>
      <c r="O19" s="101">
        <f>+'1'!O19+'2'!O19+'4'!O19+'3'!O19+'5'!O19+'6'!O19+'7'!O19+'8'!O19+'9'!O19+'10'!O19</f>
        <v>23.670252480000002</v>
      </c>
      <c r="P19" s="120">
        <f t="shared" si="0"/>
        <v>2937.1299004799998</v>
      </c>
      <c r="T19" s="163" t="str">
        <f>+'6'!A5</f>
        <v xml:space="preserve">Customer Name : Hafiz Bakery </v>
      </c>
      <c r="U19" s="164">
        <f>+'6'!P35</f>
        <v>1639.8265536000001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66</v>
      </c>
      <c r="I20" s="1">
        <f t="shared" si="1"/>
        <v>4794.24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167.79840000000002</v>
      </c>
      <c r="L20" s="174">
        <f>+'1'!L20+'2'!L20+'4'!L20+'3'!L20+'5'!L20+'6'!L20+'7'!L20+'8'!L20+'9'!L20+'10'!L20</f>
        <v>383.53920000000005</v>
      </c>
      <c r="M20" s="118">
        <f t="shared" si="2"/>
        <v>4242.9023999999999</v>
      </c>
      <c r="N20" s="101">
        <f>+'1'!N20+'2'!N20+'4'!N20+'3'!N20+'5'!N20+'6'!N20+'7'!N20+'8'!N20+'9'!N20+'10'!N20</f>
        <v>763.72243200000003</v>
      </c>
      <c r="O20" s="101">
        <f>+'1'!O20+'2'!O20+'4'!O20+'3'!O20+'5'!O20+'6'!O20+'7'!O20+'8'!O20+'9'!O20+'10'!O20</f>
        <v>34.136078400000002</v>
      </c>
      <c r="P20" s="120">
        <f t="shared" si="0"/>
        <v>5040.7609103999994</v>
      </c>
      <c r="T20" s="163" t="str">
        <f>+'7'!A5</f>
        <v xml:space="preserve">Customer Name : Al Fazal Cash &amp; Carry </v>
      </c>
      <c r="U20" s="164">
        <f>+'7'!P35</f>
        <v>7706.8092787199994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58</v>
      </c>
      <c r="I21" s="1">
        <f t="shared" si="1"/>
        <v>4213.12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147.45920000000001</v>
      </c>
      <c r="L21" s="174">
        <f>+'1'!L21+'2'!L21+'4'!L21+'3'!L21+'5'!L21+'6'!L21+'7'!L21+'8'!L21+'9'!L21+'10'!L21</f>
        <v>337.0496</v>
      </c>
      <c r="M21" s="118">
        <f t="shared" si="2"/>
        <v>3728.6111999999998</v>
      </c>
      <c r="N21" s="101">
        <f>+'1'!N21+'2'!N21+'4'!N21+'3'!N21+'5'!N21+'6'!N21+'7'!N21+'8'!N21+'9'!N21+'10'!N21</f>
        <v>702.00748799999997</v>
      </c>
      <c r="O21" s="101">
        <f>+'1'!O21+'2'!O21+'4'!O21+'3'!O21+'5'!O21+'6'!O21+'7'!O21+'8'!O21+'9'!O21+'10'!O21</f>
        <v>31.256047680000002</v>
      </c>
      <c r="P21" s="120">
        <f t="shared" si="0"/>
        <v>4461.8747356799995</v>
      </c>
      <c r="T21" s="163" t="str">
        <f>+'8'!A5</f>
        <v>Customer Name : S.S Sweets</v>
      </c>
      <c r="U21" s="164">
        <f>+'8'!P35</f>
        <v>1399.5792144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212</v>
      </c>
      <c r="I22" s="1">
        <f t="shared" si="1"/>
        <v>8316.76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715.24135999999999</v>
      </c>
      <c r="L22" s="174">
        <f>+'1'!L22+'2'!L22+'4'!L22+'3'!L22+'5'!L22+'6'!L22+'7'!L22+'8'!L22+'9'!L22+'10'!L22</f>
        <v>415.83800000000014</v>
      </c>
      <c r="M22" s="118">
        <f t="shared" si="2"/>
        <v>7185.6806400000005</v>
      </c>
      <c r="N22" s="101">
        <f>+'1'!N22+'2'!N22+'4'!N22+'3'!N22+'5'!N22+'6'!N22+'7'!N22+'8'!N22+'9'!N22+'10'!N22</f>
        <v>1293.4225152000001</v>
      </c>
      <c r="O22" s="101">
        <f>+'1'!O22+'2'!O22+'4'!O22+'3'!O22+'5'!O22+'6'!O22+'7'!O22+'8'!O22+'9'!O22+'10'!O22</f>
        <v>115.98773184000004</v>
      </c>
      <c r="P22" s="120">
        <f t="shared" si="0"/>
        <v>8595.0908870399999</v>
      </c>
      <c r="T22" s="163" t="str">
        <f>+'9'!A5</f>
        <v>Customer Name : Ali Super Store</v>
      </c>
      <c r="U22" s="164">
        <f>+'9'!P35</f>
        <v>1123.1250693750001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Alhamd Bakers </v>
      </c>
      <c r="U23" s="164">
        <f>+'10'!P35</f>
        <v>1891.7173209600001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9.85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394</v>
      </c>
      <c r="I25" s="177">
        <f t="shared" si="3"/>
        <v>21133.690000000002</v>
      </c>
      <c r="J25" s="176">
        <f t="shared" si="3"/>
        <v>0</v>
      </c>
      <c r="K25" s="177">
        <f t="shared" si="3"/>
        <v>1163.8339100000001</v>
      </c>
      <c r="L25" s="178">
        <f t="shared" si="3"/>
        <v>1441.1924000000004</v>
      </c>
      <c r="M25" s="141">
        <f t="shared" si="3"/>
        <v>18528.663690000001</v>
      </c>
      <c r="N25" s="142">
        <f>SUM(N16:N24)</f>
        <v>3396.8744082000003</v>
      </c>
      <c r="O25" s="143">
        <f>SUM(O16:O24)</f>
        <v>232.44340477500003</v>
      </c>
      <c r="P25" s="144">
        <f>SUM(P16:P24)</f>
        <v>22157.981502974999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22157.981502975003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21133.690000000002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1441.1924000000004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1163.8339100000001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18528.663690000001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3396.8744082000003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21925.538098200002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548.13845245500011</v>
      </c>
    </row>
    <row r="43" spans="1:21" ht="15.75" customHeight="1" thickBot="1" x14ac:dyDescent="0.4">
      <c r="N43" s="212" t="s">
        <v>92</v>
      </c>
      <c r="O43" s="213"/>
      <c r="P43" s="160">
        <f>P41+P42</f>
        <v>22473.676550655004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3520127602341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231.43104</v>
      </c>
      <c r="O19" s="119">
        <f t="shared" si="1"/>
        <v>7.5857951999999997</v>
      </c>
      <c r="P19" s="120">
        <f t="shared" si="2"/>
        <v>1524.7448351999999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231.43104</v>
      </c>
      <c r="O20" s="119">
        <f t="shared" si="1"/>
        <v>7.5857951999999997</v>
      </c>
      <c r="P20" s="120">
        <f t="shared" si="2"/>
        <v>1524.7448351999999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1561651561651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7380.4</v>
      </c>
      <c r="J25" s="138"/>
      <c r="K25" s="139">
        <f t="shared" si="9"/>
        <v>338.34320000000002</v>
      </c>
      <c r="L25" s="140">
        <f t="shared" si="9"/>
        <v>543.35599999999999</v>
      </c>
      <c r="M25" s="141">
        <f t="shared" si="9"/>
        <v>6498.7008000000005</v>
      </c>
      <c r="N25" s="142">
        <f>SUM(N16:N24)</f>
        <v>1169.7661439999999</v>
      </c>
      <c r="O25" s="143">
        <f>SUM(O16:O24)</f>
        <v>38.342334719999997</v>
      </c>
      <c r="P25" s="144">
        <f>SUM(P16:P24)</f>
        <v>7706.8092787200003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7380.4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543.35599999999999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338.34320000000002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6498.7007999999996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1169.7661439999999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7668.4669439999998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38.342334719999997</v>
      </c>
    </row>
    <row r="35" spans="2:16" ht="15.75" customHeight="1" thickBot="1" x14ac:dyDescent="0.4">
      <c r="N35" s="212" t="s">
        <v>92</v>
      </c>
      <c r="O35" s="213"/>
      <c r="P35" s="160">
        <f>P33+P34</f>
        <v>7706.8092787199994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11.378692800000001</v>
      </c>
      <c r="P19" s="120">
        <f t="shared" si="1"/>
        <v>466.52640480000002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11.378692800000001</v>
      </c>
      <c r="P20" s="120">
        <f t="shared" si="1"/>
        <v>466.52640480000002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11.378692800000001</v>
      </c>
      <c r="P21" s="120">
        <f t="shared" si="1"/>
        <v>466.52640480000002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34.136078400000002</v>
      </c>
      <c r="P25" s="144">
        <f>SUM(P16:P24)</f>
        <v>1399.5792144000002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1307.52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104.60160000000002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45.763200000000005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1157.1551999999999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1365.4431359999999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34.136078399999995</v>
      </c>
    </row>
    <row r="35" spans="2:16" ht="15.75" customHeight="1" thickBot="1" x14ac:dyDescent="0.4">
      <c r="N35" s="212" t="s">
        <v>92</v>
      </c>
      <c r="O35" s="213"/>
      <c r="P35" s="160">
        <f>P33+P34</f>
        <v>1399.5792144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13.6966471875</v>
      </c>
      <c r="P16" s="105">
        <f t="shared" ref="P16:P24" si="1">M16+N16+O16</f>
        <v>561.56253468750003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13.6966471875</v>
      </c>
      <c r="P17" s="120">
        <f t="shared" si="1"/>
        <v>561.56253468750003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36.723750000000003</v>
      </c>
      <c r="L25" s="140">
        <f t="shared" si="9"/>
        <v>83.94</v>
      </c>
      <c r="M25" s="141">
        <f t="shared" si="9"/>
        <v>928.58625000000006</v>
      </c>
      <c r="N25" s="142">
        <f>SUM(N16:N24)</f>
        <v>167.14552499999999</v>
      </c>
      <c r="O25" s="143">
        <f>SUM(O16:O24)</f>
        <v>27.393294375</v>
      </c>
      <c r="P25" s="144">
        <f>SUM(P16:P24)</f>
        <v>1123.1250693750001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1049.25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83.94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36.723750000000003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928.58624999999995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167.14552499999999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1095.731775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27.393294375</v>
      </c>
    </row>
    <row r="35" spans="2:16" ht="15.75" customHeight="1" thickBot="1" x14ac:dyDescent="0.4">
      <c r="N35" s="212" t="s">
        <v>92</v>
      </c>
      <c r="O35" s="213"/>
      <c r="P35" s="160">
        <f>P33+P34</f>
        <v>1123.1250693750001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activeCell="E14" sqref="E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4.70576448</v>
      </c>
      <c r="P21" s="120">
        <f t="shared" si="1"/>
        <v>945.85866048000003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61.017600000000009</v>
      </c>
      <c r="L25" s="140">
        <f t="shared" si="9"/>
        <v>139.46880000000002</v>
      </c>
      <c r="M25" s="141">
        <f t="shared" si="9"/>
        <v>1542.8736000000001</v>
      </c>
      <c r="N25" s="142">
        <f>SUM(N16:N24)</f>
        <v>339.43219200000004</v>
      </c>
      <c r="O25" s="143">
        <f>SUM(O16:O24)</f>
        <v>9.4115289600000001</v>
      </c>
      <c r="P25" s="144">
        <f>SUM(P16:P24)</f>
        <v>1891.7173209600001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1743.3600000000001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139.46880000000002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61.017600000000009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1542.8736000000001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339.43219200000004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1882.3057920000001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9.4115289600000001</v>
      </c>
    </row>
    <row r="35" spans="2:16" ht="15.75" customHeight="1" thickBot="1" x14ac:dyDescent="0.4">
      <c r="N35" s="212" t="s">
        <v>92</v>
      </c>
      <c r="O35" s="213"/>
      <c r="P35" s="160">
        <f>P33+P34</f>
        <v>1891.7173209600001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2026-07-21T12:25:45Z</dcterms:modified>
</cp:coreProperties>
</file>