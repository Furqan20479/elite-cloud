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9556FB86-0F8D-4D09-B6F0-3D0DA66C6A2C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M25" i="26" l="1"/>
  <c r="L21" i="17"/>
  <c r="K21" i="17"/>
  <c r="L21" i="19"/>
  <c r="K21" i="19"/>
  <c r="M21" i="19" s="1"/>
  <c r="L20" i="23"/>
  <c r="K20" i="23"/>
  <c r="L20" i="19"/>
  <c r="L20" i="18"/>
  <c r="K20" i="18"/>
  <c r="P33" i="34"/>
  <c r="P34" i="34" s="1"/>
  <c r="P35" i="34" s="1"/>
  <c r="U32" i="15" s="1"/>
  <c r="L19" i="19"/>
  <c r="K19" i="19"/>
  <c r="M19" i="19" s="1"/>
  <c r="N19" i="19" s="1"/>
  <c r="O19" i="19" s="1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N24" i="19"/>
  <c r="O24" i="19" s="1"/>
  <c r="N24" i="18"/>
  <c r="O24" i="18" s="1"/>
  <c r="I23" i="15"/>
  <c r="M20" i="20" l="1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1" l="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7"/>
  <c r="O25" i="17" s="1"/>
  <c r="N25" i="17"/>
  <c r="P32" i="17" s="1"/>
  <c r="P33" i="20" l="1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<sst xmlns="http://schemas.openxmlformats.org/spreadsheetml/2006/main" count="1632" uniqueCount="122">
  <si>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</si>
  <si>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</si>
  <si>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</si>
  <si>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</si>
  <si>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</si>
  <si>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</si>
  <si>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</si>
  <si>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</si>
  <si>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</si>
  <si>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</si>
  <si>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</si>
  <si>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</si>
  <si>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</si>
  <si>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</si>
  <si>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</si>
  <si>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</si>
  <si>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</si>
  <si>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</si>
  <si>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</si>
  <si>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</si>
  <si>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</si>
  <si>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</si>
  <si>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</si>
  <si>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</si>
  <si>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</si>
  <si>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</si>
  <si>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</si>
  <si>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</si>
  <si>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</si>
  <si>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</si>
  <si>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</si>
  <si>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</si>
  <si>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</si>
  <si>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</si>
  <si>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</si>
  <si>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</si>
  <si>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</si>
  <si>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</si>
  <si>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</si>
  <si>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</si>
  <si>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</si>
  <si>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</si>
  <si>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</si>
  <si>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</si>
  <si>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</si>
  <si>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</si>
  <si>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</si>
  <si>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</si>
  <si>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</si>
  <si>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</si>
  <si>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</si>
  <si>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</si>
  <si>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</si>
  <si>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</si>
  <si>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</si>
  <si>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</si>
  <si>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</si>
  <si>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</si>
  <si>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</si>
  <si>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</si>
  <si>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</si>
  <si>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</si>
  <si>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</si>
  <si>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</si>
  <si>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</si>
  <si>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</si>
  <si>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</si>
  <si>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</si>
  <si>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</si>
  <si>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</si>
  <si>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</si>
  <si>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</si>
  <si>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</si>
  <si>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</si>
  <si>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</si>
  <si>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</si>
  <si>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</si>
  <si>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</si>
  <si>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</si>
  <si>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</si>
  <si>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</si>
  <si>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</si>
  <si>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</si>
  <si>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</si>
  <si>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</si>
  <si>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</si>
  <si>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</si>
  <si>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</si>
  <si>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</si>
  <si>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</si>
  <si>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</si>
  <si>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</si>
  <si>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</si>
  <si>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</si>
  <si>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</si>
  <si>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</si>
  <si>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</si>
  <si>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</si>
  <si>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</si>
  <si>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</si>
  <si>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</si>
  <si>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</si>
  <si>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</si>
  <si>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</si>
  <si>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</si>
  <si>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</si>
  <si>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</si>
  <si>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</si>
  <si>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</si>
  <si>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</si>
  <si>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</si>
  <si>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</si>
  <si>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</si>
  <si>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</si>
  <si>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</si>
  <si>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</si>
  <si>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</si>
  <si>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</si>
  <si>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</si>
  <si>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</si>
  <si>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Shop Bill Summary()</t>
  </si>
  <si>
    <t>Vacant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</si>
</sst>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zoomScale="70" zoomScaleNormal="70" workbookViewId="0">
      <selection activeCell="S14" sqref="S1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4" t="s">
        <v>45</v>
      </c>
      <c r="B2" s="254"/>
      <c r="C2" s="254"/>
    </row>
    <row r="3" spans="1:21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46220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3" t="s">
        <v>121</v>
      </c>
      <c r="B5" s="253"/>
      <c r="C5" s="253"/>
      <c r="F5" s="70"/>
      <c r="G5" s="71"/>
      <c r="K5" s="238" t="s">
        <v>51</v>
      </c>
      <c r="L5" s="238"/>
      <c r="M5" s="238"/>
      <c r="N5" s="252">
        <f ca="1">N4-1</f>
        <v>46219</v>
      </c>
      <c r="O5" s="239"/>
      <c r="P5" s="239"/>
      <c r="R5" s="70"/>
      <c r="S5" s="71"/>
    </row>
    <row r="6" spans="1:21 16383:16384" ht="15" customHeight="1" x14ac:dyDescent="0.35">
      <c r="A6" s="253"/>
      <c r="B6" s="253"/>
      <c r="C6" s="253"/>
      <c r="F6" s="70"/>
      <c r="G6" s="74"/>
      <c r="K6" s="238" t="s">
        <v>52</v>
      </c>
      <c r="L6" s="238"/>
      <c r="M6" s="238"/>
      <c r="N6" s="251" t="s">
        <v>42</v>
      </c>
      <c r="O6" s="251"/>
      <c r="P6" s="25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1 16383:16384" hidden="1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1 16383:16384" x14ac:dyDescent="0.35">
      <c r="A10" s="236"/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1 16383:16384" ht="15" thickBot="1" x14ac:dyDescent="0.4">
      <c r="A11" s="236"/>
      <c r="B11" s="76"/>
      <c r="C11" s="77"/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1 16383:16384" ht="14.65" customHeight="1" x14ac:dyDescent="0.35">
      <c r="A12" s="236"/>
      <c r="B12" s="76"/>
      <c r="C12" s="77"/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T12" s="208" t="s">
        <v>120</v>
      </c>
      <c r="U12" s="209"/>
      <c r="XFD12" t="s">
        <v>62</v>
      </c>
    </row>
    <row r="13" spans="1:21 16383:16384" ht="15" thickBot="1" x14ac:dyDescent="0.4">
      <c r="A13" s="237"/>
      <c r="J13" s="78"/>
      <c r="K13" s="78"/>
      <c r="L13" s="79">
        <v>0.05</v>
      </c>
      <c r="T13" s="210"/>
      <c r="U13" s="211"/>
      <c r="XFD13" t="s">
        <v>63</v>
      </c>
    </row>
    <row r="14" spans="1:21 16383:16384" ht="29.25" customHeight="1" x14ac:dyDescent="0.6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7" t="s">
        <v>69</v>
      </c>
      <c r="J14" s="247" t="s">
        <v>70</v>
      </c>
      <c r="K14" s="247"/>
      <c r="L14" s="249"/>
      <c r="M14" s="24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8"/>
      <c r="J15" s="170" t="s">
        <v>78</v>
      </c>
      <c r="K15" s="170" t="s">
        <v>79</v>
      </c>
      <c r="L15" s="173" t="s">
        <v>80</v>
      </c>
      <c r="M15" s="24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0</v>
      </c>
      <c r="I16" s="1">
        <f>(G16*D16)*F16+H16*F16</f>
        <v>0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+'3'!A5</f>
        <v xml:space="preserve">Customer Name : 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 xml:space="preserve">Customer Name : 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0</v>
      </c>
      <c r="I19" s="1">
        <f t="shared" si="1"/>
        <v>0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0</v>
      </c>
      <c r="M19" s="118">
        <f t="shared" si="2"/>
        <v>0</v>
      </c>
      <c r="N19" s="101">
        <f>+'1'!N19+'2'!N19+'4'!N19+'3'!N19+'5'!N19+'6'!N19+'7'!N19+'8'!N19+'9'!N19+'10'!N19</f>
        <v>0</v>
      </c>
      <c r="O19" s="101">
        <f>+'1'!O19+'2'!O19+'4'!O19+'3'!O19+'5'!O19+'6'!O19+'7'!O19+'8'!O19+'9'!O19+'10'!O19</f>
        <v>0</v>
      </c>
      <c r="P19" s="120">
        <f t="shared" si="0"/>
        <v>0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0</v>
      </c>
      <c r="I21" s="1">
        <f t="shared" si="1"/>
        <v>0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0</v>
      </c>
      <c r="M21" s="118">
        <f t="shared" si="2"/>
        <v>0</v>
      </c>
      <c r="N21" s="101">
        <f>+'1'!N21+'2'!N21+'4'!N21+'3'!N21+'5'!N21+'6'!N21+'7'!N21+'8'!N21+'9'!N21+'10'!N21</f>
        <v>0</v>
      </c>
      <c r="O21" s="101">
        <f>+'1'!O21+'2'!O21+'4'!O21+'3'!O21+'5'!O21+'6'!O21+'7'!O21+'8'!O21+'9'!O21+'10'!O21</f>
        <v>0</v>
      </c>
      <c r="P21" s="120">
        <f t="shared" si="0"/>
        <v>0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8" t="s">
        <v>84</v>
      </c>
      <c r="B25" s="219"/>
      <c r="C25" s="220">
        <f>H25/40</f>
        <v>0</v>
      </c>
      <c r="D25" s="214"/>
      <c r="E25" s="214"/>
      <c r="F25" s="214"/>
      <c r="G25" s="175">
        <f t="shared" ref="G25:M25" si="3">SUM(G16:G24)</f>
        <v>0</v>
      </c>
      <c r="H25" s="176">
        <f t="shared" si="3"/>
        <v>0</v>
      </c>
      <c r="I25" s="177">
        <f t="shared" si="3"/>
        <v>0</v>
      </c>
      <c r="J25" s="176">
        <f t="shared" si="3"/>
        <v>0</v>
      </c>
      <c r="K25" s="177">
        <f t="shared" si="3"/>
        <v>0</v>
      </c>
      <c r="L25" s="178">
        <f t="shared" si="3"/>
        <v>0</v>
      </c>
      <c r="M25" s="141">
        <f t="shared" si="3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0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1" t="s">
        <v>85</v>
      </c>
      <c r="C36" s="222"/>
      <c r="D36" s="222"/>
      <c r="E36" s="222"/>
      <c r="F36" s="222"/>
      <c r="G36" s="222"/>
      <c r="H36" s="222"/>
      <c r="I36" s="222"/>
      <c r="J36" s="222"/>
      <c r="K36" s="222"/>
      <c r="L36" s="223"/>
      <c r="N36" s="230" t="s">
        <v>86</v>
      </c>
      <c r="O36" s="231"/>
      <c r="P36" s="152">
        <f>I25</f>
        <v>0</v>
      </c>
    </row>
    <row r="37" spans="1:21" ht="15" customHeight="1" x14ac:dyDescent="0.35">
      <c r="B37" s="224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N37" s="232" t="s">
        <v>87</v>
      </c>
      <c r="O37" s="233"/>
      <c r="P37" s="153">
        <f>L25</f>
        <v>0</v>
      </c>
    </row>
    <row r="38" spans="1:21" ht="15" customHeight="1" x14ac:dyDescent="0.35">
      <c r="B38" s="224"/>
      <c r="C38" s="225"/>
      <c r="D38" s="225"/>
      <c r="E38" s="225"/>
      <c r="F38" s="225"/>
      <c r="G38" s="225"/>
      <c r="H38" s="225"/>
      <c r="I38" s="225"/>
      <c r="J38" s="225"/>
      <c r="K38" s="225"/>
      <c r="L38" s="226"/>
      <c r="N38" s="232" t="s">
        <v>4</v>
      </c>
      <c r="O38" s="233"/>
      <c r="P38" s="154">
        <f>K25</f>
        <v>0</v>
      </c>
    </row>
    <row r="39" spans="1:21" ht="15" customHeight="1" x14ac:dyDescent="0.35">
      <c r="B39" s="224"/>
      <c r="C39" s="225"/>
      <c r="D39" s="225"/>
      <c r="E39" s="225"/>
      <c r="F39" s="225"/>
      <c r="G39" s="225"/>
      <c r="H39" s="225"/>
      <c r="I39" s="225"/>
      <c r="J39" s="225"/>
      <c r="K39" s="225"/>
      <c r="L39" s="226"/>
      <c r="M39" s="2"/>
      <c r="N39" s="232" t="s">
        <v>88</v>
      </c>
      <c r="O39" s="233"/>
      <c r="P39" s="153">
        <f>P36-P37-P38</f>
        <v>0</v>
      </c>
    </row>
    <row r="40" spans="1:21" ht="15" customHeight="1" x14ac:dyDescent="0.35">
      <c r="B40" s="224"/>
      <c r="C40" s="225"/>
      <c r="D40" s="225"/>
      <c r="E40" s="225"/>
      <c r="F40" s="225"/>
      <c r="G40" s="225"/>
      <c r="H40" s="225"/>
      <c r="I40" s="225"/>
      <c r="J40" s="225"/>
      <c r="K40" s="225"/>
      <c r="L40" s="226"/>
      <c r="M40" s="2"/>
      <c r="N40" s="155" t="s">
        <v>89</v>
      </c>
      <c r="O40" s="156">
        <f>IF(B12="Registered",18%,22%)</f>
        <v>0.22</v>
      </c>
      <c r="P40" s="153">
        <f>N25</f>
        <v>0</v>
      </c>
    </row>
    <row r="41" spans="1:21" ht="15" customHeight="1" x14ac:dyDescent="0.35">
      <c r="B41" s="224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"/>
      <c r="N41" s="234" t="s">
        <v>90</v>
      </c>
      <c r="O41" s="235"/>
      <c r="P41" s="153">
        <f>P39+P40</f>
        <v>0</v>
      </c>
    </row>
    <row r="42" spans="1:21" ht="15" customHeight="1" thickBot="1" x14ac:dyDescent="0.4">
      <c r="B42" s="227"/>
      <c r="C42" s="228"/>
      <c r="D42" s="228"/>
      <c r="E42" s="228"/>
      <c r="F42" s="228"/>
      <c r="G42" s="228"/>
      <c r="H42" s="228"/>
      <c r="I42" s="228"/>
      <c r="J42" s="228"/>
      <c r="K42" s="228"/>
      <c r="L42" s="229"/>
      <c r="M42" s="157"/>
      <c r="N42" s="158" t="s">
        <v>91</v>
      </c>
      <c r="O42" s="159">
        <f>IF(B11="Filer",0.5%,2.5%)</f>
        <v>2.5000000000000001E-2</v>
      </c>
      <c r="P42" s="153">
        <f>O42*P41</f>
        <v>0</v>
      </c>
    </row>
    <row r="43" spans="1:21" ht="15.75" customHeight="1" thickBot="1" x14ac:dyDescent="0.4">
      <c r="N43" s="212" t="s">
        <v>92</v>
      </c>
      <c r="O43" s="213"/>
      <c r="P43" s="160">
        <f>P41+P42</f>
        <v>0</v>
      </c>
    </row>
    <row r="44" spans="1:21" ht="15" thickBot="1" x14ac:dyDescent="0.4">
      <c r="B44" s="161" t="s">
        <v>93</v>
      </c>
      <c r="C44" s="214"/>
      <c r="D44" s="214"/>
      <c r="E44" s="214"/>
      <c r="F44" s="214"/>
      <c r="G44" s="214"/>
      <c r="H44" s="214"/>
      <c r="I44" s="215"/>
      <c r="J44" s="216"/>
      <c r="K44" s="217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F4" sqref="F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4" t="s">
        <v>45</v>
      </c>
      <c r="B2" s="254"/>
      <c r="C2" s="254"/>
    </row>
    <row r="3" spans="1:26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46220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46219</v>
      </c>
      <c r="O5" s="239"/>
      <c r="P5" s="239"/>
      <c r="R5" s="70"/>
      <c r="S5" s="71"/>
    </row>
    <row r="6" spans="1:26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6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6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6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6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26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S14" s="255" t="s">
        <v>117</v>
      </c>
      <c r="T14" s="255"/>
      <c r="U14" s="255"/>
      <c r="V14" s="255"/>
      <c r="W14" s="256" t="s">
        <v>119</v>
      </c>
      <c r="X14" s="256"/>
      <c r="Y14" s="256"/>
      <c r="Z14" s="256"/>
      <c r="XFD14" t="s">
        <v>75</v>
      </c>
    </row>
    <row r="15" spans="1:26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57" t="s">
        <v>118</v>
      </c>
      <c r="T19" s="257"/>
      <c r="U19" s="257"/>
      <c r="V19" s="257"/>
      <c r="W19" s="258" t="s">
        <v>116</v>
      </c>
      <c r="X19" s="258"/>
      <c r="Y19" s="258"/>
      <c r="Z19" s="258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>I22*8.6%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13">SUM(G16:G24)</f>
        <v>0</v>
      </c>
      <c r="H25" s="136">
        <f t="shared" si="13"/>
        <v>0</v>
      </c>
      <c r="I25" s="137">
        <f t="shared" si="13"/>
        <v>0</v>
      </c>
      <c r="J25" s="138"/>
      <c r="K25" s="139">
        <f t="shared" si="13"/>
        <v>0</v>
      </c>
      <c r="L25" s="140">
        <f t="shared" si="13"/>
        <v>0</v>
      </c>
      <c r="M25" s="141">
        <f t="shared" si="13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26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26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26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26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2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46220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46219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4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46220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46219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3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46220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46219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5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46220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46219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6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46220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46219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7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46220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46219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8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46220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46219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9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46220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46219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46220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46219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46220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46219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46220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46219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46220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46219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46220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46219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46220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46219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46220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46219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46220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46219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46220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46219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46220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46219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46220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46219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2026-07-17T11:21:04Z</dcterms:modified>
</cp:coreProperties>
</file>