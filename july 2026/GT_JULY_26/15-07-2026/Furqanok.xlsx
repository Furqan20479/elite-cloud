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D8716BB-C242-4F57-B196-11D6D081537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19" l="1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<sst xmlns="http://schemas.openxmlformats.org/spreadsheetml/2006/main" count="1639" uniqueCount="135">
  <si>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</si>
  <si>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</si>
  <si>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</si>
  <si>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</si>
  <si>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</si>
  <si>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</si>
  <si>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</si>
  <si>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</si>
  <si>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</si>
  <si>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</si>
  <si>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</si>
  <si>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</si>
  <si>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</si>
  <si>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</si>
  <si>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</si>
  <si>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</si>
  <si>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</si>
  <si>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</si>
  <si>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</si>
  <si>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</si>
  <si>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</si>
  <si>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</si>
  <si>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</si>
  <si>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</si>
  <si>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</si>
  <si>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</si>
  <si>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</si>
  <si>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</si>
  <si>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</si>
  <si>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</si>
  <si>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</si>
  <si>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</si>
  <si>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</si>
  <si>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</si>
  <si>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</si>
  <si>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</si>
  <si>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</si>
  <si>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</si>
  <si>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</si>
  <si>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</si>
  <si>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</si>
  <si>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</si>
  <si>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</si>
  <si>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</si>
  <si>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</si>
  <si>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</si>
  <si>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</si>
  <si>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</si>
  <si>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</si>
  <si>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</si>
  <si>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</si>
  <si>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</si>
  <si>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</si>
  <si>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</si>
  <si>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</si>
  <si>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</si>
  <si>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</si>
  <si>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</si>
  <si>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</si>
  <si>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</si>
  <si>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</si>
  <si>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</si>
  <si>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</si>
  <si>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</si>
  <si>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</si>
  <si>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</si>
  <si>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</si>
  <si>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</si>
  <si>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</si>
  <si>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</si>
  <si>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</si>
  <si>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</si>
  <si>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</si>
  <si>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</si>
  <si>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</si>
  <si>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</si>
  <si>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</si>
  <si>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</si>
  <si>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</si>
  <si>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</si>
  <si>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</si>
  <si>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</si>
  <si>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</si>
  <si>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</si>
  <si>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</si>
  <si>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</si>
  <si>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</si>
  <si>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</si>
  <si>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</si>
  <si>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</si>
  <si>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</si>
  <si>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</si>
  <si>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</si>
  <si>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</si>
  <si>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</si>
  <si>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</si>
  <si>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</si>
  <si>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</si>
  <si>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</si>
  <si>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</si>
  <si>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</si>
  <si>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</si>
  <si>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</si>
  <si>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</si>
  <si>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</si>
  <si>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</si>
  <si>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</si>
  <si>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</si>
  <si>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</si>
  <si>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</si>
  <si>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</si>
  <si>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</si>
  <si>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</si>
  <si>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</si>
  <si>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</si>
  <si>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</si>
  <si>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</si>
  <si>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</si>
  <si>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</si>
  <si>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</si>
  <si>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</si>
  <si>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Amna Dipartmental Store</t>
  </si>
  <si>
    <t>Address: Mozang</t>
  </si>
  <si>
    <t>F737750</t>
  </si>
  <si>
    <t>Customer Name : Khalid Super Stoer</t>
  </si>
  <si>
    <t>5215632-6</t>
  </si>
  <si>
    <t xml:space="preserve">Customer Name : Khan Nimko </t>
  </si>
  <si>
    <t>Address: Temple Road</t>
  </si>
  <si>
    <t>6925517-8</t>
  </si>
  <si>
    <t xml:space="preserve"> </t>
  </si>
  <si>
    <t>Customer Name : Hafiz Store</t>
  </si>
  <si>
    <t>0162016-9</t>
  </si>
  <si>
    <t>Customer Name : Al madina Store</t>
  </si>
  <si>
    <t>6399787-4</t>
  </si>
  <si>
    <t xml:space="preserve">Customer Name : Ghous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</si>
</sst>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96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Amna Dipartmental Store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Khalid Super Stoer</v>
      </c>
      <c r="U15" s="164">
        <f>+'2'!P35</f>
        <v>3049.4896703999998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39</v>
      </c>
      <c r="I16" s="1">
        <f>(G16*D16)*F16+H16*F16</f>
        <v>2046.0374999999999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71.611312499999997</v>
      </c>
      <c r="L16" s="174">
        <f>+'1'!L16+'2'!L16+'4'!L16+'3'!L16+'5'!L16+'6'!L16+'7'!L16+'8'!L16+'9'!L16+'10'!L16</f>
        <v>163.68299999999999</v>
      </c>
      <c r="M16" s="106">
        <f>I16-K16-L16</f>
        <v>1810.7431875</v>
      </c>
      <c r="N16" s="101">
        <f>+'1'!N16+'2'!N16+'4'!N16+'3'!N16+'5'!N16+'6'!N16+'7'!N16+'8'!N16+'9'!N16+'10'!N16</f>
        <v>325.93377375</v>
      </c>
      <c r="O16" s="101">
        <f>+'1'!O16+'2'!O16+'4'!O16+'3'!O16+'5'!O16+'6'!O16+'7'!O16+'8'!O16+'9'!O16+'10'!O16</f>
        <v>10.683384806250002</v>
      </c>
      <c r="P16" s="105">
        <f t="shared" ref="P16:P24" si="0">M16+N16+O16</f>
        <v>2147.3603460562504</v>
      </c>
      <c r="Q16" s="108"/>
      <c r="T16" s="163" t="str">
        <f>+'3'!A5</f>
        <v xml:space="preserve">Customer Name : Khan Nimko </v>
      </c>
      <c r="U16" s="164">
        <f>+'3'!P35</f>
        <v>3049.4896704000003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Hafiz Store</v>
      </c>
      <c r="U17" s="164">
        <f>+'4'!P35</f>
        <v>3049.4896703999998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madina Store</v>
      </c>
      <c r="U18" s="164">
        <f>+'5'!P35</f>
        <v>3049.4896703999998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86</v>
      </c>
      <c r="I19" s="1">
        <f t="shared" si="1"/>
        <v>6247.04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218.64640000000003</v>
      </c>
      <c r="L19" s="174">
        <f>+'1'!L19+'2'!L19+'4'!L19+'3'!L19+'5'!L19+'6'!L19+'7'!L19+'8'!L19+'9'!L19+'10'!L19</f>
        <v>499.76319999999998</v>
      </c>
      <c r="M19" s="118">
        <f t="shared" si="2"/>
        <v>5528.6304</v>
      </c>
      <c r="N19" s="101">
        <f>+'1'!N19+'2'!N19+'4'!N19+'3'!N19+'5'!N19+'6'!N19+'7'!N19+'8'!N19+'9'!N19+'10'!N19</f>
        <v>995.15347199999997</v>
      </c>
      <c r="O19" s="101">
        <f>+'1'!O19+'2'!O19+'4'!O19+'3'!O19+'5'!O19+'6'!O19+'7'!O19+'8'!O19+'9'!O19+'10'!O19</f>
        <v>32.61891936</v>
      </c>
      <c r="P19" s="120">
        <f t="shared" si="0"/>
        <v>6556.4027913600003</v>
      </c>
      <c r="T19" s="163" t="str">
        <f>+'6'!A5</f>
        <v xml:space="preserve">Customer Name : Ghous Bakery </v>
      </c>
      <c r="U19" s="164">
        <f>+'6'!P35</f>
        <v>15106.08016292625</v>
      </c>
      <c r="V19" t="s">
        <v>129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92</v>
      </c>
      <c r="I20" s="1">
        <f t="shared" si="1"/>
        <v>6682.88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233.9008</v>
      </c>
      <c r="L20" s="174">
        <f>+'1'!L20+'2'!L20+'4'!L20+'3'!L20+'5'!L20+'6'!L20+'7'!L20+'8'!L20+'9'!L20+'10'!L20</f>
        <v>534.63040000000001</v>
      </c>
      <c r="M20" s="118">
        <f t="shared" si="2"/>
        <v>5914.3487999999998</v>
      </c>
      <c r="N20" s="101">
        <f>+'1'!N20+'2'!N20+'4'!N20+'3'!N20+'5'!N20+'6'!N20+'7'!N20+'8'!N20+'9'!N20+'10'!N20</f>
        <v>1064.5827839999999</v>
      </c>
      <c r="O20" s="101">
        <f>+'1'!O20+'2'!O20+'4'!O20+'3'!O20+'5'!O20+'6'!O20+'7'!O20+'8'!O20+'9'!O20+'10'!O20</f>
        <v>34.89465792</v>
      </c>
      <c r="P20" s="120">
        <f t="shared" si="0"/>
        <v>7013.82624192</v>
      </c>
      <c r="T20" s="163" t="str">
        <f>+'7'!A5</f>
        <v xml:space="preserve">Customer Name : </v>
      </c>
      <c r="U20" s="164">
        <f>+'7'!P35</f>
        <v>0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142</v>
      </c>
      <c r="I21" s="1">
        <f t="shared" si="1"/>
        <v>10314.879999999999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361.02080000000007</v>
      </c>
      <c r="L21" s="174">
        <f>+'1'!L21+'2'!L21+'4'!L21+'3'!L21+'5'!L21+'6'!L21+'7'!L21+'8'!L21+'9'!L21+'10'!L21</f>
        <v>825.19039999999995</v>
      </c>
      <c r="M21" s="118">
        <f t="shared" si="2"/>
        <v>9128.6687999999995</v>
      </c>
      <c r="N21" s="101">
        <f>+'1'!N21+'2'!N21+'4'!N21+'3'!N21+'5'!N21+'6'!N21+'7'!N21+'8'!N21+'9'!N21+'10'!N21</f>
        <v>1643.1603839999998</v>
      </c>
      <c r="O21" s="101">
        <f>+'1'!O21+'2'!O21+'4'!O21+'3'!O21+'5'!O21+'6'!O21+'7'!O21+'8'!O21+'9'!O21+'10'!O21</f>
        <v>53.859145919999996</v>
      </c>
      <c r="P21" s="120">
        <f t="shared" si="0"/>
        <v>10825.688329919998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34" t="s">
        <v>84</v>
      </c>
      <c r="B25" s="235"/>
      <c r="C25" s="236">
        <f>H25/40</f>
        <v>10.975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439</v>
      </c>
      <c r="I25" s="177">
        <f t="shared" si="3"/>
        <v>28958.537500000002</v>
      </c>
      <c r="J25" s="176">
        <f t="shared" si="3"/>
        <v>0</v>
      </c>
      <c r="K25" s="177">
        <f t="shared" si="3"/>
        <v>1093.5780125000001</v>
      </c>
      <c r="L25" s="178">
        <f t="shared" si="3"/>
        <v>2269.607</v>
      </c>
      <c r="M25" s="141">
        <f t="shared" si="3"/>
        <v>25595.3524875</v>
      </c>
      <c r="N25" s="142">
        <f>SUM(N16:N24)</f>
        <v>4607.1634477500002</v>
      </c>
      <c r="O25" s="143">
        <f>SUM(O16:O24)</f>
        <v>151.01257967625</v>
      </c>
      <c r="P25" s="144">
        <f>SUM(P16:P24)</f>
        <v>30353.528514926249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2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2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2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30353.528514926249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28958.537500000002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2269.607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1093.5780125000001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25595.3524875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4607.1634477500002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30202.515935250001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755.06289838125008</v>
      </c>
    </row>
    <row r="43" spans="1:21" ht="15.75" customHeight="1" thickBot="1" x14ac:dyDescent="0.4">
      <c r="N43" s="228" t="s">
        <v>92</v>
      </c>
      <c r="O43" s="229"/>
      <c r="P43" s="160">
        <f>P41+P42</f>
        <v>30957.578833631251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26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</v>
      </c>
      <c r="L25" s="140">
        <f t="shared" si="13"/>
        <v>232.44799999999998</v>
      </c>
      <c r="M25" s="141">
        <f t="shared" si="13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16</v>
      </c>
      <c r="I19" s="116">
        <f t="shared" si="2"/>
        <v>1162.24</v>
      </c>
      <c r="J19" s="117"/>
      <c r="K19" s="104">
        <f t="shared" si="3"/>
        <v>40.678400000000003</v>
      </c>
      <c r="L19" s="105">
        <f t="shared" si="4"/>
        <v>92.979200000000006</v>
      </c>
      <c r="M19" s="118">
        <f t="shared" si="5"/>
        <v>1028.5824</v>
      </c>
      <c r="N19" s="118">
        <f t="shared" si="0"/>
        <v>185.14483200000001</v>
      </c>
      <c r="O19" s="119">
        <f t="shared" si="6"/>
        <v>6.0686361599999996</v>
      </c>
      <c r="P19" s="120">
        <f t="shared" si="1"/>
        <v>1219.7958681600001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101.69600000000001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2905.6000000000004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2571.4560000000006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3034.3180800000005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28" t="s">
        <v>92</v>
      </c>
      <c r="O35" s="229"/>
      <c r="P35" s="160">
        <f>P33+P34</f>
        <v>3049.4896704000003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131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XEZ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131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39</v>
      </c>
      <c r="I16" s="102">
        <f>(G16*D16)*F16+H16*F16</f>
        <v>2046.0374999999999</v>
      </c>
      <c r="J16" s="103"/>
      <c r="K16" s="104">
        <f>I16*3.5%</f>
        <v>71.611312499999997</v>
      </c>
      <c r="L16" s="105">
        <f>I16*8%</f>
        <v>163.68299999999999</v>
      </c>
      <c r="M16" s="106">
        <f>I16-K16-L16</f>
        <v>1810.7431875</v>
      </c>
      <c r="N16" s="106">
        <f t="shared" ref="N16:N24" si="0">(M16*$N$15)+(J16*F16)*$N$15</f>
        <v>325.93377375</v>
      </c>
      <c r="O16" s="107">
        <f>(N16+M16)*$O$15</f>
        <v>10.683384806250002</v>
      </c>
      <c r="P16" s="105">
        <f t="shared" ref="P16:P24" si="1">M16+N16+O16</f>
        <v>2147.3603460562504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239</v>
      </c>
      <c r="I25" s="137">
        <f t="shared" si="9"/>
        <v>14430.537500000002</v>
      </c>
      <c r="J25" s="138"/>
      <c r="K25" s="139">
        <f t="shared" si="9"/>
        <v>585.0980125000001</v>
      </c>
      <c r="L25" s="140">
        <f t="shared" si="9"/>
        <v>1107.367</v>
      </c>
      <c r="M25" s="141">
        <f t="shared" si="9"/>
        <v>12738.072487500001</v>
      </c>
      <c r="N25" s="142">
        <f>SUM(N16:N24)</f>
        <v>2292.8530477499999</v>
      </c>
      <c r="O25" s="143">
        <f>SUM(O16:O24)</f>
        <v>75.154627676250001</v>
      </c>
      <c r="P25" s="144">
        <f>SUM(P16:P24)</f>
        <v>15106.080162926251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14430.537500000002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1107.367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585.0980125000001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12738.072487500001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2292.8530477499999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15030.92553525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75.154627676250001</v>
      </c>
    </row>
    <row r="35" spans="2:16" ht="15.75" customHeight="1" thickBot="1" x14ac:dyDescent="0.4">
      <c r="N35" s="228" t="s">
        <v>92</v>
      </c>
      <c r="O35" s="229"/>
      <c r="P35" s="160">
        <f>P33+P34</f>
        <v>15106.08016292625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2026-07-15T10:43:52Z</dcterms:modified>
</cp:coreProperties>
</file>