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C8E53F1-3367-4FF9-81D8-A275F733F6C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L20" i="23"/>
  <c r="K20" i="23"/>
  <c r="L20" i="19"/>
  <c r="M20" i="19" s="1"/>
  <c r="N20" i="19" s="1"/>
  <c r="O20" i="19" s="1"/>
  <c r="L20" i="18"/>
  <c r="K20" i="18"/>
  <c r="M20" i="18" s="1"/>
  <c r="N20" i="18" s="1"/>
  <c r="O20" i="18" s="1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M16" i="20" s="1"/>
  <c r="N16" i="20" s="1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1" i="19" l="1"/>
  <c r="M19" i="19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<sst xmlns="http://schemas.openxmlformats.org/spreadsheetml/2006/main" count="1633" uniqueCount="133">
  <si>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</si>
  <si>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</si>
  <si>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</si>
  <si>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</si>
  <si>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</si>
  <si>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</si>
  <si>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</si>
  <si>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</si>
  <si>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</si>
  <si>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</si>
  <si>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</si>
  <si>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</si>
  <si>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</si>
  <si>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</si>
  <si>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</si>
  <si>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</si>
  <si>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</si>
  <si>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</si>
  <si>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</si>
  <si>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</si>
  <si>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</si>
  <si>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</si>
  <si>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</si>
  <si>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</si>
  <si>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</si>
  <si>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</si>
  <si>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</si>
  <si>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</si>
  <si>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</si>
  <si>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</si>
  <si>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</si>
  <si>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</si>
  <si>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</si>
  <si>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</si>
  <si>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</si>
  <si>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</si>
  <si>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</si>
  <si>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</si>
  <si>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</si>
  <si>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</si>
  <si>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</si>
  <si>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</si>
  <si>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</si>
  <si>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</si>
  <si>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</si>
  <si>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</si>
  <si>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</si>
  <si>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</si>
  <si>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</si>
  <si>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</si>
  <si>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</si>
  <si>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</si>
  <si>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</si>
  <si>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</si>
  <si>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</si>
  <si>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</si>
  <si>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</si>
  <si>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</si>
  <si>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</si>
  <si>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</si>
  <si>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</si>
  <si>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</si>
  <si>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</si>
  <si>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</si>
  <si>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</si>
  <si>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</si>
  <si>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</si>
  <si>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</si>
  <si>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</si>
  <si>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</si>
  <si>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</si>
  <si>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</si>
  <si>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</si>
  <si>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</si>
  <si>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</si>
  <si>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</si>
  <si>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</si>
  <si>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</si>
  <si>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</si>
  <si>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</si>
  <si>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</si>
  <si>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</si>
  <si>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</si>
  <si>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</si>
  <si>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</si>
  <si>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</si>
  <si>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</si>
  <si>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</si>
  <si>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</si>
  <si>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</si>
  <si>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</si>
  <si>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</si>
  <si>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</si>
  <si>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</si>
  <si>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</si>
  <si>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</si>
  <si>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</si>
  <si>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</si>
  <si>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</si>
  <si>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</si>
  <si>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</si>
  <si>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</si>
  <si>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</si>
  <si>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</si>
  <si>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</si>
  <si>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</si>
  <si>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</si>
  <si>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</si>
  <si>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</si>
  <si>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</si>
  <si>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</si>
  <si>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</si>
  <si>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</si>
  <si>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</si>
  <si>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</si>
  <si>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</si>
  <si>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</si>
  <si>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</si>
  <si>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</si>
  <si>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</si>
  <si>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</si>
  <si>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</si>
  <si>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Hikma Super Store</t>
  </si>
  <si>
    <t xml:space="preserve">Address: Paragon City </t>
  </si>
  <si>
    <t>Customer Name : Hikma Super Store 2</t>
  </si>
  <si>
    <t>Address: Paragon cit y</t>
  </si>
  <si>
    <t xml:space="preserve">Customer Name : Umaima </t>
  </si>
  <si>
    <t xml:space="preserve">Address: paragon </t>
  </si>
  <si>
    <t>5008064-5</t>
  </si>
  <si>
    <t xml:space="preserve">Customer Name : Pick And Pack </t>
  </si>
  <si>
    <t xml:space="preserve">Address: Green City </t>
  </si>
  <si>
    <t xml:space="preserve">Customer Name : City Mart </t>
  </si>
  <si>
    <t xml:space="preserve">Address: Jhore pull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</si>
</sst>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6" zoomScale="70" zoomScaleNormal="70" workbookViewId="0">
      <selection activeCell="W33" sqref="W3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Hikma Super Store</v>
      </c>
      <c r="U14" s="164">
        <f>+'1'!P35</f>
        <v>4404.8417355000001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Hikma Super Store 2</v>
      </c>
      <c r="U15" s="164">
        <f>+'2'!P35</f>
        <v>3049.4896703999998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112</v>
      </c>
      <c r="I16" s="1">
        <f>(G16*D16)*F16+H16*F16</f>
        <v>5875.8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205.65300000000002</v>
      </c>
      <c r="L16" s="174">
        <f>+'1'!L16+'2'!L16+'4'!L16+'3'!L16+'5'!L16+'6'!L16+'7'!L16+'8'!L16+'9'!L16+'10'!L16</f>
        <v>470.06399999999996</v>
      </c>
      <c r="M16" s="106">
        <f>I16-K16-L16</f>
        <v>5200.0829999999996</v>
      </c>
      <c r="N16" s="101">
        <f>+'1'!N16+'2'!N16+'4'!N16+'3'!N16+'5'!N16+'6'!N16+'7'!N16+'8'!N16+'9'!N16+'10'!N16</f>
        <v>936.01494000000002</v>
      </c>
      <c r="O16" s="101">
        <f>+'1'!O16+'2'!O16+'4'!O16+'3'!O16+'5'!O16+'6'!O16+'7'!O16+'8'!O16+'9'!O16+'10'!O16</f>
        <v>30.680489699999995</v>
      </c>
      <c r="P16" s="105">
        <f t="shared" ref="P16:P24" si="0">M16+N16+O16</f>
        <v>6166.7784296999998</v>
      </c>
      <c r="Q16" s="108"/>
      <c r="T16" s="163" t="str">
        <f>+'3'!A5</f>
        <v xml:space="preserve">Customer Name : Umaima </v>
      </c>
      <c r="U16" s="164">
        <f>+'3'!P35</f>
        <v>4657.31960832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106</v>
      </c>
      <c r="I17" s="1">
        <f t="shared" ref="I17:I23" si="1">(G17*D17)*F17+H17*F17</f>
        <v>5561.0249999999996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194.635875</v>
      </c>
      <c r="L17" s="174">
        <f>+'1'!L17+'2'!L17+'4'!L17+'3'!L17+'5'!L17+'6'!L17+'7'!L17+'8'!L17+'9'!L17+'10'!L17</f>
        <v>444.88199999999995</v>
      </c>
      <c r="M17" s="118">
        <f t="shared" ref="M17:M23" si="2">I17-K17-L17</f>
        <v>4921.5071250000001</v>
      </c>
      <c r="N17" s="101">
        <f>+'1'!N17+'2'!N17+'4'!N17+'3'!N17+'5'!N17+'6'!N17+'7'!N17+'8'!N17+'9'!N17+'10'!N17</f>
        <v>885.87128250000001</v>
      </c>
      <c r="O17" s="101">
        <f>+'1'!O17+'2'!O17+'4'!O17+'3'!O17+'5'!O17+'6'!O17+'7'!O17+'8'!O17+'9'!O17+'10'!O17</f>
        <v>29.036892037499996</v>
      </c>
      <c r="P17" s="120">
        <f t="shared" si="0"/>
        <v>5836.4152995375007</v>
      </c>
      <c r="S17" s="64"/>
      <c r="T17" s="163" t="str">
        <f>+'4'!A5</f>
        <v xml:space="preserve">Customer Name : Pick And Pack </v>
      </c>
      <c r="U17" s="164">
        <f>+'4'!P35</f>
        <v>3760.5556246635006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Hikma Super Store</v>
      </c>
      <c r="U18" s="164">
        <f>+'5'!P35</f>
        <v>5653.8680226300003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92</v>
      </c>
      <c r="I19" s="1">
        <f t="shared" si="1"/>
        <v>6682.88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233.9008</v>
      </c>
      <c r="L19" s="174">
        <f>+'1'!L19+'2'!L19+'4'!L19+'3'!L19+'5'!L19+'6'!L19+'7'!L19+'8'!L19+'9'!L19+'10'!L19</f>
        <v>534.63040000000001</v>
      </c>
      <c r="M19" s="118">
        <f t="shared" si="2"/>
        <v>5914.3487999999998</v>
      </c>
      <c r="N19" s="101">
        <f>+'1'!N19+'2'!N19+'4'!N19+'3'!N19+'5'!N19+'6'!N19+'7'!N19+'8'!N19+'9'!N19+'10'!N19</f>
        <v>1064.5827839999999</v>
      </c>
      <c r="O19" s="101">
        <f>+'1'!O19+'2'!O19+'4'!O19+'3'!O19+'5'!O19+'6'!O19+'7'!O19+'8'!O19+'9'!O19+'10'!O19</f>
        <v>34.89465792</v>
      </c>
      <c r="P19" s="120">
        <f t="shared" si="0"/>
        <v>7013.82624192</v>
      </c>
      <c r="T19" s="163" t="str">
        <f>+'6'!A5</f>
        <v xml:space="preserve">Customer Name : City Mart </v>
      </c>
      <c r="U19" s="164">
        <f>+'6'!P35</f>
        <v>15161.140684620001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96</v>
      </c>
      <c r="I20" s="1">
        <f t="shared" si="1"/>
        <v>6973.4400000000005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244.07040000000001</v>
      </c>
      <c r="L20" s="174">
        <f>+'1'!L20+'2'!L20+'4'!L20+'3'!L20+'5'!L20+'6'!L20+'7'!L20+'8'!L20+'9'!L20+'10'!L20</f>
        <v>557.87520000000006</v>
      </c>
      <c r="M20" s="118">
        <f t="shared" si="2"/>
        <v>6171.4944000000005</v>
      </c>
      <c r="N20" s="101">
        <f>+'1'!N20+'2'!N20+'4'!N20+'3'!N20+'5'!N20+'6'!N20+'7'!N20+'8'!N20+'9'!N20+'10'!N20</f>
        <v>1110.8689919999999</v>
      </c>
      <c r="O20" s="101">
        <f>+'1'!O20+'2'!O20+'4'!O20+'3'!O20+'5'!O20+'6'!O20+'7'!O20+'8'!O20+'9'!O20+'10'!O20</f>
        <v>36.411816960000003</v>
      </c>
      <c r="P20" s="120">
        <f t="shared" si="0"/>
        <v>7318.7752089599999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82</v>
      </c>
      <c r="I21" s="1">
        <f t="shared" si="1"/>
        <v>5956.4800000000005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208.47680000000003</v>
      </c>
      <c r="L21" s="174">
        <f>+'1'!L21+'2'!L21+'4'!L21+'3'!L21+'5'!L21+'6'!L21+'7'!L21+'8'!L21+'9'!L21+'10'!L21</f>
        <v>476.51840000000004</v>
      </c>
      <c r="M21" s="118">
        <f t="shared" si="2"/>
        <v>5271.4848000000002</v>
      </c>
      <c r="N21" s="101">
        <f>+'1'!N21+'2'!N21+'4'!N21+'3'!N21+'5'!N21+'6'!N21+'7'!N21+'8'!N21+'9'!N21+'10'!N21</f>
        <v>948.86726399999998</v>
      </c>
      <c r="O21" s="101">
        <f>+'1'!O21+'2'!O21+'4'!O21+'3'!O21+'5'!O21+'6'!O21+'7'!O21+'8'!O21+'9'!O21+'10'!O21</f>
        <v>31.101760319999997</v>
      </c>
      <c r="P21" s="120">
        <f t="shared" si="0"/>
        <v>6251.4538243200004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102</v>
      </c>
      <c r="I22" s="1">
        <f t="shared" si="1"/>
        <v>4001.4600000000005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344.12555999999995</v>
      </c>
      <c r="L22" s="174">
        <f>+'1'!L22+'2'!L22+'4'!L22+'3'!L22+'5'!L22+'6'!L22+'7'!L22+'8'!L22+'9'!L22+'10'!L22</f>
        <v>200.07300000000004</v>
      </c>
      <c r="M22" s="118">
        <f t="shared" si="2"/>
        <v>3457.2614400000007</v>
      </c>
      <c r="N22" s="101">
        <f>+'1'!N22+'2'!N22+'4'!N22+'3'!N22+'5'!N22+'6'!N22+'7'!N22+'8'!N22+'9'!N22+'10'!N22</f>
        <v>622.30705920000003</v>
      </c>
      <c r="O22" s="101">
        <f>+'1'!O22+'2'!O22+'4'!O22+'3'!O22+'5'!O22+'6'!O22+'7'!O22+'8'!O22+'9'!O22+'10'!O22</f>
        <v>20.397842496000003</v>
      </c>
      <c r="P22" s="120">
        <f t="shared" si="0"/>
        <v>4099.9663416960002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14.75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590</v>
      </c>
      <c r="I25" s="177">
        <f t="shared" si="3"/>
        <v>35051.085000000006</v>
      </c>
      <c r="J25" s="176">
        <f t="shared" si="3"/>
        <v>0</v>
      </c>
      <c r="K25" s="177">
        <f t="shared" si="3"/>
        <v>1430.862435</v>
      </c>
      <c r="L25" s="178">
        <f t="shared" si="3"/>
        <v>2684.0429999999997</v>
      </c>
      <c r="M25" s="141">
        <f t="shared" si="3"/>
        <v>30936.179564999999</v>
      </c>
      <c r="N25" s="142">
        <f>SUM(N16:N24)</f>
        <v>5568.5123217</v>
      </c>
      <c r="O25" s="143">
        <f>SUM(O16:O24)</f>
        <v>182.52345943350002</v>
      </c>
      <c r="P25" s="144">
        <f>SUM(P16:P24)</f>
        <v>36687.215346133504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36687.215346133496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35051.085000000006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2684.0429999999997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1430.862435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30936.179565000009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5568.5123217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36504.691886700006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912.61729716750017</v>
      </c>
    </row>
    <row r="43" spans="1:21" ht="15.75" customHeight="1" thickBot="1" x14ac:dyDescent="0.4">
      <c r="N43" s="212" t="s">
        <v>92</v>
      </c>
      <c r="O43" s="213"/>
      <c r="P43" s="160">
        <f>P41+P42</f>
        <v>37417.309183867503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>
        <v>4.6515605561561498E+17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1" si="5">I17*8%</f>
        <v>167.88</v>
      </c>
      <c r="M17" s="118">
        <f t="shared" ref="M17:M23" si="6">I17-K17-L17</f>
        <v>1857.1725000000001</v>
      </c>
      <c r="N17" s="118">
        <f t="shared" si="0"/>
        <v>334.29104999999998</v>
      </c>
      <c r="O17" s="119">
        <f t="shared" si="1"/>
        <v>10.95731775</v>
      </c>
      <c r="P17" s="120">
        <f t="shared" si="2"/>
        <v>2202.4208677500001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4197</v>
      </c>
      <c r="J25" s="138"/>
      <c r="K25" s="139">
        <f t="shared" si="13"/>
        <v>146.89500000000001</v>
      </c>
      <c r="L25" s="140">
        <f t="shared" si="13"/>
        <v>335.76</v>
      </c>
      <c r="M25" s="141">
        <f t="shared" si="13"/>
        <v>3714.3450000000003</v>
      </c>
      <c r="N25" s="142">
        <f>SUM(N16:N24)</f>
        <v>668.58209999999997</v>
      </c>
      <c r="O25" s="143">
        <f>SUM(O16:O24)</f>
        <v>21.914635499999999</v>
      </c>
      <c r="P25" s="144">
        <f>SUM(P16:P24)</f>
        <v>4404.8417355000001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4197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335.76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146.89500000000001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3714.3449999999998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668.58209999999997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4382.9270999999999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21.914635499999999</v>
      </c>
    </row>
    <row r="35" spans="2:16" ht="15.75" customHeight="1" thickBot="1" x14ac:dyDescent="0.4">
      <c r="N35" s="212" t="s">
        <v>92</v>
      </c>
      <c r="O35" s="213"/>
      <c r="P35" s="160">
        <f>P33+P34</f>
        <v>4404.8417355000001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5.1651561561561504E+16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15.171590400000001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4634.1488639999998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2" t="s">
        <v>92</v>
      </c>
      <c r="O35" s="213"/>
      <c r="P35" s="160">
        <f>P33+P34</f>
        <v>4657.31960832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4564561561561560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100.28731499999998</v>
      </c>
      <c r="O16" s="107">
        <f>(N16+M16)*$O$15</f>
        <v>3.287195324999999</v>
      </c>
      <c r="P16" s="105">
        <f t="shared" ref="P16:P24" si="1">M16+N16+O16</f>
        <v>660.72626032499977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50.143657499999989</v>
      </c>
      <c r="O17" s="119">
        <f t="shared" ref="O17:O24" si="6">(N17+M17)*$O$15</f>
        <v>1.6435976624999995</v>
      </c>
      <c r="P17" s="120">
        <f t="shared" si="1"/>
        <v>330.36313016249989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2.3997461760000003</v>
      </c>
      <c r="P22" s="120">
        <f t="shared" si="1"/>
        <v>482.34898137600004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60</v>
      </c>
      <c r="I25" s="137">
        <f t="shared" si="9"/>
        <v>3594.2850000000008</v>
      </c>
      <c r="J25" s="138"/>
      <c r="K25" s="139">
        <f t="shared" si="9"/>
        <v>149.80873500000001</v>
      </c>
      <c r="L25" s="140">
        <f t="shared" si="9"/>
        <v>273.42</v>
      </c>
      <c r="M25" s="141">
        <f t="shared" si="9"/>
        <v>3171.0562649999997</v>
      </c>
      <c r="N25" s="142">
        <f>SUM(N16:N24)</f>
        <v>570.79012769999997</v>
      </c>
      <c r="O25" s="143">
        <f>SUM(O16:O24)</f>
        <v>18.709231963500002</v>
      </c>
      <c r="P25" s="144">
        <f>SUM(P16:P24)</f>
        <v>3760.5556246634997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3594.2850000000008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273.42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149.80873500000001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3171.0562650000006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570.79012769999997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3741.8463927000007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18.709231963500002</v>
      </c>
    </row>
    <row r="35" spans="2:16" ht="15.75" customHeight="1" thickBot="1" x14ac:dyDescent="0.4">
      <c r="N35" s="212" t="s">
        <v>92</v>
      </c>
      <c r="O35" s="213"/>
      <c r="P35" s="160">
        <f>P33+P34</f>
        <v>3760.5556246635006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2132321321321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90</v>
      </c>
      <c r="I25" s="137">
        <f t="shared" si="9"/>
        <v>5396.4000000000005</v>
      </c>
      <c r="J25" s="138"/>
      <c r="K25" s="139">
        <f t="shared" si="9"/>
        <v>208.88130000000001</v>
      </c>
      <c r="L25" s="140">
        <f t="shared" si="9"/>
        <v>419.94300000000004</v>
      </c>
      <c r="M25" s="141">
        <f t="shared" si="9"/>
        <v>4767.5756999999994</v>
      </c>
      <c r="N25" s="142">
        <f>SUM(N16:N24)</f>
        <v>858.16362599999991</v>
      </c>
      <c r="O25" s="143">
        <f>SUM(O16:O24)</f>
        <v>28.12869663</v>
      </c>
      <c r="P25" s="144">
        <f>SUM(P16:P24)</f>
        <v>5653.8680226299994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5396.4000000000005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419.94300000000004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208.88130000000001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4767.5757000000003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858.16362599999991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5625.7393259999999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28.12869663</v>
      </c>
    </row>
    <row r="35" spans="2:16" ht="15.75" customHeight="1" thickBot="1" x14ac:dyDescent="0.4">
      <c r="N35" s="212" t="s">
        <v>92</v>
      </c>
      <c r="O35" s="213"/>
      <c r="P35" s="160">
        <f>P33+P34</f>
        <v>5653.8680226300003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3520220915324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586.93420000000003</v>
      </c>
      <c r="L25" s="140">
        <f t="shared" si="9"/>
        <v>1111.5640000000001</v>
      </c>
      <c r="M25" s="141">
        <f t="shared" si="9"/>
        <v>12784.501800000002</v>
      </c>
      <c r="N25" s="142">
        <f>SUM(N16:N24)</f>
        <v>2301.2103239999997</v>
      </c>
      <c r="O25" s="143">
        <f>SUM(O16:O24)</f>
        <v>75.428560619999999</v>
      </c>
      <c r="P25" s="144">
        <f>SUM(P16:P24)</f>
        <v>15161.140684620001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14483.000000000002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1111.5640000000001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586.93420000000003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12784.501800000002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2301.2103239999997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15085.712124000001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75.428560620000013</v>
      </c>
    </row>
    <row r="35" spans="2:16" ht="15.75" customHeight="1" thickBot="1" x14ac:dyDescent="0.4">
      <c r="N35" s="212" t="s">
        <v>92</v>
      </c>
      <c r="O35" s="213"/>
      <c r="P35" s="160">
        <f>P33+P34</f>
        <v>15161.140684620001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2026-07-14T11:03:35Z</dcterms:modified>
</cp:coreProperties>
</file>