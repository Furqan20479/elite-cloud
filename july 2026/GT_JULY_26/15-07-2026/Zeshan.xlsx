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A82E065-1FFA-4CC5-9999-CA3D4FF25543}" xr6:coauthVersionLast="47" xr6:coauthVersionMax="47" xr10:uidLastSave="{00000000-0000-0000-0000-000000000000}"/>
  <bookViews>
    <workbookView xWindow="-110" yWindow="-110" windowWidth="19420" windowHeight="10420" tabRatio="949" activeTab="1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K23" i="26"/>
  <c r="L23" i="26"/>
  <c r="L18" i="26"/>
  <c r="K24" i="26"/>
  <c r="T23" i="15"/>
  <c r="T22" i="15"/>
  <c r="T21" i="15"/>
  <c r="T20" i="15"/>
  <c r="T19" i="15"/>
  <c r="T18" i="15"/>
  <c r="T15" i="15"/>
  <c r="T14" i="15"/>
  <c r="L17" i="26" l="1"/>
  <c r="L16" i="26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17" i="19" l="1"/>
  <c r="N17" i="19" s="1"/>
  <c r="O17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3" i="24" s="1"/>
  <c r="P34" i="24" s="1"/>
  <c r="P35" i="24" s="1"/>
  <c r="U22" i="15" s="1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<sst xmlns="http://schemas.openxmlformats.org/spreadsheetml/2006/main" count="1635" uniqueCount="140">
  <si>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</si>
  <si>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</si>
  <si>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</si>
  <si>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</si>
  <si>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</si>
  <si>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</si>
  <si>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</si>
  <si>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</si>
  <si>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</si>
  <si>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</si>
  <si>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</si>
  <si>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</si>
  <si>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</si>
  <si>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</si>
  <si>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</si>
  <si>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</si>
  <si>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</si>
  <si>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</si>
  <si>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</si>
  <si>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</si>
  <si>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</si>
  <si>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</si>
  <si>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</si>
  <si>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</si>
  <si>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</si>
  <si>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</si>
  <si>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</si>
  <si>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</si>
  <si>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</si>
  <si>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</si>
  <si>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</si>
  <si>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</si>
  <si>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</si>
  <si>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</si>
  <si>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</si>
  <si>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</si>
  <si>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</si>
  <si>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</si>
  <si>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</si>
  <si>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</si>
  <si>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</si>
  <si>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</si>
  <si>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</si>
  <si>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</si>
  <si>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</si>
  <si>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</si>
  <si>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</si>
  <si>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</si>
  <si>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</si>
  <si>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</si>
  <si>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</si>
  <si>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</si>
  <si>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</si>
  <si>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</si>
  <si>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</si>
  <si>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</si>
  <si>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</si>
  <si>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</si>
  <si>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</si>
  <si>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</si>
  <si>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</si>
  <si>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</si>
  <si>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</si>
  <si>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</si>
  <si>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</si>
  <si>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</si>
  <si>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</si>
  <si>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</si>
  <si>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</si>
  <si>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</si>
  <si>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</si>
  <si>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</si>
  <si>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</si>
  <si>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</si>
  <si>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</si>
  <si>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</si>
  <si>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</si>
  <si>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</si>
  <si>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</si>
  <si>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</si>
  <si>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</si>
  <si>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</si>
  <si>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</si>
  <si>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</si>
  <si>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</si>
  <si>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</si>
  <si>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</si>
  <si>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</si>
  <si>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</si>
  <si>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</si>
  <si>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</si>
  <si>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</si>
  <si>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</si>
  <si>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</si>
  <si>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</si>
  <si>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</si>
  <si>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</si>
  <si>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</si>
  <si>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</si>
  <si>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</si>
  <si>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</si>
  <si>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</si>
  <si>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</si>
  <si>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</si>
  <si>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</si>
  <si>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</si>
  <si>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</si>
  <si>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</si>
  <si>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</si>
  <si>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</si>
  <si>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</si>
  <si>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</si>
  <si>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</si>
  <si>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</si>
  <si>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</si>
  <si>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</si>
  <si>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</si>
  <si>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</si>
  <si>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</si>
  <si>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</si>
  <si>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</si>
  <si>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</si>
  <si>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Faizan Store</t>
  </si>
  <si>
    <t>Address: RA Bazar</t>
  </si>
  <si>
    <t>217455-4</t>
  </si>
  <si>
    <t>Customer Name : Imran Bakers</t>
  </si>
  <si>
    <t>Customer Name : Nishter Store</t>
  </si>
  <si>
    <t>Address: Nishat</t>
  </si>
  <si>
    <t>Customer Name : 786 Sreet</t>
  </si>
  <si>
    <t xml:space="preserve">Customer Name : Shareef Mart </t>
  </si>
  <si>
    <t>.9616030-7</t>
  </si>
  <si>
    <t xml:space="preserve">Customer Name : Chaudry Sons </t>
  </si>
  <si>
    <t>Customer Name : LAL Store</t>
  </si>
  <si>
    <t>Address: Nishter</t>
  </si>
  <si>
    <t>Customer Name : Bilal Store</t>
  </si>
  <si>
    <t>Customer Name : Subedar Store</t>
  </si>
  <si>
    <t>Customer Name : Jameel Store</t>
  </si>
  <si>
    <t xml:space="preserve">Customer Name : Best Mart </t>
  </si>
  <si>
    <t>664688-3</t>
  </si>
  <si>
    <t>Customer Name : MS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</si>
</sst>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6" zoomScale="70" zoomScaleNormal="70" workbookViewId="0">
      <selection activeCell="T14" sqref="T14:T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Faizan Store</v>
      </c>
      <c r="U14" s="164">
        <f>+'1'!P35</f>
        <v>1143.5586263999999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Imran Bakers</v>
      </c>
      <c r="U15" s="164">
        <f>+'2'!P35</f>
        <v>711.06070665600009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35</v>
      </c>
      <c r="I16" s="1">
        <f>(G16*D16)*F16+H16*F16</f>
        <v>1836.1875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27.542812500000004</v>
      </c>
      <c r="L16" s="174">
        <f>+'1'!L16+'2'!L16+'4'!L16+'3'!L16+'5'!L16+'6'!L16+'7'!L16+'8'!L16+'9'!L16+'10'!L16</f>
        <v>62.954999999999998</v>
      </c>
      <c r="M16" s="106">
        <f>I16-K16-L16</f>
        <v>1745.6896875</v>
      </c>
      <c r="N16" s="101">
        <f>+'1'!N16+'2'!N16+'4'!N16+'3'!N16+'5'!N16+'6'!N16+'7'!N16+'8'!N16+'9'!N16+'10'!N16</f>
        <v>125.35914374999999</v>
      </c>
      <c r="O16" s="101">
        <f>+'1'!O16+'2'!O16+'4'!O16+'3'!O16+'5'!O16+'6'!O16+'7'!O16+'8'!O16+'9'!O16+'10'!O16</f>
        <v>4.1089941562499996</v>
      </c>
      <c r="P16" s="105">
        <f t="shared" ref="P16:P24" si="0">M16+N16+O16</f>
        <v>1875.1578254062499</v>
      </c>
      <c r="Q16" s="108"/>
      <c r="T16" s="163" t="str">
        <f>+'3'!A5</f>
        <v>Customer Name : Nishter Store</v>
      </c>
      <c r="U16" s="164">
        <f>+'3'!P35</f>
        <v>1651.8156508124998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35</v>
      </c>
      <c r="I17" s="1">
        <f t="shared" ref="I17:I23" si="1">(G17*D17)*F17+H17*F17</f>
        <v>1836.1875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27.542812500000004</v>
      </c>
      <c r="L17" s="174">
        <f>+'1'!L17+'2'!L17+'4'!L17+'3'!L17+'5'!L17+'6'!L17+'7'!L17+'8'!L17+'9'!L17+'10'!L17</f>
        <v>62.954999999999998</v>
      </c>
      <c r="M17" s="118">
        <f t="shared" ref="M17:M23" si="2">I17-K17-L17</f>
        <v>1745.6896875</v>
      </c>
      <c r="N17" s="101">
        <f>+'1'!N17+'2'!N17+'4'!N17+'3'!N17+'5'!N17+'6'!N17+'7'!N17+'8'!N17+'9'!N17+'10'!N17</f>
        <v>125.35914374999999</v>
      </c>
      <c r="O17" s="101">
        <f>+'1'!O17+'2'!O17+'4'!O17+'3'!O17+'5'!O17+'6'!O17+'7'!O17+'8'!O17+'9'!O17+'10'!O17</f>
        <v>4.1089941562499996</v>
      </c>
      <c r="P17" s="120">
        <f t="shared" si="0"/>
        <v>1875.1578254062499</v>
      </c>
      <c r="S17" s="64"/>
      <c r="T17" s="163" t="str">
        <f>+'4'!A5</f>
        <v>Customer Name : 786 Sreet</v>
      </c>
      <c r="U17" s="164">
        <f>+'4'!P35</f>
        <v>1607.8299379200002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Shareef Mart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13</v>
      </c>
      <c r="I19" s="1">
        <f t="shared" si="1"/>
        <v>944.32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33.051200000000001</v>
      </c>
      <c r="L19" s="174">
        <f>+'1'!L19+'2'!L19+'4'!L19+'3'!L19+'5'!L19+'6'!L19+'7'!L19+'8'!L19+'9'!L19+'10'!L19</f>
        <v>75.545600000000007</v>
      </c>
      <c r="M19" s="118">
        <f t="shared" si="2"/>
        <v>835.72320000000002</v>
      </c>
      <c r="N19" s="101">
        <f>+'1'!N19+'2'!N19+'4'!N19+'3'!N19+'5'!N19+'6'!N19+'7'!N19+'8'!N19+'9'!N19+'10'!N19</f>
        <v>150.43017599999999</v>
      </c>
      <c r="O19" s="101">
        <f>+'1'!O19+'2'!O19+'4'!O19+'3'!O19+'5'!O19+'6'!O19+'7'!O19+'8'!O19+'9'!O19+'10'!O19</f>
        <v>4.9307668800000002</v>
      </c>
      <c r="P19" s="120">
        <f t="shared" si="0"/>
        <v>991.08414287999994</v>
      </c>
      <c r="T19" s="163" t="str">
        <f>+'6'!A5</f>
        <v xml:space="preserve">Customer Name : Chaudry Sons </v>
      </c>
      <c r="U19" s="164">
        <f>+'6'!P35</f>
        <v>2522.6768390400002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11</v>
      </c>
      <c r="I20" s="1">
        <f t="shared" si="1"/>
        <v>799.04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27.966400000000004</v>
      </c>
      <c r="L20" s="174">
        <f>+'1'!L20+'2'!L20+'4'!L20+'3'!L20+'5'!L20+'6'!L20+'7'!L20+'8'!L20+'9'!L20+'10'!L20</f>
        <v>63.923200000000008</v>
      </c>
      <c r="M20" s="118">
        <f t="shared" si="2"/>
        <v>707.15039999999999</v>
      </c>
      <c r="N20" s="101">
        <f>+'1'!N20+'2'!N20+'4'!N20+'3'!N20+'5'!N20+'6'!N20+'7'!N20+'8'!N20+'9'!N20+'10'!N20</f>
        <v>127.28707199999999</v>
      </c>
      <c r="O20" s="101">
        <f>+'1'!O20+'2'!O20+'4'!O20+'3'!O20+'5'!O20+'6'!O20+'7'!O20+'8'!O20+'9'!O20+'10'!O20</f>
        <v>4.1721873600000006</v>
      </c>
      <c r="P20" s="120">
        <f t="shared" si="0"/>
        <v>838.60965935999991</v>
      </c>
      <c r="T20" s="163" t="str">
        <f>+'7'!A5</f>
        <v>Customer Name : LAL Store</v>
      </c>
      <c r="U20" s="164">
        <f>+'7'!P35</f>
        <v>1607.8299379200002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</v>
      </c>
      <c r="I21" s="1">
        <f t="shared" si="1"/>
        <v>435.84000000000003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15.254400000000002</v>
      </c>
      <c r="L21" s="174">
        <f>+'1'!L21+'2'!L21+'4'!L21+'3'!L21+'5'!L21+'6'!L21+'7'!L21+'8'!L21+'9'!L21+'10'!L21</f>
        <v>34.867200000000004</v>
      </c>
      <c r="M21" s="118">
        <f t="shared" si="2"/>
        <v>385.71840000000003</v>
      </c>
      <c r="N21" s="101">
        <f>+'1'!N21+'2'!N21+'4'!N21+'3'!N21+'5'!N21+'6'!N21+'7'!N21+'8'!N21+'9'!N21+'10'!N21</f>
        <v>69.429311999999996</v>
      </c>
      <c r="O21" s="101">
        <f>+'1'!O21+'2'!O21+'4'!O21+'3'!O21+'5'!O21+'6'!O21+'7'!O21+'8'!O21+'9'!O21+'10'!O21</f>
        <v>2.2757385600000002</v>
      </c>
      <c r="P21" s="120">
        <f t="shared" si="0"/>
        <v>457.42345055999999</v>
      </c>
      <c r="T21" s="163" t="str">
        <f>+'8'!A5</f>
        <v>Customer Name : Bilal Store</v>
      </c>
      <c r="U21" s="164">
        <f>+'8'!P35</f>
        <v>401.95748448000006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162</v>
      </c>
      <c r="I22" s="1">
        <f t="shared" si="1"/>
        <v>6355.26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546.55235999999991</v>
      </c>
      <c r="L22" s="174">
        <f>+'1'!L22+'2'!L22+'4'!L22+'3'!L22+'5'!L22+'6'!L22+'7'!L22+'8'!L22+'9'!L22+'10'!L22</f>
        <v>317.76300000000009</v>
      </c>
      <c r="M22" s="118">
        <f t="shared" si="2"/>
        <v>5490.9446400000006</v>
      </c>
      <c r="N22" s="101">
        <f>+'1'!N22+'2'!N22+'4'!N22+'3'!N22+'5'!N22+'6'!N22+'7'!N22+'8'!N22+'9'!N22+'10'!N22</f>
        <v>988.37003520000007</v>
      </c>
      <c r="O22" s="101">
        <f>+'1'!O22+'2'!O22+'4'!O22+'3'!O22+'5'!O22+'6'!O22+'7'!O22+'8'!O22+'9'!O22+'10'!O22</f>
        <v>32.396573376000006</v>
      </c>
      <c r="P22" s="120">
        <f t="shared" si="0"/>
        <v>6511.7112485760008</v>
      </c>
      <c r="T22" s="163" t="str">
        <f>+'9'!A5</f>
        <v>Customer Name : Subedar Store</v>
      </c>
      <c r="U22" s="164">
        <f>+'9'!P35</f>
        <v>401.95748448000006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Jameel Store</v>
      </c>
      <c r="U23" s="164">
        <f>+'10'!P35</f>
        <v>401.95748448000006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Best Mart </v>
      </c>
      <c r="U24" s="164">
        <f>+'11'!P35</f>
        <v>2202.4208677500001</v>
      </c>
    </row>
    <row r="25" spans="1:21 16384:16384" ht="26.5" thickBot="1" x14ac:dyDescent="0.65">
      <c r="A25" s="234" t="s">
        <v>84</v>
      </c>
      <c r="B25" s="235"/>
      <c r="C25" s="236">
        <f>H25/40</f>
        <v>6.55</v>
      </c>
      <c r="D25" s="230"/>
      <c r="E25" s="230"/>
      <c r="F25" s="230"/>
      <c r="G25" s="175">
        <f t="shared" ref="G25:M25" si="3">SUM(G16:G24)</f>
        <v>0</v>
      </c>
      <c r="H25" s="176">
        <f t="shared" si="3"/>
        <v>262</v>
      </c>
      <c r="I25" s="177">
        <f t="shared" si="3"/>
        <v>12206.834999999999</v>
      </c>
      <c r="J25" s="176">
        <f t="shared" si="3"/>
        <v>0</v>
      </c>
      <c r="K25" s="177">
        <f t="shared" si="3"/>
        <v>677.90998499999989</v>
      </c>
      <c r="L25" s="178">
        <f t="shared" si="3"/>
        <v>618.00900000000013</v>
      </c>
      <c r="M25" s="141">
        <f t="shared" si="3"/>
        <v>10910.916014999999</v>
      </c>
      <c r="N25" s="142">
        <f>SUM(N16:N24)</f>
        <v>1586.2348827000001</v>
      </c>
      <c r="O25" s="143">
        <f>SUM(O16:O24)</f>
        <v>51.993254488500007</v>
      </c>
      <c r="P25" s="144">
        <f>SUM(P16:P24)</f>
        <v>12549.144152188499</v>
      </c>
      <c r="T25" s="163" t="str">
        <f>+'12'!A5</f>
        <v>Customer Name : MS Store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12653.065019938502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12206.834999999999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618.00900000000013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677.90998499999989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10910.916014999999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1586.2348827000001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12497.150897699999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312.42877244250002</v>
      </c>
    </row>
    <row r="43" spans="1:21" ht="15.75" customHeight="1" thickBot="1" x14ac:dyDescent="0.4">
      <c r="N43" s="228" t="s">
        <v>92</v>
      </c>
      <c r="O43" s="229"/>
      <c r="P43" s="160">
        <f>P41+P42</f>
        <v>12809.579670142499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/>
      <c r="K19" s="104">
        <f t="shared" si="4"/>
        <v>25.424000000000003</v>
      </c>
      <c r="L19" s="105">
        <f t="shared" si="5"/>
        <v>58.112000000000002</v>
      </c>
      <c r="M19" s="118">
        <f t="shared" si="6"/>
        <v>642.86400000000003</v>
      </c>
      <c r="N19" s="118">
        <f t="shared" si="0"/>
        <v>115.71552</v>
      </c>
      <c r="O19" s="119">
        <f t="shared" si="1"/>
        <v>3.7928975999999999</v>
      </c>
      <c r="P19" s="120">
        <f t="shared" si="2"/>
        <v>762.37241759999995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3"/>
        <v>363.2</v>
      </c>
      <c r="J20" s="117"/>
      <c r="K20" s="104">
        <f t="shared" si="4"/>
        <v>12.712000000000002</v>
      </c>
      <c r="L20" s="105">
        <f t="shared" si="5"/>
        <v>29.056000000000001</v>
      </c>
      <c r="M20" s="118">
        <f t="shared" si="6"/>
        <v>321.43200000000002</v>
      </c>
      <c r="N20" s="118">
        <f t="shared" si="0"/>
        <v>57.857759999999999</v>
      </c>
      <c r="O20" s="119">
        <f t="shared" si="1"/>
        <v>1.8964487999999999</v>
      </c>
      <c r="P20" s="120">
        <f t="shared" si="2"/>
        <v>381.18620879999997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15</v>
      </c>
      <c r="I25" s="137">
        <f t="shared" si="13"/>
        <v>1089.5999999999999</v>
      </c>
      <c r="J25" s="138"/>
      <c r="K25" s="139">
        <f t="shared" si="13"/>
        <v>38.136000000000003</v>
      </c>
      <c r="L25" s="140">
        <f t="shared" si="13"/>
        <v>87.168000000000006</v>
      </c>
      <c r="M25" s="141">
        <f t="shared" si="13"/>
        <v>964.29600000000005</v>
      </c>
      <c r="N25" s="142">
        <f>SUM(N16:N24)</f>
        <v>173.57328000000001</v>
      </c>
      <c r="O25" s="143">
        <f>SUM(O16:O24)</f>
        <v>5.6893463999999998</v>
      </c>
      <c r="P25" s="144">
        <f>SUM(P16:P24)</f>
        <v>1143.5586263999999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1089.5999999999999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87.168000000000006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38.136000000000003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964.29599999999994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173.57328000000001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1137.8692799999999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5.6893463999999998</v>
      </c>
    </row>
    <row r="35" spans="2:16" ht="15.75" customHeight="1" thickBot="1" x14ac:dyDescent="0.4">
      <c r="N35" s="228" t="s">
        <v>92</v>
      </c>
      <c r="O35" s="229"/>
      <c r="P35" s="160">
        <f>P33+P34</f>
        <v>1143.5586263999999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6643568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04">
        <f t="shared" si="3"/>
        <v>7.6272000000000011</v>
      </c>
      <c r="L19" s="105">
        <f t="shared" si="4"/>
        <v>17.433600000000002</v>
      </c>
      <c r="M19" s="118">
        <f t="shared" si="5"/>
        <v>192.85920000000002</v>
      </c>
      <c r="N19" s="118">
        <f t="shared" si="0"/>
        <v>34.714655999999998</v>
      </c>
      <c r="O19" s="119">
        <f t="shared" si="6"/>
        <v>1.1378692800000001</v>
      </c>
      <c r="P19" s="120">
        <f t="shared" si="1"/>
        <v>228.71172528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15</v>
      </c>
      <c r="I25" s="137">
        <f t="shared" si="9"/>
        <v>688.68000000000006</v>
      </c>
      <c r="J25" s="138"/>
      <c r="K25" s="139">
        <f t="shared" si="9"/>
        <v>48.112560000000002</v>
      </c>
      <c r="L25" s="140">
        <f t="shared" si="9"/>
        <v>40.971600000000009</v>
      </c>
      <c r="M25" s="141">
        <f t="shared" si="9"/>
        <v>599.59584000000007</v>
      </c>
      <c r="N25" s="142">
        <f>SUM(N16:N24)</f>
        <v>107.9272512</v>
      </c>
      <c r="O25" s="143">
        <f>SUM(O16:O24)</f>
        <v>3.5376154560000002</v>
      </c>
      <c r="P25" s="144">
        <f>SUM(P16:P24)</f>
        <v>711.06070665600009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688.68000000000006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40.971600000000009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48.112560000000002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599.59584000000007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107.9272512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707.52309120000007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3.5376154560000006</v>
      </c>
    </row>
    <row r="35" spans="2:16" ht="15.75" customHeight="1" thickBot="1" x14ac:dyDescent="0.4">
      <c r="N35" s="228" t="s">
        <v>92</v>
      </c>
      <c r="O35" s="229"/>
      <c r="P35" s="160">
        <f>P33+P34</f>
        <v>711.06070665600009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>
        <v>8765448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I16*3.5%</f>
        <v>27.542812500000004</v>
      </c>
      <c r="L16" s="105">
        <f>I16*8%</f>
        <v>62.954999999999998</v>
      </c>
      <c r="M16" s="106">
        <f>I16-K16-L16</f>
        <v>696.43968749999999</v>
      </c>
      <c r="N16" s="106">
        <f t="shared" ref="N16:N24" si="0">(M16*$N$15)+(J16*F16)*$N$15</f>
        <v>125.35914374999999</v>
      </c>
      <c r="O16" s="107">
        <f>(N16+M16)*$O$15</f>
        <v>4.1089941562499996</v>
      </c>
      <c r="P16" s="105">
        <f t="shared" ref="P16:P24" si="1">M16+N16+O16</f>
        <v>825.90782540624991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04">
        <f t="shared" ref="K17:K21" si="3">I17*3.5%</f>
        <v>27.542812500000004</v>
      </c>
      <c r="L17" s="105">
        <f t="shared" ref="L17:L21" si="4">I17*8%</f>
        <v>62.954999999999998</v>
      </c>
      <c r="M17" s="118">
        <f t="shared" ref="M17:M23" si="5">I17-K17-L17</f>
        <v>696.43968749999999</v>
      </c>
      <c r="N17" s="118">
        <f t="shared" si="0"/>
        <v>125.35914374999999</v>
      </c>
      <c r="O17" s="119">
        <f t="shared" ref="O17:O24" si="6">(N17+M17)*$O$15</f>
        <v>4.1089941562499996</v>
      </c>
      <c r="P17" s="120">
        <f t="shared" si="1"/>
        <v>825.90782540624991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30</v>
      </c>
      <c r="I25" s="137">
        <f t="shared" si="9"/>
        <v>1573.875</v>
      </c>
      <c r="J25" s="138"/>
      <c r="K25" s="139">
        <f t="shared" si="9"/>
        <v>55.085625000000007</v>
      </c>
      <c r="L25" s="140">
        <f t="shared" si="9"/>
        <v>125.91</v>
      </c>
      <c r="M25" s="141">
        <f t="shared" si="9"/>
        <v>1392.879375</v>
      </c>
      <c r="N25" s="142">
        <f>SUM(N16:N24)</f>
        <v>250.71828749999997</v>
      </c>
      <c r="O25" s="143">
        <f>SUM(O16:O24)</f>
        <v>8.2179883124999993</v>
      </c>
      <c r="P25" s="144">
        <f>SUM(P16:P24)</f>
        <v>1651.8156508124998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1573.875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125.91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55.085625000000007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1392.879375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250.71828749999997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1643.5976624999998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8.2179883124999993</v>
      </c>
    </row>
    <row r="35" spans="2:16" ht="15.75" customHeight="1" thickBot="1" x14ac:dyDescent="0.4">
      <c r="N35" s="228" t="s">
        <v>92</v>
      </c>
      <c r="O35" s="229"/>
      <c r="P35" s="160">
        <f>P33+P34</f>
        <v>1651.8156508124998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8058676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28" t="s">
        <v>92</v>
      </c>
      <c r="O35" s="229"/>
      <c r="P35" s="160">
        <f>P33+P34</f>
        <v>1607.8299379200002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6543789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52</v>
      </c>
      <c r="I25" s="137">
        <f t="shared" si="9"/>
        <v>2440.88</v>
      </c>
      <c r="J25" s="138"/>
      <c r="K25" s="139">
        <f t="shared" si="9"/>
        <v>165.46</v>
      </c>
      <c r="L25" s="140">
        <f t="shared" si="9"/>
        <v>148.19440000000003</v>
      </c>
      <c r="M25" s="141">
        <f t="shared" si="9"/>
        <v>2127.2256000000002</v>
      </c>
      <c r="N25" s="142">
        <f>SUM(N16:N24)</f>
        <v>382.90060800000003</v>
      </c>
      <c r="O25" s="143">
        <f>SUM(O16:O24)</f>
        <v>12.550631040000003</v>
      </c>
      <c r="P25" s="144">
        <f>SUM(P16:P24)</f>
        <v>2522.6768390400002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2440.88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148.19440000000003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165.46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2127.2256000000002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382.90060800000003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2510.1262080000001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12.550631040000001</v>
      </c>
    </row>
    <row r="35" spans="2:16" ht="15.75" customHeight="1" thickBot="1" x14ac:dyDescent="0.4">
      <c r="N35" s="228" t="s">
        <v>92</v>
      </c>
      <c r="O35" s="229"/>
      <c r="P35" s="160">
        <f>P33+P34</f>
        <v>2522.6768390400002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133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7654389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28" t="s">
        <v>92</v>
      </c>
      <c r="O35" s="229"/>
      <c r="P35" s="160">
        <f>P33+P34</f>
        <v>1607.8299379200002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133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9766578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133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9.8766800000000002E-2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775555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5" workbookViewId="0">
      <selection activeCell="B38" sqref="B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2098.5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167.88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73.447500000000005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1857.1724999999999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2191.4635499999999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8" t="s">
        <v>92</v>
      </c>
      <c r="O35" s="229"/>
      <c r="P35" s="160">
        <f>P33+P34</f>
        <v>2202.4208677500001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abSelected="1" topLeftCell="A11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2026-07-15T10:45:22Z</dcterms:modified>
</cp:coreProperties>
</file>