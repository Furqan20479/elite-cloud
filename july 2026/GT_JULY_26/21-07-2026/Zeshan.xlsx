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57E2380-AA02-49B2-8E89-AD2737FECB3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T23" i="15"/>
  <c r="T22" i="15"/>
  <c r="T21" i="15"/>
  <c r="T20" i="15"/>
  <c r="T19" i="15"/>
  <c r="T18" i="15"/>
  <c r="T15" i="15"/>
  <c r="T14" i="15"/>
  <c r="L16" i="26" l="1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2" i="24" l="1"/>
  <c r="N22" i="24" s="1"/>
  <c r="O22" i="24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<sst xmlns="http://schemas.openxmlformats.org/spreadsheetml/2006/main" count="1637" uniqueCount="140">
  <si>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</si>
  <si>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</si>
  <si>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</si>
  <si>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</si>
  <si>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</si>
  <si>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</si>
  <si>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</si>
  <si>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</si>
  <si>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</si>
  <si>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</si>
  <si>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</si>
  <si>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</si>
  <si>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</si>
  <si>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</si>
  <si>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</si>
  <si>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</si>
  <si>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</si>
  <si>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</si>
  <si>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</si>
  <si>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</si>
  <si>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</si>
  <si>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</si>
  <si>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</si>
  <si>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</si>
  <si>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</si>
  <si>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</si>
  <si>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</si>
  <si>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</si>
  <si>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</si>
  <si>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</si>
  <si>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</si>
  <si>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</si>
  <si>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</si>
  <si>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</si>
  <si>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</si>
  <si>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</si>
  <si>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</si>
  <si>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</si>
  <si>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</si>
  <si>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</si>
  <si>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</si>
  <si>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</si>
  <si>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</si>
  <si>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</si>
  <si>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</si>
  <si>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</si>
  <si>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</si>
  <si>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</si>
  <si>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</si>
  <si>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</si>
  <si>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</si>
  <si>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</si>
  <si>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</si>
  <si>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</si>
  <si>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</si>
  <si>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</si>
  <si>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</si>
  <si>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</si>
  <si>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</si>
  <si>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</si>
  <si>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</si>
  <si>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</si>
  <si>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</si>
  <si>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</si>
  <si>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</si>
  <si>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</si>
  <si>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</si>
  <si>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</si>
  <si>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</si>
  <si>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</si>
  <si>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</si>
  <si>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</si>
  <si>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</si>
  <si>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</si>
  <si>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</si>
  <si>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</si>
  <si>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</si>
  <si>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</si>
  <si>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</si>
  <si>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</si>
  <si>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</si>
  <si>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</si>
  <si>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</si>
  <si>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</si>
  <si>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</si>
  <si>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</si>
  <si>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</si>
  <si>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</si>
  <si>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</si>
  <si>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</si>
  <si>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</si>
  <si>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</si>
  <si>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</si>
  <si>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</si>
  <si>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</si>
  <si>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</si>
  <si>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</si>
  <si>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</si>
  <si>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</si>
  <si>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</si>
  <si>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</si>
  <si>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</si>
  <si>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</si>
  <si>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</si>
  <si>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</si>
  <si>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</si>
  <si>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</si>
  <si>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</si>
  <si>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</si>
  <si>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</si>
  <si>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</si>
  <si>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</si>
  <si>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</si>
  <si>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</si>
  <si>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</si>
  <si>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</si>
  <si>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</si>
  <si>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</si>
  <si>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</si>
  <si>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</si>
  <si>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</si>
  <si>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</si>
  <si>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 xml:space="preserve">Customer Name : Raza Mart </t>
  </si>
  <si>
    <t>Address: Gulshan Colony</t>
  </si>
  <si>
    <t>Customer Name : Bilal Store</t>
  </si>
  <si>
    <t xml:space="preserve">Customer Name : HR Mart </t>
  </si>
  <si>
    <t>Customer Name : MS Store</t>
  </si>
  <si>
    <t>Customer Name : 786 Store</t>
  </si>
  <si>
    <t xml:space="preserve">Customer Name : MHT Mart </t>
  </si>
  <si>
    <t>Address: Gulahan Colony</t>
  </si>
  <si>
    <t>7999552-1</t>
  </si>
  <si>
    <t>Customer Name : Rana Store</t>
  </si>
  <si>
    <t>986655-4</t>
  </si>
  <si>
    <t>Customer Name : Moon store</t>
  </si>
  <si>
    <t>Customer Name : Awan Store</t>
  </si>
  <si>
    <t>886556-5</t>
  </si>
  <si>
    <t>Customer Name : Hadi Store</t>
  </si>
  <si>
    <t>775557-5</t>
  </si>
  <si>
    <t>Customer Name : Euro Store</t>
  </si>
  <si>
    <t>6616456-4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</si>
</sst>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3" zoomScale="70" zoomScaleNormal="70" workbookViewId="0">
      <selection activeCell="V17" sqref="V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Raza Mart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401.95748448000006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2098.5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2098.5</v>
      </c>
      <c r="Q16" s="108"/>
      <c r="T16" s="163" t="str">
        <f>+'3'!A5</f>
        <v xml:space="preserve">Customer Name : HR Mart </v>
      </c>
      <c r="U16" s="164">
        <f>+'3'!P35</f>
        <v>401.95748448000006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MS Store</v>
      </c>
      <c r="U17" s="164">
        <f>+'4'!P35</f>
        <v>401.95748448000006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786 Store</v>
      </c>
      <c r="U18" s="164">
        <f>+'5'!P35</f>
        <v>401.95748448000006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105</v>
      </c>
      <c r="I19" s="1">
        <f t="shared" si="1"/>
        <v>7627.2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63.56</v>
      </c>
      <c r="L19" s="174">
        <f>+'1'!L19+'2'!L19+'4'!L19+'3'!L19+'5'!L19+'6'!L19+'7'!L19+'8'!L19+'9'!L19+'10'!L19</f>
        <v>145.28</v>
      </c>
      <c r="M19" s="118">
        <f t="shared" si="2"/>
        <v>7418.36</v>
      </c>
      <c r="N19" s="101">
        <f>+'1'!N19+'2'!N19+'4'!N19+'3'!N19+'5'!N19+'6'!N19+'7'!N19+'8'!N19+'9'!N19+'10'!N19</f>
        <v>289.28879999999998</v>
      </c>
      <c r="O19" s="101">
        <f>+'1'!O19+'2'!O19+'4'!O19+'3'!O19+'5'!O19+'6'!O19+'7'!O19+'8'!O19+'9'!O19+'10'!O19</f>
        <v>9.4822439999999997</v>
      </c>
      <c r="P19" s="120">
        <f t="shared" si="0"/>
        <v>7717.1310439999997</v>
      </c>
      <c r="T19" s="163" t="str">
        <f>+'6'!A5</f>
        <v xml:space="preserve">Customer Name : MHT Mart </v>
      </c>
      <c r="U19" s="164">
        <f>+'6'!P35</f>
        <v>4255.3621238399992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50.848000000000006</v>
      </c>
      <c r="L20" s="174">
        <f>+'1'!L20+'2'!L20+'4'!L20+'3'!L20+'5'!L20+'6'!L20+'7'!L20+'8'!L20+'9'!L20+'10'!L20</f>
        <v>116.224</v>
      </c>
      <c r="M20" s="118">
        <f t="shared" si="2"/>
        <v>4191.3279999999995</v>
      </c>
      <c r="N20" s="101">
        <f>+'1'!N20+'2'!N20+'4'!N20+'3'!N20+'5'!N20+'6'!N20+'7'!N20+'8'!N20+'9'!N20+'10'!N20</f>
        <v>231.43104</v>
      </c>
      <c r="O20" s="101">
        <f>+'1'!O20+'2'!O20+'4'!O20+'3'!O20+'5'!O20+'6'!O20+'7'!O20+'8'!O20+'9'!O20+'10'!O20</f>
        <v>7.5857951999999997</v>
      </c>
      <c r="P20" s="120">
        <f t="shared" si="0"/>
        <v>4430.3448351999996</v>
      </c>
      <c r="T20" s="163" t="str">
        <f>+'7'!A5</f>
        <v>Customer Name : Rana Store</v>
      </c>
      <c r="U20" s="164">
        <f>+'7'!P35</f>
        <v>401.95748448000006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35</v>
      </c>
      <c r="I21" s="1">
        <f t="shared" si="1"/>
        <v>2542.4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88.984000000000009</v>
      </c>
      <c r="L21" s="174">
        <f>+'1'!L21+'2'!L21+'4'!L21+'3'!L21+'5'!L21+'6'!L21+'7'!L21+'8'!L21+'9'!L21+'10'!L21</f>
        <v>203.392</v>
      </c>
      <c r="M21" s="118">
        <f t="shared" si="2"/>
        <v>2250.0240000000003</v>
      </c>
      <c r="N21" s="101">
        <f>+'1'!N21+'2'!N21+'4'!N21+'3'!N21+'5'!N21+'6'!N21+'7'!N21+'8'!N21+'9'!N21+'10'!N21</f>
        <v>405.00432000000001</v>
      </c>
      <c r="O21" s="101">
        <f>+'1'!O21+'2'!O21+'4'!O21+'3'!O21+'5'!O21+'6'!O21+'7'!O21+'8'!O21+'9'!O21+'10'!O21</f>
        <v>13.2751416</v>
      </c>
      <c r="P21" s="120">
        <f t="shared" si="0"/>
        <v>2668.3034616000004</v>
      </c>
      <c r="T21" s="163" t="str">
        <f>+'8'!A5</f>
        <v>Customer Name : Moon store</v>
      </c>
      <c r="U21" s="164">
        <f>+'8'!P35</f>
        <v>401.95748448000006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244</v>
      </c>
      <c r="I22" s="1">
        <f t="shared" si="1"/>
        <v>9572.1200000000008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553.29991999999993</v>
      </c>
      <c r="L22" s="174">
        <f>+'1'!L22+'2'!L22+'4'!L22+'3'!L22+'5'!L22+'6'!L22+'7'!L22+'8'!L22+'9'!L22+'10'!L22</f>
        <v>321.68600000000009</v>
      </c>
      <c r="M22" s="118">
        <f t="shared" si="2"/>
        <v>8697.1340800000016</v>
      </c>
      <c r="N22" s="101">
        <f>+'1'!N22+'2'!N22+'4'!N22+'3'!N22+'5'!N22+'6'!N22+'7'!N22+'8'!N22+'9'!N22+'10'!N22</f>
        <v>1000.5721344</v>
      </c>
      <c r="O22" s="101">
        <f>+'1'!O22+'2'!O22+'4'!O22+'3'!O22+'5'!O22+'6'!O22+'7'!O22+'8'!O22+'9'!O22+'10'!O22</f>
        <v>32.796531072000001</v>
      </c>
      <c r="P22" s="120">
        <f t="shared" si="0"/>
        <v>9730.5027454720002</v>
      </c>
      <c r="T22" s="163" t="str">
        <f>+'9'!A5</f>
        <v>Customer Name : Awan Store</v>
      </c>
      <c r="U22" s="164">
        <f>+'9'!P35</f>
        <v>401.95748448000006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Hadi Store</v>
      </c>
      <c r="U23" s="164">
        <f>+'10'!P35</f>
        <v>964.69796275200008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Euro Store</v>
      </c>
      <c r="U24" s="164">
        <f>+'11'!P35</f>
        <v>14566.549754789999</v>
      </c>
    </row>
    <row r="25" spans="1:21 16384:16384" ht="26.5" thickBot="1" x14ac:dyDescent="0.65">
      <c r="A25" s="218" t="s">
        <v>84</v>
      </c>
      <c r="B25" s="219"/>
      <c r="C25" s="220">
        <f>H25/40</f>
        <v>12.1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484</v>
      </c>
      <c r="I25" s="177">
        <f t="shared" si="3"/>
        <v>26198.620000000003</v>
      </c>
      <c r="J25" s="176">
        <f t="shared" si="3"/>
        <v>0</v>
      </c>
      <c r="K25" s="177">
        <f t="shared" si="3"/>
        <v>756.69191999999998</v>
      </c>
      <c r="L25" s="178">
        <f t="shared" si="3"/>
        <v>786.58200000000011</v>
      </c>
      <c r="M25" s="141">
        <f t="shared" si="3"/>
        <v>24655.346080000003</v>
      </c>
      <c r="N25" s="142">
        <f>SUM(N16:N24)</f>
        <v>1926.2962944000001</v>
      </c>
      <c r="O25" s="143">
        <f>SUM(O16:O24)</f>
        <v>63.139711871999999</v>
      </c>
      <c r="P25" s="144">
        <f>SUM(P16:P24)</f>
        <v>26644.782086272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27257.631841062001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26198.620000000003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786.58200000000011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756.69191999999998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24655.346080000003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1926.2962944000001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26581.642374400002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664.54105936000008</v>
      </c>
    </row>
    <row r="43" spans="1:21" ht="15.75" customHeight="1" thickBot="1" x14ac:dyDescent="0.4">
      <c r="N43" s="212" t="s">
        <v>92</v>
      </c>
      <c r="O43" s="213"/>
      <c r="P43" s="160">
        <f>P41+P42</f>
        <v>27246.183433760001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875448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173.57327999999998</v>
      </c>
      <c r="O19" s="119">
        <f t="shared" si="1"/>
        <v>5.6893463999999998</v>
      </c>
      <c r="P19" s="120">
        <f t="shared" si="2"/>
        <v>1143.5586263999999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173.57327999999998</v>
      </c>
      <c r="O21" s="119">
        <f t="shared" si="1"/>
        <v>5.6893463999999998</v>
      </c>
      <c r="P21" s="120">
        <f t="shared" si="2"/>
        <v>1143.5586263999999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3927.2447999999999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555467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755478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30</v>
      </c>
      <c r="I22" s="116">
        <f t="shared" si="2"/>
        <v>1176.9000000000001</v>
      </c>
      <c r="J22" s="117"/>
      <c r="K22" s="104">
        <f>I22*8.6%</f>
        <v>101.21339999999999</v>
      </c>
      <c r="L22" s="120">
        <f>I22*5%</f>
        <v>58.845000000000006</v>
      </c>
      <c r="M22" s="118">
        <f t="shared" si="5"/>
        <v>1016.8416</v>
      </c>
      <c r="N22" s="118">
        <f t="shared" si="0"/>
        <v>183.031488</v>
      </c>
      <c r="O22" s="119">
        <f t="shared" si="6"/>
        <v>5.99936544</v>
      </c>
      <c r="P22" s="120">
        <f t="shared" si="1"/>
        <v>1205.8724534400001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70</v>
      </c>
      <c r="I25" s="137">
        <f t="shared" si="9"/>
        <v>4082.5</v>
      </c>
      <c r="J25" s="138"/>
      <c r="K25" s="139">
        <f t="shared" si="9"/>
        <v>202.90940000000001</v>
      </c>
      <c r="L25" s="140">
        <f t="shared" si="9"/>
        <v>291.29300000000001</v>
      </c>
      <c r="M25" s="141">
        <f t="shared" si="9"/>
        <v>3588.2975999999999</v>
      </c>
      <c r="N25" s="142">
        <f>SUM(N16:N24)</f>
        <v>645.89356799999996</v>
      </c>
      <c r="O25" s="143">
        <f>SUM(O16:O24)</f>
        <v>21.170955839999998</v>
      </c>
      <c r="P25" s="144">
        <f>SUM(P16:P24)</f>
        <v>4255.3621238400001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4082.5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291.29300000000001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202.90940000000001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3588.2975999999999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645.89356799999996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4234.1911679999994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21.170955839999998</v>
      </c>
    </row>
    <row r="35" spans="2:16" ht="15.75" customHeight="1" thickBot="1" x14ac:dyDescent="0.4">
      <c r="N35" s="212" t="s">
        <v>92</v>
      </c>
      <c r="O35" s="213"/>
      <c r="P35" s="160">
        <f>P33+P34</f>
        <v>4255.3621238399992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876578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4.7994923520000006</v>
      </c>
      <c r="P25" s="144">
        <f>SUM(P16:P24)</f>
        <v>964.69796275200008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941.5200000000001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47.076000000000008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80.97072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813.47328000000005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959.89847040000006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4.7994923520000006</v>
      </c>
    </row>
    <row r="35" spans="2:16" ht="15.75" customHeight="1" thickBot="1" x14ac:dyDescent="0.4">
      <c r="N35" s="212" t="s">
        <v>92</v>
      </c>
      <c r="O35" s="213"/>
      <c r="P35" s="160">
        <f>P33+P34</f>
        <v>964.69796275200008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9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240</v>
      </c>
      <c r="I25" s="137">
        <f t="shared" si="9"/>
        <v>13953.7</v>
      </c>
      <c r="J25" s="138"/>
      <c r="K25" s="139">
        <f t="shared" si="9"/>
        <v>648.43790000000013</v>
      </c>
      <c r="L25" s="140">
        <f t="shared" si="9"/>
        <v>1022.1440000000001</v>
      </c>
      <c r="M25" s="141">
        <f t="shared" si="9"/>
        <v>12283.118100000002</v>
      </c>
      <c r="N25" s="142">
        <f>SUM(N16:N24)</f>
        <v>2210.9612579999998</v>
      </c>
      <c r="O25" s="143">
        <f>SUM(O16:O24)</f>
        <v>72.470396789999995</v>
      </c>
      <c r="P25" s="144">
        <f>SUM(P16:P24)</f>
        <v>14566.549754790001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13953.7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1022.1440000000001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648.43790000000013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12283.1181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2210.9612579999998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14494.079357999999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72.470396789999995</v>
      </c>
    </row>
    <row r="35" spans="2:16" ht="15.75" customHeight="1" thickBot="1" x14ac:dyDescent="0.4">
      <c r="N35" s="212" t="s">
        <v>92</v>
      </c>
      <c r="O35" s="213"/>
      <c r="P35" s="160">
        <f>P33+P34</f>
        <v>14566.549754789999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2026-07-21T05:05:56Z</dcterms:modified>
</cp:coreProperties>
</file>