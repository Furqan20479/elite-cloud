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2930D439-97E4-41F0-8413-A7C83C34D86A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4" i="33" l="1"/>
  <c r="I16" i="35"/>
  <c r="K16" i="35" s="1"/>
  <c r="I17" i="35"/>
  <c r="K17" i="35" s="1"/>
  <c r="I18" i="35"/>
  <c r="K18" i="35" s="1"/>
  <c r="I19" i="35"/>
  <c r="K19" i="35" s="1"/>
  <c r="I20" i="35"/>
  <c r="K20" i="35" s="1"/>
  <c r="I21" i="35"/>
  <c r="K21" i="35" s="1"/>
  <c r="I22" i="35"/>
  <c r="L22" i="35" s="1"/>
  <c r="I23" i="35"/>
  <c r="I24" i="35"/>
  <c r="I17" i="33"/>
  <c r="K17" i="33" s="1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L16" i="35"/>
  <c r="L17" i="35"/>
  <c r="M17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21" i="32"/>
  <c r="K23" i="32"/>
  <c r="L23" i="32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17" i="32" l="1"/>
  <c r="I25" i="35"/>
  <c r="P28" i="35" s="1"/>
  <c r="K22" i="35"/>
  <c r="M22" i="35" s="1"/>
  <c r="N22" i="35" s="1"/>
  <c r="O22" i="35" s="1"/>
  <c r="I16" i="27"/>
  <c r="K16" i="27" s="1"/>
  <c r="I17" i="27"/>
  <c r="K17" i="27" s="1"/>
  <c r="I18" i="27"/>
  <c r="K18" i="27" s="1"/>
  <c r="I19" i="27"/>
  <c r="K19" i="27" s="1"/>
  <c r="I20" i="27"/>
  <c r="K20" i="27" s="1"/>
  <c r="I22" i="27"/>
  <c r="I23" i="27"/>
  <c r="I24" i="27"/>
  <c r="M23" i="32"/>
  <c r="L18" i="35"/>
  <c r="M18" i="35" s="1"/>
  <c r="M23" i="30"/>
  <c r="L21" i="28"/>
  <c r="M21" i="28" s="1"/>
  <c r="N21" i="28" s="1"/>
  <c r="O21" i="28" s="1"/>
  <c r="L21" i="30"/>
  <c r="M21" i="30" s="1"/>
  <c r="N21" i="30" s="1"/>
  <c r="O21" i="30" s="1"/>
  <c r="L21" i="34"/>
  <c r="L20" i="33"/>
  <c r="M20" i="33" s="1"/>
  <c r="N20" i="33" s="1"/>
  <c r="O20" i="33" s="1"/>
  <c r="L19" i="33"/>
  <c r="K19" i="33"/>
  <c r="M19" i="33" s="1"/>
  <c r="N19" i="33" s="1"/>
  <c r="O19" i="33" s="1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M16" i="33" s="1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M21" i="29" s="1"/>
  <c r="N21" i="29" s="1"/>
  <c r="O21" i="29" s="1"/>
  <c r="L20" i="29"/>
  <c r="L17" i="28"/>
  <c r="M17" i="28" s="1"/>
  <c r="L16" i="28"/>
  <c r="I25" i="28"/>
  <c r="P28" i="28" s="1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N21" i="35" s="1"/>
  <c r="O21" i="35" s="1"/>
  <c r="I25" i="34"/>
  <c r="P28" i="34" s="1"/>
  <c r="M24" i="28"/>
  <c r="L18" i="28"/>
  <c r="M18" i="28" s="1"/>
  <c r="N18" i="28" s="1"/>
  <c r="O18" i="28" s="1"/>
  <c r="P18" i="28" s="1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19" i="34" s="1"/>
  <c r="N19" i="34" s="1"/>
  <c r="O19" i="34" s="1"/>
  <c r="M24" i="35"/>
  <c r="N24" i="35" s="1"/>
  <c r="O24" i="35" s="1"/>
  <c r="P24" i="35" s="1"/>
  <c r="L18" i="33"/>
  <c r="M18" i="33" s="1"/>
  <c r="I25" i="30"/>
  <c r="P28" i="30" s="1"/>
  <c r="M24" i="31"/>
  <c r="N24" i="31" s="1"/>
  <c r="O24" i="31" s="1"/>
  <c r="K25" i="33"/>
  <c r="P30" i="33" s="1"/>
  <c r="M24" i="33"/>
  <c r="M23" i="35"/>
  <c r="M23" i="33"/>
  <c r="N23" i="33" s="1"/>
  <c r="O23" i="33" s="1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L23" i="26" s="1"/>
  <c r="I24" i="26"/>
  <c r="L24" i="26" s="1"/>
  <c r="I21" i="27"/>
  <c r="K21" i="27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34"/>
  <c r="N21" i="34" s="1"/>
  <c r="O21" i="34" s="1"/>
  <c r="M21" i="32"/>
  <c r="N21" i="32" s="1"/>
  <c r="O21" i="32" s="1"/>
  <c r="M22" i="34"/>
  <c r="N22" i="34" s="1"/>
  <c r="O22" i="34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17" i="35"/>
  <c r="O17" i="35" s="1"/>
  <c r="N23" i="35"/>
  <c r="O23" i="35" s="1"/>
  <c r="N19" i="35"/>
  <c r="O19" i="35" s="1"/>
  <c r="L25" i="35"/>
  <c r="P29" i="35" s="1"/>
  <c r="M16" i="35"/>
  <c r="N24" i="33"/>
  <c r="O24" i="33" s="1"/>
  <c r="N18" i="33"/>
  <c r="O18" i="33" s="1"/>
  <c r="N17" i="33"/>
  <c r="O17" i="33" s="1"/>
  <c r="N17" i="32"/>
  <c r="O17" i="32" s="1"/>
  <c r="N23" i="32"/>
  <c r="O23" i="32" s="1"/>
  <c r="M16" i="31"/>
  <c r="K25" i="31"/>
  <c r="P30" i="31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7" i="27"/>
  <c r="L20" i="27"/>
  <c r="K23" i="27"/>
  <c r="L23" i="27"/>
  <c r="K24" i="27"/>
  <c r="L24" i="27"/>
  <c r="L18" i="27"/>
  <c r="L17" i="26"/>
  <c r="K23" i="26"/>
  <c r="L18" i="26"/>
  <c r="L16" i="26"/>
  <c r="T23" i="15"/>
  <c r="T22" i="15"/>
  <c r="T21" i="15"/>
  <c r="T20" i="15"/>
  <c r="T19" i="15"/>
  <c r="T18" i="15"/>
  <c r="T15" i="15"/>
  <c r="T14" i="15"/>
  <c r="K24" i="26" l="1"/>
  <c r="M24" i="26" s="1"/>
  <c r="N24" i="26" s="1"/>
  <c r="O24" i="26" s="1"/>
  <c r="P24" i="31"/>
  <c r="L16" i="27"/>
  <c r="M16" i="27" s="1"/>
  <c r="N16" i="27" s="1"/>
  <c r="L19" i="27"/>
  <c r="K25" i="35"/>
  <c r="P30" i="35" s="1"/>
  <c r="L25" i="33"/>
  <c r="P29" i="33" s="1"/>
  <c r="P31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N24" i="27" s="1"/>
  <c r="O24" i="27" s="1"/>
  <c r="M18" i="27"/>
  <c r="N18" i="27" s="1"/>
  <c r="O18" i="27" s="1"/>
  <c r="M22" i="27"/>
  <c r="N22" i="27" s="1"/>
  <c r="O22" i="27" s="1"/>
  <c r="M21" i="27"/>
  <c r="N21" i="27" s="1"/>
  <c r="M18" i="26"/>
  <c r="N18" i="26" s="1"/>
  <c r="O18" i="26" s="1"/>
  <c r="M19" i="26"/>
  <c r="N19" i="26" s="1"/>
  <c r="O19" i="26" s="1"/>
  <c r="L25" i="27"/>
  <c r="P29" i="27" s="1"/>
  <c r="K25" i="27"/>
  <c r="P30" i="27" s="1"/>
  <c r="M16" i="26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22" i="29" l="1"/>
  <c r="L25" i="26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20" l="1"/>
  <c r="L24" i="20"/>
  <c r="M25" i="26"/>
  <c r="L21" i="17"/>
  <c r="K21" i="17"/>
  <c r="L21" i="19"/>
  <c r="K21" i="19"/>
  <c r="L20" i="23"/>
  <c r="M20" i="23" s="1"/>
  <c r="N20" i="23" s="1"/>
  <c r="O20" i="23" s="1"/>
  <c r="K20" i="23"/>
  <c r="L20" i="19"/>
  <c r="M20" i="19" s="1"/>
  <c r="N20" i="19" s="1"/>
  <c r="O20" i="19" s="1"/>
  <c r="L20" i="18"/>
  <c r="K20" i="18"/>
  <c r="M20" i="18" s="1"/>
  <c r="N20" i="18" s="1"/>
  <c r="O20" i="18" s="1"/>
  <c r="P33" i="34"/>
  <c r="P34" i="34" s="1"/>
  <c r="P35" i="34" s="1"/>
  <c r="U32" i="15" s="1"/>
  <c r="L19" i="19"/>
  <c r="K19" i="19"/>
  <c r="L18" i="23"/>
  <c r="M18" i="23" s="1"/>
  <c r="N18" i="23" s="1"/>
  <c r="O18" i="23" s="1"/>
  <c r="K18" i="23"/>
  <c r="L18" i="19"/>
  <c r="K18" i="19"/>
  <c r="L18" i="18"/>
  <c r="K18" i="18"/>
  <c r="L17" i="18"/>
  <c r="K17" i="18"/>
  <c r="L17" i="25"/>
  <c r="M17" i="25" s="1"/>
  <c r="N17" i="25" s="1"/>
  <c r="O17" i="25" s="1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K21" i="25"/>
  <c r="K25" i="25" s="1"/>
  <c r="P30" i="25" s="1"/>
  <c r="L21" i="24"/>
  <c r="M21" i="24" s="1"/>
  <c r="N21" i="24" s="1"/>
  <c r="O21" i="24" s="1"/>
  <c r="K21" i="24"/>
  <c r="L19" i="24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K22" i="25"/>
  <c r="L22" i="25"/>
  <c r="M22" i="25" s="1"/>
  <c r="N22" i="25" s="1"/>
  <c r="O22" i="25" s="1"/>
  <c r="L24" i="17"/>
  <c r="K23" i="24"/>
  <c r="I25" i="25"/>
  <c r="P28" i="25" s="1"/>
  <c r="L18" i="17"/>
  <c r="M18" i="17" s="1"/>
  <c r="N18" i="17" s="1"/>
  <c r="O18" i="17" s="1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N23" i="25" s="1"/>
  <c r="O23" i="25" s="1"/>
  <c r="P23" i="25" s="1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4" i="24"/>
  <c r="O24" i="24" s="1"/>
  <c r="M16" i="22"/>
  <c r="M21" i="21"/>
  <c r="N21" i="21" s="1"/>
  <c r="N24" i="18"/>
  <c r="O24" i="18" s="1"/>
  <c r="I23" i="15"/>
  <c r="M18" i="19" l="1"/>
  <c r="N18" i="19" s="1"/>
  <c r="O18" i="19" s="1"/>
  <c r="M19" i="24"/>
  <c r="N19" i="24" s="1"/>
  <c r="O19" i="24" s="1"/>
  <c r="P19" i="24" s="1"/>
  <c r="M21" i="25"/>
  <c r="N21" i="25" s="1"/>
  <c r="O21" i="25" s="1"/>
  <c r="P21" i="25" s="1"/>
  <c r="M22" i="18"/>
  <c r="N22" i="18" s="1"/>
  <c r="O22" i="18" s="1"/>
  <c r="M18" i="18"/>
  <c r="N18" i="18" s="1"/>
  <c r="O18" i="18" s="1"/>
  <c r="M17" i="19"/>
  <c r="N17" i="19" s="1"/>
  <c r="O17" i="19" s="1"/>
  <c r="M21" i="19"/>
  <c r="M19" i="19"/>
  <c r="N19" i="19" s="1"/>
  <c r="O19" i="19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7"/>
  <c r="O25" i="17" s="1"/>
  <c r="N25" i="17"/>
  <c r="P32" i="17" s="1"/>
  <c r="P33" i="20" l="1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<sst xmlns="http://schemas.openxmlformats.org/spreadsheetml/2006/main" count="1633" uniqueCount="127">
  <si>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</si>
  <si>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</si>
  <si>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</si>
  <si>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</si>
  <si>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</si>
  <si>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</si>
  <si>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</si>
  <si>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</si>
  <si>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</si>
  <si>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</si>
  <si>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</si>
  <si>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</si>
  <si>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</si>
  <si>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</si>
  <si>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</si>
  <si>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</si>
  <si>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</si>
  <si>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</si>
  <si>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</si>
  <si>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</si>
  <si>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</si>
  <si>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</si>
  <si>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</si>
  <si>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</si>
  <si>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</si>
  <si>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</si>
  <si>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</si>
  <si>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</si>
  <si>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</si>
  <si>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</si>
  <si>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</si>
  <si>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</si>
  <si>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</si>
  <si>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</si>
  <si>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</si>
  <si>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</si>
  <si>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</si>
  <si>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</si>
  <si>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</si>
  <si>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</si>
  <si>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</si>
  <si>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</si>
  <si>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</si>
  <si>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</si>
  <si>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</si>
  <si>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</si>
  <si>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</si>
  <si>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</si>
  <si>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</si>
  <si>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</si>
  <si>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</si>
  <si>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</si>
  <si>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</si>
  <si>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</si>
  <si>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</si>
  <si>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</si>
  <si>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</si>
  <si>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</si>
  <si>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</si>
  <si>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</si>
  <si>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</si>
  <si>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</si>
  <si>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</si>
  <si>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</si>
  <si>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</si>
  <si>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</si>
  <si>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</si>
  <si>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</si>
  <si>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</si>
  <si>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</si>
  <si>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</si>
  <si>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</si>
  <si>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</si>
  <si>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</si>
  <si>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</si>
  <si>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</si>
  <si>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</si>
  <si>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</si>
  <si>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</si>
  <si>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</si>
  <si>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</si>
  <si>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</si>
  <si>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</si>
  <si>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</si>
  <si>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</si>
  <si>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</si>
  <si>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</si>
  <si>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</si>
  <si>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</si>
  <si>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</si>
  <si>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</si>
  <si>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</si>
  <si>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</si>
  <si>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</si>
  <si>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</si>
  <si>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</si>
  <si>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</si>
  <si>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</si>
  <si>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</si>
  <si>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</si>
  <si>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</si>
  <si>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</si>
  <si>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</si>
  <si>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</si>
  <si>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</si>
  <si>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</si>
  <si>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</si>
  <si>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</si>
  <si>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</si>
  <si>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</si>
  <si>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</si>
  <si>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</si>
  <si>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</si>
  <si>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</si>
  <si>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</si>
  <si>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</si>
  <si>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</si>
  <si>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</si>
  <si>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</si>
  <si>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</si>
  <si>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</si>
  <si>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Summary(Salman)</t>
  </si>
  <si>
    <t>Customer Name : Karam Store</t>
  </si>
  <si>
    <t xml:space="preserve">Address: Tajbagh </t>
  </si>
  <si>
    <t>172013900762-5</t>
  </si>
  <si>
    <t xml:space="preserve">Customer Name : Marwa Mart </t>
  </si>
  <si>
    <t>Customer Name : Ideal Cash &amp; Carry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</si>
</sst>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1" zoomScale="70" zoomScaleNormal="70" workbookViewId="0">
      <selection activeCell="S28" sqref="S2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Karam Store</v>
      </c>
      <c r="U14" s="164">
        <f>+'1'!P35</f>
        <v>6098.9793407999996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Marwa Mart </v>
      </c>
      <c r="U15" s="164">
        <f>+'2'!P35</f>
        <v>12197.958681599999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>Customer Name : Ideal Cash &amp; Carry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70</v>
      </c>
      <c r="I19" s="1">
        <f t="shared" si="1"/>
        <v>5084.8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177.96800000000002</v>
      </c>
      <c r="L19" s="174">
        <f>+'1'!L19+'2'!L19+'4'!L19+'3'!L19+'5'!L19+'6'!L19+'7'!L19+'8'!L19+'9'!L19+'10'!L19</f>
        <v>406.78399999999999</v>
      </c>
      <c r="M19" s="118">
        <f t="shared" si="2"/>
        <v>4500.0480000000007</v>
      </c>
      <c r="N19" s="101">
        <f>+'1'!N19+'2'!N19+'4'!N19+'3'!N19+'5'!N19+'6'!N19+'7'!N19+'8'!N19+'9'!N19+'10'!N19</f>
        <v>810.00864000000001</v>
      </c>
      <c r="O19" s="101">
        <f>+'1'!O19+'2'!O19+'4'!O19+'3'!O19+'5'!O19+'6'!O19+'7'!O19+'8'!O19+'9'!O19+'10'!O19</f>
        <v>26.550283199999999</v>
      </c>
      <c r="P19" s="120">
        <f t="shared" si="0"/>
        <v>5336.6069232000009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50</v>
      </c>
      <c r="I20" s="1">
        <f t="shared" si="1"/>
        <v>3632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127.12000000000002</v>
      </c>
      <c r="L20" s="174">
        <f>+'1'!L20+'2'!L20+'4'!L20+'3'!L20+'5'!L20+'6'!L20+'7'!L20+'8'!L20+'9'!L20+'10'!L20</f>
        <v>290.56</v>
      </c>
      <c r="M20" s="118">
        <f t="shared" si="2"/>
        <v>3214.32</v>
      </c>
      <c r="N20" s="101">
        <f>+'1'!N20+'2'!N20+'4'!N20+'3'!N20+'5'!N20+'6'!N20+'7'!N20+'8'!N20+'9'!N20+'10'!N20</f>
        <v>578.57759999999996</v>
      </c>
      <c r="O20" s="101">
        <f>+'1'!O20+'2'!O20+'4'!O20+'3'!O20+'5'!O20+'6'!O20+'7'!O20+'8'!O20+'9'!O20+'10'!O20</f>
        <v>18.964487999999999</v>
      </c>
      <c r="P20" s="120">
        <f t="shared" si="0"/>
        <v>3811.8620880000003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120</v>
      </c>
      <c r="I21" s="1">
        <f t="shared" si="1"/>
        <v>8716.7999999999993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305.08800000000002</v>
      </c>
      <c r="L21" s="174">
        <f>+'1'!L21+'2'!L21+'4'!L21+'3'!L21+'5'!L21+'6'!L21+'7'!L21+'8'!L21+'9'!L21+'10'!L21</f>
        <v>697.34400000000005</v>
      </c>
      <c r="M21" s="118">
        <f t="shared" si="2"/>
        <v>7714.3679999999995</v>
      </c>
      <c r="N21" s="101">
        <f>+'1'!N21+'2'!N21+'4'!N21+'3'!N21+'5'!N21+'6'!N21+'7'!N21+'8'!N21+'9'!N21+'10'!N21</f>
        <v>1388.5862400000001</v>
      </c>
      <c r="O21" s="101">
        <f>+'1'!O21+'2'!O21+'4'!O21+'3'!O21+'5'!O21+'6'!O21+'7'!O21+'8'!O21+'9'!O21+'10'!O21</f>
        <v>45.514771199999998</v>
      </c>
      <c r="P21" s="120">
        <f t="shared" si="0"/>
        <v>9148.4690111999989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6</v>
      </c>
      <c r="D25" s="214"/>
      <c r="E25" s="214"/>
      <c r="F25" s="214"/>
      <c r="G25" s="175">
        <f t="shared" ref="G25:M25" si="3">SUM(G16:G24)</f>
        <v>0</v>
      </c>
      <c r="H25" s="176">
        <f t="shared" si="3"/>
        <v>240</v>
      </c>
      <c r="I25" s="177">
        <f t="shared" si="3"/>
        <v>17433.599999999999</v>
      </c>
      <c r="J25" s="176">
        <f t="shared" si="3"/>
        <v>0</v>
      </c>
      <c r="K25" s="177">
        <f t="shared" si="3"/>
        <v>610.17600000000004</v>
      </c>
      <c r="L25" s="178">
        <f t="shared" si="3"/>
        <v>1394.6880000000001</v>
      </c>
      <c r="M25" s="141">
        <f t="shared" si="3"/>
        <v>15428.736000000001</v>
      </c>
      <c r="N25" s="142">
        <f>SUM(N16:N24)</f>
        <v>2777.1724800000002</v>
      </c>
      <c r="O25" s="143">
        <f>SUM(O16:O24)</f>
        <v>91.029542399999997</v>
      </c>
      <c r="P25" s="144">
        <f>SUM(P16:P24)</f>
        <v>18296.938022399998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18296.938022399998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17433.599999999999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1394.6880000000001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610.17600000000004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15428.735999999999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2777.1724800000002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18205.908479999998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455.14771199999996</v>
      </c>
    </row>
    <row r="43" spans="1:21" ht="15.75" customHeight="1" thickBot="1" x14ac:dyDescent="0.4">
      <c r="N43" s="212" t="s">
        <v>92</v>
      </c>
      <c r="O43" s="213"/>
      <c r="P43" s="160">
        <f>P41+P42</f>
        <v>18661.056191999996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 t="s">
        <v>124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30</v>
      </c>
      <c r="I19" s="116">
        <f t="shared" si="3"/>
        <v>2179.1999999999998</v>
      </c>
      <c r="J19" s="117"/>
      <c r="K19" s="104">
        <f t="shared" si="4"/>
        <v>76.272000000000006</v>
      </c>
      <c r="L19" s="105">
        <f t="shared" si="5"/>
        <v>174.33599999999998</v>
      </c>
      <c r="M19" s="118">
        <f t="shared" si="6"/>
        <v>1928.5919999999999</v>
      </c>
      <c r="N19" s="118">
        <f t="shared" si="0"/>
        <v>347.14655999999997</v>
      </c>
      <c r="O19" s="119">
        <f t="shared" si="1"/>
        <v>11.3786928</v>
      </c>
      <c r="P19" s="120">
        <f t="shared" si="2"/>
        <v>2287.1172527999997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/>
      <c r="K20" s="104">
        <f t="shared" si="4"/>
        <v>25.424000000000003</v>
      </c>
      <c r="L20" s="105">
        <f t="shared" si="5"/>
        <v>58.112000000000002</v>
      </c>
      <c r="M20" s="118">
        <f t="shared" si="6"/>
        <v>642.86400000000003</v>
      </c>
      <c r="N20" s="118">
        <f t="shared" si="0"/>
        <v>115.71552</v>
      </c>
      <c r="O20" s="119">
        <f t="shared" si="1"/>
        <v>3.7928975999999999</v>
      </c>
      <c r="P20" s="120">
        <f t="shared" si="2"/>
        <v>762.37241759999995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04">
        <f t="shared" si="4"/>
        <v>101.69600000000001</v>
      </c>
      <c r="L21" s="105">
        <f t="shared" si="5"/>
        <v>232.44800000000001</v>
      </c>
      <c r="M21" s="118">
        <f t="shared" si="6"/>
        <v>2571.4560000000001</v>
      </c>
      <c r="N21" s="118">
        <f t="shared" si="0"/>
        <v>462.86207999999999</v>
      </c>
      <c r="O21" s="119">
        <f t="shared" si="1"/>
        <v>15.171590399999999</v>
      </c>
      <c r="P21" s="120">
        <f t="shared" si="2"/>
        <v>3049.4896703999998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80</v>
      </c>
      <c r="I25" s="137">
        <f t="shared" si="13"/>
        <v>5811.2</v>
      </c>
      <c r="J25" s="138"/>
      <c r="K25" s="139">
        <f t="shared" si="13"/>
        <v>203.39200000000002</v>
      </c>
      <c r="L25" s="140">
        <f t="shared" si="13"/>
        <v>464.89599999999996</v>
      </c>
      <c r="M25" s="141">
        <f t="shared" si="13"/>
        <v>5142.9120000000003</v>
      </c>
      <c r="N25" s="142">
        <f>SUM(N16:N24)</f>
        <v>925.72415999999998</v>
      </c>
      <c r="O25" s="143">
        <f>SUM(O16:O24)</f>
        <v>30.343180799999999</v>
      </c>
      <c r="P25" s="144">
        <f>SUM(P16:P24)</f>
        <v>6098.9793407999996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5811.2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464.89599999999996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203.39200000000002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5142.9120000000003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925.72415999999998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6068.63616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30.343180799999999</v>
      </c>
    </row>
    <row r="35" spans="2:16" ht="15.75" customHeight="1" thickBot="1" x14ac:dyDescent="0.4">
      <c r="N35" s="212" t="s">
        <v>92</v>
      </c>
      <c r="O35" s="213"/>
      <c r="P35" s="160">
        <f>P33+P34</f>
        <v>6098.9793407999996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5615616516514650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04">
        <f t="shared" si="3"/>
        <v>203.39200000000002</v>
      </c>
      <c r="L21" s="105">
        <f t="shared" si="4"/>
        <v>464.89600000000002</v>
      </c>
      <c r="M21" s="118">
        <f t="shared" si="5"/>
        <v>5142.9120000000003</v>
      </c>
      <c r="N21" s="118">
        <f t="shared" si="0"/>
        <v>925.72415999999998</v>
      </c>
      <c r="O21" s="119">
        <f t="shared" si="6"/>
        <v>30.343180799999999</v>
      </c>
      <c r="P21" s="120">
        <f t="shared" si="1"/>
        <v>6098.9793407999996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160</v>
      </c>
      <c r="I25" s="137">
        <f t="shared" si="9"/>
        <v>11622.4</v>
      </c>
      <c r="J25" s="138"/>
      <c r="K25" s="139">
        <f t="shared" si="9"/>
        <v>406.78400000000005</v>
      </c>
      <c r="L25" s="140">
        <f t="shared" si="9"/>
        <v>929.79200000000003</v>
      </c>
      <c r="M25" s="141">
        <f t="shared" si="9"/>
        <v>10285.824000000001</v>
      </c>
      <c r="N25" s="142">
        <f>SUM(N16:N24)</f>
        <v>1851.44832</v>
      </c>
      <c r="O25" s="143">
        <f>SUM(O16:O24)</f>
        <v>60.686361599999998</v>
      </c>
      <c r="P25" s="144">
        <f>SUM(P16:P24)</f>
        <v>12197.958681599999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11622.4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929.79200000000003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406.78400000000005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10285.824000000001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1851.44832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12137.27232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60.686361599999998</v>
      </c>
    </row>
    <row r="35" spans="2:16" ht="15.75" customHeight="1" thickBot="1" x14ac:dyDescent="0.4">
      <c r="N35" s="212" t="s">
        <v>92</v>
      </c>
      <c r="O35" s="213"/>
      <c r="P35" s="160">
        <f>P33+P34</f>
        <v>12197.958681599999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>
        <v>3520222472755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2026-07-21T12:51:12Z</dcterms:modified>
</cp:coreProperties>
</file>