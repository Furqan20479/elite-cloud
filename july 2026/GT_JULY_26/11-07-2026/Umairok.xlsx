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9ADBB251-2FE9-4973-A0EB-F3BD709D51B3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8" i="17" l="1"/>
  <c r="K19" i="17"/>
  <c r="K17" i="19"/>
  <c r="K18" i="19"/>
  <c r="K19" i="19"/>
  <c r="K17" i="18"/>
  <c r="K18" i="18"/>
  <c r="K21" i="18"/>
  <c r="K18" i="20"/>
  <c r="K19" i="20"/>
  <c r="K20" i="20"/>
  <c r="K17" i="21"/>
  <c r="K18" i="21"/>
  <c r="K19" i="21"/>
  <c r="K20" i="21"/>
  <c r="K21" i="21"/>
  <c r="K17" i="23"/>
  <c r="K18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20" i="16"/>
  <c r="K21" i="16"/>
  <c r="K16" i="19"/>
  <c r="K16" i="18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K17" i="20" s="1"/>
  <c r="I19" i="20"/>
  <c r="I21" i="20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K21" i="23" s="1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I22" i="23"/>
  <c r="I24" i="23"/>
  <c r="L24" i="23" s="1"/>
  <c r="I16" i="20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K16" i="17" s="1"/>
  <c r="I17" i="17"/>
  <c r="K17" i="17" s="1"/>
  <c r="I18" i="17"/>
  <c r="I19" i="17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0" i="23" l="1"/>
  <c r="K20" i="23"/>
  <c r="L21" i="20"/>
  <c r="K21" i="20"/>
  <c r="L16" i="20"/>
  <c r="K16" i="20"/>
  <c r="L20" i="18"/>
  <c r="K20" i="18"/>
  <c r="L21" i="19"/>
  <c r="K21" i="19"/>
  <c r="L20" i="19"/>
  <c r="L21" i="17"/>
  <c r="K21" i="17"/>
  <c r="K22" i="23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I19" i="16"/>
  <c r="K19" i="16" s="1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1" l="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<sst xmlns="http://schemas.openxmlformats.org/spreadsheetml/2006/main" count="1636" uniqueCount="141">
  <si>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</si>
  <si>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</si>
  <si>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</si>
  <si>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</si>
  <si>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</si>
  <si>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</si>
  <si>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</si>
  <si>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</si>
  <si>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</si>
  <si>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</si>
  <si>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</si>
  <si>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</si>
  <si>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</si>
  <si>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</si>
  <si>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</si>
  <si>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</si>
  <si>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</si>
  <si>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</si>
  <si>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</si>
  <si>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</si>
  <si>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</si>
  <si>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</si>
  <si>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</si>
  <si>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</si>
  <si>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</si>
  <si>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</si>
  <si>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</si>
  <si>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</si>
  <si>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</si>
  <si>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</si>
  <si>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</si>
  <si>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</si>
  <si>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</si>
  <si>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</si>
  <si>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</si>
  <si>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</si>
  <si>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</si>
  <si>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</si>
  <si>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</si>
  <si>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</si>
  <si>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</si>
  <si>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</si>
  <si>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</si>
  <si>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</si>
  <si>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</si>
  <si>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</si>
  <si>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</si>
  <si>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</si>
  <si>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</si>
  <si>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</si>
  <si>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</si>
  <si>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</si>
  <si>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</si>
  <si>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</si>
  <si>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</si>
  <si>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</si>
  <si>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</si>
  <si>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</si>
  <si>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</si>
  <si>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</si>
  <si>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</si>
  <si>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</si>
  <si>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</si>
  <si>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</si>
  <si>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</si>
  <si>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</si>
  <si>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</si>
  <si>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</si>
  <si>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</si>
  <si>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</si>
  <si>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</si>
  <si>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</si>
  <si>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</si>
  <si>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</si>
  <si>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</si>
  <si>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</si>
  <si>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</si>
  <si>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</si>
  <si>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</si>
  <si>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</si>
  <si>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</si>
  <si>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</si>
  <si>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</si>
  <si>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</si>
  <si>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</si>
  <si>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</si>
  <si>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</si>
  <si>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</si>
  <si>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</si>
  <si>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</si>
  <si>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</si>
  <si>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</si>
  <si>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</si>
  <si>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</si>
  <si>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</si>
  <si>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</si>
  <si>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</si>
  <si>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</si>
  <si>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</si>
  <si>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</si>
  <si>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</si>
  <si>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</si>
  <si>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</si>
  <si>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</si>
  <si>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</si>
  <si>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</si>
  <si>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</si>
  <si>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</si>
  <si>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</si>
  <si>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</si>
  <si>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</si>
  <si>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</si>
  <si>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</si>
  <si>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</si>
  <si>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</si>
  <si>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</si>
  <si>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</si>
  <si>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</si>
  <si>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</si>
  <si>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</si>
  <si>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</si>
  <si>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 (Umair)</t>
  </si>
  <si>
    <t>Customer Name : Son Rise GS</t>
  </si>
  <si>
    <t xml:space="preserve">Address: Punajab Coprative </t>
  </si>
  <si>
    <t>Customer Name : Punjab Store</t>
  </si>
  <si>
    <t>Address: Punjab Store</t>
  </si>
  <si>
    <t>6925517-8</t>
  </si>
  <si>
    <t>Customer Name : Ibraheem Store</t>
  </si>
  <si>
    <t xml:space="preserve">Address: Punjab Coprative </t>
  </si>
  <si>
    <t xml:space="preserve">Customer Name : Marhaba Mart </t>
  </si>
  <si>
    <t>Address: Punjab Coprativ e</t>
  </si>
  <si>
    <t>3396048-8</t>
  </si>
  <si>
    <t xml:space="preserve">Customer Name : DVA Mart </t>
  </si>
  <si>
    <t>Address: Punjab Coprative</t>
  </si>
  <si>
    <t>Customer Name : The Book Store</t>
  </si>
  <si>
    <t>Address: Hamza Chowk  Ghazi Road</t>
  </si>
  <si>
    <t>Customer Name : Niazi GS</t>
  </si>
  <si>
    <t>Address: Ghazi Road</t>
  </si>
  <si>
    <t xml:space="preserve">Customer Name : High Jeenz Mart </t>
  </si>
  <si>
    <t>0724550-5</t>
  </si>
  <si>
    <t>B912371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</si>
</sst>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6EA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9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9" fillId="8" borderId="0" xfId="0" applyFont="1" applyFill="1" applyAlignment="1">
      <alignment horizontal="right" vertical="center" wrapText="1" inden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5"/>
      <c r="B3" s="195"/>
      <c r="C3" s="195"/>
      <c r="D3" s="195"/>
      <c r="E3" s="195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</row>
    <row r="4" spans="1:29" x14ac:dyDescent="0.35">
      <c r="A4" s="197" t="s">
        <v>6</v>
      </c>
      <c r="B4" s="5" t="s">
        <v>7</v>
      </c>
      <c r="C4" s="5"/>
      <c r="D4" s="199" t="s">
        <v>8</v>
      </c>
      <c r="E4" s="201" t="s">
        <v>9</v>
      </c>
      <c r="F4" s="203" t="s">
        <v>3</v>
      </c>
      <c r="G4" s="203"/>
      <c r="H4" s="204" t="s">
        <v>10</v>
      </c>
      <c r="I4" s="204"/>
      <c r="J4" s="205" t="s">
        <v>11</v>
      </c>
      <c r="K4" s="206"/>
      <c r="L4" s="205" t="s">
        <v>12</v>
      </c>
      <c r="M4" s="206"/>
      <c r="N4" s="207" t="s">
        <v>13</v>
      </c>
      <c r="O4" s="207"/>
      <c r="P4" s="205" t="s">
        <v>4</v>
      </c>
      <c r="Q4" s="206"/>
      <c r="R4" s="205" t="s">
        <v>14</v>
      </c>
      <c r="S4" s="206"/>
      <c r="T4" s="208" t="s">
        <v>15</v>
      </c>
      <c r="U4" s="208"/>
      <c r="V4" s="209" t="s">
        <v>16</v>
      </c>
      <c r="W4" s="210"/>
      <c r="X4" s="209" t="s">
        <v>17</v>
      </c>
      <c r="Y4" s="210"/>
    </row>
    <row r="5" spans="1:29" ht="26.25" customHeight="1" thickBot="1" x14ac:dyDescent="0.4">
      <c r="A5" s="198"/>
      <c r="B5" s="7" t="s">
        <v>18</v>
      </c>
      <c r="C5" s="7" t="s">
        <v>8</v>
      </c>
      <c r="D5" s="200"/>
      <c r="E5" s="202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1" zoomScale="70" zoomScaleNormal="70" workbookViewId="0">
      <selection activeCell="T21" sqref="T14:T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7" t="s">
        <v>45</v>
      </c>
      <c r="B2" s="257"/>
      <c r="C2" s="257"/>
    </row>
    <row r="3" spans="1:21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1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6" t="s">
        <v>120</v>
      </c>
      <c r="B5" s="256"/>
      <c r="C5" s="256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21 16383:16384" ht="15" customHeight="1" x14ac:dyDescent="0.35">
      <c r="A6" s="256"/>
      <c r="B6" s="256"/>
      <c r="C6" s="256"/>
      <c r="F6" s="70"/>
      <c r="G6" s="74"/>
      <c r="K6" s="241" t="s">
        <v>52</v>
      </c>
      <c r="L6" s="241"/>
      <c r="M6" s="241"/>
      <c r="N6" s="254" t="s">
        <v>42</v>
      </c>
      <c r="O6" s="254"/>
      <c r="P6" s="25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21 16383:16384" hidden="1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21 16383:16384" x14ac:dyDescent="0.35">
      <c r="A10" s="239"/>
      <c r="B10" s="75"/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21 16383:16384" ht="15" thickBot="1" x14ac:dyDescent="0.4">
      <c r="A11" s="239"/>
      <c r="B11" s="76"/>
      <c r="C11" s="77"/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21 16383:16384" ht="14.65" customHeight="1" x14ac:dyDescent="0.35">
      <c r="A12" s="239"/>
      <c r="B12" s="76"/>
      <c r="C12" s="77"/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T12" s="211" t="s">
        <v>121</v>
      </c>
      <c r="U12" s="212"/>
      <c r="XFD12" t="s">
        <v>62</v>
      </c>
    </row>
    <row r="13" spans="1:21 16383:16384" ht="15" thickBot="1" x14ac:dyDescent="0.4">
      <c r="A13" s="240"/>
      <c r="J13" s="78"/>
      <c r="K13" s="78"/>
      <c r="L13" s="79">
        <v>0.05</v>
      </c>
      <c r="T13" s="213"/>
      <c r="U13" s="214"/>
      <c r="XFD13" t="s">
        <v>63</v>
      </c>
    </row>
    <row r="14" spans="1:21 16383:16384" ht="29.25" customHeight="1" x14ac:dyDescent="0.6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0" t="s">
        <v>69</v>
      </c>
      <c r="J14" s="250" t="s">
        <v>70</v>
      </c>
      <c r="K14" s="250"/>
      <c r="L14" s="252"/>
      <c r="M14" s="24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Son Rise GS</v>
      </c>
      <c r="U14" s="164">
        <f>+'1'!P35</f>
        <v>1161.1971056249999</v>
      </c>
      <c r="XFD14" t="s">
        <v>75</v>
      </c>
    </row>
    <row r="15" spans="1:21 16383:16384" ht="29.25" customHeight="1" thickBot="1" x14ac:dyDescent="0.65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51"/>
      <c r="J15" s="171" t="s">
        <v>78</v>
      </c>
      <c r="K15" s="171" t="s">
        <v>79</v>
      </c>
      <c r="L15" s="174" t="s">
        <v>80</v>
      </c>
      <c r="M15" s="24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Punjab Store</v>
      </c>
      <c r="U15" s="164">
        <f>+'2'!P35</f>
        <v>18124.322687640004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102</v>
      </c>
      <c r="I16" s="1">
        <f>(G16*D16)*F16+H16*F16</f>
        <v>5351.1750000000002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187.29112500000002</v>
      </c>
      <c r="L16" s="175">
        <f>+'1'!L16+'2'!L16+'4'!L16+'3'!L16+'5'!L16+'6'!L16+'7'!L16+'8'!L16+'9'!L16+'10'!L16</f>
        <v>428.09399999999999</v>
      </c>
      <c r="M16" s="106">
        <f>I16-K16-L16</f>
        <v>4735.7898750000004</v>
      </c>
      <c r="N16" s="101">
        <f>+'1'!N16+'2'!N16+'4'!N16+'3'!N16+'5'!N16+'6'!N16+'7'!N16+'8'!N16+'9'!N16+'10'!N16</f>
        <v>893.29997249999997</v>
      </c>
      <c r="O16" s="101">
        <f>+'1'!O16+'2'!O16+'4'!O16+'3'!O16+'5'!O16+'6'!O16+'7'!O16+'8'!O16+'9'!O16+'10'!O16</f>
        <v>53.068704187499996</v>
      </c>
      <c r="P16" s="105">
        <f t="shared" ref="P16:P24" si="0">M16+N16+O16</f>
        <v>5682.1585516875002</v>
      </c>
      <c r="Q16" s="108"/>
      <c r="T16" s="163" t="str">
        <f>+'3'!A5</f>
        <v>Customer Name : Ibraheem Store</v>
      </c>
      <c r="U16" s="164">
        <f>+'3'!P35</f>
        <v>1576.4311008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102</v>
      </c>
      <c r="I17" s="1">
        <f t="shared" ref="I17:I23" si="1">(G17*D17)*F17+H17*F17</f>
        <v>5351.1750000000002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187.29112500000002</v>
      </c>
      <c r="L17" s="175">
        <f>+'1'!L17+'2'!L17+'4'!L17+'3'!L17+'5'!L17+'6'!L17+'7'!L17+'8'!L17+'9'!L17+'10'!L17</f>
        <v>428.09399999999999</v>
      </c>
      <c r="M17" s="118">
        <f t="shared" ref="M17:M23" si="2">I17-K17-L17</f>
        <v>4735.7898750000004</v>
      </c>
      <c r="N17" s="101">
        <f>+'1'!N17+'2'!N17+'4'!N17+'3'!N17+'5'!N17+'6'!N17+'7'!N17+'8'!N17+'9'!N17+'10'!N17</f>
        <v>893.29997249999997</v>
      </c>
      <c r="O17" s="101">
        <f>+'1'!O17+'2'!O17+'4'!O17+'3'!O17+'5'!O17+'6'!O17+'7'!O17+'8'!O17+'9'!O17+'10'!O17</f>
        <v>53.068704187499996</v>
      </c>
      <c r="P17" s="120">
        <f t="shared" si="0"/>
        <v>5682.1585516875002</v>
      </c>
      <c r="S17" s="64"/>
      <c r="T17" s="163" t="str">
        <f>+'4'!A5</f>
        <v xml:space="preserve">Customer Name : Marhaba Mart </v>
      </c>
      <c r="U17" s="164">
        <f>+'4'!P35</f>
        <v>1891.7173209600001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DVA Mart </v>
      </c>
      <c r="U18" s="164">
        <f>+'5'!P35</f>
        <v>3205.8251923500002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32</v>
      </c>
      <c r="I19" s="1">
        <f t="shared" si="1"/>
        <v>2324.48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81.356800000000007</v>
      </c>
      <c r="L19" s="175">
        <f>+'1'!L19+'2'!L19+'4'!L19+'3'!L19+'5'!L19+'6'!L19+'7'!L19+'8'!L19+'9'!L19+'10'!L19</f>
        <v>185.95840000000001</v>
      </c>
      <c r="M19" s="118">
        <f t="shared" si="2"/>
        <v>2057.1648</v>
      </c>
      <c r="N19" s="101">
        <f>+'1'!N19+'2'!N19+'4'!N19+'3'!N19+'5'!N19+'6'!N19+'7'!N19+'8'!N19+'9'!N19+'10'!N19</f>
        <v>401.14713600000005</v>
      </c>
      <c r="O19" s="101">
        <f>+'1'!O19+'2'!O19+'4'!O19+'3'!O19+'5'!O19+'6'!O19+'7'!O19+'8'!O19+'9'!O19+'10'!O19</f>
        <v>12.291559679999999</v>
      </c>
      <c r="P19" s="120">
        <f t="shared" si="0"/>
        <v>2470.6034956799999</v>
      </c>
      <c r="T19" s="163" t="str">
        <f>+'6'!A5</f>
        <v>Customer Name : The Book Store</v>
      </c>
      <c r="U19" s="164">
        <f>+'6'!P35</f>
        <v>1695.4138944000003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82</v>
      </c>
      <c r="I20" s="1">
        <f t="shared" si="1"/>
        <v>5956.4800000000005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208.47680000000003</v>
      </c>
      <c r="L20" s="175">
        <f>+'1'!L20+'2'!L20+'4'!L20+'3'!L20+'5'!L20+'6'!L20+'7'!L20+'8'!L20+'9'!L20+'10'!L20</f>
        <v>476.51840000000004</v>
      </c>
      <c r="M20" s="118">
        <f t="shared" si="2"/>
        <v>5271.4848000000002</v>
      </c>
      <c r="N20" s="101">
        <f>+'1'!N20+'2'!N20+'4'!N20+'3'!N20+'5'!N20+'6'!N20+'7'!N20+'8'!N20+'9'!N20+'10'!N20</f>
        <v>1005.439296</v>
      </c>
      <c r="O20" s="101">
        <f>+'1'!O20+'2'!O20+'4'!O20+'3'!O20+'5'!O20+'6'!O20+'7'!O20+'8'!O20+'9'!O20+'10'!O20</f>
        <v>31.384620479999999</v>
      </c>
      <c r="P20" s="120">
        <f t="shared" si="0"/>
        <v>6308.3087164800008</v>
      </c>
      <c r="T20" s="163" t="str">
        <f>+'7'!A5</f>
        <v>Customer Name : Niazi GS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82</v>
      </c>
      <c r="I21" s="1">
        <f t="shared" si="1"/>
        <v>5956.4800000000005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208.47680000000003</v>
      </c>
      <c r="L21" s="175">
        <f>+'1'!L21+'2'!L21+'4'!L21+'3'!L21+'5'!L21+'6'!L21+'7'!L21+'8'!L21+'9'!L21+'10'!L21</f>
        <v>476.51839999999999</v>
      </c>
      <c r="M21" s="118">
        <f t="shared" si="2"/>
        <v>5271.4848000000002</v>
      </c>
      <c r="N21" s="101">
        <f>+'1'!N21+'2'!N21+'4'!N21+'3'!N21+'5'!N21+'6'!N21+'7'!N21+'8'!N21+'9'!N21+'10'!N21</f>
        <v>1005.439296</v>
      </c>
      <c r="O21" s="101">
        <f>+'1'!O21+'2'!O21+'4'!O21+'3'!O21+'5'!O21+'6'!O21+'7'!O21+'8'!O21+'9'!O21+'10'!O21</f>
        <v>50.207678399999999</v>
      </c>
      <c r="P21" s="120">
        <f t="shared" si="0"/>
        <v>6327.1317744000007</v>
      </c>
      <c r="T21" s="163" t="str">
        <f>+'8'!A5</f>
        <v xml:space="preserve">Customer Name : High Jeenz Mart </v>
      </c>
      <c r="U21" s="164">
        <f>+'8'!P35</f>
        <v>4574.2345055999995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140</v>
      </c>
      <c r="I22" s="1">
        <f t="shared" si="1"/>
        <v>5492.2000000000007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472.32920000000001</v>
      </c>
      <c r="L22" s="175">
        <f>+'1'!L22+'2'!L22+'4'!L22+'3'!L22+'5'!L22+'6'!L22+'7'!L22+'8'!L22+'9'!L22+'10'!L22</f>
        <v>274.61000000000007</v>
      </c>
      <c r="M22" s="118">
        <f t="shared" si="2"/>
        <v>4745.2608000000009</v>
      </c>
      <c r="N22" s="101">
        <f>+'1'!N22+'2'!N22+'4'!N22+'3'!N22+'5'!N22+'6'!N22+'7'!N22+'8'!N22+'9'!N22+'10'!N22</f>
        <v>935.49427200000014</v>
      </c>
      <c r="O22" s="101">
        <f>+'1'!O22+'2'!O22+'4'!O22+'3'!O22+'5'!O22+'6'!O22+'7'!O22+'8'!O22+'9'!O22+'10'!O22</f>
        <v>78.025645440000034</v>
      </c>
      <c r="P22" s="120">
        <f t="shared" si="0"/>
        <v>5758.7807174400004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1" t="s">
        <v>84</v>
      </c>
      <c r="B25" s="222"/>
      <c r="C25" s="223">
        <f>H25/40</f>
        <v>13.5</v>
      </c>
      <c r="D25" s="217"/>
      <c r="E25" s="217"/>
      <c r="F25" s="217"/>
      <c r="G25" s="176">
        <f t="shared" ref="G25:M25" si="3">SUM(G16:G24)</f>
        <v>0</v>
      </c>
      <c r="H25" s="177">
        <f t="shared" si="3"/>
        <v>540</v>
      </c>
      <c r="I25" s="178">
        <f t="shared" si="3"/>
        <v>30431.99</v>
      </c>
      <c r="J25" s="177">
        <f t="shared" si="3"/>
        <v>0</v>
      </c>
      <c r="K25" s="178">
        <f t="shared" si="3"/>
        <v>1345.2218500000001</v>
      </c>
      <c r="L25" s="179">
        <f t="shared" si="3"/>
        <v>2269.7932000000001</v>
      </c>
      <c r="M25" s="141">
        <f t="shared" si="3"/>
        <v>26816.97495</v>
      </c>
      <c r="N25" s="142">
        <f>SUM(N16:N24)</f>
        <v>5134.1199450000004</v>
      </c>
      <c r="O25" s="143">
        <f>SUM(O16:O24)</f>
        <v>278.04691237500003</v>
      </c>
      <c r="P25" s="144">
        <f>SUM(P16:P24)</f>
        <v>32229.141807375003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32229.141807375003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4" t="s">
        <v>85</v>
      </c>
      <c r="C36" s="225"/>
      <c r="D36" s="225"/>
      <c r="E36" s="225"/>
      <c r="F36" s="225"/>
      <c r="G36" s="225"/>
      <c r="H36" s="225"/>
      <c r="I36" s="225"/>
      <c r="J36" s="225"/>
      <c r="K36" s="225"/>
      <c r="L36" s="226"/>
      <c r="N36" s="233" t="s">
        <v>86</v>
      </c>
      <c r="O36" s="234"/>
      <c r="P36" s="152">
        <f>I25</f>
        <v>30431.99</v>
      </c>
    </row>
    <row r="37" spans="1:21" ht="15" customHeight="1" x14ac:dyDescent="0.35">
      <c r="B37" s="227"/>
      <c r="C37" s="228"/>
      <c r="D37" s="228"/>
      <c r="E37" s="228"/>
      <c r="F37" s="228"/>
      <c r="G37" s="228"/>
      <c r="H37" s="228"/>
      <c r="I37" s="228"/>
      <c r="J37" s="228"/>
      <c r="K37" s="228"/>
      <c r="L37" s="229"/>
      <c r="N37" s="235" t="s">
        <v>87</v>
      </c>
      <c r="O37" s="236"/>
      <c r="P37" s="153">
        <f>L25</f>
        <v>2269.7932000000001</v>
      </c>
    </row>
    <row r="38" spans="1:21" ht="15" customHeight="1" x14ac:dyDescent="0.35">
      <c r="B38" s="227"/>
      <c r="C38" s="228"/>
      <c r="D38" s="228"/>
      <c r="E38" s="228"/>
      <c r="F38" s="228"/>
      <c r="G38" s="228"/>
      <c r="H38" s="228"/>
      <c r="I38" s="228"/>
      <c r="J38" s="228"/>
      <c r="K38" s="228"/>
      <c r="L38" s="229"/>
      <c r="N38" s="235" t="s">
        <v>4</v>
      </c>
      <c r="O38" s="236"/>
      <c r="P38" s="154">
        <f>K25</f>
        <v>1345.2218500000001</v>
      </c>
    </row>
    <row r="39" spans="1:21" ht="15" customHeight="1" x14ac:dyDescent="0.35">
      <c r="B39" s="227"/>
      <c r="C39" s="228"/>
      <c r="D39" s="228"/>
      <c r="E39" s="228"/>
      <c r="F39" s="228"/>
      <c r="G39" s="228"/>
      <c r="H39" s="228"/>
      <c r="I39" s="228"/>
      <c r="J39" s="228"/>
      <c r="K39" s="228"/>
      <c r="L39" s="229"/>
      <c r="M39" s="2"/>
      <c r="N39" s="235" t="s">
        <v>88</v>
      </c>
      <c r="O39" s="236"/>
      <c r="P39" s="153">
        <f>P36-P37-P38</f>
        <v>26816.97495</v>
      </c>
    </row>
    <row r="40" spans="1:21" ht="15" customHeight="1" x14ac:dyDescent="0.35">
      <c r="B40" s="227"/>
      <c r="C40" s="228"/>
      <c r="D40" s="228"/>
      <c r="E40" s="228"/>
      <c r="F40" s="228"/>
      <c r="G40" s="228"/>
      <c r="H40" s="228"/>
      <c r="I40" s="228"/>
      <c r="J40" s="228"/>
      <c r="K40" s="228"/>
      <c r="L40" s="229"/>
      <c r="M40" s="2"/>
      <c r="N40" s="155" t="s">
        <v>89</v>
      </c>
      <c r="O40" s="156">
        <f>IF(B12="Registered",18%,22%)</f>
        <v>0.22</v>
      </c>
      <c r="P40" s="153">
        <f>N25</f>
        <v>5134.1199450000004</v>
      </c>
    </row>
    <row r="41" spans="1:21" ht="15" customHeight="1" x14ac:dyDescent="0.35">
      <c r="B41" s="227"/>
      <c r="C41" s="228"/>
      <c r="D41" s="228"/>
      <c r="E41" s="228"/>
      <c r="F41" s="228"/>
      <c r="G41" s="228"/>
      <c r="H41" s="228"/>
      <c r="I41" s="228"/>
      <c r="J41" s="228"/>
      <c r="K41" s="228"/>
      <c r="L41" s="229"/>
      <c r="M41" s="2"/>
      <c r="N41" s="237" t="s">
        <v>90</v>
      </c>
      <c r="O41" s="238"/>
      <c r="P41" s="153">
        <f>P39+P40</f>
        <v>31951.094895000002</v>
      </c>
    </row>
    <row r="42" spans="1:21" ht="15" customHeight="1" thickBot="1" x14ac:dyDescent="0.4">
      <c r="B42" s="230"/>
      <c r="C42" s="231"/>
      <c r="D42" s="231"/>
      <c r="E42" s="231"/>
      <c r="F42" s="231"/>
      <c r="G42" s="231"/>
      <c r="H42" s="231"/>
      <c r="I42" s="231"/>
      <c r="J42" s="231"/>
      <c r="K42" s="231"/>
      <c r="L42" s="232"/>
      <c r="M42" s="157"/>
      <c r="N42" s="158" t="s">
        <v>91</v>
      </c>
      <c r="O42" s="159">
        <f>IF(B11="Filer",0.5%,2.5%)</f>
        <v>2.5000000000000001E-2</v>
      </c>
      <c r="P42" s="153">
        <f>O42*P41</f>
        <v>798.77737237500014</v>
      </c>
    </row>
    <row r="43" spans="1:21" ht="15.75" customHeight="1" thickBot="1" x14ac:dyDescent="0.4">
      <c r="N43" s="215" t="s">
        <v>92</v>
      </c>
      <c r="O43" s="216"/>
      <c r="P43" s="160">
        <f>P41+P42</f>
        <v>32749.872267375002</v>
      </c>
    </row>
    <row r="44" spans="1:21" ht="15" thickBot="1" x14ac:dyDescent="0.4">
      <c r="B44" s="161" t="s">
        <v>93</v>
      </c>
      <c r="C44" s="217"/>
      <c r="D44" s="217"/>
      <c r="E44" s="217"/>
      <c r="F44" s="217"/>
      <c r="G44" s="217"/>
      <c r="H44" s="217"/>
      <c r="I44" s="218"/>
      <c r="J44" s="219"/>
      <c r="K44" s="220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7" t="s">
        <v>45</v>
      </c>
      <c r="B2" s="257"/>
      <c r="C2" s="257"/>
    </row>
    <row r="3" spans="1:26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1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8" t="s">
        <v>122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26 16383:16384" ht="15" customHeight="1" x14ac:dyDescent="0.35">
      <c r="A6" s="241" t="s">
        <v>123</v>
      </c>
      <c r="B6" s="241"/>
      <c r="C6" s="241"/>
      <c r="F6" s="70"/>
      <c r="G6" s="74"/>
      <c r="K6" s="241" t="s">
        <v>52</v>
      </c>
      <c r="L6" s="241"/>
      <c r="M6" s="241"/>
      <c r="N6" s="254" t="s">
        <v>104</v>
      </c>
      <c r="O6" s="254"/>
      <c r="P6" s="254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26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26 16383:16384" x14ac:dyDescent="0.35">
      <c r="A10" s="239" t="s">
        <v>95</v>
      </c>
      <c r="B10" s="75"/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26 16383:16384" x14ac:dyDescent="0.35">
      <c r="A11" s="239"/>
      <c r="B11" s="76" t="s">
        <v>50</v>
      </c>
      <c r="C11" s="77" t="str">
        <f>IF($O34&gt;2.49%,"No","Yes")</f>
        <v>No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26 16383:16384" ht="14.65" customHeight="1" x14ac:dyDescent="0.35">
      <c r="A12" s="239" t="s">
        <v>60</v>
      </c>
      <c r="B12" s="76" t="s">
        <v>54</v>
      </c>
      <c r="C12" s="77" t="str">
        <f>IF($O32&gt;21.99%,"No","Yes")</f>
        <v>No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26 16383:16384" ht="15" thickBot="1" x14ac:dyDescent="0.4">
      <c r="A13" s="240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S14" s="258" t="s">
        <v>117</v>
      </c>
      <c r="T14" s="258"/>
      <c r="U14" s="258"/>
      <c r="V14" s="258"/>
      <c r="W14" s="259" t="s">
        <v>119</v>
      </c>
      <c r="X14" s="259"/>
      <c r="Y14" s="259"/>
      <c r="Z14" s="259"/>
      <c r="XFD14" t="s">
        <v>75</v>
      </c>
    </row>
    <row r="15" spans="1:26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 t="shared" ref="O16:O24" si="1">(N16+M16)*$O$15</f>
        <v>14.160940312500001</v>
      </c>
      <c r="P16" s="105">
        <f t="shared" ref="P16:P24" si="2">M16+N16+O16</f>
        <v>580.59855281249997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/>
      <c r="K17" s="104">
        <f t="shared" ref="K17:K21" si="4">I17*3.5%</f>
        <v>18.361875000000001</v>
      </c>
      <c r="L17" s="105">
        <f t="shared" ref="L17:L21" si="5">I17*8%</f>
        <v>41.97</v>
      </c>
      <c r="M17" s="118">
        <f t="shared" ref="M17:M23" si="6">I17-K17-L17</f>
        <v>464.29312500000003</v>
      </c>
      <c r="N17" s="118">
        <f t="shared" si="0"/>
        <v>102.14448750000001</v>
      </c>
      <c r="O17" s="119">
        <f t="shared" si="1"/>
        <v>14.160940312500001</v>
      </c>
      <c r="P17" s="120">
        <f t="shared" si="2"/>
        <v>580.59855281249997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0" t="s">
        <v>118</v>
      </c>
      <c r="T19" s="260"/>
      <c r="U19" s="260"/>
      <c r="V19" s="260"/>
      <c r="W19" s="261" t="s">
        <v>116</v>
      </c>
      <c r="X19" s="261"/>
      <c r="Y19" s="261"/>
      <c r="Z19" s="261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13">SUM(G16:G24)</f>
        <v>0</v>
      </c>
      <c r="H25" s="136">
        <f t="shared" si="13"/>
        <v>20</v>
      </c>
      <c r="I25" s="137">
        <f t="shared" si="13"/>
        <v>1049.25</v>
      </c>
      <c r="J25" s="138"/>
      <c r="K25" s="139">
        <f t="shared" si="13"/>
        <v>36.723750000000003</v>
      </c>
      <c r="L25" s="140">
        <f t="shared" si="13"/>
        <v>83.94</v>
      </c>
      <c r="M25" s="141">
        <f t="shared" si="13"/>
        <v>928.58625000000006</v>
      </c>
      <c r="N25" s="142">
        <f>SUM(N16:N24)</f>
        <v>204.28897500000002</v>
      </c>
      <c r="O25" s="143">
        <f>SUM(O16:O24)</f>
        <v>28.321880625000002</v>
      </c>
      <c r="P25" s="144">
        <f>SUM(P16:P24)</f>
        <v>1161.1971056249999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1049.25</v>
      </c>
    </row>
    <row r="29" spans="1:26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83.94</v>
      </c>
    </row>
    <row r="30" spans="1:26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36.723750000000003</v>
      </c>
    </row>
    <row r="31" spans="1:26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928.58624999999995</v>
      </c>
    </row>
    <row r="32" spans="1:26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204.28897500000002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1132.875225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28.321880625000002</v>
      </c>
    </row>
    <row r="35" spans="2:16" ht="15.75" customHeight="1" thickBot="1" x14ac:dyDescent="0.4">
      <c r="N35" s="215" t="s">
        <v>92</v>
      </c>
      <c r="O35" s="216"/>
      <c r="P35" s="160">
        <f>P33+P34</f>
        <v>1161.1971056249999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2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124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125</v>
      </c>
      <c r="B6" s="241"/>
      <c r="C6" s="241"/>
      <c r="F6" s="70"/>
      <c r="G6" s="74"/>
      <c r="K6" s="241" t="s">
        <v>52</v>
      </c>
      <c r="L6" s="241"/>
      <c r="M6" s="241"/>
      <c r="N6" s="254" t="s">
        <v>104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ht="17.5" x14ac:dyDescent="0.35">
      <c r="A10" s="239" t="s">
        <v>95</v>
      </c>
      <c r="B10" s="193" t="s">
        <v>126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48</v>
      </c>
      <c r="C11" s="77" t="str">
        <f>IF($O34&gt;2.49%,"No","Yes")</f>
        <v>Yes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8" thickBot="1" x14ac:dyDescent="0.4">
      <c r="A13" s="240"/>
      <c r="B13" s="193">
        <v>3277876196185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I16*3.5%</f>
        <v>146.89500000000001</v>
      </c>
      <c r="L16" s="105">
        <f>I16*8%</f>
        <v>335.76</v>
      </c>
      <c r="M16" s="106">
        <f>I16-K16-L16</f>
        <v>3714.3450000000003</v>
      </c>
      <c r="N16" s="106">
        <f t="shared" ref="N16:N24" si="0">(M16*$N$15)+(J16*F16)*$N$15</f>
        <v>668.58209999999997</v>
      </c>
      <c r="O16" s="107">
        <f>(N16+M16)*$O$15</f>
        <v>21.914635499999999</v>
      </c>
      <c r="P16" s="105">
        <f t="shared" ref="P16:P24" si="1">M16+N16+O16</f>
        <v>4404.8417355000001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2">(G17*D17)*F17+H17*F17</f>
        <v>4197</v>
      </c>
      <c r="J17" s="117"/>
      <c r="K17" s="104">
        <f t="shared" ref="K17:K21" si="3">I17*3.5%</f>
        <v>146.89500000000001</v>
      </c>
      <c r="L17" s="105">
        <f t="shared" ref="L17:L21" si="4">I17*8%</f>
        <v>335.76</v>
      </c>
      <c r="M17" s="118">
        <f t="shared" ref="M17:M23" si="5">I17-K17-L17</f>
        <v>3714.3450000000003</v>
      </c>
      <c r="N17" s="118">
        <f t="shared" si="0"/>
        <v>668.58209999999997</v>
      </c>
      <c r="O17" s="119">
        <f t="shared" ref="O17:O24" si="6">(N17+M17)*$O$15</f>
        <v>21.914635499999999</v>
      </c>
      <c r="P17" s="120">
        <f t="shared" si="1"/>
        <v>4404.8417355000001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5"/>
        <v>2711.5776000000005</v>
      </c>
      <c r="N22" s="118">
        <f t="shared" si="0"/>
        <v>488.08396800000008</v>
      </c>
      <c r="O22" s="119">
        <f t="shared" si="6"/>
        <v>15.998307840000002</v>
      </c>
      <c r="P22" s="120">
        <f t="shared" si="1"/>
        <v>3215.6598758400005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320</v>
      </c>
      <c r="I25" s="137">
        <f t="shared" si="9"/>
        <v>17343.600000000002</v>
      </c>
      <c r="J25" s="138"/>
      <c r="K25" s="139">
        <f t="shared" si="9"/>
        <v>767.08440000000007</v>
      </c>
      <c r="L25" s="140">
        <f t="shared" si="9"/>
        <v>1293.336</v>
      </c>
      <c r="M25" s="141">
        <f t="shared" si="9"/>
        <v>15283.179600000001</v>
      </c>
      <c r="N25" s="142">
        <f>SUM(N16:N24)</f>
        <v>2750.9723279999998</v>
      </c>
      <c r="O25" s="143">
        <f>SUM(O16:O24)</f>
        <v>90.17075964</v>
      </c>
      <c r="P25" s="144">
        <f>SUM(P16:P24)</f>
        <v>18124.32268764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17343.600000000002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1293.336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767.08440000000007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15283.179600000003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0.18</v>
      </c>
      <c r="P32" s="153">
        <f>N25</f>
        <v>2750.9723279999998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18034.151928000003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5.0000000000000001E-3</v>
      </c>
      <c r="P34" s="153">
        <f>O34*P33</f>
        <v>90.170759640000014</v>
      </c>
    </row>
    <row r="35" spans="2:16" ht="15.75" customHeight="1" thickBot="1" x14ac:dyDescent="0.4">
      <c r="N35" s="215" t="s">
        <v>92</v>
      </c>
      <c r="O35" s="216"/>
      <c r="P35" s="160">
        <f>P33+P34</f>
        <v>18124.322687640004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4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127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128</v>
      </c>
      <c r="B6" s="241"/>
      <c r="C6" s="241"/>
      <c r="F6" s="70"/>
      <c r="G6" s="74"/>
      <c r="K6" s="241" t="s">
        <v>52</v>
      </c>
      <c r="L6" s="241"/>
      <c r="M6" s="241"/>
      <c r="N6" s="254" t="s">
        <v>104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x14ac:dyDescent="0.35">
      <c r="A10" s="239" t="s">
        <v>95</v>
      </c>
      <c r="B10" s="169" t="s">
        <v>140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48</v>
      </c>
      <c r="C11" s="77" t="str">
        <f>IF($O34&gt;2.49%,"No","Yes")</f>
        <v>Yes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54</v>
      </c>
      <c r="C12" s="77" t="str">
        <f>IF($O32&gt;21.99%,"No","Yes")</f>
        <v>No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5" thickBot="1" x14ac:dyDescent="0.4">
      <c r="A13" s="240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50.848000000000006</v>
      </c>
      <c r="L25" s="140">
        <f t="shared" si="9"/>
        <v>116.224</v>
      </c>
      <c r="M25" s="141">
        <f t="shared" si="9"/>
        <v>1285.7280000000001</v>
      </c>
      <c r="N25" s="142">
        <f>SUM(N16:N24)</f>
        <v>282.86016000000001</v>
      </c>
      <c r="O25" s="143">
        <f>SUM(O16:O24)</f>
        <v>7.8429408</v>
      </c>
      <c r="P25" s="144">
        <f>SUM(P16:P24)</f>
        <v>1576.4311008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1452.8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116.224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50.848000000000006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1285.7280000000001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282.86016000000001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1568.58816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5.0000000000000001E-3</v>
      </c>
      <c r="P34" s="153">
        <f>O34*P33</f>
        <v>7.8429408</v>
      </c>
    </row>
    <row r="35" spans="2:16" ht="15.75" customHeight="1" thickBot="1" x14ac:dyDescent="0.4">
      <c r="N35" s="215" t="s">
        <v>92</v>
      </c>
      <c r="O35" s="216"/>
      <c r="P35" s="160">
        <f>P33+P34</f>
        <v>1576.4311008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3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129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130</v>
      </c>
      <c r="B6" s="241"/>
      <c r="C6" s="241"/>
      <c r="F6" s="70"/>
      <c r="G6" s="74"/>
      <c r="K6" s="241" t="s">
        <v>52</v>
      </c>
      <c r="L6" s="241"/>
      <c r="M6" s="241"/>
      <c r="N6" s="254" t="s">
        <v>104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ht="17.5" x14ac:dyDescent="0.35">
      <c r="A10" s="239" t="s">
        <v>95</v>
      </c>
      <c r="B10" s="194" t="s">
        <v>131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48</v>
      </c>
      <c r="C11" s="77" t="str">
        <f>IF($O34&gt;2.49%,"No","Yes")</f>
        <v>Yes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54</v>
      </c>
      <c r="C12" s="77" t="str">
        <f>IF($O32&gt;21.99%,"No","Yes")</f>
        <v>No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04">
        <f t="shared" si="3"/>
        <v>30.508800000000004</v>
      </c>
      <c r="L19" s="105">
        <f t="shared" si="4"/>
        <v>69.734400000000008</v>
      </c>
      <c r="M19" s="118">
        <f t="shared" si="5"/>
        <v>771.43680000000006</v>
      </c>
      <c r="N19" s="118">
        <f t="shared" si="0"/>
        <v>169.71609600000002</v>
      </c>
      <c r="O19" s="119">
        <f t="shared" si="6"/>
        <v>4.70576448</v>
      </c>
      <c r="P19" s="120">
        <f t="shared" si="1"/>
        <v>945.85866048000003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04">
        <f t="shared" si="3"/>
        <v>30.508800000000004</v>
      </c>
      <c r="L20" s="105">
        <f t="shared" si="4"/>
        <v>69.734400000000008</v>
      </c>
      <c r="M20" s="118">
        <f t="shared" si="5"/>
        <v>771.43680000000006</v>
      </c>
      <c r="N20" s="118">
        <f t="shared" si="0"/>
        <v>169.71609600000002</v>
      </c>
      <c r="O20" s="119">
        <f t="shared" si="6"/>
        <v>4.70576448</v>
      </c>
      <c r="P20" s="120">
        <f t="shared" si="1"/>
        <v>945.85866048000003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24</v>
      </c>
      <c r="I25" s="137">
        <f t="shared" si="9"/>
        <v>1743.3600000000001</v>
      </c>
      <c r="J25" s="138"/>
      <c r="K25" s="139">
        <f t="shared" si="9"/>
        <v>61.017600000000009</v>
      </c>
      <c r="L25" s="140">
        <f t="shared" si="9"/>
        <v>139.46880000000002</v>
      </c>
      <c r="M25" s="141">
        <f t="shared" si="9"/>
        <v>1542.8736000000001</v>
      </c>
      <c r="N25" s="142">
        <f>SUM(N16:N24)</f>
        <v>339.43219200000004</v>
      </c>
      <c r="O25" s="143">
        <f>SUM(O16:O24)</f>
        <v>9.4115289600000001</v>
      </c>
      <c r="P25" s="144">
        <f>SUM(P16:P24)</f>
        <v>1891.7173209600001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1743.3600000000001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139.46880000000002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61.017600000000009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1542.8736000000001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339.43219200000004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1882.3057920000001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5.0000000000000001E-3</v>
      </c>
      <c r="P34" s="153">
        <f>O34*P33</f>
        <v>9.4115289600000001</v>
      </c>
    </row>
    <row r="35" spans="2:16" ht="15.75" customHeight="1" thickBot="1" x14ac:dyDescent="0.4">
      <c r="N35" s="215" t="s">
        <v>92</v>
      </c>
      <c r="O35" s="216"/>
      <c r="P35" s="160">
        <f>P33+P34</f>
        <v>1891.7173209600001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5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132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133</v>
      </c>
      <c r="B6" s="241"/>
      <c r="C6" s="241"/>
      <c r="F6" s="70"/>
      <c r="G6" s="74"/>
      <c r="K6" s="241" t="s">
        <v>52</v>
      </c>
      <c r="L6" s="241"/>
      <c r="M6" s="241"/>
      <c r="N6" s="254" t="s">
        <v>104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x14ac:dyDescent="0.35">
      <c r="A10" s="239" t="s">
        <v>95</v>
      </c>
      <c r="B10" s="169">
        <v>0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50</v>
      </c>
      <c r="C11" s="77" t="str">
        <f>IF($O34&gt;2.49%,"No","Yes")</f>
        <v>No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54</v>
      </c>
      <c r="C12" s="77" t="str">
        <f>IF($O32&gt;21.99%,"No","Yes")</f>
        <v>No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122.57338499999997</v>
      </c>
      <c r="O16" s="107">
        <f>(N16+M16)*$O$15</f>
        <v>16.993128374999998</v>
      </c>
      <c r="P16" s="105">
        <f t="shared" ref="P16:P24" si="1">M16+N16+O16</f>
        <v>696.71826337499988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1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122.57338499999997</v>
      </c>
      <c r="O17" s="119">
        <f t="shared" ref="O17:O24" si="6">(N17+M17)*$O$15</f>
        <v>16.993128374999998</v>
      </c>
      <c r="P17" s="120">
        <f t="shared" si="1"/>
        <v>696.71826337499988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169.71609600000002</v>
      </c>
      <c r="O21" s="119">
        <f t="shared" si="6"/>
        <v>23.528822400000003</v>
      </c>
      <c r="P21" s="120">
        <f t="shared" si="1"/>
        <v>964.68171840000002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149.13676800000002</v>
      </c>
      <c r="O22" s="119">
        <f t="shared" si="6"/>
        <v>20.675779200000008</v>
      </c>
      <c r="P22" s="120">
        <f t="shared" si="1"/>
        <v>847.70694720000017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56</v>
      </c>
      <c r="I25" s="137">
        <f t="shared" si="9"/>
        <v>2915.38</v>
      </c>
      <c r="J25" s="138"/>
      <c r="K25" s="139">
        <f t="shared" si="9"/>
        <v>142.05290000000002</v>
      </c>
      <c r="L25" s="140">
        <f t="shared" si="9"/>
        <v>209.69240000000002</v>
      </c>
      <c r="M25" s="141">
        <f t="shared" si="9"/>
        <v>2563.6347000000001</v>
      </c>
      <c r="N25" s="142">
        <f>SUM(N16:N24)</f>
        <v>563.99963400000001</v>
      </c>
      <c r="O25" s="143">
        <f>SUM(O16:O24)</f>
        <v>78.190858350000013</v>
      </c>
      <c r="P25" s="144">
        <f>SUM(P16:P24)</f>
        <v>3205.8251923500002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2915.38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209.69240000000002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142.05290000000002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2563.6347000000001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563.99963400000001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3127.6343340000003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78.190858350000013</v>
      </c>
    </row>
    <row r="35" spans="2:16" ht="15.75" customHeight="1" thickBot="1" x14ac:dyDescent="0.4">
      <c r="N35" s="215" t="s">
        <v>92</v>
      </c>
      <c r="O35" s="216"/>
      <c r="P35" s="160">
        <f>P33+P34</f>
        <v>3205.8251923500002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8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6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134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135</v>
      </c>
      <c r="B6" s="241"/>
      <c r="C6" s="241"/>
      <c r="F6" s="70"/>
      <c r="G6" s="74"/>
      <c r="K6" s="241" t="s">
        <v>52</v>
      </c>
      <c r="L6" s="241"/>
      <c r="M6" s="241"/>
      <c r="N6" s="254" t="s">
        <v>104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x14ac:dyDescent="0.35">
      <c r="A10" s="239" t="s">
        <v>95</v>
      </c>
      <c r="B10" s="75">
        <v>0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50</v>
      </c>
      <c r="C11" s="77" t="str">
        <f>IF($O34&gt;2.49%,"No","Yes")</f>
        <v>No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54</v>
      </c>
      <c r="C12" s="77" t="str">
        <f>IF($O32&gt;21.99%,"No","Yes")</f>
        <v>No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41.351558400000016</v>
      </c>
      <c r="P22" s="120">
        <f t="shared" si="1"/>
        <v>1695.4138944000003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298.27353600000004</v>
      </c>
      <c r="O25" s="143">
        <f>SUM(O16:O24)</f>
        <v>41.351558400000016</v>
      </c>
      <c r="P25" s="144">
        <f>SUM(P16:P24)</f>
        <v>1695.4138944000003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1569.2000000000003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78.460000000000022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134.9512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1355.7888000000003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298.27353600000004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1654.0623360000004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41.351558400000016</v>
      </c>
    </row>
    <row r="35" spans="2:16" ht="15.75" customHeight="1" thickBot="1" x14ac:dyDescent="0.4">
      <c r="N35" s="215" t="s">
        <v>92</v>
      </c>
      <c r="O35" s="216"/>
      <c r="P35" s="160">
        <f>P33+P34</f>
        <v>1695.4138944000003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7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136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137</v>
      </c>
      <c r="B6" s="241"/>
      <c r="C6" s="241"/>
      <c r="F6" s="70"/>
      <c r="G6" s="74"/>
      <c r="K6" s="241" t="s">
        <v>52</v>
      </c>
      <c r="L6" s="241"/>
      <c r="M6" s="241"/>
      <c r="N6" s="254" t="s">
        <v>104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x14ac:dyDescent="0.35">
      <c r="A10" s="239" t="s">
        <v>95</v>
      </c>
      <c r="B10" s="169">
        <v>0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50</v>
      </c>
      <c r="C11" s="77" t="str">
        <f>IF($O34&gt;2.49%,"No","Yes")</f>
        <v>No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54</v>
      </c>
      <c r="C12" s="77" t="str">
        <f>IF($O32&gt;21.99%,"No","Yes")</f>
        <v>No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5" t="s">
        <v>92</v>
      </c>
      <c r="O35" s="216"/>
      <c r="P35" s="160">
        <f>P33+P34</f>
        <v>0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8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138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137</v>
      </c>
      <c r="B6" s="241"/>
      <c r="C6" s="241"/>
      <c r="F6" s="70"/>
      <c r="G6" s="74"/>
      <c r="K6" s="241" t="s">
        <v>52</v>
      </c>
      <c r="L6" s="241"/>
      <c r="M6" s="241"/>
      <c r="N6" s="254" t="s">
        <v>104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ht="17.5" x14ac:dyDescent="0.35">
      <c r="A10" s="239" t="s">
        <v>95</v>
      </c>
      <c r="B10" s="193" t="s">
        <v>139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48</v>
      </c>
      <c r="C11" s="77" t="str">
        <f>IF($O34&gt;2.49%,"No","Yes")</f>
        <v>Yes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8" thickBot="1" x14ac:dyDescent="0.4">
      <c r="A13" s="240"/>
      <c r="B13" s="193">
        <v>3277876165058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231.43104</v>
      </c>
      <c r="O20" s="119">
        <f t="shared" si="6"/>
        <v>7.5857951999999997</v>
      </c>
      <c r="P20" s="120">
        <f t="shared" si="1"/>
        <v>1524.7448351999999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60</v>
      </c>
      <c r="I25" s="137">
        <f t="shared" si="9"/>
        <v>4358.3999999999996</v>
      </c>
      <c r="J25" s="138"/>
      <c r="K25" s="139">
        <f t="shared" si="9"/>
        <v>152.54400000000001</v>
      </c>
      <c r="L25" s="140">
        <f t="shared" si="9"/>
        <v>348.67200000000003</v>
      </c>
      <c r="M25" s="141">
        <f t="shared" si="9"/>
        <v>3857.1840000000002</v>
      </c>
      <c r="N25" s="142">
        <f>SUM(N16:N24)</f>
        <v>694.29312000000004</v>
      </c>
      <c r="O25" s="143">
        <f>SUM(O16:O24)</f>
        <v>22.757385599999999</v>
      </c>
      <c r="P25" s="144">
        <f>SUM(P16:P24)</f>
        <v>4574.2345055999995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4358.3999999999996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348.67200000000003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152.54400000000001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3857.1839999999997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0.18</v>
      </c>
      <c r="P32" s="153">
        <f>N25</f>
        <v>694.29312000000004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4551.4771199999996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5.0000000000000001E-3</v>
      </c>
      <c r="P34" s="153">
        <f>O34*P33</f>
        <v>22.757385599999999</v>
      </c>
    </row>
    <row r="35" spans="2:16" ht="15.75" customHeight="1" thickBot="1" x14ac:dyDescent="0.4">
      <c r="N35" s="215" t="s">
        <v>92</v>
      </c>
      <c r="O35" s="216"/>
      <c r="P35" s="160">
        <f>P33+P34</f>
        <v>4574.2345055999995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9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102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103</v>
      </c>
      <c r="B6" s="241"/>
      <c r="C6" s="241"/>
      <c r="F6" s="70"/>
      <c r="G6" s="74"/>
      <c r="K6" s="241" t="s">
        <v>52</v>
      </c>
      <c r="L6" s="241"/>
      <c r="M6" s="241"/>
      <c r="N6" s="254" t="s">
        <v>41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x14ac:dyDescent="0.35">
      <c r="A10" s="239" t="s">
        <v>95</v>
      </c>
      <c r="B10" s="167">
        <v>0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50</v>
      </c>
      <c r="C11" s="77" t="str">
        <f>IF($O34&gt;2.49%,"No","Yes")</f>
        <v>No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54</v>
      </c>
      <c r="C12" s="77" t="str">
        <f>IF($O32&gt;21.99%,"No","Yes")</f>
        <v>No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5" t="s">
        <v>92</v>
      </c>
      <c r="O35" s="216"/>
      <c r="P35" s="160">
        <f>P33+P34</f>
        <v>0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10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102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103</v>
      </c>
      <c r="B6" s="241"/>
      <c r="C6" s="241"/>
      <c r="F6" s="70"/>
      <c r="G6" s="74"/>
      <c r="K6" s="241" t="s">
        <v>52</v>
      </c>
      <c r="L6" s="241"/>
      <c r="M6" s="241"/>
      <c r="N6" s="254" t="s">
        <v>41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x14ac:dyDescent="0.35">
      <c r="A10" s="239" t="s">
        <v>95</v>
      </c>
      <c r="B10" s="75">
        <v>0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50</v>
      </c>
      <c r="C11" s="77" t="str">
        <f>IF($O34&gt;2.49%,"No","Yes")</f>
        <v>No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54</v>
      </c>
      <c r="C12" s="77" t="str">
        <f>IF($O32&gt;21.99%,"No","Yes")</f>
        <v>No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5" t="s">
        <v>92</v>
      </c>
      <c r="O35" s="216"/>
      <c r="P35" s="160">
        <f>P33+P34</f>
        <v>0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10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102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103</v>
      </c>
      <c r="B6" s="241"/>
      <c r="C6" s="241"/>
      <c r="F6" s="70"/>
      <c r="G6" s="74"/>
      <c r="K6" s="241" t="s">
        <v>52</v>
      </c>
      <c r="L6" s="241"/>
      <c r="M6" s="241"/>
      <c r="N6" s="254" t="s">
        <v>41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x14ac:dyDescent="0.35">
      <c r="A10" s="239" t="s">
        <v>95</v>
      </c>
      <c r="B10" s="75">
        <v>0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50</v>
      </c>
      <c r="C11" s="77" t="str">
        <f>IF($O34&gt;2.49%,"No","Yes")</f>
        <v>No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54</v>
      </c>
      <c r="C12" s="77" t="str">
        <f>IF($O32&gt;21.99%,"No","Yes")</f>
        <v>No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5" t="s">
        <v>92</v>
      </c>
      <c r="O35" s="216"/>
      <c r="P35" s="160">
        <f>P33+P34</f>
        <v>0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10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102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103</v>
      </c>
      <c r="B6" s="241"/>
      <c r="C6" s="241"/>
      <c r="F6" s="70"/>
      <c r="G6" s="74"/>
      <c r="K6" s="241" t="s">
        <v>52</v>
      </c>
      <c r="L6" s="241"/>
      <c r="M6" s="241"/>
      <c r="N6" s="254" t="s">
        <v>41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x14ac:dyDescent="0.35">
      <c r="A10" s="239" t="s">
        <v>95</v>
      </c>
      <c r="B10" s="75">
        <v>0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50</v>
      </c>
      <c r="C11" s="77" t="str">
        <f>IF($O34&gt;2.49%,"No","Yes")</f>
        <v>No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54</v>
      </c>
      <c r="C12" s="77" t="str">
        <f>IF($O32&gt;21.99%,"No","Yes")</f>
        <v>No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5" t="s">
        <v>92</v>
      </c>
      <c r="O35" s="216"/>
      <c r="P35" s="160">
        <f>P33+P34</f>
        <v>0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10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102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103</v>
      </c>
      <c r="B6" s="241"/>
      <c r="C6" s="241"/>
      <c r="F6" s="70"/>
      <c r="G6" s="74"/>
      <c r="K6" s="241" t="s">
        <v>52</v>
      </c>
      <c r="L6" s="241"/>
      <c r="M6" s="241"/>
      <c r="N6" s="254" t="s">
        <v>41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x14ac:dyDescent="0.35">
      <c r="A10" s="239" t="s">
        <v>95</v>
      </c>
      <c r="B10" s="75">
        <v>0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50</v>
      </c>
      <c r="C11" s="77" t="str">
        <f>IF($O34&gt;2.49%,"No","Yes")</f>
        <v>No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54</v>
      </c>
      <c r="C12" s="77" t="str">
        <f>IF($O32&gt;21.99%,"No","Yes")</f>
        <v>No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5" thickBot="1" x14ac:dyDescent="0.4">
      <c r="A13" s="240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5" t="s">
        <v>92</v>
      </c>
      <c r="O35" s="216"/>
      <c r="P35" s="160">
        <f>P33+P34</f>
        <v>0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10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102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103</v>
      </c>
      <c r="B6" s="241"/>
      <c r="C6" s="241"/>
      <c r="F6" s="70"/>
      <c r="G6" s="74"/>
      <c r="K6" s="241" t="s">
        <v>52</v>
      </c>
      <c r="L6" s="241"/>
      <c r="M6" s="241"/>
      <c r="N6" s="254" t="s">
        <v>41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x14ac:dyDescent="0.35">
      <c r="A10" s="239" t="s">
        <v>95</v>
      </c>
      <c r="B10" s="75">
        <v>0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50</v>
      </c>
      <c r="C11" s="77" t="str">
        <f>IF($O34&gt;2.49%,"No","Yes")</f>
        <v>No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54</v>
      </c>
      <c r="C12" s="77" t="str">
        <f>IF($O32&gt;21.99%,"No","Yes")</f>
        <v>No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5" t="s">
        <v>92</v>
      </c>
      <c r="O35" s="216"/>
      <c r="P35" s="160">
        <f>P33+P34</f>
        <v>0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10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102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103</v>
      </c>
      <c r="B6" s="241"/>
      <c r="C6" s="241"/>
      <c r="F6" s="70"/>
      <c r="G6" s="74"/>
      <c r="K6" s="241" t="s">
        <v>52</v>
      </c>
      <c r="L6" s="241"/>
      <c r="M6" s="241"/>
      <c r="N6" s="254" t="s">
        <v>41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x14ac:dyDescent="0.35">
      <c r="A10" s="239" t="s">
        <v>95</v>
      </c>
      <c r="B10" s="180">
        <v>0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50</v>
      </c>
      <c r="C11" s="77" t="str">
        <f>IF($O34&gt;2.49%,"No","Yes")</f>
        <v>No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54</v>
      </c>
      <c r="C12" s="77" t="str">
        <f>IF($O32&gt;21.99%,"No","Yes")</f>
        <v>No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5" t="s">
        <v>92</v>
      </c>
      <c r="O35" s="216"/>
      <c r="P35" s="160">
        <f>P33+P34</f>
        <v>0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10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102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103</v>
      </c>
      <c r="B6" s="241"/>
      <c r="C6" s="241"/>
      <c r="F6" s="70"/>
      <c r="G6" s="74"/>
      <c r="K6" s="241" t="s">
        <v>52</v>
      </c>
      <c r="L6" s="241"/>
      <c r="M6" s="241"/>
      <c r="N6" s="254" t="s">
        <v>97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x14ac:dyDescent="0.35">
      <c r="A10" s="239" t="s">
        <v>95</v>
      </c>
      <c r="B10" s="75">
        <v>0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50</v>
      </c>
      <c r="C11" s="77" t="str">
        <f>IF($O34&gt;2.49%,"No","Yes")</f>
        <v>No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54</v>
      </c>
      <c r="C12" s="77" t="str">
        <f>IF($O32&gt;21.99%,"No","Yes")</f>
        <v>No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5" t="s">
        <v>92</v>
      </c>
      <c r="O35" s="216"/>
      <c r="P35" s="160">
        <f>P33+P34</f>
        <v>0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10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102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103</v>
      </c>
      <c r="B6" s="241"/>
      <c r="C6" s="241"/>
      <c r="F6" s="70"/>
      <c r="G6" s="74"/>
      <c r="K6" s="241" t="s">
        <v>52</v>
      </c>
      <c r="L6" s="241"/>
      <c r="M6" s="241"/>
      <c r="N6" s="254" t="s">
        <v>97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x14ac:dyDescent="0.35">
      <c r="A10" s="239" t="s">
        <v>95</v>
      </c>
      <c r="B10" s="75">
        <v>0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50</v>
      </c>
      <c r="C11" s="77" t="str">
        <f>IF($O34&gt;2.49%,"No","Yes")</f>
        <v>No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54</v>
      </c>
      <c r="C12" s="77" t="str">
        <f>IF($O32&gt;21.99%,"No","Yes")</f>
        <v>No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5" t="s">
        <v>92</v>
      </c>
      <c r="O35" s="216"/>
      <c r="P35" s="160">
        <f>P33+P34</f>
        <v>0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10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102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103</v>
      </c>
      <c r="B6" s="241"/>
      <c r="C6" s="241"/>
      <c r="F6" s="70"/>
      <c r="G6" s="74"/>
      <c r="K6" s="241" t="s">
        <v>52</v>
      </c>
      <c r="L6" s="241"/>
      <c r="M6" s="241"/>
      <c r="N6" s="254" t="s">
        <v>97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x14ac:dyDescent="0.35">
      <c r="A10" s="239" t="s">
        <v>95</v>
      </c>
      <c r="B10" s="75">
        <v>0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50</v>
      </c>
      <c r="C11" s="77" t="str">
        <f>IF($O34&gt;2.49%,"No","Yes")</f>
        <v>No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54</v>
      </c>
      <c r="C12" s="77" t="str">
        <f>IF($O32&gt;21.99%,"No","Yes")</f>
        <v>No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5" t="s">
        <v>92</v>
      </c>
      <c r="O35" s="216"/>
      <c r="P35" s="160">
        <f>P33+P34</f>
        <v>0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10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102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103</v>
      </c>
      <c r="B6" s="241"/>
      <c r="C6" s="241"/>
      <c r="F6" s="70"/>
      <c r="G6" s="74"/>
      <c r="K6" s="241" t="s">
        <v>52</v>
      </c>
      <c r="L6" s="241"/>
      <c r="M6" s="241"/>
      <c r="N6" s="254" t="s">
        <v>97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x14ac:dyDescent="0.35">
      <c r="A10" s="239" t="s">
        <v>95</v>
      </c>
      <c r="B10" s="75">
        <v>0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50</v>
      </c>
      <c r="C11" s="77" t="str">
        <f>IF($O34&gt;2.49%,"No","Yes")</f>
        <v>No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54</v>
      </c>
      <c r="C12" s="77" t="str">
        <f>IF($O32&gt;21.99%,"No","Yes")</f>
        <v>No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5" t="s">
        <v>92</v>
      </c>
      <c r="O35" s="216"/>
      <c r="P35" s="160">
        <f>P33+P34</f>
        <v>0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7" t="s">
        <v>45</v>
      </c>
      <c r="B2" s="257"/>
      <c r="C2" s="257"/>
    </row>
    <row r="3" spans="1:19 16383:16384" ht="15" customHeight="1" x14ac:dyDescent="0.35">
      <c r="A3" s="242" t="s">
        <v>46</v>
      </c>
      <c r="B3" s="242"/>
      <c r="C3" s="242"/>
      <c r="F3" s="70"/>
      <c r="G3" s="71"/>
      <c r="K3" s="241" t="s">
        <v>47</v>
      </c>
      <c r="L3" s="241"/>
      <c r="M3" s="241"/>
      <c r="N3" s="242">
        <v>10</v>
      </c>
      <c r="O3" s="242"/>
      <c r="P3" s="24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2" t="s">
        <v>94</v>
      </c>
      <c r="B4" s="242"/>
      <c r="C4" s="242"/>
      <c r="F4" s="70"/>
      <c r="G4" s="71"/>
      <c r="K4" s="241" t="s">
        <v>49</v>
      </c>
      <c r="L4" s="241"/>
      <c r="M4" s="241"/>
      <c r="N4" s="255">
        <f ca="1">TODAY()</f>
        <v>46214</v>
      </c>
      <c r="O4" s="255"/>
      <c r="P4" s="25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8" t="s">
        <v>102</v>
      </c>
      <c r="B5" s="268"/>
      <c r="C5" s="268"/>
      <c r="F5" s="70"/>
      <c r="G5" s="71"/>
      <c r="K5" s="241" t="s">
        <v>51</v>
      </c>
      <c r="L5" s="241"/>
      <c r="M5" s="241"/>
      <c r="N5" s="255">
        <f ca="1">N4-1</f>
        <v>46213</v>
      </c>
      <c r="O5" s="242"/>
      <c r="P5" s="242"/>
      <c r="R5" s="70"/>
      <c r="S5" s="71"/>
    </row>
    <row r="6" spans="1:19 16383:16384" ht="15" customHeight="1" x14ac:dyDescent="0.35">
      <c r="A6" s="241" t="s">
        <v>103</v>
      </c>
      <c r="B6" s="241"/>
      <c r="C6" s="241"/>
      <c r="F6" s="70"/>
      <c r="G6" s="74"/>
      <c r="K6" s="241" t="s">
        <v>52</v>
      </c>
      <c r="L6" s="241"/>
      <c r="M6" s="241"/>
      <c r="N6" s="254" t="s">
        <v>97</v>
      </c>
      <c r="O6" s="254"/>
      <c r="P6" s="25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1"/>
      <c r="B7" s="241"/>
      <c r="C7" s="241"/>
      <c r="F7" s="70"/>
      <c r="G7" s="74"/>
      <c r="K7" s="241"/>
      <c r="L7" s="241"/>
      <c r="M7" s="241"/>
      <c r="N7" s="254"/>
      <c r="O7" s="254"/>
      <c r="P7" s="25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3"/>
      <c r="B8" s="253"/>
      <c r="C8" s="253"/>
      <c r="F8" s="70"/>
      <c r="G8" s="74"/>
      <c r="K8" s="241"/>
      <c r="L8" s="241"/>
      <c r="M8" s="241"/>
      <c r="N8" s="254"/>
      <c r="O8" s="254"/>
      <c r="P8" s="254"/>
      <c r="R8" s="70"/>
      <c r="S8" s="74"/>
    </row>
    <row r="9" spans="1:19 16383:16384" x14ac:dyDescent="0.35">
      <c r="A9" s="253"/>
      <c r="B9" s="253"/>
      <c r="C9" s="253"/>
      <c r="F9" s="70"/>
      <c r="G9" s="74"/>
      <c r="K9" s="241"/>
      <c r="L9" s="241"/>
      <c r="M9" s="241"/>
      <c r="N9" s="254"/>
      <c r="O9" s="254"/>
      <c r="P9" s="254"/>
      <c r="R9" s="70"/>
      <c r="S9" s="74"/>
      <c r="XFD9" t="s">
        <v>55</v>
      </c>
    </row>
    <row r="10" spans="1:19 16383:16384" x14ac:dyDescent="0.35">
      <c r="A10" s="239" t="s">
        <v>95</v>
      </c>
      <c r="B10" s="75">
        <v>0</v>
      </c>
      <c r="C10" s="75"/>
      <c r="F10" s="70"/>
      <c r="G10" s="71"/>
      <c r="K10" s="241" t="s">
        <v>56</v>
      </c>
      <c r="L10" s="241"/>
      <c r="M10" s="241"/>
      <c r="N10" s="242" t="s">
        <v>57</v>
      </c>
      <c r="O10" s="242"/>
      <c r="P10" s="242"/>
      <c r="R10" s="70"/>
      <c r="S10" s="71"/>
      <c r="XFD10" t="s">
        <v>58</v>
      </c>
    </row>
    <row r="11" spans="1:19 16383:16384" x14ac:dyDescent="0.35">
      <c r="A11" s="239"/>
      <c r="B11" s="76" t="s">
        <v>50</v>
      </c>
      <c r="C11" s="77" t="str">
        <f>IF($O34&gt;2.49%,"No","Yes")</f>
        <v>No</v>
      </c>
      <c r="F11" s="70"/>
      <c r="G11" s="71"/>
      <c r="K11" s="241" t="s">
        <v>59</v>
      </c>
      <c r="L11" s="241"/>
      <c r="M11" s="241"/>
      <c r="N11" s="242" t="s">
        <v>55</v>
      </c>
      <c r="O11" s="242"/>
      <c r="P11" s="242"/>
      <c r="R11" s="70"/>
      <c r="S11" s="71"/>
    </row>
    <row r="12" spans="1:19 16383:16384" ht="14.65" customHeight="1" x14ac:dyDescent="0.35">
      <c r="A12" s="239" t="s">
        <v>60</v>
      </c>
      <c r="B12" s="76" t="s">
        <v>54</v>
      </c>
      <c r="C12" s="77" t="str">
        <f>IF($O32&gt;21.99%,"No","Yes")</f>
        <v>No</v>
      </c>
      <c r="F12" s="70"/>
      <c r="G12" s="71"/>
      <c r="K12" s="241" t="s">
        <v>61</v>
      </c>
      <c r="L12" s="241"/>
      <c r="M12" s="241"/>
      <c r="N12" s="242"/>
      <c r="O12" s="242"/>
      <c r="P12" s="242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44"/>
      <c r="C14" s="247" t="s">
        <v>65</v>
      </c>
      <c r="D14" s="80" t="s">
        <v>2</v>
      </c>
      <c r="E14" s="81" t="s">
        <v>66</v>
      </c>
      <c r="F14" s="82" t="s">
        <v>67</v>
      </c>
      <c r="G14" s="263" t="s">
        <v>68</v>
      </c>
      <c r="H14" s="264"/>
      <c r="I14" s="265" t="s">
        <v>69</v>
      </c>
      <c r="J14" s="263" t="s">
        <v>70</v>
      </c>
      <c r="K14" s="267"/>
      <c r="L14" s="264"/>
      <c r="M14" s="265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46"/>
      <c r="C15" s="24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6"/>
      <c r="J15" s="88" t="s">
        <v>78</v>
      </c>
      <c r="K15" s="90" t="s">
        <v>79</v>
      </c>
      <c r="L15" s="91" t="s">
        <v>80</v>
      </c>
      <c r="M15" s="26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1" t="s">
        <v>84</v>
      </c>
      <c r="B25" s="222"/>
      <c r="C25" s="223"/>
      <c r="D25" s="217"/>
      <c r="E25" s="217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5" t="s">
        <v>92</v>
      </c>
      <c r="O35" s="216"/>
      <c r="P35" s="160">
        <f>P33+P34</f>
        <v>0</v>
      </c>
    </row>
    <row r="36" spans="2:16" ht="15" thickBot="1" x14ac:dyDescent="0.4">
      <c r="B36" s="161" t="s">
        <v>93</v>
      </c>
      <c r="C36" s="217"/>
      <c r="D36" s="217"/>
      <c r="E36" s="217"/>
      <c r="F36" s="217"/>
      <c r="G36" s="217"/>
      <c r="H36" s="217"/>
      <c r="I36" s="218"/>
      <c r="J36" s="219"/>
      <c r="K36" s="22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2026-07-11T12:00:49Z</dcterms:modified>
</cp:coreProperties>
</file>