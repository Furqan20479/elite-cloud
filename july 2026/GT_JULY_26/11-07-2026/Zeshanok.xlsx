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29C9C8B-C929-4FB8-ACE8-A209F21CBF05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0" i="26" l="1"/>
  <c r="N20" i="26" s="1"/>
  <c r="O20" i="26" s="1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20" i="26" l="1"/>
  <c r="M25" i="26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7" i="19" l="1"/>
  <c r="N17" i="19" s="1"/>
  <c r="O17" i="19" s="1"/>
  <c r="M20" i="20"/>
  <c r="N20" i="20" s="1"/>
  <c r="O20" i="20" s="1"/>
  <c r="P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<sst xmlns="http://schemas.openxmlformats.org/spreadsheetml/2006/main" count="1640" uniqueCount="143">
  <si>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</si>
  <si>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</si>
  <si>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</si>
  <si>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</si>
  <si>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</si>
  <si>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</si>
  <si>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</si>
  <si>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</si>
  <si>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</si>
  <si>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</si>
  <si>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</si>
  <si>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</si>
  <si>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</si>
  <si>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</si>
  <si>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</si>
  <si>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</si>
  <si>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</si>
  <si>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</si>
  <si>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</si>
  <si>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</si>
  <si>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</si>
  <si>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</si>
  <si>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</si>
  <si>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</si>
  <si>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</si>
  <si>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</si>
  <si>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</si>
  <si>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</si>
  <si>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</si>
  <si>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</si>
  <si>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</si>
  <si>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</si>
  <si>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</si>
  <si>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</si>
  <si>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</si>
  <si>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</si>
  <si>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</si>
  <si>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</si>
  <si>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</si>
  <si>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</si>
  <si>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</si>
  <si>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</si>
  <si>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</si>
  <si>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</si>
  <si>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</si>
  <si>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</si>
  <si>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</si>
  <si>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</si>
  <si>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</si>
  <si>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</si>
  <si>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</si>
  <si>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</si>
  <si>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</si>
  <si>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</si>
  <si>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</si>
  <si>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</si>
  <si>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</si>
  <si>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</si>
  <si>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</si>
  <si>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</si>
  <si>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</si>
  <si>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</si>
  <si>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</si>
  <si>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</si>
  <si>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</si>
  <si>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</si>
  <si>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</si>
  <si>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</si>
  <si>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</si>
  <si>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</si>
  <si>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</si>
  <si>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</si>
  <si>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</si>
  <si>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</si>
  <si>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</si>
  <si>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</si>
  <si>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</si>
  <si>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</si>
  <si>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</si>
  <si>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</si>
  <si>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</si>
  <si>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</si>
  <si>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</si>
  <si>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</si>
  <si>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</si>
  <si>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</si>
  <si>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</si>
  <si>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</si>
  <si>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</si>
  <si>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</si>
  <si>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</si>
  <si>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</si>
  <si>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</si>
  <si>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</si>
  <si>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</si>
  <si>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</si>
  <si>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</si>
  <si>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</si>
  <si>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</si>
  <si>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</si>
  <si>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</si>
  <si>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</si>
  <si>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</si>
  <si>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</si>
  <si>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</si>
  <si>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</si>
  <si>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</si>
  <si>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</si>
  <si>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</si>
  <si>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</si>
  <si>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</si>
  <si>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</si>
  <si>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</si>
  <si>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</si>
  <si>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</si>
  <si>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</si>
  <si>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</si>
  <si>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</si>
  <si>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</si>
  <si>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</si>
  <si>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</si>
  <si>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</si>
  <si>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Usman Store</t>
  </si>
  <si>
    <t>Address: DHA</t>
  </si>
  <si>
    <t>95619887-0</t>
  </si>
  <si>
    <t xml:space="preserve">Customer Name : Al Ghani </t>
  </si>
  <si>
    <t>1186659-4</t>
  </si>
  <si>
    <t xml:space="preserve">Customer Name : Smart Mart </t>
  </si>
  <si>
    <t>Address: Dha</t>
  </si>
  <si>
    <t>9274566-6</t>
  </si>
  <si>
    <t>Customer Name : 24/7</t>
  </si>
  <si>
    <t xml:space="preserve">Customer Name : Groccer Mart </t>
  </si>
  <si>
    <t>018816-9</t>
  </si>
  <si>
    <t>Customer Name : Groccer 2</t>
  </si>
  <si>
    <t>Customer Name : Rehman Store</t>
  </si>
  <si>
    <t>10804556-5</t>
  </si>
  <si>
    <t>Customer Name : CV Store</t>
  </si>
  <si>
    <t>Customer Name : Awan Store</t>
  </si>
  <si>
    <t>455618-1</t>
  </si>
  <si>
    <t>Customer Name : Al Rehman Store</t>
  </si>
  <si>
    <t xml:space="preserve">Customer Name : ali Mart </t>
  </si>
  <si>
    <t xml:space="preserve">Address: Farminate Society </t>
  </si>
  <si>
    <t>Creadit issu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</si>
</sst>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6EA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9" fillId="8" borderId="0" xfId="0" applyFont="1" applyFill="1" applyAlignment="1">
      <alignment horizontal="right" vertical="center" wrapText="1" inden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5" zoomScale="70" zoomScaleNormal="70" workbookViewId="0">
      <selection activeCell="V23" sqref="V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Usman Store</v>
      </c>
      <c r="U14" s="164">
        <f>+'1'!P35</f>
        <v>6859.740476070001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1"/>
      <c r="J15" s="170" t="s">
        <v>78</v>
      </c>
      <c r="K15" s="170" t="s">
        <v>79</v>
      </c>
      <c r="L15" s="173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Al Ghani </v>
      </c>
      <c r="U15" s="164">
        <f>+'2'!P35</f>
        <v>1103.5017705600001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371.43450000000001</v>
      </c>
      <c r="O16" s="101">
        <f>+'1'!O16+'2'!O16+'4'!O16+'3'!O16+'5'!O16+'6'!O16+'7'!O16+'8'!O16+'9'!O16+'10'!O16</f>
        <v>11.143035000000001</v>
      </c>
      <c r="P16" s="105">
        <f t="shared" ref="P16:P24" si="0">M16+N16+O16</f>
        <v>2239.750035</v>
      </c>
      <c r="Q16" s="108"/>
      <c r="T16" s="163" t="str">
        <f>+'3'!A5</f>
        <v xml:space="preserve">Customer Name : Smart Mart </v>
      </c>
      <c r="U16" s="164">
        <f>+'3'!P35</f>
        <v>2277.07920225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371.43450000000001</v>
      </c>
      <c r="O17" s="101">
        <f>+'1'!O17+'2'!O17+'4'!O17+'3'!O17+'5'!O17+'6'!O17+'7'!O17+'8'!O17+'9'!O17+'10'!O17</f>
        <v>11.143035000000001</v>
      </c>
      <c r="P17" s="120">
        <f t="shared" si="0"/>
        <v>2239.750035</v>
      </c>
      <c r="S17" s="64"/>
      <c r="T17" s="163" t="str">
        <f>+'4'!A5</f>
        <v>Customer Name : 24/7</v>
      </c>
      <c r="U17" s="164">
        <f>+'4'!P35</f>
        <v>423.85347360000009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Groccer Mart </v>
      </c>
      <c r="U18" s="164">
        <f>+'5'!P35</f>
        <v>415.58316192000012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19</v>
      </c>
      <c r="I19" s="1">
        <f t="shared" si="1"/>
        <v>1380.16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48.305600000000005</v>
      </c>
      <c r="L19" s="174">
        <f>+'1'!L19+'2'!L19+'4'!L19+'3'!L19+'5'!L19+'6'!L19+'7'!L19+'8'!L19+'9'!L19+'10'!L19</f>
        <v>110.41279999999999</v>
      </c>
      <c r="M19" s="118">
        <f t="shared" si="2"/>
        <v>1221.4416000000001</v>
      </c>
      <c r="N19" s="101">
        <f>+'1'!N19+'2'!N19+'4'!N19+'3'!N19+'5'!N19+'6'!N19+'7'!N19+'8'!N19+'9'!N19+'10'!N19</f>
        <v>230.14531199999999</v>
      </c>
      <c r="O19" s="101">
        <f>+'1'!O19+'2'!O19+'4'!O19+'3'!O19+'5'!O19+'6'!O19+'7'!O19+'8'!O19+'9'!O19+'10'!O19</f>
        <v>7.2579345599999998</v>
      </c>
      <c r="P19" s="120">
        <f t="shared" si="0"/>
        <v>1458.8448465600002</v>
      </c>
      <c r="T19" s="163" t="str">
        <f>+'6'!A5</f>
        <v>Customer Name : Groccer 2</v>
      </c>
      <c r="U19" s="164">
        <f>+'6'!P35</f>
        <v>415.58316192000012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14</v>
      </c>
      <c r="I20" s="1">
        <f t="shared" si="1"/>
        <v>1016.96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35.593600000000002</v>
      </c>
      <c r="L20" s="174">
        <f>+'1'!L20+'2'!L20+'4'!L20+'3'!L20+'5'!L20+'6'!L20+'7'!L20+'8'!L20+'9'!L20+'10'!L20</f>
        <v>81.356800000000007</v>
      </c>
      <c r="M20" s="118">
        <f t="shared" si="2"/>
        <v>900.00959999999998</v>
      </c>
      <c r="N20" s="101">
        <f>+'1'!N20+'2'!N20+'4'!N20+'3'!N20+'5'!N20+'6'!N20+'7'!N20+'8'!N20+'9'!N20+'10'!N20</f>
        <v>172.28755200000001</v>
      </c>
      <c r="O20" s="101">
        <f>+'1'!O20+'2'!O20+'4'!O20+'3'!O20+'5'!O20+'6'!O20+'7'!O20+'8'!O20+'9'!O20+'10'!O20</f>
        <v>5.3614857599999999</v>
      </c>
      <c r="P20" s="120">
        <f t="shared" si="0"/>
        <v>1077.6586377600001</v>
      </c>
      <c r="T20" s="163" t="str">
        <f>+'7'!A5</f>
        <v>Customer Name : Rehman Store</v>
      </c>
      <c r="U20" s="164">
        <f>+'7'!P35</f>
        <v>415.58316192000012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61</v>
      </c>
      <c r="I21" s="1">
        <f t="shared" si="1"/>
        <v>4431.04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155.08640000000003</v>
      </c>
      <c r="L21" s="174">
        <f>+'1'!L21+'2'!L21+'4'!L21+'3'!L21+'5'!L21+'6'!L21+'7'!L21+'8'!L21+'9'!L21+'10'!L21</f>
        <v>354.48320000000001</v>
      </c>
      <c r="M21" s="118">
        <f t="shared" si="2"/>
        <v>3921.4703999999997</v>
      </c>
      <c r="N21" s="101">
        <f>+'1'!N21+'2'!N21+'4'!N21+'3'!N21+'5'!N21+'6'!N21+'7'!N21+'8'!N21+'9'!N21+'10'!N21</f>
        <v>824.15164800000002</v>
      </c>
      <c r="O21" s="101">
        <f>+'1'!O21+'2'!O21+'4'!O21+'3'!O21+'5'!O21+'6'!O21+'7'!O21+'8'!O21+'9'!O21+'10'!O21</f>
        <v>86.471636640000014</v>
      </c>
      <c r="P21" s="120">
        <f t="shared" si="0"/>
        <v>4832.0936846399991</v>
      </c>
      <c r="T21" s="163" t="str">
        <f>+'8'!A5</f>
        <v>Customer Name : CV Store</v>
      </c>
      <c r="U21" s="164">
        <f>+'8'!P35</f>
        <v>423.85347360000009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100</v>
      </c>
      <c r="I22" s="1">
        <f t="shared" si="1"/>
        <v>3923.0000000000005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337.37799999999999</v>
      </c>
      <c r="L22" s="174">
        <f>+'1'!L22+'2'!L22+'4'!L22+'3'!L22+'5'!L22+'6'!L22+'7'!L22+'8'!L22+'9'!L22+'10'!L22</f>
        <v>196.15000000000006</v>
      </c>
      <c r="M22" s="118">
        <f t="shared" si="2"/>
        <v>3389.4720000000002</v>
      </c>
      <c r="N22" s="101">
        <f>+'1'!N22+'2'!N22+'4'!N22+'3'!N22+'5'!N22+'6'!N22+'7'!N22+'8'!N22+'9'!N22+'10'!N22</f>
        <v>691.45228800000018</v>
      </c>
      <c r="O22" s="101">
        <f>+'1'!O22+'2'!O22+'4'!O22+'3'!O22+'5'!O22+'6'!O22+'7'!O22+'8'!O22+'9'!O22+'10'!O22</f>
        <v>36.945244800000012</v>
      </c>
      <c r="P22" s="120">
        <f t="shared" si="0"/>
        <v>4117.8695328000003</v>
      </c>
      <c r="T22" s="163" t="str">
        <f>+'9'!A5</f>
        <v>Customer Name : Awan Store</v>
      </c>
      <c r="U22" s="164">
        <f>+'9'!P35</f>
        <v>415.58316192000012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Al Rehman Store</v>
      </c>
      <c r="U23" s="164">
        <f>+'10'!P35</f>
        <v>3215.605728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ali Mart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6.85</v>
      </c>
      <c r="D25" s="231"/>
      <c r="E25" s="231"/>
      <c r="F25" s="231"/>
      <c r="G25" s="175">
        <f t="shared" ref="G25:M25" si="3">SUM(G16:G24)</f>
        <v>0</v>
      </c>
      <c r="H25" s="176">
        <f t="shared" si="3"/>
        <v>274</v>
      </c>
      <c r="I25" s="177">
        <f t="shared" si="3"/>
        <v>14948.16</v>
      </c>
      <c r="J25" s="176">
        <f t="shared" si="3"/>
        <v>0</v>
      </c>
      <c r="K25" s="177">
        <f t="shared" si="3"/>
        <v>723.25860000000011</v>
      </c>
      <c r="L25" s="178">
        <f t="shared" si="3"/>
        <v>1078.1628000000001</v>
      </c>
      <c r="M25" s="141">
        <f t="shared" si="3"/>
        <v>13146.738600000001</v>
      </c>
      <c r="N25" s="142">
        <f>SUM(N16:N24)</f>
        <v>2660.9058000000005</v>
      </c>
      <c r="O25" s="143">
        <f>SUM(O16:O24)</f>
        <v>158.32237176000001</v>
      </c>
      <c r="P25" s="144">
        <f>SUM(P16:P24)</f>
        <v>15965.966771759999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15965.96677176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14948.16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1078.1628000000001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723.25860000000011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13146.738600000001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2660.9058000000005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15807.644400000001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395.19111000000004</v>
      </c>
    </row>
    <row r="43" spans="1:21" ht="15.75" customHeight="1" thickBot="1" x14ac:dyDescent="0.4">
      <c r="N43" s="229" t="s">
        <v>92</v>
      </c>
      <c r="O43" s="230"/>
      <c r="P43" s="160">
        <f>P41+P42</f>
        <v>16202.835510000001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ht="17.5" x14ac:dyDescent="0.35">
      <c r="A10" s="216" t="s">
        <v>95</v>
      </c>
      <c r="B10" s="191" t="s">
        <v>124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8" thickBot="1" x14ac:dyDescent="0.4">
      <c r="A13" s="253"/>
      <c r="B13" s="191">
        <v>3520118587822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 t="shared" ref="O16:O24" si="1">(N16+M16)*$O$15</f>
        <v>5.4786588749999998</v>
      </c>
      <c r="P16" s="105">
        <f t="shared" ref="P16:P24" si="2">M16+N16+O16</f>
        <v>1101.210433875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/>
      <c r="K17" s="104">
        <f t="shared" ref="K17:K21" si="4">I17*3.5%</f>
        <v>36.723750000000003</v>
      </c>
      <c r="L17" s="105">
        <f t="shared" ref="L17:L21" si="5">I17*8%</f>
        <v>83.94</v>
      </c>
      <c r="M17" s="118">
        <f t="shared" ref="M17:M23" si="6">I17-K17-L17</f>
        <v>928.58625000000006</v>
      </c>
      <c r="N17" s="118">
        <f t="shared" si="0"/>
        <v>167.14552499999999</v>
      </c>
      <c r="O17" s="119">
        <f t="shared" si="1"/>
        <v>5.4786588749999998</v>
      </c>
      <c r="P17" s="120">
        <f t="shared" si="2"/>
        <v>1101.210433875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173.57327999999998</v>
      </c>
      <c r="O19" s="119">
        <f t="shared" si="1"/>
        <v>5.6893463999999998</v>
      </c>
      <c r="P19" s="120">
        <f t="shared" si="2"/>
        <v>1143.5586263999999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115.71552</v>
      </c>
      <c r="O20" s="119">
        <f t="shared" si="1"/>
        <v>3.7928975999999999</v>
      </c>
      <c r="P20" s="120">
        <f t="shared" si="2"/>
        <v>762.37241759999995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04">
        <f t="shared" si="4"/>
        <v>38.136000000000003</v>
      </c>
      <c r="L21" s="105">
        <f t="shared" si="5"/>
        <v>87.167999999999992</v>
      </c>
      <c r="M21" s="118">
        <f t="shared" si="6"/>
        <v>964.29599999999994</v>
      </c>
      <c r="N21" s="118">
        <f t="shared" si="0"/>
        <v>173.57327999999998</v>
      </c>
      <c r="O21" s="119">
        <f t="shared" si="1"/>
        <v>5.6893463999999998</v>
      </c>
      <c r="P21" s="120">
        <f t="shared" si="2"/>
        <v>1143.5586263999999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120</v>
      </c>
      <c r="I25" s="137">
        <f t="shared" si="13"/>
        <v>6573.3000000000011</v>
      </c>
      <c r="J25" s="138"/>
      <c r="K25" s="139">
        <f t="shared" si="13"/>
        <v>310.09469999999999</v>
      </c>
      <c r="L25" s="140">
        <f t="shared" si="13"/>
        <v>478.78800000000007</v>
      </c>
      <c r="M25" s="141">
        <f t="shared" si="13"/>
        <v>5784.4173000000001</v>
      </c>
      <c r="N25" s="142">
        <f>SUM(N16:N24)</f>
        <v>1041.1951139999999</v>
      </c>
      <c r="O25" s="143">
        <f>SUM(O16:O24)</f>
        <v>34.128062069999999</v>
      </c>
      <c r="P25" s="144">
        <f>SUM(P16:P24)</f>
        <v>6859.7404760699992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6573.3000000000011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478.78800000000007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310.09469999999999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5784.417300000001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1041.1951139999999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6825.6124140000011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34.128062070000006</v>
      </c>
    </row>
    <row r="35" spans="2:16" ht="15.75" customHeight="1" thickBot="1" x14ac:dyDescent="0.4">
      <c r="N35" s="229" t="s">
        <v>92</v>
      </c>
      <c r="O35" s="230"/>
      <c r="P35" s="160">
        <f>P33+P34</f>
        <v>6859.740476070001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 t="s">
        <v>126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</v>
      </c>
      <c r="I19" s="116">
        <f t="shared" si="2"/>
        <v>290.56</v>
      </c>
      <c r="J19" s="117"/>
      <c r="K19" s="104">
        <f t="shared" si="3"/>
        <v>10.169600000000001</v>
      </c>
      <c r="L19" s="105">
        <f t="shared" si="4"/>
        <v>23.244800000000001</v>
      </c>
      <c r="M19" s="118">
        <f t="shared" si="5"/>
        <v>257.1456</v>
      </c>
      <c r="N19" s="118">
        <f t="shared" si="0"/>
        <v>56.572032</v>
      </c>
      <c r="O19" s="119">
        <f t="shared" si="6"/>
        <v>1.56858816</v>
      </c>
      <c r="P19" s="120">
        <f t="shared" si="1"/>
        <v>315.28622015999997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</v>
      </c>
      <c r="I20" s="116">
        <f t="shared" si="2"/>
        <v>290.56</v>
      </c>
      <c r="J20" s="117"/>
      <c r="K20" s="104">
        <f t="shared" si="3"/>
        <v>10.169600000000001</v>
      </c>
      <c r="L20" s="105">
        <f t="shared" si="4"/>
        <v>23.244800000000001</v>
      </c>
      <c r="M20" s="118">
        <f t="shared" si="5"/>
        <v>257.1456</v>
      </c>
      <c r="N20" s="118">
        <f t="shared" si="0"/>
        <v>56.572032</v>
      </c>
      <c r="O20" s="119">
        <f t="shared" si="6"/>
        <v>1.56858816</v>
      </c>
      <c r="P20" s="120">
        <f t="shared" si="1"/>
        <v>315.28622015999997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84.858048000000011</v>
      </c>
      <c r="O21" s="119">
        <f t="shared" si="6"/>
        <v>2.35288224</v>
      </c>
      <c r="P21" s="120">
        <f t="shared" si="1"/>
        <v>472.92933024000001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14</v>
      </c>
      <c r="I25" s="137">
        <f t="shared" si="9"/>
        <v>1016.96</v>
      </c>
      <c r="J25" s="138"/>
      <c r="K25" s="139">
        <f t="shared" si="9"/>
        <v>35.593600000000002</v>
      </c>
      <c r="L25" s="140">
        <f t="shared" si="9"/>
        <v>81.356800000000007</v>
      </c>
      <c r="M25" s="141">
        <f t="shared" si="9"/>
        <v>900.00960000000009</v>
      </c>
      <c r="N25" s="142">
        <f>SUM(N16:N24)</f>
        <v>198.00211200000001</v>
      </c>
      <c r="O25" s="143">
        <f>SUM(O16:O24)</f>
        <v>5.4900585599999996</v>
      </c>
      <c r="P25" s="144">
        <f>SUM(P16:P24)</f>
        <v>1103.5017705599998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1016.96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81.356800000000007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35.593600000000002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900.00959999999998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198.00211200000001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1098.011712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5.4900585600000005</v>
      </c>
    </row>
    <row r="35" spans="2:16" ht="15.75" customHeight="1" thickBot="1" x14ac:dyDescent="0.4">
      <c r="N35" s="229" t="s">
        <v>92</v>
      </c>
      <c r="O35" s="230"/>
      <c r="P35" s="160">
        <f>P33+P34</f>
        <v>1103.5017705600001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8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128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 t="s">
        <v>129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11.328752250000001</v>
      </c>
      <c r="P25" s="144">
        <f>SUM(P16:P24)</f>
        <v>2277.07920225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2098.5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167.88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73.447500000000005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1857.1724999999999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2265.75045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11.328752250000001</v>
      </c>
    </row>
    <row r="35" spans="2:16" ht="15.75" customHeight="1" thickBot="1" x14ac:dyDescent="0.4">
      <c r="N35" s="229" t="s">
        <v>92</v>
      </c>
      <c r="O35" s="230"/>
      <c r="P35" s="160">
        <f>P33+P34</f>
        <v>2277.07920225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10.337889600000004</v>
      </c>
      <c r="P22" s="120">
        <f t="shared" si="1"/>
        <v>423.85347360000009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10.337889600000004</v>
      </c>
      <c r="P25" s="144">
        <f>SUM(P16:P24)</f>
        <v>423.85347360000009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33.7378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338.94720000000007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413.5155840000001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10.337889600000004</v>
      </c>
    </row>
    <row r="35" spans="2:16" ht="15.75" customHeight="1" thickBot="1" x14ac:dyDescent="0.4">
      <c r="N35" s="229" t="s">
        <v>92</v>
      </c>
      <c r="O35" s="230"/>
      <c r="P35" s="160">
        <f>P33+P34</f>
        <v>423.85347360000009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 t="s">
        <v>132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2.0675779200000006</v>
      </c>
      <c r="P25" s="144">
        <f>SUM(P16:P24)</f>
        <v>415.58316192000012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33.7378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338.94720000000007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413.5155840000001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2.0675779200000006</v>
      </c>
    </row>
    <row r="35" spans="2:16" ht="15.75" customHeight="1" thickBot="1" x14ac:dyDescent="0.4">
      <c r="N35" s="229" t="s">
        <v>92</v>
      </c>
      <c r="O35" s="230"/>
      <c r="P35" s="160">
        <f>P33+P34</f>
        <v>415.58316192000012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 t="s">
        <v>132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2.0675779200000006</v>
      </c>
      <c r="P25" s="144">
        <f>SUM(P16:P24)</f>
        <v>415.58316192000012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33.7378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338.94720000000007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413.5155840000001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2.0675779200000006</v>
      </c>
    </row>
    <row r="35" spans="2:16" ht="15.75" customHeight="1" thickBot="1" x14ac:dyDescent="0.4">
      <c r="N35" s="229" t="s">
        <v>92</v>
      </c>
      <c r="O35" s="230"/>
      <c r="P35" s="160">
        <f>P33+P34</f>
        <v>415.58316192000012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 t="s">
        <v>135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8" thickBot="1" x14ac:dyDescent="0.4">
      <c r="A13" s="253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2.0675779200000006</v>
      </c>
      <c r="P25" s="144">
        <f>SUM(P16:P24)</f>
        <v>415.58316192000012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33.7378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338.94720000000007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413.5155840000001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2.0675779200000006</v>
      </c>
    </row>
    <row r="35" spans="2:16" ht="15.75" customHeight="1" thickBot="1" x14ac:dyDescent="0.4">
      <c r="N35" s="229" t="s">
        <v>92</v>
      </c>
      <c r="O35" s="230"/>
      <c r="P35" s="160">
        <f>P33+P34</f>
        <v>415.58316192000012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10.337889600000004</v>
      </c>
      <c r="P22" s="120">
        <f t="shared" si="1"/>
        <v>423.85347360000009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10.337889600000004</v>
      </c>
      <c r="P25" s="144">
        <f>SUM(P16:P24)</f>
        <v>423.85347360000009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33.7378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338.94720000000007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413.5155840000001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10.337889600000004</v>
      </c>
    </row>
    <row r="35" spans="2:16" ht="15.75" customHeight="1" thickBot="1" x14ac:dyDescent="0.4">
      <c r="N35" s="229" t="s">
        <v>92</v>
      </c>
      <c r="O35" s="230"/>
      <c r="P35" s="160">
        <f>P33+P34</f>
        <v>423.85347360000009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 t="s">
        <v>138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74.568384000000009</v>
      </c>
      <c r="O25" s="143">
        <f>SUM(O16:O24)</f>
        <v>2.0675779200000006</v>
      </c>
      <c r="P25" s="144">
        <f>SUM(P16:P24)</f>
        <v>415.58316192000012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392.30000000000007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19.615000000000006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33.7378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338.94720000000007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74.568384000000009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413.5155840000001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2.0675779200000006</v>
      </c>
    </row>
    <row r="35" spans="2:16" ht="15.75" customHeight="1" thickBot="1" x14ac:dyDescent="0.4">
      <c r="N35" s="229" t="s">
        <v>92</v>
      </c>
      <c r="O35" s="230"/>
      <c r="P35" s="160">
        <f>P33+P34</f>
        <v>415.58316192000012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78.429408000000009</v>
      </c>
      <c r="P21" s="120">
        <f t="shared" si="1"/>
        <v>3215.605728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29" t="s">
        <v>92</v>
      </c>
      <c r="O35" s="230"/>
      <c r="P35" s="160">
        <f>P33+P34</f>
        <v>3215.605728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XFD37"/>
  <sheetViews>
    <sheetView workbookViewId="0">
      <selection activeCell="I4" sqref="I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K1" t="s">
        <v>142</v>
      </c>
    </row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140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141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2">
        <v>98196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8" thickBot="1" x14ac:dyDescent="0.4">
      <c r="A13" s="253"/>
      <c r="B13" s="192">
        <v>98196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8" thickBot="1" x14ac:dyDescent="0.4">
      <c r="A13" s="253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2026-07-11T11:59:05Z</dcterms:modified>
</cp:coreProperties>
</file>