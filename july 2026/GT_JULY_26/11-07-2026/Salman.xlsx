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0760D0D-0CEC-42FC-B212-3864B31ED051}" xr6:coauthVersionLast="47" xr6:coauthVersionMax="47" xr10:uidLastSave="{00000000-0000-0000-0000-000000000000}"/>
  <bookViews>
    <workbookView xWindow="-110" yWindow="-110" windowWidth="19420" windowHeight="10420" tabRatio="949" activeTab="21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21" i="17"/>
  <c r="K18" i="19"/>
  <c r="K19" i="19"/>
  <c r="K20" i="19"/>
  <c r="K21" i="19"/>
  <c r="K17" i="18"/>
  <c r="K18" i="18"/>
  <c r="K19" i="18"/>
  <c r="K20" i="18"/>
  <c r="K21" i="18"/>
  <c r="K17" i="20"/>
  <c r="K18" i="20"/>
  <c r="K18" i="21"/>
  <c r="K17" i="22"/>
  <c r="K18" i="22"/>
  <c r="K20" i="22"/>
  <c r="K18" i="23"/>
  <c r="K19" i="23"/>
  <c r="K20" i="23"/>
  <c r="K21" i="23"/>
  <c r="K17" i="24"/>
  <c r="K18" i="24"/>
  <c r="K17" i="25"/>
  <c r="K18" i="25"/>
  <c r="K17" i="26"/>
  <c r="K18" i="26"/>
  <c r="K18" i="27"/>
  <c r="K18" i="28"/>
  <c r="K17" i="29"/>
  <c r="K18" i="29"/>
  <c r="K17" i="30"/>
  <c r="K18" i="30"/>
  <c r="K17" i="31"/>
  <c r="K18" i="31"/>
  <c r="K17" i="32"/>
  <c r="K18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21" i="16"/>
  <c r="K16" i="18"/>
  <c r="K16" i="20"/>
  <c r="K16" i="22"/>
  <c r="K16" i="24"/>
  <c r="K16" i="25"/>
  <c r="K16" i="26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I20" i="33"/>
  <c r="I16" i="30"/>
  <c r="I17" i="30"/>
  <c r="I18" i="30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I17" i="32"/>
  <c r="I18" i="32"/>
  <c r="I19" i="32"/>
  <c r="K19" i="32" s="1"/>
  <c r="I20" i="32"/>
  <c r="K20" i="32" s="1"/>
  <c r="I21" i="32"/>
  <c r="K21" i="32" s="1"/>
  <c r="I16" i="33"/>
  <c r="L16" i="33" s="1"/>
  <c r="I16" i="31"/>
  <c r="I17" i="31"/>
  <c r="I18" i="31"/>
  <c r="L18" i="31" s="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21" i="32"/>
  <c r="K23" i="32"/>
  <c r="L23" i="32"/>
  <c r="M23" i="32" s="1"/>
  <c r="L17" i="31"/>
  <c r="M17" i="31" s="1"/>
  <c r="K24" i="31"/>
  <c r="L24" i="31"/>
  <c r="L16" i="31"/>
  <c r="L23" i="31"/>
  <c r="L21" i="30"/>
  <c r="M21" i="30" s="1"/>
  <c r="L23" i="30"/>
  <c r="L16" i="30"/>
  <c r="L17" i="30"/>
  <c r="K24" i="30"/>
  <c r="L24" i="30"/>
  <c r="L16" i="29"/>
  <c r="K24" i="29"/>
  <c r="M24" i="29" s="1"/>
  <c r="L24" i="29"/>
  <c r="L17" i="29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I25" i="32" l="1"/>
  <c r="P28" i="32" s="1"/>
  <c r="L20" i="32"/>
  <c r="L19" i="32"/>
  <c r="L20" i="31"/>
  <c r="L21" i="31"/>
  <c r="L20" i="30"/>
  <c r="L21" i="29"/>
  <c r="L20" i="29"/>
  <c r="L17" i="28"/>
  <c r="M17" i="28" s="1"/>
  <c r="L16" i="28"/>
  <c r="I25" i="28"/>
  <c r="P28" i="28" s="1"/>
  <c r="M22" i="35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4" i="31"/>
  <c r="O24" i="31" s="1"/>
  <c r="P24" i="31"/>
  <c r="N17" i="31"/>
  <c r="O17" i="31" s="1"/>
  <c r="M16" i="3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4" i="29"/>
  <c r="O24" i="29" s="1"/>
  <c r="P24" i="29" s="1"/>
  <c r="N24" i="28"/>
  <c r="O24" i="28" s="1"/>
  <c r="P24" i="28" s="1"/>
  <c r="N23" i="28"/>
  <c r="O23" i="28" s="1"/>
  <c r="P23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25" i="31" l="1"/>
  <c r="P29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K19" i="25" s="1"/>
  <c r="I20" i="25"/>
  <c r="K20" i="25" s="1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I16" i="24"/>
  <c r="L16" i="24" s="1"/>
  <c r="I17" i="24"/>
  <c r="L17" i="24" s="1"/>
  <c r="I18" i="24"/>
  <c r="I19" i="24"/>
  <c r="I20" i="24"/>
  <c r="K20" i="24" s="1"/>
  <c r="I21" i="24"/>
  <c r="I22" i="24"/>
  <c r="I21" i="23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I23" i="22"/>
  <c r="K23" i="22" s="1"/>
  <c r="I24" i="22"/>
  <c r="L24" i="22" s="1"/>
  <c r="I23" i="21"/>
  <c r="K23" i="21" s="1"/>
  <c r="I16" i="23"/>
  <c r="I18" i="23"/>
  <c r="L18" i="23" s="1"/>
  <c r="I20" i="23"/>
  <c r="L20" i="23" s="1"/>
  <c r="I22" i="23"/>
  <c r="I24" i="23"/>
  <c r="L24" i="23" s="1"/>
  <c r="I16" i="20"/>
  <c r="L16" i="20" s="1"/>
  <c r="I18" i="20"/>
  <c r="I20" i="20"/>
  <c r="I22" i="20"/>
  <c r="I24" i="20"/>
  <c r="K24" i="20" s="1"/>
  <c r="I16" i="21"/>
  <c r="I18" i="21"/>
  <c r="I20" i="21"/>
  <c r="K20" i="21" s="1"/>
  <c r="I22" i="2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I23" i="17"/>
  <c r="K23" i="17" s="1"/>
  <c r="I24" i="17"/>
  <c r="K24" i="17" s="1"/>
  <c r="I19" i="18"/>
  <c r="I23" i="18"/>
  <c r="L23" i="18" s="1"/>
  <c r="L18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5" l="1"/>
  <c r="L21" i="25"/>
  <c r="K21" i="25"/>
  <c r="L21" i="24"/>
  <c r="K21" i="24"/>
  <c r="L19" i="24"/>
  <c r="K19" i="24"/>
  <c r="L17" i="23"/>
  <c r="K17" i="23"/>
  <c r="L16" i="23"/>
  <c r="K16" i="23"/>
  <c r="L17" i="21"/>
  <c r="K17" i="21"/>
  <c r="L16" i="21"/>
  <c r="K16" i="21"/>
  <c r="M16" i="21" s="1"/>
  <c r="N16" i="21" s="1"/>
  <c r="L20" i="20"/>
  <c r="K20" i="20"/>
  <c r="M20" i="20" s="1"/>
  <c r="N20" i="20" s="1"/>
  <c r="O20" i="20" s="1"/>
  <c r="L21" i="20"/>
  <c r="K21" i="20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K25" i="24" l="1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3" i="22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<sst xmlns="http://schemas.openxmlformats.org/spreadsheetml/2006/main" count="1640" uniqueCount="162">
  <si>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</si>
  <si>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</si>
  <si>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</si>
  <si>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</si>
  <si>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</si>
  <si>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</si>
  <si>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</si>
  <si>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</si>
  <si>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</si>
  <si>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</si>
  <si>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</si>
  <si>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</si>
  <si>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</si>
  <si>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</si>
  <si>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</si>
  <si>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</si>
  <si>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</si>
  <si>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</si>
  <si>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</si>
  <si>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</si>
  <si>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</si>
  <si>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</si>
  <si>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</si>
  <si>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</si>
  <si>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</si>
  <si>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</si>
  <si>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</si>
  <si>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</si>
  <si>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</si>
  <si>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</si>
  <si>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</si>
  <si>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</si>
  <si>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</si>
  <si>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</si>
  <si>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</si>
  <si>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</si>
  <si>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</si>
  <si>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</si>
  <si>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</si>
  <si>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</si>
  <si>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</si>
  <si>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</si>
  <si>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</si>
  <si>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</si>
  <si>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</si>
  <si>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</si>
  <si>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</si>
  <si>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</si>
  <si>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</si>
  <si>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</si>
  <si>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</si>
  <si>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</si>
  <si>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</si>
  <si>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</si>
  <si>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</si>
  <si>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</si>
  <si>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</si>
  <si>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</si>
  <si>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</si>
  <si>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</si>
  <si>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</si>
  <si>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</si>
  <si>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</si>
  <si>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</si>
  <si>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</si>
  <si>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</si>
  <si>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</si>
  <si>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</si>
  <si>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</si>
  <si>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</si>
  <si>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</si>
  <si>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</si>
  <si>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</si>
  <si>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</si>
  <si>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</si>
  <si>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</si>
  <si>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</si>
  <si>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</si>
  <si>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</si>
  <si>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</si>
  <si>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</si>
  <si>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</si>
  <si>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</si>
  <si>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</si>
  <si>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</si>
  <si>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</si>
  <si>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</si>
  <si>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</si>
  <si>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</si>
  <si>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</si>
  <si>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</si>
  <si>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</si>
  <si>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</si>
  <si>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</si>
  <si>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</si>
  <si>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</si>
  <si>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</si>
  <si>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</si>
  <si>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</si>
  <si>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</si>
  <si>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</si>
  <si>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</si>
  <si>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</si>
  <si>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</si>
  <si>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</si>
  <si>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</si>
  <si>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</si>
  <si>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</si>
  <si>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</si>
  <si>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</si>
  <si>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</si>
  <si>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</si>
  <si>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</si>
  <si>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</si>
  <si>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</si>
  <si>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</si>
  <si>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</si>
  <si>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</si>
  <si>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</si>
  <si>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</si>
  <si>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Mughal Store</t>
  </si>
  <si>
    <t>Address: Seven Street</t>
  </si>
  <si>
    <t>Customer Name : Aashiyana Store</t>
  </si>
  <si>
    <t>Customer Name : Al Fateh Store</t>
  </si>
  <si>
    <t>Address: Cavelry Ground</t>
  </si>
  <si>
    <t xml:space="preserve">Customer Name : Imtyaz Mart </t>
  </si>
  <si>
    <t>Address: Rifal Range Road</t>
  </si>
  <si>
    <t>Customer Name : Hiker Mart</t>
  </si>
  <si>
    <t>2993126-6</t>
  </si>
  <si>
    <t xml:space="preserve">Customer Name : Shamza Bakers </t>
  </si>
  <si>
    <t>2321652-2</t>
  </si>
  <si>
    <t xml:space="preserve">Customer Name : Hamza Mart </t>
  </si>
  <si>
    <t>Address: Walton Road</t>
  </si>
  <si>
    <t>7164181-1</t>
  </si>
  <si>
    <t xml:space="preserve">Customer Name : Adil Sweets </t>
  </si>
  <si>
    <t>Address: Tajpura Road</t>
  </si>
  <si>
    <t>Customer Name : Fisal Store</t>
  </si>
  <si>
    <t>B831347-8</t>
  </si>
  <si>
    <t xml:space="preserve">Address: Tajpura A Block </t>
  </si>
  <si>
    <t>Customer Name : Kashmir Store</t>
  </si>
  <si>
    <t xml:space="preserve">Address: Tajpura C Block </t>
  </si>
  <si>
    <t>F554559-6</t>
  </si>
  <si>
    <t>Customer Name : 786 GS</t>
  </si>
  <si>
    <t xml:space="preserve">Address: Dubai Chowk Tajpura </t>
  </si>
  <si>
    <t>Customer Name : Basic Store</t>
  </si>
  <si>
    <t xml:space="preserve">Address: Upper Mall </t>
  </si>
  <si>
    <t xml:space="preserve">Customer Name : MG Mart </t>
  </si>
  <si>
    <t>Address: Tajpura Butt Chowk</t>
  </si>
  <si>
    <t xml:space="preserve">Customer Name : Baba G Welfair </t>
  </si>
  <si>
    <t>Address: Ghaziaabad Road</t>
  </si>
  <si>
    <t>Customer Name : Food Rite</t>
  </si>
  <si>
    <t xml:space="preserve">Address: Dharampura </t>
  </si>
  <si>
    <t>4031762-5</t>
  </si>
  <si>
    <t>Customer Name : Bhai Bhai Medical Store</t>
  </si>
  <si>
    <t>Address: Dharampura Road</t>
  </si>
  <si>
    <t>0159676-4</t>
  </si>
  <si>
    <t xml:space="preserve">Customer Name :Express Mart </t>
  </si>
  <si>
    <t>Address: Basti Saidan Shah</t>
  </si>
  <si>
    <t xml:space="preserve">Customer Name : Shera Mart </t>
  </si>
  <si>
    <t xml:space="preserve">Address: Nabipura </t>
  </si>
  <si>
    <t>Salman</t>
  </si>
  <si>
    <t>Shop Bill Summary(Salman)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</si>
</sst>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/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1"/>
      <c r="B3" s="191"/>
      <c r="C3" s="191"/>
      <c r="D3" s="191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9" x14ac:dyDescent="0.35">
      <c r="A4" s="193" t="s">
        <v>6</v>
      </c>
      <c r="B4" s="5" t="s">
        <v>7</v>
      </c>
      <c r="C4" s="5"/>
      <c r="D4" s="195" t="s">
        <v>8</v>
      </c>
      <c r="E4" s="197" t="s">
        <v>9</v>
      </c>
      <c r="F4" s="199" t="s">
        <v>3</v>
      </c>
      <c r="G4" s="199"/>
      <c r="H4" s="200" t="s">
        <v>10</v>
      </c>
      <c r="I4" s="200"/>
      <c r="J4" s="201" t="s">
        <v>11</v>
      </c>
      <c r="K4" s="202"/>
      <c r="L4" s="201" t="s">
        <v>12</v>
      </c>
      <c r="M4" s="202"/>
      <c r="N4" s="203" t="s">
        <v>13</v>
      </c>
      <c r="O4" s="203"/>
      <c r="P4" s="201" t="s">
        <v>4</v>
      </c>
      <c r="Q4" s="202"/>
      <c r="R4" s="201" t="s">
        <v>14</v>
      </c>
      <c r="S4" s="202"/>
      <c r="T4" s="204" t="s">
        <v>15</v>
      </c>
      <c r="U4" s="204"/>
      <c r="V4" s="205" t="s">
        <v>16</v>
      </c>
      <c r="W4" s="206"/>
      <c r="X4" s="205" t="s">
        <v>17</v>
      </c>
      <c r="Y4" s="206"/>
    </row>
    <row r="5" spans="1:29" ht="26.25" customHeight="1" thickBot="1" x14ac:dyDescent="0.4">
      <c r="A5" s="194"/>
      <c r="B5" s="7" t="s">
        <v>18</v>
      </c>
      <c r="C5" s="7" t="s">
        <v>8</v>
      </c>
      <c r="D5" s="196"/>
      <c r="E5" s="19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6" zoomScale="70" zoomScaleNormal="70" workbookViewId="0">
      <selection activeCell="S28" sqref="S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3" t="s">
        <v>45</v>
      </c>
      <c r="B2" s="253"/>
      <c r="C2" s="253"/>
    </row>
    <row r="3" spans="1:21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2" t="s">
        <v>160</v>
      </c>
      <c r="B5" s="252"/>
      <c r="C5" s="252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21 16383:16384" ht="15" customHeight="1" x14ac:dyDescent="0.35">
      <c r="A6" s="252"/>
      <c r="B6" s="252"/>
      <c r="C6" s="252"/>
      <c r="F6" s="70"/>
      <c r="G6" s="74"/>
      <c r="K6" s="237" t="s">
        <v>52</v>
      </c>
      <c r="L6" s="237"/>
      <c r="M6" s="237"/>
      <c r="N6" s="250" t="s">
        <v>42</v>
      </c>
      <c r="O6" s="250"/>
      <c r="P6" s="25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21 16383:16384" hidden="1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21 16383:16384" x14ac:dyDescent="0.35">
      <c r="A10" s="235"/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21 16383:16384" ht="15" thickBot="1" x14ac:dyDescent="0.4">
      <c r="A11" s="235"/>
      <c r="B11" s="76"/>
      <c r="C11" s="77"/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21 16383:16384" ht="14.65" customHeight="1" x14ac:dyDescent="0.35">
      <c r="A12" s="235"/>
      <c r="B12" s="76"/>
      <c r="C12" s="77"/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T12" s="207" t="s">
        <v>161</v>
      </c>
      <c r="U12" s="208"/>
      <c r="XFD12" t="s">
        <v>62</v>
      </c>
    </row>
    <row r="13" spans="1:21 16383:16384" ht="15" thickBot="1" x14ac:dyDescent="0.4">
      <c r="A13" s="236"/>
      <c r="J13" s="78"/>
      <c r="K13" s="78"/>
      <c r="L13" s="79">
        <v>0.05</v>
      </c>
      <c r="T13" s="209"/>
      <c r="U13" s="210"/>
      <c r="XFD13" t="s">
        <v>63</v>
      </c>
    </row>
    <row r="14" spans="1:21 16383:16384" ht="29.25" customHeight="1" x14ac:dyDescent="0.6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6" t="s">
        <v>69</v>
      </c>
      <c r="J14" s="246" t="s">
        <v>70</v>
      </c>
      <c r="K14" s="246"/>
      <c r="L14" s="248"/>
      <c r="M14" s="24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Mughal Store</v>
      </c>
      <c r="U14" s="164">
        <f>+'1'!P35</f>
        <v>2102.9511003524999</v>
      </c>
      <c r="XFD14" t="s">
        <v>75</v>
      </c>
    </row>
    <row r="15" spans="1:21 16383:16384" ht="29.25" customHeight="1" thickBot="1" x14ac:dyDescent="0.65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7"/>
      <c r="J15" s="170" t="s">
        <v>78</v>
      </c>
      <c r="K15" s="170" t="s">
        <v>79</v>
      </c>
      <c r="L15" s="173" t="s">
        <v>80</v>
      </c>
      <c r="M15" s="24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Aashiyana Store</v>
      </c>
      <c r="U15" s="164">
        <f>+'2'!P35</f>
        <v>2127.682215459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85</v>
      </c>
      <c r="I16" s="1">
        <f>(G16*D16)*F16+H16*F16</f>
        <v>4459.3125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100.99031249999999</v>
      </c>
      <c r="L16" s="174">
        <f>+'1'!L16+'2'!L16+'4'!L16+'3'!L16+'5'!L16+'6'!L16+'7'!L16+'8'!L16+'9'!L16+'10'!L16</f>
        <v>230.83499999999998</v>
      </c>
      <c r="M16" s="106">
        <f>I16-K16-L16</f>
        <v>4127.4871874999999</v>
      </c>
      <c r="N16" s="101">
        <f>+'1'!N16+'2'!N16+'4'!N16+'3'!N16+'5'!N16+'6'!N16+'7'!N16+'8'!N16+'9'!N16+'10'!N16</f>
        <v>561.79468125000005</v>
      </c>
      <c r="O16" s="101">
        <f>+'1'!O16+'2'!O16+'4'!O16+'3'!O16+'5'!O16+'6'!O16+'7'!O16+'8'!O16+'9'!O16+'10'!O16</f>
        <v>64.290669018750009</v>
      </c>
      <c r="P16" s="105">
        <f t="shared" ref="P16:P24" si="0">M16+N16+O16</f>
        <v>4753.5725377687504</v>
      </c>
      <c r="Q16" s="108"/>
      <c r="T16" s="163" t="str">
        <f>+'3'!A5</f>
        <v>Customer Name : Al Fateh Store</v>
      </c>
      <c r="U16" s="164">
        <f>+'3'!P35</f>
        <v>2008.904052825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85</v>
      </c>
      <c r="I17" s="1">
        <f t="shared" ref="I17:I23" si="1">(G17*D17)*F17+H17*F17</f>
        <v>4459.3125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100.99031249999999</v>
      </c>
      <c r="L17" s="174">
        <f>+'1'!L17+'2'!L17+'4'!L17+'3'!L17+'5'!L17+'6'!L17+'7'!L17+'8'!L17+'9'!L17+'10'!L17</f>
        <v>230.83499999999998</v>
      </c>
      <c r="M17" s="118">
        <f t="shared" ref="M17:M23" si="2">I17-K17-L17</f>
        <v>4127.4871874999999</v>
      </c>
      <c r="N17" s="101">
        <f>+'1'!N17+'2'!N17+'4'!N17+'3'!N17+'5'!N17+'6'!N17+'7'!N17+'8'!N17+'9'!N17+'10'!N17</f>
        <v>561.79468125000005</v>
      </c>
      <c r="O17" s="101">
        <f>+'1'!O17+'2'!O17+'4'!O17+'3'!O17+'5'!O17+'6'!O17+'7'!O17+'8'!O17+'9'!O17+'10'!O17</f>
        <v>64.290669018750009</v>
      </c>
      <c r="P17" s="120">
        <f t="shared" si="0"/>
        <v>4753.5725377687504</v>
      </c>
      <c r="S17" s="64"/>
      <c r="T17" s="163" t="str">
        <f>+'4'!A5</f>
        <v xml:space="preserve">Customer Name : Imtyaz Mart </v>
      </c>
      <c r="U17" s="164">
        <f>+'4'!P35</f>
        <v>623.3747428800001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Hiker Mart</v>
      </c>
      <c r="U18" s="164">
        <f>+'5'!P35</f>
        <v>1576.4311008000002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168</v>
      </c>
      <c r="I19" s="1">
        <f t="shared" si="1"/>
        <v>12203.52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205.93440000000001</v>
      </c>
      <c r="L19" s="174">
        <f>+'1'!L19+'2'!L19+'4'!L19+'3'!L19+'5'!L19+'6'!L19+'7'!L19+'8'!L19+'9'!L19+'10'!L19</f>
        <v>470.70720000000006</v>
      </c>
      <c r="M19" s="118">
        <f t="shared" si="2"/>
        <v>11526.8784</v>
      </c>
      <c r="N19" s="101">
        <f>+'1'!N19+'2'!N19+'4'!N19+'3'!N19+'5'!N19+'6'!N19+'7'!N19+'8'!N19+'9'!N19+'10'!N19</f>
        <v>1042.725408</v>
      </c>
      <c r="O19" s="101">
        <f>+'1'!O19+'2'!O19+'4'!O19+'3'!O19+'5'!O19+'6'!O19+'7'!O19+'8'!O19+'9'!O19+'10'!O19</f>
        <v>31.249619039999999</v>
      </c>
      <c r="P19" s="120">
        <f t="shared" si="0"/>
        <v>12600.85342704</v>
      </c>
      <c r="T19" s="163" t="str">
        <f>+'6'!A5</f>
        <v xml:space="preserve">Customer Name : Shamza Bakers </v>
      </c>
      <c r="U19" s="164">
        <f>+'6'!P35</f>
        <v>2351.2616485469998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108</v>
      </c>
      <c r="I20" s="1">
        <f t="shared" si="1"/>
        <v>7845.12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91.52640000000001</v>
      </c>
      <c r="L20" s="174">
        <f>+'1'!L20+'2'!L20+'4'!L20+'3'!L20+'5'!L20+'6'!L20+'7'!L20+'8'!L20+'9'!L20+'10'!L20</f>
        <v>209.20320000000001</v>
      </c>
      <c r="M20" s="118">
        <f t="shared" si="2"/>
        <v>7544.3904000000002</v>
      </c>
      <c r="N20" s="101">
        <f>+'1'!N20+'2'!N20+'4'!N20+'3'!N20+'5'!N20+'6'!N20+'7'!N20+'8'!N20+'9'!N20+'10'!N20</f>
        <v>509.14828800000004</v>
      </c>
      <c r="O20" s="101">
        <f>+'1'!O20+'2'!O20+'4'!O20+'3'!O20+'5'!O20+'6'!O20+'7'!O20+'8'!O20+'9'!O20+'10'!O20</f>
        <v>14.117293440000001</v>
      </c>
      <c r="P20" s="120">
        <f t="shared" si="0"/>
        <v>8067.6559814400007</v>
      </c>
      <c r="T20" s="163" t="str">
        <f>+'7'!A5</f>
        <v xml:space="preserve">Customer Name : Hamza Mart </v>
      </c>
      <c r="U20" s="164">
        <f>+'7'!P35</f>
        <v>9148.4690111999989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246</v>
      </c>
      <c r="I21" s="1">
        <f t="shared" si="1"/>
        <v>17869.439999999999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338.13920000000007</v>
      </c>
      <c r="L21" s="174">
        <f>+'1'!L21+'2'!L21+'4'!L21+'3'!L21+'5'!L21+'6'!L21+'7'!L21+'8'!L21+'9'!L21+'10'!L21</f>
        <v>772.88959999999997</v>
      </c>
      <c r="M21" s="118">
        <f t="shared" si="2"/>
        <v>16758.411199999999</v>
      </c>
      <c r="N21" s="101">
        <f>+'1'!N21+'2'!N21+'4'!N21+'3'!N21+'5'!N21+'6'!N21+'7'!N21+'8'!N21+'9'!N21+'10'!N21</f>
        <v>1675.3035839999998</v>
      </c>
      <c r="O21" s="101">
        <f>+'1'!O21+'2'!O21+'4'!O21+'3'!O21+'5'!O21+'6'!O21+'7'!O21+'8'!O21+'9'!O21+'10'!O21</f>
        <v>51.126973919999998</v>
      </c>
      <c r="P21" s="120">
        <f t="shared" si="0"/>
        <v>18484.84175792</v>
      </c>
      <c r="T21" s="163" t="str">
        <f>+'8'!A5</f>
        <v xml:space="preserve">Customer Name : Adil Sweets </v>
      </c>
      <c r="U21" s="164">
        <f>+'8'!P35</f>
        <v>2322.3942112499999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153</v>
      </c>
      <c r="I22" s="1">
        <f t="shared" si="1"/>
        <v>6002.1900000000005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246.28593999999998</v>
      </c>
      <c r="L22" s="174">
        <f>+'1'!L22+'2'!L22+'4'!L22+'3'!L22+'5'!L22+'6'!L22+'7'!L22+'8'!L22+'9'!L22+'10'!L22</f>
        <v>143.18950000000004</v>
      </c>
      <c r="M22" s="118">
        <f t="shared" si="2"/>
        <v>5612.7145600000003</v>
      </c>
      <c r="N22" s="101">
        <f>+'1'!N22+'2'!N22+'4'!N22+'3'!N22+'5'!N22+'6'!N22+'7'!N22+'8'!N22+'9'!N22+'10'!N22</f>
        <v>544.34920320000003</v>
      </c>
      <c r="O22" s="101">
        <f>+'1'!O22+'2'!O22+'4'!O22+'3'!O22+'5'!O22+'6'!O22+'7'!O22+'8'!O22+'9'!O22+'10'!O22</f>
        <v>43.212378528000009</v>
      </c>
      <c r="P22" s="120">
        <f t="shared" si="0"/>
        <v>6200.2761417280008</v>
      </c>
      <c r="T22" s="163" t="str">
        <f>+'9'!A5</f>
        <v>Customer Name : Fisal Store</v>
      </c>
      <c r="U22" s="164">
        <f>+'9'!P35</f>
        <v>3402.2120987519997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Kashmir Store</v>
      </c>
      <c r="U23" s="164">
        <f>+'10'!P35</f>
        <v>3152.8622016000004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786 GS</v>
      </c>
      <c r="U24" s="164">
        <f>+'11'!P35</f>
        <v>3310.50531168</v>
      </c>
    </row>
    <row r="25" spans="1:21 16384:16384" ht="26.5" thickBot="1" x14ac:dyDescent="0.65">
      <c r="A25" s="217" t="s">
        <v>84</v>
      </c>
      <c r="B25" s="218"/>
      <c r="C25" s="219">
        <f>H25/40</f>
        <v>21.125</v>
      </c>
      <c r="D25" s="213"/>
      <c r="E25" s="213"/>
      <c r="F25" s="213"/>
      <c r="G25" s="175">
        <f t="shared" ref="G25:M25" si="3">SUM(G16:G24)</f>
        <v>0</v>
      </c>
      <c r="H25" s="176">
        <f t="shared" si="3"/>
        <v>845</v>
      </c>
      <c r="I25" s="177">
        <f t="shared" si="3"/>
        <v>52838.895000000004</v>
      </c>
      <c r="J25" s="176">
        <f t="shared" si="3"/>
        <v>0</v>
      </c>
      <c r="K25" s="177">
        <f t="shared" si="3"/>
        <v>1083.866565</v>
      </c>
      <c r="L25" s="178">
        <f t="shared" si="3"/>
        <v>2057.6595000000002</v>
      </c>
      <c r="M25" s="141">
        <f t="shared" si="3"/>
        <v>49697.368934999999</v>
      </c>
      <c r="N25" s="142">
        <f>SUM(N16:N24)</f>
        <v>4895.1158457000001</v>
      </c>
      <c r="O25" s="143">
        <f>SUM(O16:O24)</f>
        <v>268.28760296550001</v>
      </c>
      <c r="P25" s="144">
        <f>SUM(P16:P24)</f>
        <v>54860.772383665506</v>
      </c>
      <c r="T25" s="163" t="str">
        <f>+'12'!A5</f>
        <v>Customer Name : Basic Store</v>
      </c>
      <c r="U25" s="164">
        <f>+'12'!P35</f>
        <v>7837.5388284900009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MG Mart </v>
      </c>
      <c r="U26" s="164">
        <f>+'13'!P35</f>
        <v>5165.5189000050013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Baba G Welfair </v>
      </c>
      <c r="U27" s="164">
        <f>+'14'!P35</f>
        <v>3152.8622015999999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Food Rite</v>
      </c>
      <c r="U28" s="180">
        <f>+'15'!P35</f>
        <v>3049.4896703999998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Bhai Bhai Medical Store</v>
      </c>
      <c r="U29" s="180">
        <f>+'16'!P35</f>
        <v>1576.4311008000002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:Express Mart </v>
      </c>
      <c r="U30" s="180">
        <f>+'17'!P35</f>
        <v>3215.605728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Shera Mart </v>
      </c>
      <c r="U31" s="180">
        <f>+'18'!P35</f>
        <v>847.70694720000017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56972.201071840507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0" t="s">
        <v>85</v>
      </c>
      <c r="C36" s="221"/>
      <c r="D36" s="221"/>
      <c r="E36" s="221"/>
      <c r="F36" s="221"/>
      <c r="G36" s="221"/>
      <c r="H36" s="221"/>
      <c r="I36" s="221"/>
      <c r="J36" s="221"/>
      <c r="K36" s="221"/>
      <c r="L36" s="222"/>
      <c r="N36" s="229" t="s">
        <v>86</v>
      </c>
      <c r="O36" s="230"/>
      <c r="P36" s="152">
        <f>I25</f>
        <v>52838.895000000004</v>
      </c>
    </row>
    <row r="37" spans="1:21" ht="15" customHeight="1" x14ac:dyDescent="0.35">
      <c r="B37" s="223"/>
      <c r="C37" s="224"/>
      <c r="D37" s="224"/>
      <c r="E37" s="224"/>
      <c r="F37" s="224"/>
      <c r="G37" s="224"/>
      <c r="H37" s="224"/>
      <c r="I37" s="224"/>
      <c r="J37" s="224"/>
      <c r="K37" s="224"/>
      <c r="L37" s="225"/>
      <c r="N37" s="231" t="s">
        <v>87</v>
      </c>
      <c r="O37" s="232"/>
      <c r="P37" s="153">
        <f>L25</f>
        <v>2057.6595000000002</v>
      </c>
    </row>
    <row r="38" spans="1:21" ht="15" customHeight="1" x14ac:dyDescent="0.35">
      <c r="B38" s="223"/>
      <c r="C38" s="224"/>
      <c r="D38" s="224"/>
      <c r="E38" s="224"/>
      <c r="F38" s="224"/>
      <c r="G38" s="224"/>
      <c r="H38" s="224"/>
      <c r="I38" s="224"/>
      <c r="J38" s="224"/>
      <c r="K38" s="224"/>
      <c r="L38" s="225"/>
      <c r="N38" s="231" t="s">
        <v>4</v>
      </c>
      <c r="O38" s="232"/>
      <c r="P38" s="154">
        <f>K25</f>
        <v>1083.866565</v>
      </c>
    </row>
    <row r="39" spans="1:21" ht="15" customHeight="1" x14ac:dyDescent="0.35">
      <c r="B39" s="223"/>
      <c r="C39" s="224"/>
      <c r="D39" s="224"/>
      <c r="E39" s="224"/>
      <c r="F39" s="224"/>
      <c r="G39" s="224"/>
      <c r="H39" s="224"/>
      <c r="I39" s="224"/>
      <c r="J39" s="224"/>
      <c r="K39" s="224"/>
      <c r="L39" s="225"/>
      <c r="M39" s="2"/>
      <c r="N39" s="231" t="s">
        <v>88</v>
      </c>
      <c r="O39" s="232"/>
      <c r="P39" s="153">
        <f>P36-P37-P38</f>
        <v>49697.368935000006</v>
      </c>
    </row>
    <row r="40" spans="1:21" ht="15" customHeight="1" x14ac:dyDescent="0.35">
      <c r="B40" s="223"/>
      <c r="C40" s="224"/>
      <c r="D40" s="224"/>
      <c r="E40" s="224"/>
      <c r="F40" s="224"/>
      <c r="G40" s="224"/>
      <c r="H40" s="224"/>
      <c r="I40" s="224"/>
      <c r="J40" s="224"/>
      <c r="K40" s="224"/>
      <c r="L40" s="225"/>
      <c r="M40" s="2"/>
      <c r="N40" s="155" t="s">
        <v>89</v>
      </c>
      <c r="O40" s="156">
        <f>IF(B12="Registered",18%,22%)</f>
        <v>0.22</v>
      </c>
      <c r="P40" s="153">
        <f>N25</f>
        <v>4895.1158457000001</v>
      </c>
    </row>
    <row r="41" spans="1:21" ht="15" customHeight="1" x14ac:dyDescent="0.35">
      <c r="B41" s="223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"/>
      <c r="N41" s="233" t="s">
        <v>90</v>
      </c>
      <c r="O41" s="234"/>
      <c r="P41" s="153">
        <f>P39+P40</f>
        <v>54592.484780700004</v>
      </c>
    </row>
    <row r="42" spans="1:21" ht="15" customHeight="1" thickBot="1" x14ac:dyDescent="0.4">
      <c r="B42" s="226"/>
      <c r="C42" s="227"/>
      <c r="D42" s="227"/>
      <c r="E42" s="227"/>
      <c r="F42" s="227"/>
      <c r="G42" s="227"/>
      <c r="H42" s="227"/>
      <c r="I42" s="227"/>
      <c r="J42" s="227"/>
      <c r="K42" s="227"/>
      <c r="L42" s="228"/>
      <c r="M42" s="157"/>
      <c r="N42" s="158" t="s">
        <v>91</v>
      </c>
      <c r="O42" s="159">
        <f>IF(B11="Filer",0.5%,2.5%)</f>
        <v>2.5000000000000001E-2</v>
      </c>
      <c r="P42" s="153">
        <f>O42*P41</f>
        <v>1364.8121195175002</v>
      </c>
    </row>
    <row r="43" spans="1:21" ht="15.75" customHeight="1" thickBot="1" x14ac:dyDescent="0.4">
      <c r="N43" s="211" t="s">
        <v>92</v>
      </c>
      <c r="O43" s="212"/>
      <c r="P43" s="160">
        <f>P41+P42</f>
        <v>55957.296900217501</v>
      </c>
    </row>
    <row r="44" spans="1:21" ht="15" thickBot="1" x14ac:dyDescent="0.4">
      <c r="B44" s="161" t="s">
        <v>93</v>
      </c>
      <c r="C44" s="213"/>
      <c r="D44" s="213"/>
      <c r="E44" s="213"/>
      <c r="F44" s="213"/>
      <c r="G44" s="213"/>
      <c r="H44" s="213"/>
      <c r="I44" s="214"/>
      <c r="J44" s="215"/>
      <c r="K44" s="216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3" t="s">
        <v>45</v>
      </c>
      <c r="B2" s="253"/>
      <c r="C2" s="253"/>
    </row>
    <row r="3" spans="1:26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4" t="s">
        <v>120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26 16383:16384" ht="15" customHeight="1" x14ac:dyDescent="0.35">
      <c r="A6" s="237" t="s">
        <v>121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26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26 16383:16384" x14ac:dyDescent="0.35">
      <c r="A10" s="235" t="s">
        <v>95</v>
      </c>
      <c r="B10" s="75"/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26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26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26 16383:16384" ht="15" thickBot="1" x14ac:dyDescent="0.4">
      <c r="A13" s="236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S14" s="254" t="s">
        <v>117</v>
      </c>
      <c r="T14" s="254"/>
      <c r="U14" s="254"/>
      <c r="V14" s="254"/>
      <c r="W14" s="255" t="s">
        <v>119</v>
      </c>
      <c r="X14" s="255"/>
      <c r="Y14" s="255"/>
      <c r="Z14" s="255"/>
      <c r="XFD14" t="s">
        <v>75</v>
      </c>
    </row>
    <row r="15" spans="1:26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/>
      <c r="K16" s="104">
        <f>I16*3.5%</f>
        <v>23.870437500000001</v>
      </c>
      <c r="L16" s="105">
        <f>I16*8%</f>
        <v>54.560999999999993</v>
      </c>
      <c r="M16" s="106">
        <f>I16-K16-L16</f>
        <v>603.58106249999992</v>
      </c>
      <c r="N16" s="106">
        <f t="shared" ref="N16:N24" si="0">(M16*$N$15)+(J16*F16)*$N$15</f>
        <v>132.78783374999998</v>
      </c>
      <c r="O16" s="107">
        <f t="shared" ref="O16:O24" si="1">(N16+M16)*$O$15</f>
        <v>18.409222406249999</v>
      </c>
      <c r="P16" s="105">
        <f t="shared" ref="P16:P24" si="2">M16+N16+O16</f>
        <v>754.77811865624994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13</v>
      </c>
      <c r="I17" s="116">
        <f t="shared" ref="I17:I23" si="3">(G17*D17)*F17+H17*F17</f>
        <v>682.01249999999993</v>
      </c>
      <c r="J17" s="117"/>
      <c r="K17" s="104">
        <f t="shared" ref="K17:K21" si="4">I17*3.5%</f>
        <v>23.870437500000001</v>
      </c>
      <c r="L17" s="105">
        <f t="shared" ref="L17:L21" si="5">I17*8%</f>
        <v>54.560999999999993</v>
      </c>
      <c r="M17" s="118">
        <f t="shared" ref="M17:M23" si="6">I17-K17-L17</f>
        <v>603.58106249999992</v>
      </c>
      <c r="N17" s="118">
        <f t="shared" si="0"/>
        <v>132.78783374999998</v>
      </c>
      <c r="O17" s="119">
        <f t="shared" si="1"/>
        <v>18.409222406249999</v>
      </c>
      <c r="P17" s="120">
        <f t="shared" si="2"/>
        <v>754.77811865624994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6" t="s">
        <v>118</v>
      </c>
      <c r="T19" s="256"/>
      <c r="U19" s="256"/>
      <c r="V19" s="256"/>
      <c r="W19" s="257" t="s">
        <v>116</v>
      </c>
      <c r="X19" s="257"/>
      <c r="Y19" s="257"/>
      <c r="Z19" s="257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14</v>
      </c>
      <c r="I22" s="116">
        <f t="shared" si="3"/>
        <v>549.22</v>
      </c>
      <c r="J22" s="117"/>
      <c r="K22" s="104">
        <f>I22*8.6%</f>
        <v>47.23292</v>
      </c>
      <c r="L22" s="120">
        <f>I22*5%</f>
        <v>27.461000000000002</v>
      </c>
      <c r="M22" s="118">
        <f t="shared" si="6"/>
        <v>474.52608000000004</v>
      </c>
      <c r="N22" s="118">
        <f t="shared" si="0"/>
        <v>104.3957376</v>
      </c>
      <c r="O22" s="119">
        <f t="shared" si="1"/>
        <v>14.473045440000002</v>
      </c>
      <c r="P22" s="120">
        <f t="shared" si="2"/>
        <v>593.39486304000002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13">SUM(G16:G24)</f>
        <v>0</v>
      </c>
      <c r="H25" s="136">
        <f t="shared" si="13"/>
        <v>40</v>
      </c>
      <c r="I25" s="137">
        <f t="shared" si="13"/>
        <v>1913.2449999999999</v>
      </c>
      <c r="J25" s="138"/>
      <c r="K25" s="139">
        <f t="shared" si="13"/>
        <v>94.973794999999996</v>
      </c>
      <c r="L25" s="140">
        <f t="shared" si="13"/>
        <v>136.583</v>
      </c>
      <c r="M25" s="141">
        <f t="shared" si="13"/>
        <v>1681.6882049999999</v>
      </c>
      <c r="N25" s="142">
        <f>SUM(N16:N24)</f>
        <v>369.97140509999997</v>
      </c>
      <c r="O25" s="143">
        <f>SUM(O16:O24)</f>
        <v>51.291490252499997</v>
      </c>
      <c r="P25" s="144">
        <f>SUM(P16:P24)</f>
        <v>2102.9511003524999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1913.2449999999999</v>
      </c>
    </row>
    <row r="29" spans="1:26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136.583</v>
      </c>
    </row>
    <row r="30" spans="1:26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94.973794999999996</v>
      </c>
    </row>
    <row r="31" spans="1:26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1681.6882049999999</v>
      </c>
    </row>
    <row r="32" spans="1:26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369.97140509999997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2051.6596101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51.291490252500004</v>
      </c>
    </row>
    <row r="35" spans="2:16" ht="15.75" customHeight="1" thickBot="1" x14ac:dyDescent="0.4">
      <c r="N35" s="211" t="s">
        <v>92</v>
      </c>
      <c r="O35" s="212"/>
      <c r="P35" s="160">
        <f>P33+P34</f>
        <v>2102.9511003524999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2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121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>
        <v>3520133034223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1.6993128374999997</v>
      </c>
      <c r="P16" s="105">
        <f t="shared" ref="P16:P24" si="1">M16+N16+O16</f>
        <v>341.56188033749993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36</v>
      </c>
      <c r="I25" s="137">
        <f t="shared" si="9"/>
        <v>1971.99</v>
      </c>
      <c r="J25" s="138"/>
      <c r="K25" s="139">
        <f t="shared" si="9"/>
        <v>93.028410000000008</v>
      </c>
      <c r="L25" s="140">
        <f t="shared" si="9"/>
        <v>143.63640000000001</v>
      </c>
      <c r="M25" s="141">
        <f t="shared" si="9"/>
        <v>1735.32519</v>
      </c>
      <c r="N25" s="142">
        <f>SUM(N16:N24)</f>
        <v>381.77154179999997</v>
      </c>
      <c r="O25" s="143">
        <f>SUM(O16:O24)</f>
        <v>10.585483658999999</v>
      </c>
      <c r="P25" s="144">
        <f>SUM(P16:P24)</f>
        <v>2127.682215459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1971.99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143.63640000000001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93.028410000000008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1735.32519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381.77154179999997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2117.0967317999998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10.585483658999999</v>
      </c>
    </row>
    <row r="35" spans="2:16" ht="15.75" customHeight="1" thickBot="1" x14ac:dyDescent="0.4">
      <c r="N35" s="211" t="s">
        <v>92</v>
      </c>
      <c r="O35" s="212"/>
      <c r="P35" s="160">
        <f>P33+P34</f>
        <v>2127.682215459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4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123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124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168">
        <v>0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14.160940312500001</v>
      </c>
      <c r="P17" s="120">
        <f t="shared" si="1"/>
        <v>580.59855281249997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1833.8500000000001</v>
      </c>
      <c r="J25" s="138"/>
      <c r="K25" s="139">
        <f t="shared" si="9"/>
        <v>104.19935000000001</v>
      </c>
      <c r="L25" s="140">
        <f t="shared" si="9"/>
        <v>123.17000000000002</v>
      </c>
      <c r="M25" s="141">
        <f t="shared" si="9"/>
        <v>1606.4806500000002</v>
      </c>
      <c r="N25" s="142">
        <f>SUM(N16:N24)</f>
        <v>353.42574300000001</v>
      </c>
      <c r="O25" s="143">
        <f>SUM(O16:O24)</f>
        <v>48.997659825000014</v>
      </c>
      <c r="P25" s="144">
        <f>SUM(P16:P24)</f>
        <v>2008.9040528250002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1833.8500000000001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123.17000000000002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104.19935000000001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1606.48065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353.42574300000001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1959.906393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48.997659825</v>
      </c>
    </row>
    <row r="35" spans="2:16" ht="15.75" customHeight="1" thickBot="1" x14ac:dyDescent="0.4">
      <c r="N35" s="211" t="s">
        <v>92</v>
      </c>
      <c r="O35" s="212"/>
      <c r="P35" s="160">
        <f>P33+P34</f>
        <v>2008.904052825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3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125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126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>
        <v>355010584820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111.852576</v>
      </c>
      <c r="O22" s="119">
        <f t="shared" si="6"/>
        <v>3.10136688</v>
      </c>
      <c r="P22" s="120">
        <f t="shared" si="1"/>
        <v>623.37474287999999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15</v>
      </c>
      <c r="I25" s="137">
        <f t="shared" si="9"/>
        <v>588.45000000000005</v>
      </c>
      <c r="J25" s="138"/>
      <c r="K25" s="139">
        <f t="shared" si="9"/>
        <v>50.606699999999996</v>
      </c>
      <c r="L25" s="140">
        <f t="shared" si="9"/>
        <v>29.422500000000003</v>
      </c>
      <c r="M25" s="141">
        <f t="shared" si="9"/>
        <v>508.42079999999999</v>
      </c>
      <c r="N25" s="142">
        <f>SUM(N16:N24)</f>
        <v>111.852576</v>
      </c>
      <c r="O25" s="143">
        <f>SUM(O16:O24)</f>
        <v>3.10136688</v>
      </c>
      <c r="P25" s="144">
        <f>SUM(P16:P24)</f>
        <v>623.37474287999999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588.45000000000005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29.422500000000003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50.606699999999996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508.42080000000004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111.852576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620.2733760000001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3.1013668800000005</v>
      </c>
    </row>
    <row r="35" spans="2:16" ht="15.75" customHeight="1" thickBot="1" x14ac:dyDescent="0.4">
      <c r="N35" s="211" t="s">
        <v>92</v>
      </c>
      <c r="O35" s="212"/>
      <c r="P35" s="160">
        <f>P33+P34</f>
        <v>623.3747428800001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5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127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126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 t="s">
        <v>128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04">
        <f t="shared" si="3"/>
        <v>20.339200000000002</v>
      </c>
      <c r="L21" s="105">
        <f t="shared" si="4"/>
        <v>46.489600000000003</v>
      </c>
      <c r="M21" s="118">
        <f t="shared" si="5"/>
        <v>514.2912</v>
      </c>
      <c r="N21" s="118">
        <f t="shared" si="0"/>
        <v>113.144064</v>
      </c>
      <c r="O21" s="119">
        <f t="shared" si="6"/>
        <v>3.13717632</v>
      </c>
      <c r="P21" s="120">
        <f t="shared" si="1"/>
        <v>630.57244031999994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50.848000000000006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1452.8000000000002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116.22400000000002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50.848000000000006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1285.7280000000003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1568.5881600000002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7.8429408000000018</v>
      </c>
    </row>
    <row r="35" spans="2:16" ht="15.75" customHeight="1" thickBot="1" x14ac:dyDescent="0.4">
      <c r="N35" s="211" t="s">
        <v>92</v>
      </c>
      <c r="O35" s="212"/>
      <c r="P35" s="160">
        <f>P33+P34</f>
        <v>1576.4311008000002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6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129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126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 t="s">
        <v>130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1.6993128374999997</v>
      </c>
      <c r="P16" s="105">
        <f t="shared" ref="P16:P24" si="1">M16+N16+O16</f>
        <v>341.56188033749993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2.35288224</v>
      </c>
      <c r="P21" s="120">
        <f t="shared" si="1"/>
        <v>472.92933024000001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44.7410304</v>
      </c>
      <c r="O22" s="119">
        <f t="shared" si="6"/>
        <v>1.240546752</v>
      </c>
      <c r="P22" s="120">
        <f t="shared" si="1"/>
        <v>249.34989715200001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36</v>
      </c>
      <c r="I25" s="137">
        <f t="shared" si="9"/>
        <v>2172.4500000000003</v>
      </c>
      <c r="J25" s="138"/>
      <c r="K25" s="139">
        <f t="shared" si="9"/>
        <v>88.040130000000005</v>
      </c>
      <c r="L25" s="140">
        <f t="shared" si="9"/>
        <v>166.7346</v>
      </c>
      <c r="M25" s="141">
        <f t="shared" si="9"/>
        <v>1917.67527</v>
      </c>
      <c r="N25" s="142">
        <f>SUM(N16:N24)</f>
        <v>421.88855939999996</v>
      </c>
      <c r="O25" s="143">
        <f>SUM(O16:O24)</f>
        <v>11.697819146999999</v>
      </c>
      <c r="P25" s="144">
        <f>SUM(P16:P24)</f>
        <v>2351.2616485469998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2172.4500000000003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166.7346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88.040130000000005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1917.6752700000002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421.88855939999996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2339.5638294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11.697819147000001</v>
      </c>
    </row>
    <row r="35" spans="2:16" ht="15.75" customHeight="1" thickBot="1" x14ac:dyDescent="0.4">
      <c r="N35" s="211" t="s">
        <v>92</v>
      </c>
      <c r="O35" s="212"/>
      <c r="P35" s="160">
        <f>P33+P34</f>
        <v>2351.2616485469998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7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131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132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 t="s">
        <v>133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8" thickBot="1" x14ac:dyDescent="0.4">
      <c r="A13" s="236"/>
      <c r="B13" s="265" t="s">
        <v>133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8716.7999999999993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697.34400000000005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305.08800000000002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7714.3679999999995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9102.9542399999991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11" t="s">
        <v>92</v>
      </c>
      <c r="O35" s="212"/>
      <c r="P35" s="160">
        <f>P33+P34</f>
        <v>9148.4690111999989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8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134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135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>
        <v>0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2098.5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167.88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73.447500000000005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1857.1724999999999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2265.75045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56.643761250000004</v>
      </c>
    </row>
    <row r="35" spans="2:16" ht="15.75" customHeight="1" thickBot="1" x14ac:dyDescent="0.4">
      <c r="N35" s="211" t="s">
        <v>92</v>
      </c>
      <c r="O35" s="212"/>
      <c r="P35" s="160">
        <f>P33+P34</f>
        <v>2322.3942112499999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9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136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138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 t="s">
        <v>137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5.8822055999999998</v>
      </c>
      <c r="P21" s="120">
        <f t="shared" si="1"/>
        <v>1182.3233255999999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44.7410304</v>
      </c>
      <c r="O22" s="119">
        <f t="shared" si="6"/>
        <v>1.240546752</v>
      </c>
      <c r="P22" s="120">
        <f t="shared" si="1"/>
        <v>249.34989715200001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46</v>
      </c>
      <c r="I25" s="137">
        <f t="shared" si="9"/>
        <v>3140.98</v>
      </c>
      <c r="J25" s="138"/>
      <c r="K25" s="139">
        <f t="shared" si="9"/>
        <v>121.93868000000001</v>
      </c>
      <c r="L25" s="140">
        <f t="shared" si="9"/>
        <v>244.21699999999998</v>
      </c>
      <c r="M25" s="141">
        <f t="shared" si="9"/>
        <v>2774.8243199999997</v>
      </c>
      <c r="N25" s="142">
        <f>SUM(N16:N24)</f>
        <v>610.46135040000001</v>
      </c>
      <c r="O25" s="143">
        <f>SUM(O16:O24)</f>
        <v>16.926428351999999</v>
      </c>
      <c r="P25" s="144">
        <f>SUM(P16:P24)</f>
        <v>3402.2120987519997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3140.98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244.21699999999998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121.93868000000001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2774.8243199999997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610.46135040000001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3385.2856703999996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16.926428351999999</v>
      </c>
    </row>
    <row r="35" spans="2:16" ht="15.75" customHeight="1" thickBot="1" x14ac:dyDescent="0.4">
      <c r="N35" s="211" t="s">
        <v>92</v>
      </c>
      <c r="O35" s="212"/>
      <c r="P35" s="160">
        <f>P33+P34</f>
        <v>3402.2120987519997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139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140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 t="s">
        <v>141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04">
        <f t="shared" si="3"/>
        <v>20.339200000000002</v>
      </c>
      <c r="L19" s="105">
        <f t="shared" si="4"/>
        <v>46.489600000000003</v>
      </c>
      <c r="M19" s="118">
        <f t="shared" si="5"/>
        <v>514.2912</v>
      </c>
      <c r="N19" s="118">
        <f t="shared" si="0"/>
        <v>113.144064</v>
      </c>
      <c r="O19" s="119">
        <f t="shared" si="6"/>
        <v>3.13717632</v>
      </c>
      <c r="P19" s="120">
        <f t="shared" si="1"/>
        <v>630.57244031999994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</v>
      </c>
      <c r="I20" s="116">
        <f t="shared" si="2"/>
        <v>581.12</v>
      </c>
      <c r="J20" s="117"/>
      <c r="K20" s="104">
        <f t="shared" si="3"/>
        <v>20.339200000000002</v>
      </c>
      <c r="L20" s="105">
        <f t="shared" si="4"/>
        <v>46.489600000000003</v>
      </c>
      <c r="M20" s="118">
        <f t="shared" si="5"/>
        <v>514.2912</v>
      </c>
      <c r="N20" s="118">
        <f t="shared" si="0"/>
        <v>113.144064</v>
      </c>
      <c r="O20" s="119">
        <f t="shared" si="6"/>
        <v>3.13717632</v>
      </c>
      <c r="P20" s="120">
        <f t="shared" si="1"/>
        <v>630.57244031999994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/>
      <c r="K21" s="104">
        <f t="shared" si="3"/>
        <v>61.017600000000009</v>
      </c>
      <c r="L21" s="105">
        <f t="shared" si="4"/>
        <v>139.46880000000002</v>
      </c>
      <c r="M21" s="118">
        <f t="shared" si="5"/>
        <v>1542.8736000000001</v>
      </c>
      <c r="N21" s="118">
        <f t="shared" si="0"/>
        <v>339.43219200000004</v>
      </c>
      <c r="O21" s="119">
        <f t="shared" si="6"/>
        <v>9.4115289600000001</v>
      </c>
      <c r="P21" s="120">
        <f t="shared" si="1"/>
        <v>1891.7173209600001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101.69600000000001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2905.6000000000004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232.44800000000004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101.69600000000001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2571.4560000000006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3137.1763200000005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15.685881600000004</v>
      </c>
    </row>
    <row r="35" spans="2:16" ht="15.75" customHeight="1" thickBot="1" x14ac:dyDescent="0.4">
      <c r="N35" s="211" t="s">
        <v>92</v>
      </c>
      <c r="O35" s="212"/>
      <c r="P35" s="160">
        <f>P33+P34</f>
        <v>3152.8622016000004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142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143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>
        <v>35201179992061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30</v>
      </c>
      <c r="I21" s="116">
        <f t="shared" si="2"/>
        <v>2179.1999999999998</v>
      </c>
      <c r="J21" s="117"/>
      <c r="K21" s="104">
        <f t="shared" si="3"/>
        <v>76.272000000000006</v>
      </c>
      <c r="L21" s="105">
        <f t="shared" si="4"/>
        <v>174.33599999999998</v>
      </c>
      <c r="M21" s="118">
        <f t="shared" si="5"/>
        <v>1928.5919999999999</v>
      </c>
      <c r="N21" s="118">
        <f t="shared" si="0"/>
        <v>424.29023999999998</v>
      </c>
      <c r="O21" s="119">
        <f t="shared" si="6"/>
        <v>11.7644112</v>
      </c>
      <c r="P21" s="120">
        <f t="shared" si="1"/>
        <v>2364.6466511999997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106.78080000000001</v>
      </c>
      <c r="L25" s="140">
        <f t="shared" si="9"/>
        <v>244.07040000000001</v>
      </c>
      <c r="M25" s="141">
        <f t="shared" si="9"/>
        <v>2700.0288</v>
      </c>
      <c r="N25" s="142">
        <f>SUM(N16:N24)</f>
        <v>594.00633600000003</v>
      </c>
      <c r="O25" s="143">
        <f>SUM(O16:O24)</f>
        <v>16.470175680000001</v>
      </c>
      <c r="P25" s="144">
        <f>SUM(P16:P24)</f>
        <v>3310.50531168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3050.88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244.07040000000001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106.78080000000001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2700.0288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594.00633600000003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3294.035136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16.470175680000001</v>
      </c>
    </row>
    <row r="35" spans="2:16" ht="15.75" customHeight="1" thickBot="1" x14ac:dyDescent="0.4">
      <c r="N35" s="211" t="s">
        <v>92</v>
      </c>
      <c r="O35" s="212"/>
      <c r="P35" s="160">
        <f>P33+P34</f>
        <v>3310.50531168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144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145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>
        <v>3520114555018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4.1351558400000012</v>
      </c>
      <c r="P22" s="120">
        <f t="shared" si="1"/>
        <v>831.16632384000025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120</v>
      </c>
      <c r="I25" s="137">
        <f t="shared" si="9"/>
        <v>7241.5000000000009</v>
      </c>
      <c r="J25" s="138"/>
      <c r="K25" s="139">
        <f t="shared" si="9"/>
        <v>293.46710000000002</v>
      </c>
      <c r="L25" s="140">
        <f t="shared" si="9"/>
        <v>555.78200000000004</v>
      </c>
      <c r="M25" s="141">
        <f t="shared" si="9"/>
        <v>6392.2509000000009</v>
      </c>
      <c r="N25" s="142">
        <f>SUM(N16:N24)</f>
        <v>1406.295198</v>
      </c>
      <c r="O25" s="143">
        <f>SUM(O16:O24)</f>
        <v>38.992730490000007</v>
      </c>
      <c r="P25" s="144">
        <f>SUM(P16:P24)</f>
        <v>7837.5388284900009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7241.5000000000009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555.78200000000004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293.46710000000002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6392.2509000000009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1406.295198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7798.5460980000007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38.992730490000007</v>
      </c>
    </row>
    <row r="35" spans="2:16" ht="15.75" customHeight="1" thickBot="1" x14ac:dyDescent="0.4">
      <c r="N35" s="211" t="s">
        <v>92</v>
      </c>
      <c r="O35" s="212"/>
      <c r="P35" s="160">
        <f>P33+P34</f>
        <v>7837.5388284900009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146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147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>
        <v>3520114495049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90</v>
      </c>
      <c r="I25" s="137">
        <f t="shared" si="9"/>
        <v>4797.6500000000005</v>
      </c>
      <c r="J25" s="138"/>
      <c r="K25" s="139">
        <f t="shared" si="9"/>
        <v>247.94695000000002</v>
      </c>
      <c r="L25" s="140">
        <f t="shared" si="9"/>
        <v>336.73600000000005</v>
      </c>
      <c r="M25" s="141">
        <f t="shared" si="9"/>
        <v>4212.9670500000011</v>
      </c>
      <c r="N25" s="142">
        <f>SUM(N16:N24)</f>
        <v>926.85275100000001</v>
      </c>
      <c r="O25" s="143">
        <f>SUM(O16:O24)</f>
        <v>25.699099005000004</v>
      </c>
      <c r="P25" s="144">
        <f>SUM(P16:P24)</f>
        <v>5165.5189000050004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4797.6500000000005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336.73600000000005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247.94695000000002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4212.9670500000011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926.85275100000001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5139.8198010000015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25.699099005000008</v>
      </c>
    </row>
    <row r="35" spans="2:16" ht="15.75" customHeight="1" thickBot="1" x14ac:dyDescent="0.4">
      <c r="N35" s="211" t="s">
        <v>92</v>
      </c>
      <c r="O35" s="212"/>
      <c r="P35" s="160">
        <f>P33+P34</f>
        <v>5165.5189000050013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148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149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>
        <v>3520129259503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5.8822055999999998</v>
      </c>
      <c r="P21" s="120">
        <f t="shared" si="1"/>
        <v>1182.3233255999999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15.685881599999998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2905.6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232.44799999999998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101.696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2571.4560000000001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3137.17632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11" t="s">
        <v>92</v>
      </c>
      <c r="O35" s="212"/>
      <c r="P35" s="160">
        <f>P33+P34</f>
        <v>3152.8622015999999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150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151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 t="s">
        <v>152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8" thickBot="1" x14ac:dyDescent="0.4">
      <c r="A13" s="236"/>
      <c r="B13" s="265">
        <v>3520168333533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2905.6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232.44799999999998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101.696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2571.4560000000001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3034.31808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1" t="s">
        <v>92</v>
      </c>
      <c r="O35" s="212"/>
      <c r="P35" s="160">
        <f>P33+P34</f>
        <v>3049.4896703999998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153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154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ht="17.5" x14ac:dyDescent="0.35">
      <c r="A10" s="235" t="s">
        <v>95</v>
      </c>
      <c r="B10" s="265" t="s">
        <v>155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48</v>
      </c>
      <c r="C11" s="77" t="str">
        <f>IF($O34&gt;2.49%,"No","Yes")</f>
        <v>Yes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2.35288224</v>
      </c>
      <c r="P19" s="120">
        <f t="shared" si="1"/>
        <v>472.92933024000001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2.35288224</v>
      </c>
      <c r="P20" s="120">
        <f t="shared" si="1"/>
        <v>472.92933024000001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04">
        <f t="shared" si="3"/>
        <v>20.339200000000002</v>
      </c>
      <c r="L21" s="105">
        <f t="shared" si="4"/>
        <v>46.489600000000003</v>
      </c>
      <c r="M21" s="118">
        <f t="shared" si="5"/>
        <v>514.2912</v>
      </c>
      <c r="N21" s="118">
        <f t="shared" si="0"/>
        <v>113.144064</v>
      </c>
      <c r="O21" s="119">
        <f t="shared" si="6"/>
        <v>3.13717632</v>
      </c>
      <c r="P21" s="120">
        <f t="shared" si="1"/>
        <v>630.57244031999994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50.848000000000006</v>
      </c>
      <c r="L25" s="140">
        <f t="shared" si="9"/>
        <v>116.22400000000002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1452.8000000000002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116.22400000000002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50.848000000000006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1285.7280000000003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1568.5881600000002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5.0000000000000001E-3</v>
      </c>
      <c r="P34" s="153">
        <f>O34*P33</f>
        <v>7.8429408000000018</v>
      </c>
    </row>
    <row r="35" spans="2:16" ht="15.75" customHeight="1" thickBot="1" x14ac:dyDescent="0.4">
      <c r="N35" s="211" t="s">
        <v>92</v>
      </c>
      <c r="O35" s="212"/>
      <c r="P35" s="160">
        <f>P33+P34</f>
        <v>1576.4311008000002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156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157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>
        <v>0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29.411028000000002</v>
      </c>
      <c r="P21" s="120">
        <f t="shared" si="1"/>
        <v>1205.8521479999999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2905.6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232.44799999999998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101.696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2571.4560000000001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3137.17632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11" t="s">
        <v>92</v>
      </c>
      <c r="O35" s="212"/>
      <c r="P35" s="160">
        <f>P33+P34</f>
        <v>3215.605728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158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159</v>
      </c>
      <c r="B6" s="237"/>
      <c r="C6" s="237"/>
      <c r="F6" s="70"/>
      <c r="G6" s="74"/>
      <c r="K6" s="237" t="s">
        <v>52</v>
      </c>
      <c r="L6" s="237"/>
      <c r="M6" s="237"/>
      <c r="N6" s="250" t="s">
        <v>98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>
        <v>0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149.13676800000002</v>
      </c>
      <c r="O25" s="143">
        <f>SUM(O16:O24)</f>
        <v>20.675779200000008</v>
      </c>
      <c r="P25" s="144">
        <f>SUM(P16:P24)</f>
        <v>847.70694720000017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784.60000000000014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39.230000000000011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67.4756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677.89440000000013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149.13676800000002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827.03116800000021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20.675779200000008</v>
      </c>
    </row>
    <row r="35" spans="2:16" ht="15.75" customHeight="1" thickBot="1" x14ac:dyDescent="0.4">
      <c r="N35" s="211" t="s">
        <v>92</v>
      </c>
      <c r="O35" s="212"/>
      <c r="P35" s="160">
        <f>P33+P34</f>
        <v>847.70694720000017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abSelected="1" topLeftCell="A20" workbookViewId="0">
      <selection activeCell="N37" sqref="N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97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>
        <v>0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R28" sqref="R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3" t="s">
        <v>45</v>
      </c>
      <c r="B2" s="253"/>
      <c r="C2" s="253"/>
    </row>
    <row r="3" spans="1:19 16383:16384" ht="15" customHeight="1" x14ac:dyDescent="0.35">
      <c r="A3" s="238" t="s">
        <v>46</v>
      </c>
      <c r="B3" s="238"/>
      <c r="C3" s="238"/>
      <c r="F3" s="70"/>
      <c r="G3" s="71"/>
      <c r="K3" s="237" t="s">
        <v>47</v>
      </c>
      <c r="L3" s="237"/>
      <c r="M3" s="237"/>
      <c r="N3" s="238">
        <v>10</v>
      </c>
      <c r="O3" s="238"/>
      <c r="P3" s="23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8" t="s">
        <v>94</v>
      </c>
      <c r="B4" s="238"/>
      <c r="C4" s="238"/>
      <c r="F4" s="70"/>
      <c r="G4" s="71"/>
      <c r="K4" s="237" t="s">
        <v>49</v>
      </c>
      <c r="L4" s="237"/>
      <c r="M4" s="237"/>
      <c r="N4" s="251">
        <f ca="1">TODAY()</f>
        <v>46213</v>
      </c>
      <c r="O4" s="251"/>
      <c r="P4" s="25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4" t="s">
        <v>102</v>
      </c>
      <c r="B5" s="264"/>
      <c r="C5" s="264"/>
      <c r="F5" s="70"/>
      <c r="G5" s="71"/>
      <c r="K5" s="237" t="s">
        <v>51</v>
      </c>
      <c r="L5" s="237"/>
      <c r="M5" s="237"/>
      <c r="N5" s="251">
        <f ca="1">N4-1</f>
        <v>46212</v>
      </c>
      <c r="O5" s="238"/>
      <c r="P5" s="238"/>
      <c r="R5" s="70"/>
      <c r="S5" s="71"/>
    </row>
    <row r="6" spans="1:19 16383:16384" ht="15" customHeight="1" x14ac:dyDescent="0.35">
      <c r="A6" s="237" t="s">
        <v>103</v>
      </c>
      <c r="B6" s="237"/>
      <c r="C6" s="237"/>
      <c r="F6" s="70"/>
      <c r="G6" s="74"/>
      <c r="K6" s="237" t="s">
        <v>52</v>
      </c>
      <c r="L6" s="237"/>
      <c r="M6" s="237"/>
      <c r="N6" s="250" t="s">
        <v>97</v>
      </c>
      <c r="O6" s="250"/>
      <c r="P6" s="25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7"/>
      <c r="B7" s="237"/>
      <c r="C7" s="237"/>
      <c r="F7" s="70"/>
      <c r="G7" s="74"/>
      <c r="K7" s="237"/>
      <c r="L7" s="237"/>
      <c r="M7" s="237"/>
      <c r="N7" s="250"/>
      <c r="O7" s="250"/>
      <c r="P7" s="25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9"/>
      <c r="B8" s="249"/>
      <c r="C8" s="249"/>
      <c r="F8" s="70"/>
      <c r="G8" s="74"/>
      <c r="K8" s="237"/>
      <c r="L8" s="237"/>
      <c r="M8" s="237"/>
      <c r="N8" s="250"/>
      <c r="O8" s="250"/>
      <c r="P8" s="250"/>
      <c r="R8" s="70"/>
      <c r="S8" s="74"/>
    </row>
    <row r="9" spans="1:19 16383:16384" x14ac:dyDescent="0.35">
      <c r="A9" s="249"/>
      <c r="B9" s="249"/>
      <c r="C9" s="249"/>
      <c r="F9" s="70"/>
      <c r="G9" s="74"/>
      <c r="K9" s="237"/>
      <c r="L9" s="237"/>
      <c r="M9" s="237"/>
      <c r="N9" s="250"/>
      <c r="O9" s="250"/>
      <c r="P9" s="250"/>
      <c r="R9" s="70"/>
      <c r="S9" s="74"/>
      <c r="XFD9" t="s">
        <v>55</v>
      </c>
    </row>
    <row r="10" spans="1:19 16383:16384" x14ac:dyDescent="0.35">
      <c r="A10" s="235" t="s">
        <v>95</v>
      </c>
      <c r="B10" s="75">
        <v>0</v>
      </c>
      <c r="C10" s="75"/>
      <c r="F10" s="70"/>
      <c r="G10" s="71"/>
      <c r="K10" s="237" t="s">
        <v>56</v>
      </c>
      <c r="L10" s="237"/>
      <c r="M10" s="237"/>
      <c r="N10" s="238" t="s">
        <v>57</v>
      </c>
      <c r="O10" s="238"/>
      <c r="P10" s="238"/>
      <c r="R10" s="70"/>
      <c r="S10" s="71"/>
      <c r="XFD10" t="s">
        <v>58</v>
      </c>
    </row>
    <row r="11" spans="1:19 16383:16384" x14ac:dyDescent="0.35">
      <c r="A11" s="235"/>
      <c r="B11" s="76" t="s">
        <v>50</v>
      </c>
      <c r="C11" s="77" t="str">
        <f>IF($O34&gt;2.49%,"No","Yes")</f>
        <v>No</v>
      </c>
      <c r="F11" s="70"/>
      <c r="G11" s="71"/>
      <c r="K11" s="237" t="s">
        <v>59</v>
      </c>
      <c r="L11" s="237"/>
      <c r="M11" s="237"/>
      <c r="N11" s="238" t="s">
        <v>55</v>
      </c>
      <c r="O11" s="238"/>
      <c r="P11" s="238"/>
      <c r="R11" s="70"/>
      <c r="S11" s="71"/>
    </row>
    <row r="12" spans="1:19 16383:16384" ht="14.65" customHeight="1" x14ac:dyDescent="0.35">
      <c r="A12" s="235" t="s">
        <v>60</v>
      </c>
      <c r="B12" s="76" t="s">
        <v>54</v>
      </c>
      <c r="C12" s="77" t="str">
        <f>IF($O32&gt;21.99%,"No","Yes")</f>
        <v>No</v>
      </c>
      <c r="F12" s="70"/>
      <c r="G12" s="71"/>
      <c r="K12" s="237" t="s">
        <v>61</v>
      </c>
      <c r="L12" s="237"/>
      <c r="M12" s="237"/>
      <c r="N12" s="238"/>
      <c r="O12" s="238"/>
      <c r="P12" s="238"/>
      <c r="R12" s="70"/>
      <c r="S12" s="71"/>
      <c r="XFD12" t="s">
        <v>62</v>
      </c>
    </row>
    <row r="13" spans="1:19 16383:16384" ht="15" thickBot="1" x14ac:dyDescent="0.4">
      <c r="A13" s="236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9" t="s">
        <v>64</v>
      </c>
      <c r="B14" s="240"/>
      <c r="C14" s="243" t="s">
        <v>65</v>
      </c>
      <c r="D14" s="80" t="s">
        <v>2</v>
      </c>
      <c r="E14" s="81" t="s">
        <v>66</v>
      </c>
      <c r="F14" s="82" t="s">
        <v>67</v>
      </c>
      <c r="G14" s="259" t="s">
        <v>68</v>
      </c>
      <c r="H14" s="260"/>
      <c r="I14" s="261" t="s">
        <v>69</v>
      </c>
      <c r="J14" s="259" t="s">
        <v>70</v>
      </c>
      <c r="K14" s="263"/>
      <c r="L14" s="260"/>
      <c r="M14" s="26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1"/>
      <c r="B15" s="242"/>
      <c r="C15" s="24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2"/>
      <c r="J15" s="88" t="s">
        <v>78</v>
      </c>
      <c r="K15" s="90" t="s">
        <v>79</v>
      </c>
      <c r="L15" s="91" t="s">
        <v>80</v>
      </c>
      <c r="M15" s="26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7" t="s">
        <v>84</v>
      </c>
      <c r="B25" s="218"/>
      <c r="C25" s="219"/>
      <c r="D25" s="213"/>
      <c r="E25" s="213"/>
      <c r="F25" s="25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0" t="s">
        <v>85</v>
      </c>
      <c r="C28" s="221"/>
      <c r="D28" s="221"/>
      <c r="E28" s="221"/>
      <c r="F28" s="221"/>
      <c r="G28" s="221"/>
      <c r="H28" s="221"/>
      <c r="I28" s="221"/>
      <c r="J28" s="221"/>
      <c r="K28" s="221"/>
      <c r="L28" s="222"/>
      <c r="N28" s="229" t="s">
        <v>86</v>
      </c>
      <c r="O28" s="230"/>
      <c r="P28" s="152">
        <f>I25</f>
        <v>0</v>
      </c>
    </row>
    <row r="29" spans="1:19 16384:16384" ht="15" customHeight="1" x14ac:dyDescent="0.35"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5"/>
      <c r="N29" s="231" t="s">
        <v>87</v>
      </c>
      <c r="O29" s="232"/>
      <c r="P29" s="153">
        <f>L25</f>
        <v>0</v>
      </c>
    </row>
    <row r="30" spans="1:19 16384:16384" ht="15" customHeight="1" x14ac:dyDescent="0.35">
      <c r="B30" s="223"/>
      <c r="C30" s="224"/>
      <c r="D30" s="224"/>
      <c r="E30" s="224"/>
      <c r="F30" s="224"/>
      <c r="G30" s="224"/>
      <c r="H30" s="224"/>
      <c r="I30" s="224"/>
      <c r="J30" s="224"/>
      <c r="K30" s="224"/>
      <c r="L30" s="225"/>
      <c r="N30" s="231" t="s">
        <v>4</v>
      </c>
      <c r="O30" s="232"/>
      <c r="P30" s="154">
        <f>K25</f>
        <v>0</v>
      </c>
    </row>
    <row r="31" spans="1:19 16384:16384" ht="15" customHeight="1" x14ac:dyDescent="0.35">
      <c r="B31" s="223"/>
      <c r="C31" s="224"/>
      <c r="D31" s="224"/>
      <c r="E31" s="224"/>
      <c r="F31" s="224"/>
      <c r="G31" s="224"/>
      <c r="H31" s="224"/>
      <c r="I31" s="224"/>
      <c r="J31" s="224"/>
      <c r="K31" s="224"/>
      <c r="L31" s="225"/>
      <c r="M31" s="2"/>
      <c r="N31" s="231" t="s">
        <v>88</v>
      </c>
      <c r="O31" s="232"/>
      <c r="P31" s="153">
        <f>P28-P29-P30</f>
        <v>0</v>
      </c>
    </row>
    <row r="32" spans="1:19 16384:16384" ht="15" customHeight="1" x14ac:dyDescent="0.35">
      <c r="B32" s="223"/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3"/>
      <c r="C33" s="224"/>
      <c r="D33" s="224"/>
      <c r="E33" s="224"/>
      <c r="F33" s="224"/>
      <c r="G33" s="224"/>
      <c r="H33" s="224"/>
      <c r="I33" s="224"/>
      <c r="J33" s="224"/>
      <c r="K33" s="224"/>
      <c r="L33" s="225"/>
      <c r="M33" s="2"/>
      <c r="N33" s="233" t="s">
        <v>90</v>
      </c>
      <c r="O33" s="234"/>
      <c r="P33" s="153">
        <f>P31+P32</f>
        <v>0</v>
      </c>
    </row>
    <row r="34" spans="2:16" ht="15" customHeight="1" thickBot="1" x14ac:dyDescent="0.4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1" t="s">
        <v>92</v>
      </c>
      <c r="O35" s="212"/>
      <c r="P35" s="160">
        <f>P33+P34</f>
        <v>0</v>
      </c>
    </row>
    <row r="36" spans="2:16" ht="15" thickBot="1" x14ac:dyDescent="0.4">
      <c r="B36" s="161" t="s">
        <v>93</v>
      </c>
      <c r="C36" s="213"/>
      <c r="D36" s="213"/>
      <c r="E36" s="213"/>
      <c r="F36" s="213"/>
      <c r="G36" s="213"/>
      <c r="H36" s="213"/>
      <c r="I36" s="214"/>
      <c r="J36" s="215"/>
      <c r="K36" s="21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2026-07-10T12:51:25Z</dcterms:modified>
</cp:coreProperties>
</file>