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064714A-E5B9-4BA8-825C-6440B70CC50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<sst xmlns="http://schemas.openxmlformats.org/spreadsheetml/2006/main" count="3975" uniqueCount="518">
  <si>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</si>
  <si>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</si>
  <si>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</si>
  <si>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</si>
  <si>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</si>
  <si>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</si>
  <si>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</si>
  <si>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</si>
  <si>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</si>
  <si>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</si>
  <si>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</si>
  <si>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</si>
  <si>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</si>
  <si>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</si>
  <si>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</si>
  <si>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</si>
  <si>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</si>
  <si>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</si>
  <si>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</si>
  <si>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</si>
  <si>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</si>
  <si>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</si>
  <si>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</si>
  <si>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</si>
  <si>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</si>
  <si>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</si>
  <si>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</si>
  <si>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</si>
  <si>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</si>
  <si>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</si>
  <si>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</si>
  <si>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</si>
  <si>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</si>
  <si>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</si>
  <si>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</si>
  <si>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</si>
  <si>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</si>
  <si>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</si>
  <si>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</si>
  <si>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</si>
  <si>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</si>
  <si>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</si>
  <si>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</si>
  <si>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</si>
  <si>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</si>
  <si>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</si>
  <si>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</si>
  <si>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</si>
  <si>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</si>
  <si>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</si>
  <si>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</si>
  <si>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</si>
  <si>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</si>
  <si>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</si>
  <si>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</si>
  <si>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</si>
  <si>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</si>
  <si>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</si>
  <si>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</si>
  <si>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</si>
  <si>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</si>
  <si>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</si>
  <si>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</si>
  <si>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</si>
  <si>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</si>
  <si>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</si>
  <si>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</si>
  <si>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</si>
  <si>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</si>
  <si>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</si>
  <si>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</si>
  <si>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</si>
  <si>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</si>
  <si>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</si>
  <si>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</si>
  <si>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</si>
  <si>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</si>
  <si>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</si>
  <si>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</si>
  <si>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</si>
  <si>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</si>
  <si>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</si>
  <si>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</si>
  <si>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</si>
  <si>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</si>
  <si>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</si>
  <si>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</si>
  <si>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</si>
  <si>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</si>
  <si>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</si>
  <si>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</si>
  <si>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</si>
  <si>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</si>
  <si>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</si>
  <si>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</si>
  <si>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</si>
  <si>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</si>
  <si>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</si>
  <si>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</si>
  <si>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</si>
  <si>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</si>
  <si>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</si>
  <si>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</si>
  <si>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</si>
  <si>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</si>
  <si>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</si>
  <si>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</si>
  <si>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</si>
  <si>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</si>
  <si>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</si>
  <si>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</si>
  <si>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</si>
  <si>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</si>
  <si>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</si>
  <si>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</si>
  <si>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</si>
  <si>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</si>
  <si>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</si>
  <si>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</si>
  <si>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</si>
  <si>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</si>
  <si>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</si>
  <si>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</si>
  <si>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</si>
  <si>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</si>
  <si>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</si>
  <si>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</si>
  <si>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</si>
  <si>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</si>
  <si>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</si>
  <si>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</si>
  <si>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</si>
  <si>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</si>
  <si>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</si>
  <si>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</si>
  <si>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</si>
  <si>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</si>
  <si>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</si>
  <si>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</si>
  <si>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</si>
  <si>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</si>
  <si>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</si>
  <si>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</si>
  <si>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</si>
  <si>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</si>
  <si>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</si>
  <si>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</si>
  <si>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</si>
  <si>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</si>
  <si>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</si>
  <si>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</si>
  <si>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</si>
  <si>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</si>
  <si>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</si>
  <si>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</si>
  <si>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</si>
  <si>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</si>
  <si>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</si>
  <si>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</si>
  <si>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</si>
  <si>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</si>
  <si>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</si>
  <si>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</si>
  <si>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</si>
  <si>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</si>
  <si>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</si>
  <si>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</si>
  <si>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</si>
  <si>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</si>
  <si>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</si>
  <si>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</si>
  <si>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</si>
  <si>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</si>
  <si>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</si>
  <si>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</si>
  <si>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</si>
  <si>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</si>
  <si>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</si>
  <si>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</si>
  <si>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</si>
  <si>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</si>
  <si>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</si>
  <si>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</si>
  <si>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</si>
  <si>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</si>
  <si>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</si>
  <si>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</si>
  <si>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</si>
  <si>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</si>
  <si>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</si>
  <si>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</si>
  <si>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</si>
  <si>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</si>
  <si>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</si>
  <si>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</si>
  <si>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</si>
  <si>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</si>
  <si>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</si>
  <si>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</si>
  <si>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</si>
  <si>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</si>
  <si>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</si>
  <si>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</si>
  <si>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</si>
  <si>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</si>
  <si>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</si>
  <si>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</si>
  <si>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</si>
  <si>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</si>
  <si>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</si>
  <si>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</si>
  <si>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</si>
  <si>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</si>
  <si>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</si>
  <si>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</si>
  <si>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</si>
  <si>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</si>
  <si>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</si>
  <si>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</si>
  <si>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</si>
  <si>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</si>
  <si>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</si>
  <si>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</si>
  <si>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</si>
  <si>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</si>
  <si>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</si>
  <si>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</si>
  <si>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</si>
  <si>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</si>
  <si>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</si>
  <si>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</si>
  <si>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</si>
  <si>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</si>
  <si>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</si>
  <si>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</si>
  <si>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</si>
  <si>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</si>
  <si>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</si>
  <si>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</si>
  <si>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</si>
  <si>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</si>
  <si>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</si>
  <si>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</si>
  <si>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</si>
  <si>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</si>
  <si>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</si>
  <si>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</si>
  <si>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</si>
  <si>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</si>
  <si>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</si>
  <si>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</si>
  <si>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</si>
  <si>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</si>
  <si>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</si>
  <si>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</si>
  <si>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</si>
  <si>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</si>
  <si>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</si>
  <si>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</si>
  <si>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</si>
  <si>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</si>
  <si>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</si>
  <si>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</si>
  <si>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</si>
  <si>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</si>
  <si>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</si>
  <si>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</si>
  <si>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</si>
  <si>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</si>
  <si>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</si>
  <si>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</si>
  <si>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</si>
  <si>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</si>
  <si>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</si>
  <si>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</si>
  <si>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</si>
  <si>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</si>
  <si>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</si>
  <si>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</si>
  <si>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</si>
  <si>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</si>
  <si>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</si>
  <si>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</si>
  <si>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</si>
  <si>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</si>
  <si>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</si>
  <si>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</si>
  <si>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</si>
  <si>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</si>
  <si>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</si>
  <si>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</si>
  <si>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</si>
  <si>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</si>
  <si>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</si>
  <si>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</si>
  <si>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</si>
  <si>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</si>
  <si>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</si>
  <si>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</si>
  <si>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</si>
  <si>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</si>
  <si>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</si>
  <si>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</si>
  <si>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</si>
  <si>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</si>
  <si>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</si>
  <si>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</si>
  <si>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</si>
  <si>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</si>
  <si>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</si>
  <si>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</si>
  <si>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</si>
  <si>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</si>
  <si>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</si>
  <si>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</si>
  <si>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</si>
  <si>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</si>
  <si>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</si>
  <si>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</si>
  <si>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</si>
  <si>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</si>
  <si>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</si>
  <si>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</si>
  <si>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</si>
  <si>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</si>
  <si>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</si>
  <si>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</si>
  <si>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</si>
  <si>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</si>
  <si>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</si>
  <si>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</si>
  <si>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</si>
  <si>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</si>
  <si>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</si>
  <si>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</si>
  <si>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</si>
  <si>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</si>
  <si>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</si>
  <si>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</si>
  <si>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</si>
  <si>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</si>
  <si>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</si>
  <si>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</si>
  <si>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</si>
  <si>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</si>
  <si>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</si>
  <si>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</si>
  <si>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</si>
  <si>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</si>
  <si>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</si>
  <si>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</si>
  <si>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</si>
  <si>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</si>
  <si>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</si>
  <si>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</si>
  <si>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</si>
  <si>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</si>
  <si>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</si>
  <si>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</si>
  <si>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</si>
  <si>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</si>
  <si>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</si>
  <si>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</si>
  <si>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</si>
  <si>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</si>
  <si>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</si>
  <si>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</si>
  <si>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</si>
  <si>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</si>
  <si>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</si>
  <si>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</si>
  <si>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</si>
  <si>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</si>
  <si>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</si>
  <si>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</si>
  <si>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</si>
  <si>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</si>
  <si>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</si>
  <si>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</si>
  <si>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</si>
  <si>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</si>
  <si>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</si>
  <si>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</si>
  <si>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</si>
  <si>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</si>
  <si>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</si>
  <si>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</si>
  <si>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</si>
  <si>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</si>
  <si>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</si>
  <si>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</si>
  <si>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</si>
  <si>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</si>
  <si>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</si>
  <si>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</si>
  <si>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</si>
  <si>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</si>
  <si>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</si>
  <si>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</si>
  <si>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</si>
  <si>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</si>
  <si>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</si>
  <si>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</si>
  <si>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</si>
  <si>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</si>
  <si>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</si>
  <si>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</si>
  <si>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</si>
  <si>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</si>
  <si>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</si>
  <si>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</si>
  <si>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</si>
  <si>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</si>
  <si>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</si>
  <si>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</si>
  <si>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</si>
  <si>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</si>
  <si>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</si>
  <si>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</si>
  <si>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</si>
  <si>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</si>
  <si>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</si>
  <si>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</si>
  <si>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</si>
  <si>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</si>
  <si>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</si>
  <si>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</si>
  <si>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</si>
  <si>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</si>
  <si>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</si>
  <si>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</si>
  <si>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</si>
  <si>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</si>
  <si>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</si>
  <si>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</si>
  <si>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</si>
  <si>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</si>
  <si>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</si>
  <si>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</si>
  <si>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</si>
  <si>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</si>
  <si>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</si>
  <si>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</si>
  <si>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</si>
  <si>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</si>
  <si>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</si>
  <si>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</si>
  <si>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</si>
  <si>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</si>
  <si>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</si>
  <si>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</si>
  <si>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</si>
  <si>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</si>
  <si>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</si>
  <si>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</si>
  <si>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</si>
  <si>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</si>
  <si>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</si>
  <si>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</si>
  <si>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</si>
  <si>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</si>
  <si>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</si>
  <si>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</si>
  <si>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</si>
  <si>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</si>
  <si>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</si>
  <si>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</si>
  <si>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</si>
  <si>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</si>
  <si>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</si>
  <si>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</si>
  <si>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</si>
  <si>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</si>
  <si>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</si>
  <si>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</si>
  <si>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</si>
  <si>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</si>
  <si>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</si>
  <si>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</si>
  <si>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</si>
  <si>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</si>
  <si>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</si>
  <si>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</si>
  <si>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</si>
  <si>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</si>
  <si>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</si>
  <si>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</si>
  <si>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</si>
  <si>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</si>
  <si>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</si>
  <si>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</si>
  <si>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</si>
  <si>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</si>
  <si>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</si>
  <si>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</si>
  <si>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</si>
  <si>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</si>
  <si>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</si>
  <si>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</si>
  <si>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</si>
  <si>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</si>
  <si>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</si>
  <si>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</si>
  <si>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</si>
  <si>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</si>
  <si>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</si>
  <si>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</si>
  <si>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</si>
  <si>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</si>
  <si>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</si>
  <si>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</si>
  <si>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</si>
  <si>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</si>
  <si>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</si>
  <si>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</si>
  <si>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</si>
  <si>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Shehbaz SB</t>
  </si>
  <si>
    <t>Shakoor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</si>
</sst>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U7" sqref="U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506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500</v>
      </c>
      <c r="F3" s="358"/>
      <c r="G3" s="358"/>
      <c r="H3" s="355">
        <f ca="1">+'1'!N4:N4</f>
        <v>46234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Shehbaz SB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Shakoor SB</v>
      </c>
      <c r="T4" s="301">
        <f>+'2'!P35</f>
        <v>353.52205407076269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515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514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22</v>
      </c>
      <c r="I8" s="236">
        <f t="shared" ref="I8:I14" si="0">(G8*D8)*F8+H8*F8</f>
        <v>1154.175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92.334000000000003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40.396125000000005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1021.4448749999999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218.13559322033888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6.1979023411016945</v>
      </c>
      <c r="P8" s="311">
        <f t="shared" ref="P8:P15" si="2">M8+N8+O8</f>
        <v>1245.7783705614406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</v>
      </c>
      <c r="I10" s="236">
        <f t="shared" si="0"/>
        <v>145.28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11.622400000000001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5.0848000000000004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128.5728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27.457627118644069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0.78015213559322039</v>
      </c>
      <c r="P10" s="311">
        <f t="shared" si="2"/>
        <v>156.8105792542373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</v>
      </c>
      <c r="I13" s="236">
        <f t="shared" si="0"/>
        <v>78.460000000000008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3.9230000000000005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2.7461000000000007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4.0014599999999998</v>
      </c>
      <c r="M13" s="230">
        <f t="shared" si="1"/>
        <v>67.789440000000013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15.254237288135585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0.41521838644067799</v>
      </c>
      <c r="P13" s="311">
        <f t="shared" si="2"/>
        <v>83.458895674576269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1.1499999999999999</v>
      </c>
      <c r="H16" s="113">
        <f t="shared" ref="H16:M16" si="3">SUM(H7:H15)</f>
        <v>46</v>
      </c>
      <c r="I16" s="114">
        <f t="shared" si="3"/>
        <v>2427.1650000000004</v>
      </c>
      <c r="J16" s="274">
        <f>SUM(J7:J15)</f>
        <v>191.8194</v>
      </c>
      <c r="K16" s="275">
        <f t="shared" si="3"/>
        <v>84.950775000000007</v>
      </c>
      <c r="L16" s="276">
        <f t="shared" si="3"/>
        <v>4.0014599999999998</v>
      </c>
      <c r="M16" s="232">
        <f t="shared" si="3"/>
        <v>2146.3933649999999</v>
      </c>
      <c r="N16" s="233">
        <f>SUM(N7:N15)</f>
        <v>459.1525423728811</v>
      </c>
      <c r="O16" s="101">
        <f>SUM(O7:O15)</f>
        <v>13.027729536864406</v>
      </c>
      <c r="P16" s="113">
        <f>SUM(P7:P15)</f>
        <v>2618.5736369097453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2427.1650000000004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191.8194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88.952235000000002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2146.3933650000004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459.1525423728811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2605.5459073728816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13.027729536864406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2618.5736369097463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2618.5736369097458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510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</v>
      </c>
      <c r="I22" s="236">
        <f t="shared" si="0"/>
        <v>78.460000000000008</v>
      </c>
      <c r="J22" s="272">
        <f t="shared" si="1"/>
        <v>3.9230000000000005</v>
      </c>
      <c r="K22" s="128">
        <f t="shared" si="1"/>
        <v>2.7461000000000007</v>
      </c>
      <c r="L22" s="119">
        <f t="shared" si="1"/>
        <v>4.0014599999999998</v>
      </c>
      <c r="M22" s="230">
        <f t="shared" si="2"/>
        <v>67.789440000000013</v>
      </c>
      <c r="N22" s="277">
        <f t="shared" si="3"/>
        <v>15.254237288135585</v>
      </c>
      <c r="O22" s="239">
        <f t="shared" si="4"/>
        <v>0.41521838644067799</v>
      </c>
      <c r="P22" s="311">
        <f t="shared" si="5"/>
        <v>83.458895674576269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328.66499999999996</v>
      </c>
      <c r="J25" s="274">
        <f>SUM(J16:J24)</f>
        <v>23.939400000000003</v>
      </c>
      <c r="K25" s="275">
        <f t="shared" si="7"/>
        <v>11.503275</v>
      </c>
      <c r="L25" s="276">
        <f t="shared" si="7"/>
        <v>4.0014599999999998</v>
      </c>
      <c r="M25" s="232">
        <f t="shared" si="7"/>
        <v>289.220865</v>
      </c>
      <c r="N25" s="233">
        <f>SUM(N16:N24)</f>
        <v>62.542372881355917</v>
      </c>
      <c r="O25" s="101">
        <f>SUM(O16:O24)</f>
        <v>1.7588161894067795</v>
      </c>
      <c r="P25" s="113">
        <f>SUM(P16:P24)</f>
        <v>353.52205407076269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328.66499999999996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23.939400000000003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15.504735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289.220865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62.542372881355917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351.76323788135591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1.7588161894067795</v>
      </c>
    </row>
    <row r="35" spans="2:16" ht="15.75" customHeight="1" thickBot="1" x14ac:dyDescent="0.4">
      <c r="N35" s="342" t="s">
        <v>88</v>
      </c>
      <c r="O35" s="343"/>
      <c r="P35" s="297">
        <f>+P33+P34</f>
        <v>353.52205407076269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topLeftCell="A13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8.75" customHeight="1" x14ac:dyDescent="0.4">
      <c r="A6" s="396" t="s">
        <v>505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2026-07-30T11:23:12Z</dcterms:modified>
</cp:coreProperties>
</file>