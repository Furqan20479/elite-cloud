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5A4D551-6395-4A7E-8619-4E43306A6B06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8" l="1"/>
  <c r="O20" i="48" s="1"/>
  <c r="P20" i="48" s="1"/>
  <c r="R20" i="48" s="1"/>
  <c r="M16" i="48"/>
  <c r="J7" i="62"/>
  <c r="M21" i="47"/>
  <c r="O21" i="47" s="1"/>
  <c r="P21" i="47" s="1"/>
  <c r="M20" i="47"/>
  <c r="O20" i="47" s="1"/>
  <c r="P20" i="47" s="1"/>
  <c r="R20" i="47" s="1"/>
  <c r="M20" i="46"/>
  <c r="O20" i="46" s="1"/>
  <c r="P20" i="46" s="1"/>
  <c r="R20" i="46" s="1"/>
  <c r="K12" i="62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<sst xmlns="http://schemas.openxmlformats.org/spreadsheetml/2006/main" count="3913" uniqueCount="526">
  <si>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</si>
  <si>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</si>
  <si>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</si>
  <si>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</si>
  <si>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</si>
  <si>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</si>
  <si>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</si>
  <si>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</si>
  <si>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</si>
  <si>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</si>
  <si>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</si>
  <si>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</si>
  <si>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</si>
  <si>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</si>
  <si>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</si>
  <si>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</si>
  <si>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</si>
  <si>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</si>
  <si>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</si>
  <si>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</si>
  <si>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</si>
  <si>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</si>
  <si>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</si>
  <si>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</si>
  <si>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</si>
  <si>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</si>
  <si>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</si>
  <si>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</si>
  <si>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</si>
  <si>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</si>
  <si>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</si>
  <si>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</si>
  <si>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</si>
  <si>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</si>
  <si>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</si>
  <si>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</si>
  <si>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</si>
  <si>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</si>
  <si>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</si>
  <si>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</si>
  <si>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</si>
  <si>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</si>
  <si>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</si>
  <si>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</si>
  <si>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</si>
  <si>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</si>
  <si>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</si>
  <si>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</si>
  <si>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</si>
  <si>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</si>
  <si>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</si>
  <si>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</si>
  <si>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</si>
  <si>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</si>
  <si>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</si>
  <si>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</si>
  <si>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</si>
  <si>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</si>
  <si>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</si>
  <si>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</si>
  <si>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</si>
  <si>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</si>
  <si>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</si>
  <si>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</si>
  <si>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</si>
  <si>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</si>
  <si>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</si>
  <si>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</si>
  <si>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</si>
  <si>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</si>
  <si>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</si>
  <si>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</si>
  <si>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</si>
  <si>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</si>
  <si>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</si>
  <si>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</si>
  <si>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</si>
  <si>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</si>
  <si>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</si>
  <si>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</si>
  <si>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</si>
  <si>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</si>
  <si>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</si>
  <si>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</si>
  <si>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</si>
  <si>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</si>
  <si>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</si>
  <si>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</si>
  <si>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</si>
  <si>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</si>
  <si>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</si>
  <si>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</si>
  <si>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</si>
  <si>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</si>
  <si>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</si>
  <si>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</si>
  <si>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</si>
  <si>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</si>
  <si>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</si>
  <si>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</si>
  <si>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</si>
  <si>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</si>
  <si>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</si>
  <si>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</si>
  <si>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</si>
  <si>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</si>
  <si>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</si>
  <si>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</si>
  <si>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</si>
  <si>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</si>
  <si>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</si>
  <si>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</si>
  <si>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</si>
  <si>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</si>
  <si>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</si>
  <si>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</si>
  <si>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</si>
  <si>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</si>
  <si>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</si>
  <si>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</si>
  <si>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</si>
  <si>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</si>
  <si>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</si>
  <si>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</si>
  <si>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</si>
  <si>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</si>
  <si>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</si>
  <si>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</si>
  <si>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</si>
  <si>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</si>
  <si>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</si>
  <si>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</si>
  <si>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</si>
  <si>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</si>
  <si>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</si>
  <si>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</si>
  <si>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</si>
  <si>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</si>
  <si>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</si>
  <si>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</si>
  <si>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</si>
  <si>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</si>
  <si>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</si>
  <si>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</si>
  <si>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</si>
  <si>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</si>
  <si>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</si>
  <si>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</si>
  <si>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</si>
  <si>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</si>
  <si>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</si>
  <si>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</si>
  <si>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</si>
  <si>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</si>
  <si>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</si>
  <si>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</si>
  <si>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</si>
  <si>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</si>
  <si>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</si>
  <si>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</si>
  <si>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</si>
  <si>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</si>
  <si>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</si>
  <si>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</si>
  <si>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</si>
  <si>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</si>
  <si>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</si>
  <si>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</si>
  <si>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</si>
  <si>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</si>
  <si>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</si>
  <si>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</si>
  <si>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</si>
  <si>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</si>
  <si>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</si>
  <si>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</si>
  <si>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</si>
  <si>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</si>
  <si>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</si>
  <si>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</si>
  <si>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</si>
  <si>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</si>
  <si>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</si>
  <si>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</si>
  <si>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</si>
  <si>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</si>
  <si>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</si>
  <si>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</si>
  <si>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</si>
  <si>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</si>
  <si>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</si>
  <si>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</si>
  <si>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</si>
  <si>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</si>
  <si>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</si>
  <si>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</si>
  <si>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</si>
  <si>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</si>
  <si>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</si>
  <si>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</si>
  <si>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</si>
  <si>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</si>
  <si>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</si>
  <si>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</si>
  <si>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</si>
  <si>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</si>
  <si>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</si>
  <si>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</si>
  <si>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</si>
  <si>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</si>
  <si>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</si>
  <si>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</si>
  <si>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</si>
  <si>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</si>
  <si>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</si>
  <si>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</si>
  <si>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</si>
  <si>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</si>
  <si>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</si>
  <si>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</si>
  <si>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</si>
  <si>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</si>
  <si>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</si>
  <si>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</si>
  <si>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</si>
  <si>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</si>
  <si>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</si>
  <si>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</si>
  <si>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</si>
  <si>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</si>
  <si>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</si>
  <si>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</si>
  <si>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</si>
  <si>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</si>
  <si>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</si>
  <si>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</si>
  <si>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</si>
  <si>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</si>
  <si>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</si>
  <si>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</si>
  <si>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</si>
  <si>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</si>
  <si>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</si>
  <si>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</si>
  <si>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</si>
  <si>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</si>
  <si>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</si>
  <si>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</si>
  <si>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</si>
  <si>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</si>
  <si>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</si>
  <si>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</si>
  <si>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</si>
  <si>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</si>
  <si>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</si>
  <si>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</si>
  <si>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</si>
  <si>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</si>
  <si>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</si>
  <si>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</si>
  <si>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</si>
  <si>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</si>
  <si>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</si>
  <si>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</si>
  <si>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</si>
  <si>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</si>
  <si>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</si>
  <si>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</si>
  <si>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</si>
  <si>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</si>
  <si>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</si>
  <si>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</si>
  <si>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</si>
  <si>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</si>
  <si>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</si>
  <si>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</si>
  <si>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</si>
  <si>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</si>
  <si>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</si>
  <si>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</si>
  <si>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</si>
  <si>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</si>
  <si>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</si>
  <si>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</si>
  <si>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</si>
  <si>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</si>
  <si>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</si>
  <si>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</si>
  <si>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</si>
  <si>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</si>
  <si>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</si>
  <si>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</si>
  <si>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</si>
  <si>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</si>
  <si>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</si>
  <si>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</si>
  <si>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</si>
  <si>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</si>
  <si>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</si>
  <si>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</si>
  <si>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</si>
  <si>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</si>
  <si>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</si>
  <si>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</si>
  <si>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</si>
  <si>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</si>
  <si>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</si>
  <si>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</si>
  <si>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</si>
  <si>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</si>
  <si>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</si>
  <si>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</si>
  <si>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</si>
  <si>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</si>
  <si>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</si>
  <si>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</si>
  <si>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</si>
  <si>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</si>
  <si>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</si>
  <si>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</si>
  <si>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</si>
  <si>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</si>
  <si>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</si>
  <si>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</si>
  <si>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</si>
  <si>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</si>
  <si>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</si>
  <si>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</si>
  <si>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</si>
  <si>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</si>
  <si>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</si>
  <si>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</si>
  <si>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</si>
  <si>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</si>
  <si>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</si>
  <si>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</si>
  <si>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</si>
  <si>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</si>
  <si>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</si>
  <si>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</si>
  <si>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</si>
  <si>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</si>
  <si>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</si>
  <si>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</si>
  <si>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</si>
  <si>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</si>
  <si>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</si>
  <si>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</si>
  <si>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</si>
  <si>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</si>
  <si>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</si>
  <si>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</si>
  <si>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</si>
  <si>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</si>
  <si>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</si>
  <si>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</si>
  <si>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</si>
  <si>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</si>
  <si>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</si>
  <si>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</si>
  <si>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</si>
  <si>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</si>
  <si>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</si>
  <si>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</si>
  <si>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</si>
  <si>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</si>
  <si>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</si>
  <si>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</si>
  <si>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</si>
  <si>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</si>
  <si>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</si>
  <si>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</si>
  <si>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</si>
  <si>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</si>
  <si>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</si>
  <si>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</si>
  <si>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</si>
  <si>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</si>
  <si>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</si>
  <si>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</si>
  <si>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</si>
  <si>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</si>
  <si>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</si>
  <si>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</si>
  <si>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</si>
  <si>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</si>
  <si>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</si>
  <si>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</si>
  <si>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</si>
  <si>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</si>
  <si>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</si>
  <si>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</si>
  <si>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</si>
  <si>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</si>
  <si>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</si>
  <si>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</si>
  <si>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</si>
  <si>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</si>
  <si>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</si>
  <si>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</si>
  <si>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</si>
  <si>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</si>
  <si>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</si>
  <si>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</si>
  <si>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</si>
  <si>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</si>
  <si>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</si>
  <si>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</si>
  <si>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</si>
  <si>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</si>
  <si>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</si>
  <si>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</si>
  <si>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</si>
  <si>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</si>
  <si>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</si>
  <si>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</si>
  <si>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</si>
  <si>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</si>
  <si>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</si>
  <si>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</si>
  <si>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</si>
  <si>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</si>
  <si>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</si>
  <si>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</si>
  <si>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</si>
  <si>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</si>
  <si>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</si>
  <si>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</si>
  <si>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</si>
  <si>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</si>
  <si>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</si>
  <si>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</si>
  <si>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</si>
  <si>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</si>
  <si>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</si>
  <si>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</si>
  <si>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</si>
  <si>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</si>
  <si>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</si>
  <si>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</si>
  <si>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</si>
  <si>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</si>
  <si>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</si>
  <si>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</si>
  <si>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</si>
  <si>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</si>
  <si>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</si>
  <si>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</si>
  <si>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</si>
  <si>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</si>
  <si>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</si>
  <si>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</si>
  <si>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</si>
  <si>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</si>
  <si>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</si>
  <si>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</si>
  <si>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</si>
  <si>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</si>
  <si>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</si>
  <si>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</si>
  <si>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</si>
  <si>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</si>
  <si>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</si>
  <si>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</si>
  <si>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</si>
  <si>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</si>
  <si>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</si>
  <si>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</si>
  <si>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</si>
  <si>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</si>
  <si>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</si>
  <si>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</si>
  <si>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</si>
  <si>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</si>
  <si>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</si>
  <si>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</si>
  <si>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</si>
  <si>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</si>
  <si>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</si>
  <si>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</si>
  <si>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</si>
  <si>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</si>
  <si>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</si>
  <si>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</si>
  <si>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</si>
  <si>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</si>
  <si>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</si>
  <si>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</si>
  <si>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</si>
  <si>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</si>
  <si>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</si>
  <si>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</si>
  <si>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</si>
  <si>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</si>
  <si>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</si>
  <si>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</si>
  <si>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</si>
  <si>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</si>
  <si>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</si>
  <si>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</si>
  <si>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</si>
  <si>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</si>
  <si>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</si>
  <si>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</si>
  <si>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</si>
  <si>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</si>
  <si>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</si>
  <si>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</si>
  <si>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</si>
  <si>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</si>
  <si>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</si>
  <si>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Salman</t>
  </si>
  <si>
    <t xml:space="preserve">Classic Mart </t>
  </si>
  <si>
    <t>Address:Askari 9</t>
  </si>
  <si>
    <t>United Store</t>
  </si>
  <si>
    <t xml:space="preserve">Askari Photo Copy </t>
  </si>
  <si>
    <t>Address:Pepsi Road</t>
  </si>
  <si>
    <t xml:space="preserve">Bin Daud </t>
  </si>
  <si>
    <t>Address: Askari 9</t>
  </si>
  <si>
    <t>Address:  Pepsi Road</t>
  </si>
  <si>
    <t xml:space="preserve">Best One  Mart </t>
  </si>
  <si>
    <t xml:space="preserve">Chelet Bakers </t>
  </si>
  <si>
    <t>Address: Askari Market</t>
  </si>
  <si>
    <t>Askari Store</t>
  </si>
  <si>
    <t xml:space="preserve">Address:Askari Market </t>
  </si>
  <si>
    <t>Cant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</si>
</sst>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topLeftCell="A5" workbookViewId="0">
      <selection activeCell="F17" sqref="F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511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46234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 xml:space="preserve">Classic Mart </v>
      </c>
      <c r="T3" s="301">
        <f>+'1'!P35</f>
        <v>2822.5904265762711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United Store</v>
      </c>
      <c r="T4" s="301">
        <f>+'2'!P35</f>
        <v>1145.5896337531781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Askari Photo Copy </v>
      </c>
      <c r="T5" s="301">
        <f>+'3'!P35</f>
        <v>1669.1779134915255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 xml:space="preserve">Bin Daud </v>
      </c>
      <c r="T6" s="301">
        <f>+'4'!P35</f>
        <v>3553.5060634576266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118">
        <f>M7+N7+O7</f>
        <v>3397.5773742584738</v>
      </c>
      <c r="Q7" s="142"/>
      <c r="R7" s="299">
        <v>5</v>
      </c>
      <c r="S7" s="300" t="str">
        <f>+'5'!A6:A6</f>
        <v xml:space="preserve">Best One  Mart 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17</v>
      </c>
      <c r="I8" s="236">
        <f t="shared" ref="I8:I14" si="0">(G8*D8)*F8+H8*F8</f>
        <v>891.86249999999995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71.349000000000004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31.215187500000003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789.29831249999995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168.55932203389824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4.7892881726694911</v>
      </c>
      <c r="P8" s="119">
        <f t="shared" ref="P8:P15" si="2">M8+N8+O8</f>
        <v>962.64692270656758</v>
      </c>
      <c r="R8" s="299">
        <v>6</v>
      </c>
      <c r="S8" s="300" t="str">
        <f>+'6'!A6:A6</f>
        <v xml:space="preserve">Chelet Bakers </v>
      </c>
      <c r="T8" s="301">
        <f>+'6'!P35</f>
        <v>5252.2947505868642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Askari Store</v>
      </c>
      <c r="T9" s="301">
        <f>+'7'!P35</f>
        <v>113.25257914194913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72</v>
      </c>
      <c r="I10" s="236">
        <f t="shared" si="0"/>
        <v>5230.08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418.40639999999996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183.05280000000002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4628.6207999999997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988.47457627118649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28.085476881355934</v>
      </c>
      <c r="P10" s="119">
        <f t="shared" si="2"/>
        <v>5645.1808531525421</v>
      </c>
      <c r="R10" s="299">
        <v>8</v>
      </c>
      <c r="S10" s="300" t="str">
        <f>+'8'!A6:A6</f>
        <v>Cant Store</v>
      </c>
      <c r="T10" s="301">
        <f>+'8'!P35</f>
        <v>5401.2631679237293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47</v>
      </c>
      <c r="I11" s="236">
        <f t="shared" si="0"/>
        <v>3414.08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273.12640000000005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119.49280000000002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3021.4607999999998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645.25423728813564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18.33357518644068</v>
      </c>
      <c r="P11" s="119">
        <f t="shared" si="2"/>
        <v>3685.0486124745762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88</v>
      </c>
      <c r="I12" s="236">
        <f t="shared" si="0"/>
        <v>6392.32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511.38560000000001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223.73120000000003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5657.2031999999999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1208.1355932203392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34.326693966101693</v>
      </c>
      <c r="P12" s="119">
        <f t="shared" si="2"/>
        <v>6899.6654871864403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100</v>
      </c>
      <c r="I13" s="236">
        <f t="shared" si="0"/>
        <v>3923.0000000000005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196.15000000000006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137.30500000000004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200.07299999999998</v>
      </c>
      <c r="M13" s="230">
        <f t="shared" si="1"/>
        <v>3389.4720000000007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762.71186440677911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20.760919322033899</v>
      </c>
      <c r="P13" s="119">
        <f t="shared" si="2"/>
        <v>4172.9447837288135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9.6</v>
      </c>
      <c r="H16" s="113">
        <f t="shared" ref="H16:M16" si="3">SUM(H7:H15)</f>
        <v>384</v>
      </c>
      <c r="I16" s="114">
        <f t="shared" si="3"/>
        <v>22999.092499999999</v>
      </c>
      <c r="J16" s="274">
        <f>SUM(J7:J15)</f>
        <v>1722.2374000000002</v>
      </c>
      <c r="K16" s="275">
        <f t="shared" si="3"/>
        <v>804.96823750000021</v>
      </c>
      <c r="L16" s="276">
        <f t="shared" si="3"/>
        <v>200.07299999999998</v>
      </c>
      <c r="M16" s="232">
        <f t="shared" si="3"/>
        <v>20271.813862500003</v>
      </c>
      <c r="N16" s="233">
        <f>SUM(N7:N15)</f>
        <v>4368.0508474576272</v>
      </c>
      <c r="O16" s="101">
        <f>SUM(O7:O15)</f>
        <v>123.19932354978813</v>
      </c>
      <c r="P16" s="234">
        <f>SUM(P7:P15)</f>
        <v>24763.064033507413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22999.092499999999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1722.2374000000002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1005.0412375000002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20271.813862499996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4368.0508474576272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24639.864709957623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123.19932354978813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24763.064033507409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24763.064033507413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4" workbookViewId="0">
      <selection activeCell="C18" sqref="C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36</v>
      </c>
      <c r="I25" s="114">
        <f t="shared" ref="I25:M25" si="10">SUM(I16:I24)</f>
        <v>2615.04</v>
      </c>
      <c r="J25" s="274">
        <f>SUM(J16:J24)</f>
        <v>209.20320000000004</v>
      </c>
      <c r="K25" s="275">
        <f t="shared" si="10"/>
        <v>91.52640000000001</v>
      </c>
      <c r="L25" s="276">
        <f t="shared" si="10"/>
        <v>0</v>
      </c>
      <c r="M25" s="232">
        <f t="shared" si="10"/>
        <v>2314.3104000000003</v>
      </c>
      <c r="N25" s="233">
        <f>SUM(N16:N24)</f>
        <v>494.23728813559325</v>
      </c>
      <c r="O25" s="101">
        <f>SUM(O16:O24)</f>
        <v>14.042738440677967</v>
      </c>
      <c r="P25" s="234">
        <f>SUM(P16:P24)</f>
        <v>2822.5904265762711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2615.04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209.20320000000004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91.52640000000001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2314.3103999999998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494.23728813559325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2808.547688135593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14.042738440677965</v>
      </c>
    </row>
    <row r="35" spans="2:16" ht="15.75" customHeight="1" thickBot="1" x14ac:dyDescent="0.4">
      <c r="N35" s="334" t="s">
        <v>88</v>
      </c>
      <c r="O35" s="335"/>
      <c r="P35" s="297">
        <f>+P33+P34</f>
        <v>2822.5904265762711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Q21" sqref="Q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</v>
      </c>
      <c r="I21" s="236">
        <f t="shared" si="0"/>
        <v>72.64</v>
      </c>
      <c r="J21" s="272">
        <f t="shared" si="1"/>
        <v>5.8112000000000004</v>
      </c>
      <c r="K21" s="128">
        <f t="shared" si="1"/>
        <v>2.5424000000000002</v>
      </c>
      <c r="L21" s="119">
        <f t="shared" si="1"/>
        <v>0</v>
      </c>
      <c r="M21" s="230">
        <f t="shared" si="2"/>
        <v>64.2864</v>
      </c>
      <c r="N21" s="277">
        <f t="shared" si="3"/>
        <v>13.728813559322035</v>
      </c>
      <c r="O21" s="239">
        <f t="shared" si="4"/>
        <v>0.39007606779661019</v>
      </c>
      <c r="P21" s="119">
        <f t="shared" si="5"/>
        <v>78.405289627118648</v>
      </c>
      <c r="Q21">
        <v>4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16</v>
      </c>
      <c r="I25" s="114">
        <f t="shared" si="7"/>
        <v>1061.3525000000002</v>
      </c>
      <c r="J25" s="274">
        <f>SUM(J16:J24)</f>
        <v>84.908199999999994</v>
      </c>
      <c r="K25" s="275">
        <f t="shared" si="7"/>
        <v>37.147337500000006</v>
      </c>
      <c r="L25" s="276">
        <f t="shared" si="7"/>
        <v>0</v>
      </c>
      <c r="M25" s="232">
        <f t="shared" si="7"/>
        <v>939.29696250000006</v>
      </c>
      <c r="N25" s="233">
        <f>SUM(N16:N24)</f>
        <v>200.59322033898303</v>
      </c>
      <c r="O25" s="101">
        <f>SUM(O16:O24)</f>
        <v>5.6994509141949159</v>
      </c>
      <c r="P25" s="234">
        <f>SUM(P16:P24)</f>
        <v>1145.5896337531781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1061.3525000000002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84.908199999999994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37.147337500000006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939.29696250000018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200.59322033898303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1139.8901828389833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5.6994509141949168</v>
      </c>
    </row>
    <row r="35" spans="2:16" ht="15.75" customHeight="1" thickBot="1" x14ac:dyDescent="0.4">
      <c r="N35" s="334" t="s">
        <v>88</v>
      </c>
      <c r="O35" s="335"/>
      <c r="P35" s="297">
        <f>+P33+P34</f>
        <v>1145.5896337531781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1569.2000000000003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78.460000000000022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134.95120000000003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1355.7888000000003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1660.873545762712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34" t="s">
        <v>88</v>
      </c>
      <c r="O35" s="335"/>
      <c r="P35" s="297">
        <f>+P33+P34</f>
        <v>1669.1779134915255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517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519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50</v>
      </c>
      <c r="I25" s="114">
        <f t="shared" si="7"/>
        <v>3297.9</v>
      </c>
      <c r="J25" s="274">
        <f>SUM(J16:J24)</f>
        <v>252.06300000000002</v>
      </c>
      <c r="K25" s="275">
        <f t="shared" si="7"/>
        <v>115.42650000000002</v>
      </c>
      <c r="L25" s="276">
        <f t="shared" si="7"/>
        <v>20.007300000000001</v>
      </c>
      <c r="M25" s="232">
        <f t="shared" si="7"/>
        <v>2910.4032000000002</v>
      </c>
      <c r="N25" s="233">
        <f>SUM(N16:N24)</f>
        <v>625.42372881355936</v>
      </c>
      <c r="O25" s="101">
        <f>SUM(O16:O24)</f>
        <v>17.679134644067798</v>
      </c>
      <c r="P25" s="234">
        <f>SUM(P16:P24)</f>
        <v>3553.5060634576271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3297.9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252.06300000000002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135.43380000000002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2910.4031999999997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625.42372881355936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3535.8269288135589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17.679134644067794</v>
      </c>
    </row>
    <row r="35" spans="2:16" ht="15.75" customHeight="1" thickBot="1" x14ac:dyDescent="0.4">
      <c r="N35" s="334" t="s">
        <v>88</v>
      </c>
      <c r="O35" s="335"/>
      <c r="P35" s="297">
        <f>+P33+P34</f>
        <v>3553.5060634576266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520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516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234">
        <f>SUM(P16:P24)</f>
        <v>4805.3894985762709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4474.8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310.90800000000002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236.64720000000003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3927.2447999999999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4781.4820881355927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34" t="s">
        <v>88</v>
      </c>
      <c r="O35" s="335"/>
      <c r="P35" s="297">
        <f>+P33+P34</f>
        <v>4805.3894985762709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521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522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4871.7750000000005</v>
      </c>
      <c r="J25" s="274">
        <f>SUM(J16:J24)</f>
        <v>377.97300000000001</v>
      </c>
      <c r="K25" s="275">
        <f t="shared" si="7"/>
        <v>170.51212500000003</v>
      </c>
      <c r="L25" s="276">
        <f t="shared" si="7"/>
        <v>20.007300000000001</v>
      </c>
      <c r="M25" s="232">
        <f t="shared" si="7"/>
        <v>4303.2825749999993</v>
      </c>
      <c r="N25" s="233">
        <f>SUM(N16:N24)</f>
        <v>922.88135593220318</v>
      </c>
      <c r="O25" s="101">
        <f>SUM(O16:O24)</f>
        <v>26.130819654661018</v>
      </c>
      <c r="P25" s="234">
        <f>SUM(P16:P24)</f>
        <v>5252.2947505868642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4871.7750000000005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377.97300000000001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190.51942500000001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4303.2825750000002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922.88135593220318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5226.1639309322036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26.130819654661018</v>
      </c>
    </row>
    <row r="35" spans="2:16" ht="15.75" customHeight="1" thickBot="1" x14ac:dyDescent="0.4">
      <c r="N35" s="334" t="s">
        <v>88</v>
      </c>
      <c r="O35" s="335"/>
      <c r="P35" s="297">
        <f>+P33+P34</f>
        <v>5252.2947505868642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activeCell="Q17" sqref="Q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523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524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>
        <v>20</v>
      </c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</v>
      </c>
      <c r="I17" s="236">
        <f t="shared" ref="I17:I23" si="0">(G17*D17)*F17+H17*F17</f>
        <v>104.925</v>
      </c>
      <c r="J17" s="272">
        <f t="shared" ref="J17:L24" si="1">$I17*S17</f>
        <v>8.3940000000000001</v>
      </c>
      <c r="K17" s="128">
        <f>$I17*T17</f>
        <v>3.6723750000000002</v>
      </c>
      <c r="L17" s="119">
        <f>$I17*U17</f>
        <v>0</v>
      </c>
      <c r="M17" s="230">
        <f t="shared" ref="M17:M24" si="2">I17-SUM(J17:L17)</f>
        <v>92.858624999999989</v>
      </c>
      <c r="N17" s="277">
        <f t="shared" ref="N17:N24" si="3">+(G17*D17+H17)*V17</f>
        <v>19.830508474576263</v>
      </c>
      <c r="O17" s="239">
        <f t="shared" ref="O17:O24" si="4">(N17+M17)*$O$15</f>
        <v>0.56344566737288126</v>
      </c>
      <c r="P17" s="119">
        <f t="shared" ref="P17:P24" si="5">M17+N17+O17</f>
        <v>113.25257914194913</v>
      </c>
      <c r="Q17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>
        <v>20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>
        <v>20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2</v>
      </c>
      <c r="I25" s="114">
        <f t="shared" si="7"/>
        <v>104.925</v>
      </c>
      <c r="J25" s="274">
        <f>SUM(J16:J24)</f>
        <v>8.3940000000000001</v>
      </c>
      <c r="K25" s="275">
        <f t="shared" si="7"/>
        <v>3.6723750000000002</v>
      </c>
      <c r="L25" s="276">
        <f t="shared" si="7"/>
        <v>0</v>
      </c>
      <c r="M25" s="232">
        <f t="shared" si="7"/>
        <v>92.858624999999989</v>
      </c>
      <c r="N25" s="233">
        <f>SUM(N16:N24)</f>
        <v>19.830508474576263</v>
      </c>
      <c r="O25" s="101">
        <f>SUM(O16:O24)</f>
        <v>0.56344566737288126</v>
      </c>
      <c r="P25" s="234">
        <f>SUM(P16:P24)</f>
        <v>113.25257914194913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104.925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8.3940000000000001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3.6723750000000002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92.858624999999989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19.830508474576263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112.68913347457625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0.56344566737288126</v>
      </c>
    </row>
    <row r="35" spans="2:16" ht="15.75" customHeight="1" thickBot="1" x14ac:dyDescent="0.4">
      <c r="N35" s="334" t="s">
        <v>88</v>
      </c>
      <c r="O35" s="335"/>
      <c r="P35" s="297">
        <f>+P33+P34</f>
        <v>113.25257914194913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525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518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5004.1000000000004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400.32799999999997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175.14350000000002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4428.6285000000007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5374.3912118644075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34" t="s">
        <v>88</v>
      </c>
      <c r="O35" s="335"/>
      <c r="P35" s="297">
        <f>+P33+P34</f>
        <v>5401.2631679237293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topLeftCell="A7"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504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46234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46233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510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510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46234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46233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2026-07-30T10:31:28Z</dcterms:modified>
</cp:coreProperties>
</file>