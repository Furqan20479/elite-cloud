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09AE12D-4363-4B48-B439-45349409FBDE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8" l="1"/>
  <c r="O20" i="48" s="1"/>
  <c r="P20" i="48" s="1"/>
  <c r="R20" i="48" s="1"/>
  <c r="M16" i="48"/>
  <c r="J7" i="62"/>
  <c r="M21" i="47"/>
  <c r="O21" i="47" s="1"/>
  <c r="P21" i="47" s="1"/>
  <c r="M20" i="47"/>
  <c r="O20" i="47" s="1"/>
  <c r="P20" i="47" s="1"/>
  <c r="R20" i="47" s="1"/>
  <c r="M20" i="46"/>
  <c r="O20" i="46" s="1"/>
  <c r="P20" i="46" s="1"/>
  <c r="R20" i="46" s="1"/>
  <c r="K12" i="62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<sst xmlns="http://schemas.openxmlformats.org/spreadsheetml/2006/main" count="3913" uniqueCount="526">
  <si>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</si>
  <si>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</si>
  <si>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</si>
  <si>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</si>
  <si>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</si>
  <si>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</si>
  <si>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</si>
  <si>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</si>
  <si>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</si>
  <si>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</si>
  <si>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</si>
  <si>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</si>
  <si>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</si>
  <si>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</si>
  <si>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</si>
  <si>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</si>
  <si>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</si>
  <si>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</si>
  <si>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</si>
  <si>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</si>
  <si>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</si>
  <si>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</si>
  <si>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</si>
  <si>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</si>
  <si>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</si>
  <si>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</si>
  <si>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</si>
  <si>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</si>
  <si>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</si>
  <si>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</si>
  <si>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</si>
  <si>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</si>
  <si>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</si>
  <si>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</si>
  <si>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</si>
  <si>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</si>
  <si>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</si>
  <si>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</si>
  <si>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</si>
  <si>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</si>
  <si>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</si>
  <si>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</si>
  <si>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</si>
  <si>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</si>
  <si>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</si>
  <si>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</si>
  <si>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</si>
  <si>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</si>
  <si>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</si>
  <si>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</si>
  <si>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</si>
  <si>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</si>
  <si>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</si>
  <si>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</si>
  <si>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</si>
  <si>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</si>
  <si>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</si>
  <si>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</si>
  <si>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</si>
  <si>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</si>
  <si>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</si>
  <si>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</si>
  <si>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</si>
  <si>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</si>
  <si>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</si>
  <si>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</si>
  <si>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</si>
  <si>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</si>
  <si>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</si>
  <si>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</si>
  <si>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</si>
  <si>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</si>
  <si>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</si>
  <si>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</si>
  <si>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</si>
  <si>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</si>
  <si>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</si>
  <si>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</si>
  <si>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</si>
  <si>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</si>
  <si>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</si>
  <si>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</si>
  <si>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</si>
  <si>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</si>
  <si>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</si>
  <si>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</si>
  <si>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</si>
  <si>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</si>
  <si>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</si>
  <si>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</si>
  <si>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</si>
  <si>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</si>
  <si>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</si>
  <si>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</si>
  <si>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</si>
  <si>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</si>
  <si>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</si>
  <si>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</si>
  <si>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</si>
  <si>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</si>
  <si>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</si>
  <si>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</si>
  <si>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</si>
  <si>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</si>
  <si>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</si>
  <si>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</si>
  <si>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</si>
  <si>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</si>
  <si>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</si>
  <si>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</si>
  <si>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</si>
  <si>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</si>
  <si>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</si>
  <si>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</si>
  <si>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</si>
  <si>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</si>
  <si>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</si>
  <si>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</si>
  <si>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</si>
  <si>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</si>
  <si>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</si>
  <si>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</si>
  <si>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</si>
  <si>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</si>
  <si>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</si>
  <si>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</si>
  <si>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</si>
  <si>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</si>
  <si>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</si>
  <si>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</si>
  <si>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</si>
  <si>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</si>
  <si>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</si>
  <si>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</si>
  <si>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</si>
  <si>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</si>
  <si>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</si>
  <si>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</si>
  <si>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</si>
  <si>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</si>
  <si>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</si>
  <si>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</si>
  <si>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</si>
  <si>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</si>
  <si>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</si>
  <si>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</si>
  <si>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</si>
  <si>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</si>
  <si>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</si>
  <si>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</si>
  <si>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</si>
  <si>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</si>
  <si>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</si>
  <si>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</si>
  <si>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</si>
  <si>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</si>
  <si>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</si>
  <si>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</si>
  <si>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</si>
  <si>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</si>
  <si>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</si>
  <si>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</si>
  <si>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</si>
  <si>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</si>
  <si>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</si>
  <si>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</si>
  <si>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</si>
  <si>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</si>
  <si>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</si>
  <si>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</si>
  <si>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</si>
  <si>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</si>
  <si>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</si>
  <si>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</si>
  <si>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</si>
  <si>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</si>
  <si>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</si>
  <si>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</si>
  <si>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</si>
  <si>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</si>
  <si>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</si>
  <si>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</si>
  <si>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</si>
  <si>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</si>
  <si>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</si>
  <si>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</si>
  <si>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</si>
  <si>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</si>
  <si>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</si>
  <si>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</si>
  <si>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</si>
  <si>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</si>
  <si>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</si>
  <si>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</si>
  <si>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</si>
  <si>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</si>
  <si>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</si>
  <si>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</si>
  <si>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</si>
  <si>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</si>
  <si>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</si>
  <si>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</si>
  <si>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</si>
  <si>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</si>
  <si>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</si>
  <si>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</si>
  <si>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</si>
  <si>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</si>
  <si>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</si>
  <si>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</si>
  <si>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</si>
  <si>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</si>
  <si>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</si>
  <si>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</si>
  <si>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</si>
  <si>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</si>
  <si>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</si>
  <si>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</si>
  <si>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</si>
  <si>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</si>
  <si>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</si>
  <si>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</si>
  <si>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</si>
  <si>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</si>
  <si>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</si>
  <si>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</si>
  <si>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</si>
  <si>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</si>
  <si>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</si>
  <si>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</si>
  <si>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</si>
  <si>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</si>
  <si>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</si>
  <si>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</si>
  <si>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</si>
  <si>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</si>
  <si>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</si>
  <si>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</si>
  <si>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</si>
  <si>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</si>
  <si>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</si>
  <si>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</si>
  <si>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</si>
  <si>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</si>
  <si>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</si>
  <si>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</si>
  <si>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</si>
  <si>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</si>
  <si>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</si>
  <si>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</si>
  <si>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</si>
  <si>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</si>
  <si>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</si>
  <si>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</si>
  <si>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</si>
  <si>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</si>
  <si>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</si>
  <si>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</si>
  <si>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</si>
  <si>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</si>
  <si>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</si>
  <si>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</si>
  <si>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</si>
  <si>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</si>
  <si>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</si>
  <si>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</si>
  <si>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</si>
  <si>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</si>
  <si>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</si>
  <si>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</si>
  <si>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</si>
  <si>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</si>
  <si>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</si>
  <si>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</si>
  <si>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</si>
  <si>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</si>
  <si>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</si>
  <si>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</si>
  <si>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</si>
  <si>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</si>
  <si>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</si>
  <si>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</si>
  <si>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</si>
  <si>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</si>
  <si>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</si>
  <si>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</si>
  <si>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</si>
  <si>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</si>
  <si>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</si>
  <si>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</si>
  <si>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</si>
  <si>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</si>
  <si>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</si>
  <si>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</si>
  <si>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</si>
  <si>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</si>
  <si>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</si>
  <si>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</si>
  <si>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</si>
  <si>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</si>
  <si>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</si>
  <si>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</si>
  <si>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</si>
  <si>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</si>
  <si>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</si>
  <si>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</si>
  <si>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</si>
  <si>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</si>
  <si>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</si>
  <si>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</si>
  <si>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</si>
  <si>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</si>
  <si>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</si>
  <si>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</si>
  <si>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</si>
  <si>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</si>
  <si>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</si>
  <si>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</si>
  <si>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</si>
  <si>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</si>
  <si>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</si>
  <si>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</si>
  <si>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</si>
  <si>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</si>
  <si>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</si>
  <si>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</si>
  <si>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</si>
  <si>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</si>
  <si>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</si>
  <si>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</si>
  <si>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</si>
  <si>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</si>
  <si>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</si>
  <si>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</si>
  <si>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</si>
  <si>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</si>
  <si>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</si>
  <si>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</si>
  <si>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</si>
  <si>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</si>
  <si>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</si>
  <si>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</si>
  <si>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</si>
  <si>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</si>
  <si>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</si>
  <si>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</si>
  <si>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</si>
  <si>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</si>
  <si>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</si>
  <si>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</si>
  <si>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</si>
  <si>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</si>
  <si>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</si>
  <si>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</si>
  <si>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</si>
  <si>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</si>
  <si>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</si>
  <si>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</si>
  <si>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</si>
  <si>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</si>
  <si>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</si>
  <si>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</si>
  <si>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</si>
  <si>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</si>
  <si>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</si>
  <si>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</si>
  <si>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</si>
  <si>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</si>
  <si>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</si>
  <si>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</si>
  <si>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</si>
  <si>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</si>
  <si>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</si>
  <si>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</si>
  <si>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</si>
  <si>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</si>
  <si>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</si>
  <si>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</si>
  <si>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</si>
  <si>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</si>
  <si>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</si>
  <si>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</si>
  <si>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</si>
  <si>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</si>
  <si>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</si>
  <si>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</si>
  <si>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</si>
  <si>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</si>
  <si>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</si>
  <si>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</si>
  <si>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</si>
  <si>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</si>
  <si>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</si>
  <si>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</si>
  <si>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</si>
  <si>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</si>
  <si>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</si>
  <si>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</si>
  <si>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</si>
  <si>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</si>
  <si>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</si>
  <si>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</si>
  <si>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</si>
  <si>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</si>
  <si>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</si>
  <si>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</si>
  <si>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</si>
  <si>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</si>
  <si>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</si>
  <si>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</si>
  <si>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</si>
  <si>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</si>
  <si>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</si>
  <si>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</si>
  <si>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</si>
  <si>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</si>
  <si>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</si>
  <si>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</si>
  <si>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</si>
  <si>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</si>
  <si>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</si>
  <si>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</si>
  <si>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</si>
  <si>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</si>
  <si>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</si>
  <si>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</si>
  <si>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</si>
  <si>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</si>
  <si>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</si>
  <si>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</si>
  <si>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</si>
  <si>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</si>
  <si>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</si>
  <si>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</si>
  <si>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</si>
  <si>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</si>
  <si>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</si>
  <si>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</si>
  <si>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</si>
  <si>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</si>
  <si>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</si>
  <si>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</si>
  <si>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</si>
  <si>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</si>
  <si>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</si>
  <si>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</si>
  <si>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</si>
  <si>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</si>
  <si>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</si>
  <si>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</si>
  <si>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</si>
  <si>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</si>
  <si>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</si>
  <si>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</si>
  <si>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</si>
  <si>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</si>
  <si>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</si>
  <si>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</si>
  <si>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</si>
  <si>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</si>
  <si>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</si>
  <si>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</si>
  <si>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</si>
  <si>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</si>
  <si>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</si>
  <si>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</si>
  <si>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</si>
  <si>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</si>
  <si>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</si>
  <si>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</si>
  <si>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</si>
  <si>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</si>
  <si>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</si>
  <si>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</si>
  <si>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</si>
  <si>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</si>
  <si>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</si>
  <si>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</si>
  <si>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</si>
  <si>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</si>
  <si>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</si>
  <si>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</si>
  <si>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</si>
  <si>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</si>
  <si>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</si>
  <si>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</si>
  <si>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</si>
  <si>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</si>
  <si>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</si>
  <si>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</si>
  <si>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</si>
  <si>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</si>
  <si>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</si>
  <si>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</si>
  <si>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</si>
  <si>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</si>
  <si>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</si>
  <si>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</si>
  <si>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</si>
  <si>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</si>
  <si>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</si>
  <si>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</si>
  <si>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</si>
  <si>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</si>
  <si>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</si>
  <si>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</si>
  <si>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</si>
  <si>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</si>
  <si>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</si>
  <si>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</si>
  <si>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</si>
  <si>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Salman</t>
  </si>
  <si>
    <t xml:space="preserve">Classic Mart </t>
  </si>
  <si>
    <t>Address:Askari 9</t>
  </si>
  <si>
    <t>United Store</t>
  </si>
  <si>
    <t xml:space="preserve">Askari Photo Copy </t>
  </si>
  <si>
    <t>Address:Pepsi Road</t>
  </si>
  <si>
    <t xml:space="preserve">Bin Daud </t>
  </si>
  <si>
    <t>Address: Askari 9</t>
  </si>
  <si>
    <t>Address:  Pepsi Road</t>
  </si>
  <si>
    <t xml:space="preserve">Best One  Mart </t>
  </si>
  <si>
    <t xml:space="preserve">Chelet Bakers </t>
  </si>
  <si>
    <t>Address: Askari Market</t>
  </si>
  <si>
    <t>Askari Store</t>
  </si>
  <si>
    <t xml:space="preserve">Address:Askari Market </t>
  </si>
  <si>
    <t>Cant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</si>
</sst>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tabSelected="1" topLeftCell="A3" workbookViewId="0">
      <selection activeCell="A16" sqref="A16:B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2" t="s">
        <v>91</v>
      </c>
      <c r="B2" s="382"/>
      <c r="C2" s="382"/>
      <c r="E2" s="374" t="s">
        <v>499</v>
      </c>
      <c r="F2" s="375"/>
      <c r="G2" s="375"/>
      <c r="H2" s="372" t="s">
        <v>511</v>
      </c>
      <c r="I2" s="372"/>
      <c r="J2" s="373"/>
      <c r="R2" s="369" t="s">
        <v>498</v>
      </c>
      <c r="S2" s="370"/>
      <c r="T2" s="371"/>
    </row>
    <row r="3" spans="1:20 16377:16378" ht="21.75" customHeight="1" thickBot="1" x14ac:dyDescent="0.4">
      <c r="A3" s="383" t="s">
        <v>92</v>
      </c>
      <c r="B3" s="383"/>
      <c r="C3" s="383"/>
      <c r="E3" s="378" t="s">
        <v>500</v>
      </c>
      <c r="F3" s="379"/>
      <c r="G3" s="379"/>
      <c r="H3" s="376">
        <f ca="1">+'1'!N4:N4</f>
        <v>46235</v>
      </c>
      <c r="I3" s="376"/>
      <c r="J3" s="377"/>
      <c r="K3" s="384" t="s">
        <v>43</v>
      </c>
      <c r="L3" s="384"/>
      <c r="M3" s="384"/>
      <c r="N3" s="383"/>
      <c r="O3" s="383"/>
      <c r="P3" s="383"/>
      <c r="R3" s="299">
        <v>1</v>
      </c>
      <c r="S3" s="300" t="str">
        <f>+'1'!A6:A6</f>
        <v xml:space="preserve">Classic Mart </v>
      </c>
      <c r="T3" s="301">
        <f>+'1'!P35</f>
        <v>2822.5904265762711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United Store</v>
      </c>
      <c r="T4" s="301">
        <f>+'2'!P35</f>
        <v>1145.5896337531781</v>
      </c>
      <c r="XEX4" t="s">
        <v>105</v>
      </c>
    </row>
    <row r="5" spans="1:20 16377:16378" ht="21.75" customHeight="1" thickBot="1" x14ac:dyDescent="0.4">
      <c r="A5" s="334" t="s">
        <v>51</v>
      </c>
      <c r="B5" s="335"/>
      <c r="C5" s="338" t="s">
        <v>90</v>
      </c>
      <c r="D5" s="115" t="s">
        <v>52</v>
      </c>
      <c r="E5" s="340" t="s">
        <v>58</v>
      </c>
      <c r="F5" s="341"/>
      <c r="G5" s="342" t="s">
        <v>54</v>
      </c>
      <c r="H5" s="343"/>
      <c r="I5" s="344" t="s">
        <v>77</v>
      </c>
      <c r="J5" s="381" t="s">
        <v>55</v>
      </c>
      <c r="K5" s="342"/>
      <c r="L5" s="343"/>
      <c r="M5" s="335" t="s">
        <v>84</v>
      </c>
      <c r="N5" s="38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Askari Photo Copy </v>
      </c>
      <c r="T5" s="301">
        <f>+'3'!P35</f>
        <v>1669.1779134915255</v>
      </c>
      <c r="XEX5" t="s">
        <v>106</v>
      </c>
    </row>
    <row r="6" spans="1:20 16377:16378" ht="21.75" customHeight="1" thickBot="1" x14ac:dyDescent="0.4">
      <c r="A6" s="336"/>
      <c r="B6" s="337"/>
      <c r="C6" s="33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5"/>
      <c r="J6" s="143" t="s">
        <v>59</v>
      </c>
      <c r="K6" s="144" t="s">
        <v>39</v>
      </c>
      <c r="L6" s="145" t="s">
        <v>493</v>
      </c>
      <c r="M6" s="337"/>
      <c r="N6" s="345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 xml:space="preserve">Bin Daud </v>
      </c>
      <c r="T6" s="301">
        <f>+'4'!P35</f>
        <v>3553.5060634576266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</v>
      </c>
      <c r="I7" s="235">
        <f>(G7*D7)*F7+H7*F7</f>
        <v>3147.75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251.82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110.17125000000001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2785.75875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594.91525423728785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16.90337002118644</v>
      </c>
      <c r="P7" s="118">
        <f>M7+N7+O7</f>
        <v>3397.5773742584738</v>
      </c>
      <c r="Q7" s="142"/>
      <c r="R7" s="299">
        <v>5</v>
      </c>
      <c r="S7" s="300" t="str">
        <f>+'5'!A6:A6</f>
        <v xml:space="preserve">Best One  Mart </v>
      </c>
      <c r="T7" s="301">
        <f>+'5'!P35</f>
        <v>4805.3894985762709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17</v>
      </c>
      <c r="I8" s="236">
        <f t="shared" ref="I8:I14" si="0">(G8*D8)*F8+H8*F8</f>
        <v>891.86249999999995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71.349000000000004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31.215187500000003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789.29831249999995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168.55932203389824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4.7892881726694911</v>
      </c>
      <c r="P8" s="119">
        <f t="shared" ref="P8:P15" si="2">M8+N8+O8</f>
        <v>962.64692270656758</v>
      </c>
      <c r="R8" s="299">
        <v>6</v>
      </c>
      <c r="S8" s="300" t="str">
        <f>+'6'!A6:A6</f>
        <v xml:space="preserve">Chelet Bakers </v>
      </c>
      <c r="T8" s="301">
        <f>+'6'!P35</f>
        <v>5252.2947505868642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Askari Store</v>
      </c>
      <c r="T9" s="301">
        <f>+'7'!P35</f>
        <v>113.25257914194913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72</v>
      </c>
      <c r="I10" s="236">
        <f t="shared" si="0"/>
        <v>5230.08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418.40639999999996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183.05280000000002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4628.6207999999997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988.47457627118649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28.085476881355934</v>
      </c>
      <c r="P10" s="119">
        <f t="shared" si="2"/>
        <v>5645.1808531525421</v>
      </c>
      <c r="R10" s="299">
        <v>8</v>
      </c>
      <c r="S10" s="300" t="str">
        <f>+'8'!A6:A6</f>
        <v>Cant Store</v>
      </c>
      <c r="T10" s="301">
        <f>+'8'!P35</f>
        <v>5401.2631679237293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47</v>
      </c>
      <c r="I11" s="236">
        <f t="shared" si="0"/>
        <v>3414.08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273.12640000000005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119.49280000000002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3021.4607999999998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645.25423728813564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18.33357518644068</v>
      </c>
      <c r="P11" s="119">
        <f t="shared" si="2"/>
        <v>3685.0486124745762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88</v>
      </c>
      <c r="I12" s="236">
        <f t="shared" si="0"/>
        <v>6392.32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511.38560000000001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223.73120000000003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5657.2031999999999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1208.1355932203392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34.326693966101693</v>
      </c>
      <c r="P12" s="119">
        <f t="shared" si="2"/>
        <v>6899.6654871864403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100</v>
      </c>
      <c r="I13" s="236">
        <f t="shared" si="0"/>
        <v>3923.0000000000005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196.15000000000006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137.30500000000004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200.07299999999998</v>
      </c>
      <c r="M13" s="230">
        <f t="shared" si="1"/>
        <v>3389.4720000000007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762.71186440677911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20.760919322033899</v>
      </c>
      <c r="P13" s="119">
        <f t="shared" si="2"/>
        <v>4172.9447837288135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85">
        <f>COUNT(A7:A15)</f>
        <v>0</v>
      </c>
      <c r="B16" s="346"/>
      <c r="C16" s="346" t="s">
        <v>40</v>
      </c>
      <c r="D16" s="346"/>
      <c r="E16" s="346"/>
      <c r="F16" s="347"/>
      <c r="G16" s="117">
        <f>H16/40</f>
        <v>9.6</v>
      </c>
      <c r="H16" s="113">
        <f t="shared" ref="H16:M16" si="3">SUM(H7:H15)</f>
        <v>384</v>
      </c>
      <c r="I16" s="114">
        <f t="shared" si="3"/>
        <v>22999.092499999999</v>
      </c>
      <c r="J16" s="274">
        <f>SUM(J7:J15)</f>
        <v>1722.2374000000002</v>
      </c>
      <c r="K16" s="275">
        <f t="shared" si="3"/>
        <v>804.96823750000021</v>
      </c>
      <c r="L16" s="276">
        <f t="shared" si="3"/>
        <v>200.07299999999998</v>
      </c>
      <c r="M16" s="232">
        <f t="shared" si="3"/>
        <v>20271.813862500003</v>
      </c>
      <c r="N16" s="233">
        <f>SUM(N7:N15)</f>
        <v>4368.0508474576272</v>
      </c>
      <c r="O16" s="101">
        <f>SUM(O7:O15)</f>
        <v>123.19932354978813</v>
      </c>
      <c r="P16" s="234">
        <f>SUM(P7:P15)</f>
        <v>24763.064033507413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48" t="s">
        <v>64</v>
      </c>
      <c r="C19" s="349"/>
      <c r="D19" s="349"/>
      <c r="E19" s="349"/>
      <c r="F19" s="349"/>
      <c r="G19" s="349"/>
      <c r="H19" s="349"/>
      <c r="I19" s="349"/>
      <c r="J19" s="349"/>
      <c r="K19" s="349"/>
      <c r="L19" s="350"/>
      <c r="N19" s="357" t="s">
        <v>60</v>
      </c>
      <c r="O19" s="358"/>
      <c r="P19" s="139">
        <f>I16</f>
        <v>22999.092499999999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1"/>
      <c r="C20" s="352"/>
      <c r="D20" s="352"/>
      <c r="E20" s="352"/>
      <c r="F20" s="352"/>
      <c r="G20" s="352"/>
      <c r="H20" s="352"/>
      <c r="I20" s="352"/>
      <c r="J20" s="352"/>
      <c r="K20" s="352"/>
      <c r="L20" s="353"/>
      <c r="N20" s="359" t="s">
        <v>85</v>
      </c>
      <c r="O20" s="360"/>
      <c r="P20" s="140">
        <f>+J16</f>
        <v>1722.2374000000002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1"/>
      <c r="C21" s="352"/>
      <c r="D21" s="352"/>
      <c r="E21" s="352"/>
      <c r="F21" s="352"/>
      <c r="G21" s="352"/>
      <c r="H21" s="352"/>
      <c r="I21" s="352"/>
      <c r="J21" s="352"/>
      <c r="K21" s="352"/>
      <c r="L21" s="353"/>
      <c r="N21" s="359" t="s">
        <v>86</v>
      </c>
      <c r="O21" s="360"/>
      <c r="P21" s="140">
        <f>+K16+L16</f>
        <v>1005.0412375000002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1"/>
      <c r="C22" s="352"/>
      <c r="D22" s="352"/>
      <c r="E22" s="352"/>
      <c r="F22" s="352"/>
      <c r="G22" s="352"/>
      <c r="H22" s="352"/>
      <c r="I22" s="352"/>
      <c r="J22" s="352"/>
      <c r="K22" s="352"/>
      <c r="L22" s="353"/>
      <c r="M22" s="131"/>
      <c r="N22" s="359" t="s">
        <v>87</v>
      </c>
      <c r="O22" s="360"/>
      <c r="P22" s="140">
        <f>P19-P20-P21</f>
        <v>20271.813862499996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1"/>
      <c r="C23" s="352"/>
      <c r="D23" s="352"/>
      <c r="E23" s="352"/>
      <c r="F23" s="352"/>
      <c r="G23" s="352"/>
      <c r="H23" s="352"/>
      <c r="I23" s="352"/>
      <c r="J23" s="352"/>
      <c r="K23" s="352"/>
      <c r="L23" s="353"/>
      <c r="M23" s="131"/>
      <c r="N23" s="136" t="s">
        <v>61</v>
      </c>
      <c r="O23" s="133">
        <v>0.18</v>
      </c>
      <c r="P23" s="140">
        <f>+N16</f>
        <v>4368.0508474576272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1"/>
      <c r="C24" s="352"/>
      <c r="D24" s="352"/>
      <c r="E24" s="352"/>
      <c r="F24" s="352"/>
      <c r="G24" s="352"/>
      <c r="H24" s="352"/>
      <c r="I24" s="352"/>
      <c r="J24" s="352"/>
      <c r="K24" s="352"/>
      <c r="L24" s="353"/>
      <c r="M24" s="131"/>
      <c r="N24" s="361" t="s">
        <v>76</v>
      </c>
      <c r="O24" s="362"/>
      <c r="P24" s="140">
        <f>P22+P23</f>
        <v>24639.864709957623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4"/>
      <c r="C25" s="355"/>
      <c r="D25" s="355"/>
      <c r="E25" s="355"/>
      <c r="F25" s="355"/>
      <c r="G25" s="355"/>
      <c r="H25" s="355"/>
      <c r="I25" s="355"/>
      <c r="J25" s="355"/>
      <c r="K25" s="355"/>
      <c r="L25" s="356"/>
      <c r="M25" s="99"/>
      <c r="N25" s="138" t="s">
        <v>83</v>
      </c>
      <c r="O25" s="137" t="e">
        <f>IF(#REF!="Filer",0.5%,2.5%)</f>
        <v>#REF!</v>
      </c>
      <c r="P25" s="140">
        <f>+O16</f>
        <v>123.19932354978813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3" t="s">
        <v>88</v>
      </c>
      <c r="O26" s="364"/>
      <c r="P26" s="297">
        <f>+P24+P25</f>
        <v>24763.064033507409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5"/>
      <c r="D27" s="365"/>
      <c r="E27" s="365"/>
      <c r="F27" s="365"/>
      <c r="G27" s="365"/>
      <c r="H27" s="365"/>
      <c r="I27" s="366"/>
      <c r="J27" s="367"/>
      <c r="K27" s="36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24763.064033507413</v>
      </c>
    </row>
    <row r="44" spans="2:20" x14ac:dyDescent="0.35">
      <c r="B44" t="s">
        <v>505</v>
      </c>
    </row>
    <row r="45" spans="2:20" x14ac:dyDescent="0.35">
      <c r="B45" t="s">
        <v>506</v>
      </c>
    </row>
    <row r="46" spans="2:20" x14ac:dyDescent="0.35">
      <c r="B46" t="s">
        <v>507</v>
      </c>
    </row>
    <row r="47" spans="2:20" x14ac:dyDescent="0.35">
      <c r="B47" t="s">
        <v>508</v>
      </c>
    </row>
    <row r="48" spans="2:20" x14ac:dyDescent="0.35">
      <c r="B48" t="s">
        <v>509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C18" sqref="C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7.25" customHeight="1" x14ac:dyDescent="0.4">
      <c r="A6" s="389" t="s">
        <v>512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513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7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7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7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" si="8">SUM(G16:G24)</f>
        <v>0</v>
      </c>
      <c r="H25" s="113">
        <f t="shared" ref="H25" si="9">SUM(H16:H24)</f>
        <v>36</v>
      </c>
      <c r="I25" s="114">
        <f t="shared" ref="I25:M25" si="10">SUM(I16:I24)</f>
        <v>2615.04</v>
      </c>
      <c r="J25" s="274">
        <f>SUM(J16:J24)</f>
        <v>209.20320000000004</v>
      </c>
      <c r="K25" s="275">
        <f t="shared" si="10"/>
        <v>91.52640000000001</v>
      </c>
      <c r="L25" s="276">
        <f t="shared" si="10"/>
        <v>0</v>
      </c>
      <c r="M25" s="232">
        <f t="shared" si="10"/>
        <v>2314.3104000000003</v>
      </c>
      <c r="N25" s="233">
        <f>SUM(N16:N24)</f>
        <v>494.23728813559325</v>
      </c>
      <c r="O25" s="101">
        <f>SUM(O16:O24)</f>
        <v>14.042738440677967</v>
      </c>
      <c r="P25" s="234">
        <f>SUM(P16:P24)</f>
        <v>2822.5904265762711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2615.04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209.20320000000004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91.52640000000001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2314.3103999999998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494.23728813559325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2808.547688135593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14.042738440677965</v>
      </c>
    </row>
    <row r="35" spans="2:16" ht="15.75" customHeight="1" thickBot="1" x14ac:dyDescent="0.4">
      <c r="N35" s="363" t="s">
        <v>88</v>
      </c>
      <c r="O35" s="364"/>
      <c r="P35" s="297">
        <f>+P33+P34</f>
        <v>2822.5904265762711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9" workbookViewId="0">
      <selection activeCell="Q21" sqref="Q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514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513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</v>
      </c>
      <c r="I21" s="236">
        <f t="shared" si="0"/>
        <v>72.64</v>
      </c>
      <c r="J21" s="272">
        <f t="shared" si="1"/>
        <v>5.8112000000000004</v>
      </c>
      <c r="K21" s="128">
        <f t="shared" si="1"/>
        <v>2.5424000000000002</v>
      </c>
      <c r="L21" s="119">
        <f t="shared" si="1"/>
        <v>0</v>
      </c>
      <c r="M21" s="230">
        <f t="shared" si="2"/>
        <v>64.2864</v>
      </c>
      <c r="N21" s="277">
        <f t="shared" si="3"/>
        <v>13.728813559322035</v>
      </c>
      <c r="O21" s="239">
        <f t="shared" si="4"/>
        <v>0.39007606779661019</v>
      </c>
      <c r="P21" s="119">
        <f t="shared" si="5"/>
        <v>78.405289627118648</v>
      </c>
      <c r="Q21">
        <v>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16</v>
      </c>
      <c r="I25" s="114">
        <f t="shared" si="7"/>
        <v>1061.3525000000002</v>
      </c>
      <c r="J25" s="274">
        <f>SUM(J16:J24)</f>
        <v>84.908199999999994</v>
      </c>
      <c r="K25" s="275">
        <f t="shared" si="7"/>
        <v>37.147337500000006</v>
      </c>
      <c r="L25" s="276">
        <f t="shared" si="7"/>
        <v>0</v>
      </c>
      <c r="M25" s="232">
        <f t="shared" si="7"/>
        <v>939.29696250000006</v>
      </c>
      <c r="N25" s="233">
        <f>SUM(N16:N24)</f>
        <v>200.59322033898303</v>
      </c>
      <c r="O25" s="101">
        <f>SUM(O16:O24)</f>
        <v>5.6994509141949159</v>
      </c>
      <c r="P25" s="234">
        <f>SUM(P16:P24)</f>
        <v>1145.5896337531781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1061.3525000000002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84.908199999999994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37.147337500000006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939.29696250000018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200.59322033898303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1139.8901828389833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5.6994509141949168</v>
      </c>
    </row>
    <row r="35" spans="2:16" ht="15.75" customHeight="1" thickBot="1" x14ac:dyDescent="0.4">
      <c r="N35" s="363" t="s">
        <v>88</v>
      </c>
      <c r="O35" s="364"/>
      <c r="P35" s="297">
        <f>+P33+P34</f>
        <v>1145.5896337531781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8.75" customHeight="1" x14ac:dyDescent="0.4">
      <c r="A6" s="389" t="s">
        <v>515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516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1569.2000000000003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78.460000000000022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134.95120000000003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1355.7888000000003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1660.873545762712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63" t="s">
        <v>88</v>
      </c>
      <c r="O35" s="364"/>
      <c r="P35" s="297">
        <f>+P33+P34</f>
        <v>1669.1779134915255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517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519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50</v>
      </c>
      <c r="I25" s="114">
        <f t="shared" si="7"/>
        <v>3297.9</v>
      </c>
      <c r="J25" s="274">
        <f>SUM(J16:J24)</f>
        <v>252.06300000000002</v>
      </c>
      <c r="K25" s="275">
        <f t="shared" si="7"/>
        <v>115.42650000000002</v>
      </c>
      <c r="L25" s="276">
        <f t="shared" si="7"/>
        <v>20.007300000000001</v>
      </c>
      <c r="M25" s="232">
        <f t="shared" si="7"/>
        <v>2910.4032000000002</v>
      </c>
      <c r="N25" s="233">
        <f>SUM(N16:N24)</f>
        <v>625.42372881355936</v>
      </c>
      <c r="O25" s="101">
        <f>SUM(O16:O24)</f>
        <v>17.679134644067798</v>
      </c>
      <c r="P25" s="234">
        <f>SUM(P16:P24)</f>
        <v>3553.5060634576271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3297.9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252.06300000000002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135.43380000000002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2910.4031999999997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625.42372881355936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3535.8269288135589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17.679134644067794</v>
      </c>
    </row>
    <row r="35" spans="2:16" ht="15.75" customHeight="1" thickBot="1" x14ac:dyDescent="0.4">
      <c r="N35" s="363" t="s">
        <v>88</v>
      </c>
      <c r="O35" s="364"/>
      <c r="P35" s="297">
        <f>+P33+P34</f>
        <v>3553.5060634576266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520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516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234">
        <f>SUM(P16:P24)</f>
        <v>4805.3894985762709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4474.8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310.90800000000002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236.64720000000003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3927.2447999999999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4781.4820881355927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63" t="s">
        <v>88</v>
      </c>
      <c r="O35" s="364"/>
      <c r="P35" s="297">
        <f>+P33+P34</f>
        <v>4805.3894985762709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521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522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119">
        <f t="shared" ref="P17:P24" si="5">M17+N17+O17</f>
        <v>849.39434356461845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80</v>
      </c>
      <c r="I25" s="114">
        <f t="shared" si="7"/>
        <v>4871.7750000000005</v>
      </c>
      <c r="J25" s="274">
        <f>SUM(J16:J24)</f>
        <v>377.97300000000001</v>
      </c>
      <c r="K25" s="275">
        <f t="shared" si="7"/>
        <v>170.51212500000003</v>
      </c>
      <c r="L25" s="276">
        <f t="shared" si="7"/>
        <v>20.007300000000001</v>
      </c>
      <c r="M25" s="232">
        <f t="shared" si="7"/>
        <v>4303.2825749999993</v>
      </c>
      <c r="N25" s="233">
        <f>SUM(N16:N24)</f>
        <v>922.88135593220318</v>
      </c>
      <c r="O25" s="101">
        <f>SUM(O16:O24)</f>
        <v>26.130819654661018</v>
      </c>
      <c r="P25" s="234">
        <f>SUM(P16:P24)</f>
        <v>5252.2947505868642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4871.7750000000005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377.97300000000001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190.51942500000001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4303.2825750000002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922.88135593220318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5226.1639309322036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26.130819654661018</v>
      </c>
    </row>
    <row r="35" spans="2:16" ht="15.75" customHeight="1" thickBot="1" x14ac:dyDescent="0.4">
      <c r="N35" s="363" t="s">
        <v>88</v>
      </c>
      <c r="O35" s="364"/>
      <c r="P35" s="297">
        <f>+P33+P34</f>
        <v>5252.2947505868642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Q17" sqref="Q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523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524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>
        <v>20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</v>
      </c>
      <c r="I17" s="236">
        <f t="shared" ref="I17:I23" si="0">(G17*D17)*F17+H17*F17</f>
        <v>104.925</v>
      </c>
      <c r="J17" s="272">
        <f t="shared" ref="J17:L24" si="1">$I17*S17</f>
        <v>8.3940000000000001</v>
      </c>
      <c r="K17" s="128">
        <f>$I17*T17</f>
        <v>3.6723750000000002</v>
      </c>
      <c r="L17" s="119">
        <f>$I17*U17</f>
        <v>0</v>
      </c>
      <c r="M17" s="230">
        <f t="shared" ref="M17:M24" si="2">I17-SUM(J17:L17)</f>
        <v>92.858624999999989</v>
      </c>
      <c r="N17" s="277">
        <f t="shared" ref="N17:N24" si="3">+(G17*D17+H17)*V17</f>
        <v>19.830508474576263</v>
      </c>
      <c r="O17" s="239">
        <f t="shared" ref="O17:O24" si="4">(N17+M17)*$O$15</f>
        <v>0.56344566737288126</v>
      </c>
      <c r="P17" s="119">
        <f t="shared" ref="P17:P24" si="5">M17+N17+O17</f>
        <v>113.25257914194913</v>
      </c>
      <c r="Q17">
        <v>20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>
        <v>20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>
        <v>20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2</v>
      </c>
      <c r="I25" s="114">
        <f t="shared" si="7"/>
        <v>104.925</v>
      </c>
      <c r="J25" s="274">
        <f>SUM(J16:J24)</f>
        <v>8.3940000000000001</v>
      </c>
      <c r="K25" s="275">
        <f t="shared" si="7"/>
        <v>3.6723750000000002</v>
      </c>
      <c r="L25" s="276">
        <f t="shared" si="7"/>
        <v>0</v>
      </c>
      <c r="M25" s="232">
        <f t="shared" si="7"/>
        <v>92.858624999999989</v>
      </c>
      <c r="N25" s="233">
        <f>SUM(N16:N24)</f>
        <v>19.830508474576263</v>
      </c>
      <c r="O25" s="101">
        <f>SUM(O16:O24)</f>
        <v>0.56344566737288126</v>
      </c>
      <c r="P25" s="234">
        <f>SUM(P16:P24)</f>
        <v>113.25257914194913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104.925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8.3940000000000001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3.6723750000000002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92.858624999999989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19.830508474576263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112.68913347457625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0.56344566737288126</v>
      </c>
    </row>
    <row r="35" spans="2:16" ht="15.75" customHeight="1" thickBot="1" x14ac:dyDescent="0.4">
      <c r="N35" s="363" t="s">
        <v>88</v>
      </c>
      <c r="O35" s="364"/>
      <c r="P35" s="297">
        <f>+P33+P34</f>
        <v>113.25257914194913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525</v>
      </c>
      <c r="B6" s="389"/>
      <c r="C6" s="389"/>
      <c r="F6" s="85"/>
      <c r="G6" s="86"/>
      <c r="K6" s="384" t="s">
        <v>69</v>
      </c>
      <c r="L6" s="384"/>
      <c r="M6" s="384"/>
      <c r="N6" s="386" t="s">
        <v>508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518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5004.1000000000004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400.32799999999997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175.14350000000002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4428.6285000000007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5374.3912118644075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63" t="s">
        <v>88</v>
      </c>
      <c r="O35" s="364"/>
      <c r="P35" s="297">
        <f>+P33+P34</f>
        <v>5401.2631679237293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501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502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8.75" customHeight="1" x14ac:dyDescent="0.4">
      <c r="A6" s="389" t="s">
        <v>503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504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46235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46234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510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510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2" t="s">
        <v>91</v>
      </c>
      <c r="B2" s="382"/>
      <c r="C2" s="382"/>
    </row>
    <row r="3" spans="1:18 16382:16383" ht="15" customHeight="1" x14ac:dyDescent="0.35">
      <c r="A3" s="383" t="s">
        <v>92</v>
      </c>
      <c r="B3" s="383"/>
      <c r="C3" s="383"/>
      <c r="F3" s="85"/>
      <c r="G3" s="1"/>
      <c r="J3" s="384" t="s">
        <v>43</v>
      </c>
      <c r="K3" s="384"/>
      <c r="L3" s="384"/>
      <c r="M3" s="383"/>
      <c r="N3" s="383"/>
      <c r="O3" s="38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3" t="s">
        <v>65</v>
      </c>
      <c r="B4" s="383"/>
      <c r="C4" s="383"/>
      <c r="F4" s="85"/>
      <c r="G4" s="1"/>
      <c r="J4" s="384" t="s">
        <v>44</v>
      </c>
      <c r="K4" s="384"/>
      <c r="L4" s="384"/>
      <c r="M4" s="387">
        <f ca="1">TODAY()+1</f>
        <v>46235</v>
      </c>
      <c r="N4" s="387"/>
      <c r="O4" s="38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8" t="s">
        <v>93</v>
      </c>
      <c r="B5" s="388"/>
      <c r="C5" s="388"/>
      <c r="F5" s="85"/>
      <c r="G5" s="1"/>
      <c r="J5" s="384" t="s">
        <v>45</v>
      </c>
      <c r="K5" s="384"/>
      <c r="L5" s="384"/>
      <c r="M5" s="387">
        <f ca="1">M4-1</f>
        <v>46234</v>
      </c>
      <c r="N5" s="383"/>
      <c r="O5" s="383"/>
      <c r="Q5" s="85"/>
      <c r="R5" s="1"/>
    </row>
    <row r="6" spans="1:18 16382:16383" ht="15" customHeight="1" x14ac:dyDescent="0.35">
      <c r="A6" s="384" t="s">
        <v>94</v>
      </c>
      <c r="B6" s="384"/>
      <c r="C6" s="384"/>
      <c r="F6" s="85"/>
      <c r="G6" s="86"/>
      <c r="J6" s="384" t="s">
        <v>69</v>
      </c>
      <c r="K6" s="384"/>
      <c r="L6" s="384"/>
      <c r="M6" s="386" t="s">
        <v>62</v>
      </c>
      <c r="N6" s="386"/>
      <c r="O6" s="38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4" t="s">
        <v>73</v>
      </c>
      <c r="B7" s="384"/>
      <c r="C7" s="384"/>
      <c r="F7" s="85"/>
      <c r="G7" s="86"/>
      <c r="J7" s="384" t="s">
        <v>66</v>
      </c>
      <c r="K7" s="384"/>
      <c r="L7" s="384"/>
      <c r="M7" s="386" t="s">
        <v>70</v>
      </c>
      <c r="N7" s="386"/>
      <c r="O7" s="38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84" t="s">
        <v>67</v>
      </c>
      <c r="K8" s="384"/>
      <c r="L8" s="384"/>
      <c r="M8" s="386" t="s">
        <v>71</v>
      </c>
      <c r="N8" s="386"/>
      <c r="O8" s="386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84" t="s">
        <v>68</v>
      </c>
      <c r="K9" s="384"/>
      <c r="L9" s="384"/>
      <c r="M9" s="386" t="s">
        <v>104</v>
      </c>
      <c r="N9" s="386"/>
      <c r="O9" s="386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84" t="s">
        <v>46</v>
      </c>
      <c r="K10" s="384"/>
      <c r="L10" s="384"/>
      <c r="M10" s="383" t="s">
        <v>47</v>
      </c>
      <c r="N10" s="383"/>
      <c r="O10" s="38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4" t="s">
        <v>48</v>
      </c>
      <c r="K11" s="384"/>
      <c r="L11" s="384"/>
      <c r="M11" s="383" t="s">
        <v>49</v>
      </c>
      <c r="N11" s="383"/>
      <c r="O11" s="38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4" t="s">
        <v>50</v>
      </c>
      <c r="K12" s="384"/>
      <c r="L12" s="384"/>
      <c r="M12" s="383"/>
      <c r="N12" s="383"/>
      <c r="O12" s="38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4" t="s">
        <v>51</v>
      </c>
      <c r="B14" s="335"/>
      <c r="C14" s="338" t="s">
        <v>90</v>
      </c>
      <c r="D14" s="88" t="s">
        <v>52</v>
      </c>
      <c r="E14" s="95" t="s">
        <v>74</v>
      </c>
      <c r="F14" s="115" t="s">
        <v>53</v>
      </c>
      <c r="G14" s="381" t="s">
        <v>54</v>
      </c>
      <c r="H14" s="343"/>
      <c r="I14" s="344" t="s">
        <v>77</v>
      </c>
      <c r="J14" s="342" t="s">
        <v>55</v>
      </c>
      <c r="K14" s="343"/>
      <c r="L14" s="34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6"/>
      <c r="B15" s="337"/>
      <c r="C15" s="33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5"/>
      <c r="J15" s="144" t="s">
        <v>39</v>
      </c>
      <c r="K15" s="145" t="s">
        <v>59</v>
      </c>
      <c r="L15" s="34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50"/>
      <c r="M28" s="357" t="s">
        <v>60</v>
      </c>
      <c r="N28" s="358"/>
      <c r="O28" s="139">
        <f>I25</f>
        <v>1452.8</v>
      </c>
    </row>
    <row r="29" spans="1:18 16383:16383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3"/>
      <c r="M29" s="359" t="s">
        <v>85</v>
      </c>
      <c r="N29" s="360"/>
      <c r="O29" s="140">
        <f>K25</f>
        <v>0</v>
      </c>
    </row>
    <row r="30" spans="1:18 16383:16383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3"/>
      <c r="M30" s="359" t="s">
        <v>86</v>
      </c>
      <c r="N30" s="360"/>
      <c r="O30" s="140">
        <f>J25</f>
        <v>50.848000000000006</v>
      </c>
    </row>
    <row r="31" spans="1:18 16383:16383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3"/>
      <c r="L31" s="131"/>
      <c r="M31" s="359" t="s">
        <v>87</v>
      </c>
      <c r="N31" s="360"/>
      <c r="O31" s="140">
        <f>O28-O29-O30</f>
        <v>1401.952</v>
      </c>
    </row>
    <row r="32" spans="1:18 16383:16383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3"/>
      <c r="L33" s="131"/>
      <c r="M33" s="361" t="s">
        <v>76</v>
      </c>
      <c r="N33" s="362"/>
      <c r="O33" s="140">
        <f>O31+O32</f>
        <v>1710.3814400000001</v>
      </c>
    </row>
    <row r="34" spans="2:15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3" t="s">
        <v>88</v>
      </c>
      <c r="N35" s="364"/>
      <c r="O35" s="141">
        <f>O28-O29+O31+O34</f>
        <v>2897.511536</v>
      </c>
    </row>
    <row r="36" spans="2:15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4" t="s">
        <v>439</v>
      </c>
      <c r="E1" s="326" t="s">
        <v>58</v>
      </c>
      <c r="F1" s="326"/>
      <c r="G1" s="327" t="s">
        <v>440</v>
      </c>
      <c r="H1" s="327"/>
      <c r="I1" s="395" t="s">
        <v>441</v>
      </c>
      <c r="J1" s="395"/>
      <c r="K1" s="395" t="s">
        <v>442</v>
      </c>
      <c r="L1" s="395"/>
      <c r="M1" s="391" t="s">
        <v>484</v>
      </c>
      <c r="N1" s="392"/>
      <c r="O1" s="393"/>
    </row>
    <row r="2" spans="3:24" ht="29" x14ac:dyDescent="0.35">
      <c r="C2" s="326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8" t="s">
        <v>58</v>
      </c>
      <c r="F7" s="398"/>
      <c r="G7" s="399" t="s">
        <v>440</v>
      </c>
      <c r="H7" s="327"/>
      <c r="I7" s="328" t="s">
        <v>441</v>
      </c>
      <c r="J7" s="329"/>
      <c r="K7" s="328" t="s">
        <v>442</v>
      </c>
      <c r="L7" s="329"/>
      <c r="M7" s="391" t="s">
        <v>484</v>
      </c>
      <c r="N7" s="392"/>
      <c r="O7" s="393"/>
      <c r="P7" s="256" t="s">
        <v>475</v>
      </c>
      <c r="Q7" s="242" t="s">
        <v>473</v>
      </c>
      <c r="R7" s="394" t="s">
        <v>475</v>
      </c>
      <c r="S7" s="394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1" t="s">
        <v>484</v>
      </c>
      <c r="N13" s="392"/>
      <c r="O13" s="393"/>
      <c r="P13" s="256" t="s">
        <v>475</v>
      </c>
      <c r="Q13" s="242" t="s">
        <v>473</v>
      </c>
      <c r="R13" s="394" t="s">
        <v>475</v>
      </c>
      <c r="S13" s="394" t="s">
        <v>485</v>
      </c>
      <c r="T13" s="400" t="s">
        <v>486</v>
      </c>
      <c r="U13" s="400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1" t="s">
        <v>484</v>
      </c>
      <c r="N20" s="392"/>
      <c r="O20" s="393"/>
      <c r="P20" s="256" t="s">
        <v>475</v>
      </c>
      <c r="Q20" s="242" t="s">
        <v>473</v>
      </c>
      <c r="R20" s="394" t="s">
        <v>475</v>
      </c>
      <c r="S20" s="394" t="s">
        <v>485</v>
      </c>
      <c r="T20" s="400" t="s">
        <v>486</v>
      </c>
      <c r="U20" s="400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1" t="s">
        <v>484</v>
      </c>
      <c r="N27" s="392"/>
      <c r="O27" s="393"/>
      <c r="P27" s="256" t="s">
        <v>475</v>
      </c>
      <c r="Q27" s="242" t="s">
        <v>473</v>
      </c>
      <c r="R27" s="394" t="s">
        <v>475</v>
      </c>
      <c r="S27" s="394" t="s">
        <v>485</v>
      </c>
      <c r="T27" s="400" t="s">
        <v>486</v>
      </c>
      <c r="U27" s="400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4" t="s">
        <v>439</v>
      </c>
      <c r="D1" s="326" t="s">
        <v>58</v>
      </c>
      <c r="E1" s="326"/>
      <c r="F1" s="327" t="s">
        <v>440</v>
      </c>
      <c r="G1" s="327"/>
      <c r="H1" s="395" t="s">
        <v>441</v>
      </c>
      <c r="I1" s="395"/>
      <c r="J1" s="395" t="s">
        <v>442</v>
      </c>
      <c r="K1" s="395"/>
      <c r="L1" s="391" t="s">
        <v>484</v>
      </c>
      <c r="M1" s="392"/>
      <c r="N1" s="393"/>
    </row>
    <row r="2" spans="2:17" ht="29" x14ac:dyDescent="0.35">
      <c r="B2" s="326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2026-07-31T11:37:56Z</dcterms:modified>
</cp:coreProperties>
</file>