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7DDC2E9-1F35-497D-8137-190C2AA226E9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52" l="1"/>
  <c r="O22" i="52" s="1"/>
  <c r="P22" i="52" s="1"/>
  <c r="M22" i="43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<sst xmlns="http://schemas.openxmlformats.org/spreadsheetml/2006/main" count="3913" uniqueCount="530">
  <si>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</si>
  <si>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</si>
  <si>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</si>
  <si>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</si>
  <si>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</si>
  <si>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</si>
  <si>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</si>
  <si>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</si>
  <si>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</si>
  <si>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</si>
  <si>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</si>
  <si>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</si>
  <si>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</si>
  <si>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</si>
  <si>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</si>
  <si>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</si>
  <si>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</si>
  <si>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</si>
  <si>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</si>
  <si>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</si>
  <si>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</si>
  <si>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</si>
  <si>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</si>
  <si>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</si>
  <si>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</si>
  <si>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</si>
  <si>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</si>
  <si>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</si>
  <si>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</si>
  <si>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</si>
  <si>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</si>
  <si>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</si>
  <si>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</si>
  <si>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</si>
  <si>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</si>
  <si>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</si>
  <si>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</si>
  <si>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</si>
  <si>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</si>
  <si>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</si>
  <si>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</si>
  <si>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</si>
  <si>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</si>
  <si>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</si>
  <si>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</si>
  <si>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</si>
  <si>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</si>
  <si>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</si>
  <si>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</si>
  <si>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</si>
  <si>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</si>
  <si>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</si>
  <si>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</si>
  <si>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</si>
  <si>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</si>
  <si>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</si>
  <si>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</si>
  <si>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</si>
  <si>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</si>
  <si>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</si>
  <si>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</si>
  <si>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</si>
  <si>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</si>
  <si>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</si>
  <si>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</si>
  <si>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</si>
  <si>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</si>
  <si>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</si>
  <si>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</si>
  <si>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</si>
  <si>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</si>
  <si>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</si>
  <si>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</si>
  <si>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</si>
  <si>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</si>
  <si>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</si>
  <si>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</si>
  <si>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</si>
  <si>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</si>
  <si>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</si>
  <si>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</si>
  <si>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</si>
  <si>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</si>
  <si>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</si>
  <si>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</si>
  <si>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</si>
  <si>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</si>
  <si>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</si>
  <si>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</si>
  <si>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</si>
  <si>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</si>
  <si>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</si>
  <si>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</si>
  <si>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</si>
  <si>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</si>
  <si>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</si>
  <si>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</si>
  <si>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</si>
  <si>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</si>
  <si>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</si>
  <si>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</si>
  <si>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</si>
  <si>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</si>
  <si>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</si>
  <si>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</si>
  <si>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</si>
  <si>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</si>
  <si>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</si>
  <si>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</si>
  <si>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</si>
  <si>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</si>
  <si>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</si>
  <si>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</si>
  <si>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</si>
  <si>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</si>
  <si>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</si>
  <si>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</si>
  <si>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</si>
  <si>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</si>
  <si>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</si>
  <si>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</si>
  <si>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</si>
  <si>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</si>
  <si>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</si>
  <si>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</si>
  <si>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</si>
  <si>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</si>
  <si>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</si>
  <si>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</si>
  <si>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</si>
  <si>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</si>
  <si>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</si>
  <si>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</si>
  <si>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</si>
  <si>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</si>
  <si>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</si>
  <si>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</si>
  <si>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</si>
  <si>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</si>
  <si>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</si>
  <si>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</si>
  <si>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</si>
  <si>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</si>
  <si>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</si>
  <si>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</si>
  <si>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</si>
  <si>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</si>
  <si>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</si>
  <si>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</si>
  <si>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</si>
  <si>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</si>
  <si>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</si>
  <si>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</si>
  <si>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</si>
  <si>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</si>
  <si>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</si>
  <si>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</si>
  <si>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</si>
  <si>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</si>
  <si>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</si>
  <si>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</si>
  <si>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</si>
  <si>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</si>
  <si>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</si>
  <si>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</si>
  <si>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</si>
  <si>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</si>
  <si>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</si>
  <si>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</si>
  <si>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</si>
  <si>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</si>
  <si>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</si>
  <si>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</si>
  <si>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</si>
  <si>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</si>
  <si>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</si>
  <si>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</si>
  <si>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</si>
  <si>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</si>
  <si>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</si>
  <si>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</si>
  <si>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</si>
  <si>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</si>
  <si>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</si>
  <si>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</si>
  <si>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</si>
  <si>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</si>
  <si>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</si>
  <si>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</si>
  <si>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</si>
  <si>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</si>
  <si>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</si>
  <si>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</si>
  <si>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</si>
  <si>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</si>
  <si>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</si>
  <si>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</si>
  <si>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</si>
  <si>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</si>
  <si>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</si>
  <si>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</si>
  <si>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</si>
  <si>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</si>
  <si>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</si>
  <si>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</si>
  <si>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</si>
  <si>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</si>
  <si>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</si>
  <si>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</si>
  <si>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</si>
  <si>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</si>
  <si>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</si>
  <si>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</si>
  <si>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</si>
  <si>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</si>
  <si>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</si>
  <si>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</si>
  <si>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</si>
  <si>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</si>
  <si>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</si>
  <si>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</si>
  <si>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</si>
  <si>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</si>
  <si>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</si>
  <si>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</si>
  <si>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</si>
  <si>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</si>
  <si>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</si>
  <si>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</si>
  <si>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</si>
  <si>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</si>
  <si>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</si>
  <si>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</si>
  <si>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</si>
  <si>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</si>
  <si>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</si>
  <si>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</si>
  <si>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</si>
  <si>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</si>
  <si>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</si>
  <si>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</si>
  <si>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</si>
  <si>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</si>
  <si>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</si>
  <si>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</si>
  <si>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</si>
  <si>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</si>
  <si>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</si>
  <si>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</si>
  <si>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</si>
  <si>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</si>
  <si>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</si>
  <si>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</si>
  <si>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</si>
  <si>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</si>
  <si>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</si>
  <si>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</si>
  <si>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</si>
  <si>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</si>
  <si>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</si>
  <si>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</si>
  <si>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</si>
  <si>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</si>
  <si>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</si>
  <si>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</si>
  <si>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</si>
  <si>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</si>
  <si>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</si>
  <si>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</si>
  <si>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</si>
  <si>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</si>
  <si>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</si>
  <si>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</si>
  <si>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</si>
  <si>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</si>
  <si>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</si>
  <si>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</si>
  <si>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</si>
  <si>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</si>
  <si>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</si>
  <si>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</si>
  <si>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</si>
  <si>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</si>
  <si>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</si>
  <si>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</si>
  <si>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</si>
  <si>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</si>
  <si>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</si>
  <si>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</si>
  <si>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</si>
  <si>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</si>
  <si>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</si>
  <si>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</si>
  <si>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</si>
  <si>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</si>
  <si>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</si>
  <si>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</si>
  <si>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</si>
  <si>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</si>
  <si>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</si>
  <si>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</si>
  <si>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</si>
  <si>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</si>
  <si>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</si>
  <si>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</si>
  <si>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</si>
  <si>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</si>
  <si>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</si>
  <si>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</si>
  <si>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</si>
  <si>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</si>
  <si>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</si>
  <si>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</si>
  <si>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</si>
  <si>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</si>
  <si>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</si>
  <si>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</si>
  <si>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</si>
  <si>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</si>
  <si>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</si>
  <si>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</si>
  <si>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</si>
  <si>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</si>
  <si>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</si>
  <si>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</si>
  <si>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</si>
  <si>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</si>
  <si>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</si>
  <si>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</si>
  <si>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</si>
  <si>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</si>
  <si>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</si>
  <si>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</si>
  <si>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</si>
  <si>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</si>
  <si>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</si>
  <si>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</si>
  <si>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</si>
  <si>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</si>
  <si>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</si>
  <si>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</si>
  <si>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</si>
  <si>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</si>
  <si>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</si>
  <si>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</si>
  <si>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</si>
  <si>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</si>
  <si>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</si>
  <si>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</si>
  <si>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</si>
  <si>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</si>
  <si>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</si>
  <si>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</si>
  <si>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</si>
  <si>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</si>
  <si>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</si>
  <si>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</si>
  <si>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</si>
  <si>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</si>
  <si>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</si>
  <si>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</si>
  <si>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</si>
  <si>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</si>
  <si>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</si>
  <si>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</si>
  <si>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</si>
  <si>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</si>
  <si>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</si>
  <si>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</si>
  <si>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</si>
  <si>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</si>
  <si>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</si>
  <si>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</si>
  <si>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</si>
  <si>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</si>
  <si>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</si>
  <si>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</si>
  <si>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</si>
  <si>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</si>
  <si>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</si>
  <si>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</si>
  <si>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</si>
  <si>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</si>
  <si>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</si>
  <si>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</si>
  <si>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</si>
  <si>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</si>
  <si>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</si>
  <si>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</si>
  <si>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</si>
  <si>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</si>
  <si>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</si>
  <si>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</si>
  <si>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</si>
  <si>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</si>
  <si>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</si>
  <si>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</si>
  <si>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</si>
  <si>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</si>
  <si>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</si>
  <si>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</si>
  <si>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</si>
  <si>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</si>
  <si>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</si>
  <si>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</si>
  <si>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</si>
  <si>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</si>
  <si>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</si>
  <si>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</si>
  <si>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</si>
  <si>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</si>
  <si>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</si>
  <si>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</si>
  <si>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</si>
  <si>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</si>
  <si>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</si>
  <si>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</si>
  <si>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</si>
  <si>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</si>
  <si>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</si>
  <si>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</si>
  <si>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</si>
  <si>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</si>
  <si>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</si>
  <si>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</si>
  <si>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</si>
  <si>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</si>
  <si>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</si>
  <si>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</si>
  <si>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</si>
  <si>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</si>
  <si>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</si>
  <si>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</si>
  <si>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</si>
  <si>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</si>
  <si>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</si>
  <si>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</si>
  <si>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</si>
  <si>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</si>
  <si>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</si>
  <si>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</si>
  <si>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</si>
  <si>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</si>
  <si>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</si>
  <si>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</si>
  <si>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</si>
  <si>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</si>
  <si>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</si>
  <si>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</si>
  <si>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</si>
  <si>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</si>
  <si>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</si>
  <si>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</si>
  <si>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</si>
  <si>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</si>
  <si>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</si>
  <si>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</si>
  <si>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</si>
  <si>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</si>
  <si>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</si>
  <si>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</si>
  <si>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</si>
  <si>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</si>
  <si>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</si>
  <si>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</si>
  <si>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</si>
  <si>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</si>
  <si>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</si>
  <si>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</si>
  <si>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</si>
  <si>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</si>
  <si>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</si>
  <si>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</si>
  <si>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</si>
  <si>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</si>
  <si>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</si>
  <si>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</si>
  <si>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</si>
  <si>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</si>
  <si>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</si>
  <si>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</si>
  <si>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</si>
  <si>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</si>
  <si>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</si>
  <si>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</si>
  <si>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</si>
  <si>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</si>
  <si>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</si>
  <si>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</si>
  <si>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</si>
  <si>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</si>
  <si>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</si>
  <si>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</si>
  <si>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</si>
  <si>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</si>
  <si>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</si>
  <si>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</si>
  <si>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</si>
  <si>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</si>
  <si>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</si>
  <si>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</si>
  <si>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</si>
  <si>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</si>
  <si>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</si>
  <si>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</si>
  <si>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</si>
  <si>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</si>
  <si>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</si>
  <si>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</si>
  <si>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</si>
  <si>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</si>
  <si>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Muazzam Cash &amp; Carry </t>
  </si>
  <si>
    <t xml:space="preserve">Address: Youna abad </t>
  </si>
  <si>
    <t>Shehriyar Store</t>
  </si>
  <si>
    <t>Address:Youhana Abad</t>
  </si>
  <si>
    <t>Tayyab Khan Store</t>
  </si>
  <si>
    <t xml:space="preserve">Address:Younaabd </t>
  </si>
  <si>
    <t>Zafar General Store</t>
  </si>
  <si>
    <t>Address:Youna abad</t>
  </si>
  <si>
    <t xml:space="preserve">Grace Land Mart </t>
  </si>
  <si>
    <t>Address:Younaabad</t>
  </si>
  <si>
    <t>Haroon Dypers Store</t>
  </si>
  <si>
    <t>Khadija Kariyana Store</t>
  </si>
  <si>
    <t>Address:younaabad</t>
  </si>
  <si>
    <t>B.I.B Store</t>
  </si>
  <si>
    <t>Address: Younaabad</t>
  </si>
  <si>
    <t>Malik Kareyana Store</t>
  </si>
  <si>
    <t xml:space="preserve">Kekiz Bakers </t>
  </si>
  <si>
    <t>Noor Madina Store</t>
  </si>
  <si>
    <t>Insaf General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</si>
</sst>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48"/>
  <sheetViews>
    <sheetView tabSelected="1" workbookViewId="0">
      <selection activeCell="U5" sqref="U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8" t="s">
        <v>91</v>
      </c>
      <c r="B2" s="358"/>
      <c r="C2" s="358"/>
      <c r="E2" s="345" t="s">
        <v>499</v>
      </c>
      <c r="F2" s="346"/>
      <c r="G2" s="346"/>
      <c r="H2" s="343" t="s">
        <v>503</v>
      </c>
      <c r="I2" s="343"/>
      <c r="J2" s="344"/>
      <c r="R2" s="340" t="s">
        <v>498</v>
      </c>
      <c r="S2" s="341"/>
      <c r="T2" s="342"/>
    </row>
    <row r="3" spans="1:20 16377:16378" ht="21.75" customHeight="1" thickBot="1" x14ac:dyDescent="0.4">
      <c r="A3" s="359" t="s">
        <v>92</v>
      </c>
      <c r="B3" s="359"/>
      <c r="C3" s="359"/>
      <c r="E3" s="349" t="s">
        <v>500</v>
      </c>
      <c r="F3" s="350"/>
      <c r="G3" s="350"/>
      <c r="H3" s="347">
        <f ca="1">+'1'!N4:N4</f>
        <v>46233</v>
      </c>
      <c r="I3" s="347"/>
      <c r="J3" s="348"/>
      <c r="K3" s="360" t="s">
        <v>43</v>
      </c>
      <c r="L3" s="360"/>
      <c r="M3" s="360"/>
      <c r="N3" s="359"/>
      <c r="O3" s="359"/>
      <c r="P3" s="359"/>
      <c r="R3" s="299">
        <v>1</v>
      </c>
      <c r="S3" s="300" t="str">
        <f>+'1'!A6:A6</f>
        <v xml:space="preserve">Muazzam Cash &amp; Carry </v>
      </c>
      <c r="T3" s="301">
        <f>+'1'!P35</f>
        <v>6272.4231701694916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Shehriyar Store</v>
      </c>
      <c r="T4" s="301">
        <f>+'2'!P35</f>
        <v>1669.1779134915255</v>
      </c>
      <c r="XEX4" t="s">
        <v>105</v>
      </c>
    </row>
    <row r="5" spans="1:20 16377:16378" ht="21.75" customHeight="1" thickBot="1" x14ac:dyDescent="0.4">
      <c r="A5" s="379" t="s">
        <v>51</v>
      </c>
      <c r="B5" s="351"/>
      <c r="C5" s="381" t="s">
        <v>90</v>
      </c>
      <c r="D5" s="115" t="s">
        <v>52</v>
      </c>
      <c r="E5" s="383" t="s">
        <v>58</v>
      </c>
      <c r="F5" s="384"/>
      <c r="G5" s="356" t="s">
        <v>54</v>
      </c>
      <c r="H5" s="357"/>
      <c r="I5" s="385" t="s">
        <v>77</v>
      </c>
      <c r="J5" s="355" t="s">
        <v>55</v>
      </c>
      <c r="K5" s="356"/>
      <c r="L5" s="357"/>
      <c r="M5" s="351" t="s">
        <v>84</v>
      </c>
      <c r="N5" s="353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Tayyab Khan Store</v>
      </c>
      <c r="T5" s="301">
        <f>+'3'!P35</f>
        <v>3338.355826983051</v>
      </c>
      <c r="XEX5" t="s">
        <v>106</v>
      </c>
    </row>
    <row r="6" spans="1:20 16377:16378" ht="21.75" customHeight="1" thickBot="1" x14ac:dyDescent="0.4">
      <c r="A6" s="380"/>
      <c r="B6" s="352"/>
      <c r="C6" s="38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52"/>
      <c r="N6" s="354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Zafar General Store</v>
      </c>
      <c r="T6" s="301">
        <f>+'4'!P35</f>
        <v>2610.0413890169493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118">
        <f>M7+N7+O7</f>
        <v>0</v>
      </c>
      <c r="Q7" s="142"/>
      <c r="R7" s="299">
        <v>5</v>
      </c>
      <c r="S7" s="300" t="str">
        <f>+'5'!A6:A6</f>
        <v xml:space="preserve">Grace Land Mart </v>
      </c>
      <c r="T7" s="301">
        <f>+'5'!P35</f>
        <v>3136.2115850847458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119">
        <f t="shared" ref="P8:P15" si="2">M8+N8+O8</f>
        <v>0</v>
      </c>
      <c r="R8" s="299">
        <v>6</v>
      </c>
      <c r="S8" s="300" t="str">
        <f>+'6'!A6:A6</f>
        <v>Haroon Dypers Store</v>
      </c>
      <c r="T8" s="301">
        <f>+'6'!P35</f>
        <v>834.58895674576274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Khadija Kariyana Store</v>
      </c>
      <c r="T9" s="301">
        <f>+'7'!P35</f>
        <v>500.75337404745761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140</v>
      </c>
      <c r="I10" s="236">
        <f t="shared" si="0"/>
        <v>10169.6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813.56799999999998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355.93600000000004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9000.0960000000014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1922.0338983050847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54.610649491525422</v>
      </c>
      <c r="P10" s="119">
        <f t="shared" si="2"/>
        <v>10976.740547796611</v>
      </c>
      <c r="R10" s="299">
        <v>8</v>
      </c>
      <c r="S10" s="300" t="str">
        <f>+'8'!A6:A6</f>
        <v>B.I.B Store</v>
      </c>
      <c r="T10" s="301">
        <f>+'8'!P35</f>
        <v>3136.2115850847463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60</v>
      </c>
      <c r="I11" s="236">
        <f t="shared" si="0"/>
        <v>4358.3999999999996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348.67200000000003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152.54400000000001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3857.1839999999997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823.72881355932213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23.404564067796613</v>
      </c>
      <c r="P11" s="119">
        <f t="shared" si="2"/>
        <v>4704.3173776271187</v>
      </c>
      <c r="R11" s="299">
        <v>9</v>
      </c>
      <c r="S11" s="300" t="str">
        <f>+'9'!A6:A6</f>
        <v>Malik Kareyana Store</v>
      </c>
      <c r="T11" s="301">
        <f>+'9'!P35</f>
        <v>1669.1779134915255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52</v>
      </c>
      <c r="I12" s="236">
        <f t="shared" si="0"/>
        <v>3777.28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302.18240000000003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132.20480000000001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3342.8928000000001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713.89830508474574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20.283955525423728</v>
      </c>
      <c r="P12" s="119">
        <f t="shared" si="2"/>
        <v>4077.0750606101697</v>
      </c>
      <c r="R12" s="299">
        <v>10</v>
      </c>
      <c r="S12" s="300" t="str">
        <f>+'10'!A6:A6</f>
        <v xml:space="preserve">Kekiz Bakers </v>
      </c>
      <c r="T12" s="301">
        <f>+'10'!P35</f>
        <v>6272.4231701694916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312</v>
      </c>
      <c r="I13" s="236">
        <f t="shared" si="0"/>
        <v>12239.760000000002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611.98800000000017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428.39160000000015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624.22775999999999</v>
      </c>
      <c r="M13" s="230">
        <f t="shared" si="1"/>
        <v>10575.152640000002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2379.6610169491514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64.774068284745766</v>
      </c>
      <c r="P13" s="119">
        <f t="shared" si="2"/>
        <v>13019.5877252339</v>
      </c>
      <c r="R13" s="299">
        <v>11</v>
      </c>
      <c r="S13" s="300" t="str">
        <f>+'11'!A6:A6</f>
        <v>Noor Madina Store</v>
      </c>
      <c r="T13" s="301">
        <f>+'11'!P35</f>
        <v>1669.1779134915255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Insaf General Store</v>
      </c>
      <c r="T14" s="301">
        <f>+'12'!P35</f>
        <v>1669.1779134915255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1">
        <f>COUNT(A7:A15)</f>
        <v>0</v>
      </c>
      <c r="B16" s="362"/>
      <c r="C16" s="362" t="s">
        <v>40</v>
      </c>
      <c r="D16" s="362"/>
      <c r="E16" s="362"/>
      <c r="F16" s="363"/>
      <c r="G16" s="117">
        <f>H16/40</f>
        <v>14.1</v>
      </c>
      <c r="H16" s="113">
        <f t="shared" ref="H16:M16" si="3">SUM(H7:H15)</f>
        <v>564</v>
      </c>
      <c r="I16" s="114">
        <f t="shared" si="3"/>
        <v>30545.040000000001</v>
      </c>
      <c r="J16" s="274">
        <f>SUM(J7:J15)</f>
        <v>2076.4104000000002</v>
      </c>
      <c r="K16" s="275">
        <f t="shared" si="3"/>
        <v>1069.0764000000001</v>
      </c>
      <c r="L16" s="276">
        <f t="shared" si="3"/>
        <v>624.22775999999999</v>
      </c>
      <c r="M16" s="232">
        <f t="shared" si="3"/>
        <v>26775.325440000001</v>
      </c>
      <c r="N16" s="233">
        <f>SUM(N7:N15)</f>
        <v>5839.3220338983037</v>
      </c>
      <c r="O16" s="101">
        <f>SUM(O7:O15)</f>
        <v>163.07323736949152</v>
      </c>
      <c r="P16" s="234">
        <f>SUM(P7:P15)</f>
        <v>32777.720711267801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64" t="s">
        <v>64</v>
      </c>
      <c r="C19" s="365"/>
      <c r="D19" s="365"/>
      <c r="E19" s="365"/>
      <c r="F19" s="365"/>
      <c r="G19" s="365"/>
      <c r="H19" s="365"/>
      <c r="I19" s="365"/>
      <c r="J19" s="365"/>
      <c r="K19" s="365"/>
      <c r="L19" s="366"/>
      <c r="N19" s="373" t="s">
        <v>60</v>
      </c>
      <c r="O19" s="374"/>
      <c r="P19" s="139">
        <f>I16</f>
        <v>30545.040000000001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7"/>
      <c r="C20" s="368"/>
      <c r="D20" s="368"/>
      <c r="E20" s="368"/>
      <c r="F20" s="368"/>
      <c r="G20" s="368"/>
      <c r="H20" s="368"/>
      <c r="I20" s="368"/>
      <c r="J20" s="368"/>
      <c r="K20" s="368"/>
      <c r="L20" s="369"/>
      <c r="N20" s="375" t="s">
        <v>85</v>
      </c>
      <c r="O20" s="376"/>
      <c r="P20" s="140">
        <f>+J16</f>
        <v>2076.4104000000002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7"/>
      <c r="C21" s="368"/>
      <c r="D21" s="368"/>
      <c r="E21" s="368"/>
      <c r="F21" s="368"/>
      <c r="G21" s="368"/>
      <c r="H21" s="368"/>
      <c r="I21" s="368"/>
      <c r="J21" s="368"/>
      <c r="K21" s="368"/>
      <c r="L21" s="369"/>
      <c r="N21" s="375" t="s">
        <v>86</v>
      </c>
      <c r="O21" s="376"/>
      <c r="P21" s="140">
        <f>+K16+L16</f>
        <v>1693.3041600000001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7"/>
      <c r="C22" s="368"/>
      <c r="D22" s="368"/>
      <c r="E22" s="368"/>
      <c r="F22" s="368"/>
      <c r="G22" s="368"/>
      <c r="H22" s="368"/>
      <c r="I22" s="368"/>
      <c r="J22" s="368"/>
      <c r="K22" s="368"/>
      <c r="L22" s="369"/>
      <c r="M22" s="131"/>
      <c r="N22" s="375" t="s">
        <v>87</v>
      </c>
      <c r="O22" s="376"/>
      <c r="P22" s="140">
        <f>P19-P20-P21</f>
        <v>26775.325440000001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7"/>
      <c r="C23" s="368"/>
      <c r="D23" s="368"/>
      <c r="E23" s="368"/>
      <c r="F23" s="368"/>
      <c r="G23" s="368"/>
      <c r="H23" s="368"/>
      <c r="I23" s="368"/>
      <c r="J23" s="368"/>
      <c r="K23" s="368"/>
      <c r="L23" s="369"/>
      <c r="M23" s="131"/>
      <c r="N23" s="136" t="s">
        <v>61</v>
      </c>
      <c r="O23" s="133">
        <v>0.18</v>
      </c>
      <c r="P23" s="140">
        <f>+N16</f>
        <v>5839.3220338983037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7"/>
      <c r="C24" s="368"/>
      <c r="D24" s="368"/>
      <c r="E24" s="368"/>
      <c r="F24" s="368"/>
      <c r="G24" s="368"/>
      <c r="H24" s="368"/>
      <c r="I24" s="368"/>
      <c r="J24" s="368"/>
      <c r="K24" s="368"/>
      <c r="L24" s="369"/>
      <c r="M24" s="131"/>
      <c r="N24" s="377" t="s">
        <v>76</v>
      </c>
      <c r="O24" s="378"/>
      <c r="P24" s="140">
        <f>P22+P23</f>
        <v>32614.647473898305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0"/>
      <c r="C25" s="371"/>
      <c r="D25" s="371"/>
      <c r="E25" s="371"/>
      <c r="F25" s="371"/>
      <c r="G25" s="371"/>
      <c r="H25" s="371"/>
      <c r="I25" s="371"/>
      <c r="J25" s="371"/>
      <c r="K25" s="371"/>
      <c r="L25" s="372"/>
      <c r="M25" s="99"/>
      <c r="N25" s="138" t="s">
        <v>83</v>
      </c>
      <c r="O25" s="137" t="e">
        <f>IF(#REF!="Filer",0.5%,2.5%)</f>
        <v>#REF!</v>
      </c>
      <c r="P25" s="140">
        <f>+O16</f>
        <v>163.07323736949152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34" t="s">
        <v>88</v>
      </c>
      <c r="O26" s="335"/>
      <c r="P26" s="297">
        <f>+P24+P25</f>
        <v>32777.720711267793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6"/>
      <c r="D27" s="336"/>
      <c r="E27" s="336"/>
      <c r="F27" s="336"/>
      <c r="G27" s="336"/>
      <c r="H27" s="336"/>
      <c r="I27" s="337"/>
      <c r="J27" s="338"/>
      <c r="K27" s="339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32777.720711267801</v>
      </c>
    </row>
    <row r="44" spans="2:20" x14ac:dyDescent="0.35">
      <c r="B44" t="s">
        <v>505</v>
      </c>
    </row>
    <row r="45" spans="2:20" x14ac:dyDescent="0.35">
      <c r="B45" t="s">
        <v>506</v>
      </c>
    </row>
    <row r="46" spans="2:20" x14ac:dyDescent="0.35">
      <c r="B46" t="s">
        <v>507</v>
      </c>
    </row>
    <row r="47" spans="2:20" x14ac:dyDescent="0.35">
      <c r="B47" t="s">
        <v>508</v>
      </c>
    </row>
    <row r="48" spans="2:20" x14ac:dyDescent="0.35">
      <c r="B48" t="s">
        <v>509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7.25" customHeight="1" x14ac:dyDescent="0.4">
      <c r="A6" s="388" t="s">
        <v>511</v>
      </c>
      <c r="B6" s="388"/>
      <c r="C6" s="388"/>
      <c r="F6" s="85"/>
      <c r="G6" s="86"/>
      <c r="K6" s="360" t="s">
        <v>69</v>
      </c>
      <c r="L6" s="360"/>
      <c r="M6" s="360"/>
      <c r="N6" s="389" t="s">
        <v>507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512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5811.2</v>
      </c>
      <c r="J25" s="274">
        <f>SUM(J16:J24)</f>
        <v>464.89600000000002</v>
      </c>
      <c r="K25" s="275">
        <f t="shared" si="10"/>
        <v>203.39200000000002</v>
      </c>
      <c r="L25" s="276">
        <f t="shared" si="10"/>
        <v>0</v>
      </c>
      <c r="M25" s="232">
        <f t="shared" si="10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5811.2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464.89600000000002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203.39200000000002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5142.9120000000003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6241.2170847457628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34" t="s">
        <v>88</v>
      </c>
      <c r="O35" s="335"/>
      <c r="P35" s="297">
        <f>+P33+P34</f>
        <v>6272.4231701694916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513</v>
      </c>
      <c r="B6" s="388"/>
      <c r="C6" s="388"/>
      <c r="F6" s="85"/>
      <c r="G6" s="86"/>
      <c r="K6" s="360" t="s">
        <v>69</v>
      </c>
      <c r="L6" s="360"/>
      <c r="M6" s="360"/>
      <c r="N6" s="389" t="s">
        <v>507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514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1569.2000000000003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78.460000000000022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134.95120000000003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1355.7888000000003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1660.873545762712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34" t="s">
        <v>88</v>
      </c>
      <c r="O35" s="335"/>
      <c r="P35" s="297">
        <f>+P33+P34</f>
        <v>1669.1779134915255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8.75" customHeight="1" x14ac:dyDescent="0.4">
      <c r="A6" s="388" t="s">
        <v>515</v>
      </c>
      <c r="B6" s="388"/>
      <c r="C6" s="388"/>
      <c r="F6" s="85"/>
      <c r="G6" s="86"/>
      <c r="K6" s="360" t="s">
        <v>69</v>
      </c>
      <c r="L6" s="360"/>
      <c r="M6" s="360"/>
      <c r="N6" s="389" t="s">
        <v>507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516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119">
        <f t="shared" si="5"/>
        <v>3338.355826983051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80</v>
      </c>
      <c r="I25" s="114">
        <f t="shared" si="7"/>
        <v>3138.4000000000005</v>
      </c>
      <c r="J25" s="274">
        <f>SUM(J16:J24)</f>
        <v>156.92000000000004</v>
      </c>
      <c r="K25" s="275">
        <f t="shared" si="7"/>
        <v>109.84400000000002</v>
      </c>
      <c r="L25" s="276">
        <f t="shared" si="7"/>
        <v>160.05840000000001</v>
      </c>
      <c r="M25" s="232">
        <f t="shared" si="7"/>
        <v>2711.5776000000005</v>
      </c>
      <c r="N25" s="233">
        <f>SUM(N16:N24)</f>
        <v>610.16949152542338</v>
      </c>
      <c r="O25" s="101">
        <f>SUM(O16:O24)</f>
        <v>16.60873545762712</v>
      </c>
      <c r="P25" s="234">
        <f>SUM(P16:P24)</f>
        <v>3338.355826983051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3138.4000000000005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156.92000000000004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269.90240000000006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2711.5776000000005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610.16949152542338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3321.7470915254239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16.60873545762712</v>
      </c>
    </row>
    <row r="35" spans="2:16" ht="15.75" customHeight="1" thickBot="1" x14ac:dyDescent="0.4">
      <c r="N35" s="334" t="s">
        <v>88</v>
      </c>
      <c r="O35" s="335"/>
      <c r="P35" s="297">
        <f>+P33+P34</f>
        <v>3338.355826983051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517</v>
      </c>
      <c r="B6" s="388"/>
      <c r="C6" s="388"/>
      <c r="F6" s="85"/>
      <c r="G6" s="86"/>
      <c r="K6" s="360" t="s">
        <v>69</v>
      </c>
      <c r="L6" s="360"/>
      <c r="M6" s="360"/>
      <c r="N6" s="389" t="s">
        <v>507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518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52</v>
      </c>
      <c r="I25" s="114">
        <f t="shared" si="7"/>
        <v>2440.88</v>
      </c>
      <c r="J25" s="274">
        <f>SUM(J16:J24)</f>
        <v>148.19440000000003</v>
      </c>
      <c r="K25" s="275">
        <f t="shared" si="7"/>
        <v>85.430800000000019</v>
      </c>
      <c r="L25" s="276">
        <f t="shared" si="7"/>
        <v>80.029200000000003</v>
      </c>
      <c r="M25" s="232">
        <f t="shared" si="7"/>
        <v>2127.2256000000002</v>
      </c>
      <c r="N25" s="233">
        <f>SUM(N16:N24)</f>
        <v>469.83050847457611</v>
      </c>
      <c r="O25" s="101">
        <f>SUM(O16:O24)</f>
        <v>12.985280542372882</v>
      </c>
      <c r="P25" s="234">
        <f>SUM(P16:P24)</f>
        <v>2610.0413890169493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2440.88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148.19440000000003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165.46000000000004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2127.2256000000002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469.83050847457611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2597.0561084745764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12.985280542372882</v>
      </c>
    </row>
    <row r="35" spans="2:16" ht="15.75" customHeight="1" thickBot="1" x14ac:dyDescent="0.4">
      <c r="N35" s="334" t="s">
        <v>88</v>
      </c>
      <c r="O35" s="335"/>
      <c r="P35" s="297">
        <f>+P33+P34</f>
        <v>2610.0413890169493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519</v>
      </c>
      <c r="B6" s="388"/>
      <c r="C6" s="388"/>
      <c r="F6" s="85"/>
      <c r="G6" s="86"/>
      <c r="K6" s="360" t="s">
        <v>69</v>
      </c>
      <c r="L6" s="360"/>
      <c r="M6" s="360"/>
      <c r="N6" s="389" t="s">
        <v>507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520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2905.6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232.44800000000001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101.69600000000001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2571.4560000000001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3120.6085423728814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34" t="s">
        <v>88</v>
      </c>
      <c r="O35" s="335"/>
      <c r="P35" s="297">
        <f>+P33+P34</f>
        <v>3136.2115850847458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521</v>
      </c>
      <c r="B6" s="388"/>
      <c r="C6" s="388"/>
      <c r="F6" s="85"/>
      <c r="G6" s="86"/>
      <c r="K6" s="360" t="s">
        <v>69</v>
      </c>
      <c r="L6" s="360"/>
      <c r="M6" s="360"/>
      <c r="N6" s="389" t="s">
        <v>507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520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119">
        <f t="shared" si="5"/>
        <v>834.58895674576274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20</v>
      </c>
      <c r="I25" s="114">
        <f t="shared" si="7"/>
        <v>784.60000000000014</v>
      </c>
      <c r="J25" s="274">
        <f>SUM(J16:J24)</f>
        <v>39.230000000000011</v>
      </c>
      <c r="K25" s="275">
        <f t="shared" si="7"/>
        <v>27.461000000000006</v>
      </c>
      <c r="L25" s="276">
        <f t="shared" si="7"/>
        <v>40.014600000000002</v>
      </c>
      <c r="M25" s="232">
        <f t="shared" si="7"/>
        <v>677.89440000000013</v>
      </c>
      <c r="N25" s="233">
        <f>SUM(N16:N24)</f>
        <v>152.54237288135585</v>
      </c>
      <c r="O25" s="101">
        <f>SUM(O16:O24)</f>
        <v>4.1521838644067799</v>
      </c>
      <c r="P25" s="234">
        <f>SUM(P16:P24)</f>
        <v>834.58895674576274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784.60000000000014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39.230000000000011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67.475600000000014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677.89440000000013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152.54237288135585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830.43677288135598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4.1521838644067799</v>
      </c>
    </row>
    <row r="35" spans="2:16" ht="15.75" customHeight="1" thickBot="1" x14ac:dyDescent="0.4">
      <c r="N35" s="334" t="s">
        <v>88</v>
      </c>
      <c r="O35" s="335"/>
      <c r="P35" s="297">
        <f>+P33+P34</f>
        <v>834.58895674576274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522</v>
      </c>
      <c r="B6" s="388"/>
      <c r="C6" s="388"/>
      <c r="F6" s="85"/>
      <c r="G6" s="86"/>
      <c r="K6" s="360" t="s">
        <v>69</v>
      </c>
      <c r="L6" s="360"/>
      <c r="M6" s="360"/>
      <c r="N6" s="389" t="s">
        <v>507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523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234">
        <f>SUM(P16:P24)</f>
        <v>500.75337404745761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470.76000000000005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23.538000000000004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40.485360000000007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406.73664000000002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498.26206372881353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34" t="s">
        <v>88</v>
      </c>
      <c r="O35" s="335"/>
      <c r="P35" s="297">
        <f>+P33+P34</f>
        <v>500.75337404745761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524</v>
      </c>
      <c r="B6" s="388"/>
      <c r="C6" s="388"/>
      <c r="F6" s="85"/>
      <c r="G6" s="86"/>
      <c r="K6" s="360" t="s">
        <v>69</v>
      </c>
      <c r="L6" s="360"/>
      <c r="M6" s="360"/>
      <c r="N6" s="389" t="s">
        <v>507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525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14</v>
      </c>
      <c r="I19" s="236">
        <f t="shared" si="0"/>
        <v>1016.96</v>
      </c>
      <c r="J19" s="272">
        <f t="shared" si="1"/>
        <v>81.356800000000007</v>
      </c>
      <c r="K19" s="128">
        <f t="shared" si="1"/>
        <v>35.593600000000002</v>
      </c>
      <c r="L19" s="119">
        <f t="shared" si="1"/>
        <v>0</v>
      </c>
      <c r="M19" s="230">
        <f t="shared" si="2"/>
        <v>900.00960000000009</v>
      </c>
      <c r="N19" s="277">
        <f t="shared" si="3"/>
        <v>192.20338983050848</v>
      </c>
      <c r="O19" s="239">
        <f t="shared" si="4"/>
        <v>5.4610649491525427</v>
      </c>
      <c r="P19" s="119">
        <f t="shared" si="5"/>
        <v>1097.6740547796612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14</v>
      </c>
      <c r="I20" s="236">
        <f t="shared" si="0"/>
        <v>1016.96</v>
      </c>
      <c r="J20" s="272">
        <f t="shared" si="1"/>
        <v>81.356800000000007</v>
      </c>
      <c r="K20" s="128">
        <f t="shared" si="1"/>
        <v>35.593600000000002</v>
      </c>
      <c r="L20" s="119">
        <f t="shared" si="1"/>
        <v>0</v>
      </c>
      <c r="M20" s="230">
        <f t="shared" si="2"/>
        <v>900.00960000000009</v>
      </c>
      <c r="N20" s="277">
        <f t="shared" si="3"/>
        <v>192.20338983050848</v>
      </c>
      <c r="O20" s="239">
        <f t="shared" si="4"/>
        <v>5.4610649491525427</v>
      </c>
      <c r="P20" s="119">
        <f t="shared" si="5"/>
        <v>1097.6740547796612</v>
      </c>
      <c r="R20">
        <f>P20/21</f>
        <v>52.27019308474577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232.44800000000004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3136.2115850847463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2905.6000000000004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232.44800000000004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101.69600000000001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2571.4560000000006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3120.6085423728819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34" t="s">
        <v>88</v>
      </c>
      <c r="O35" s="335"/>
      <c r="P35" s="297">
        <f>+P33+P34</f>
        <v>3136.2115850847463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526</v>
      </c>
      <c r="B6" s="388"/>
      <c r="C6" s="388"/>
      <c r="F6" s="85"/>
      <c r="G6" s="86"/>
      <c r="K6" s="360" t="s">
        <v>69</v>
      </c>
      <c r="L6" s="360"/>
      <c r="M6" s="360"/>
      <c r="N6" s="389" t="s">
        <v>507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520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1569.2000000000003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78.460000000000022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134.95120000000003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1355.7888000000003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1660.873545762712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34" t="s">
        <v>88</v>
      </c>
      <c r="O35" s="335"/>
      <c r="P35" s="297">
        <f>+P33+P34</f>
        <v>1669.1779134915255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527</v>
      </c>
      <c r="B6" s="388"/>
      <c r="C6" s="388"/>
      <c r="F6" s="85"/>
      <c r="G6" s="86"/>
      <c r="K6" s="360" t="s">
        <v>69</v>
      </c>
      <c r="L6" s="360"/>
      <c r="M6" s="360"/>
      <c r="N6" s="389" t="s">
        <v>507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520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5811.2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464.89600000000002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203.39200000000002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5142.9120000000003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6241.2170847457628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34" t="s">
        <v>88</v>
      </c>
      <c r="O35" s="335"/>
      <c r="P35" s="297">
        <f>+P33+P34</f>
        <v>6272.4231701694916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528</v>
      </c>
      <c r="B6" s="388"/>
      <c r="C6" s="388"/>
      <c r="F6" s="85"/>
      <c r="G6" s="86"/>
      <c r="K6" s="360" t="s">
        <v>69</v>
      </c>
      <c r="L6" s="360"/>
      <c r="M6" s="360"/>
      <c r="N6" s="389" t="s">
        <v>507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525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1569.2000000000003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78.460000000000022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134.95120000000003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1355.7888000000003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1660.873545762712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34" t="s">
        <v>88</v>
      </c>
      <c r="O35" s="335"/>
      <c r="P35" s="297">
        <f>+P33+P34</f>
        <v>1669.1779134915255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529</v>
      </c>
      <c r="B6" s="388"/>
      <c r="C6" s="388"/>
      <c r="F6" s="85"/>
      <c r="G6" s="86"/>
      <c r="K6" s="360" t="s">
        <v>69</v>
      </c>
      <c r="L6" s="360"/>
      <c r="M6" s="360"/>
      <c r="N6" s="389" t="s">
        <v>507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525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1569.2000000000003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78.460000000000022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134.95120000000003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1355.7888000000003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1660.873545762712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34" t="s">
        <v>88</v>
      </c>
      <c r="O35" s="335"/>
      <c r="P35" s="297">
        <f>+P33+P34</f>
        <v>1669.1779134915255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501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8.75" customHeight="1" x14ac:dyDescent="0.4">
      <c r="A6" s="388" t="s">
        <v>502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46232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8" t="s">
        <v>91</v>
      </c>
      <c r="B2" s="358"/>
      <c r="C2" s="358"/>
    </row>
    <row r="3" spans="1:18 16382:16383" ht="15" customHeight="1" x14ac:dyDescent="0.35">
      <c r="A3" s="359" t="s">
        <v>92</v>
      </c>
      <c r="B3" s="359"/>
      <c r="C3" s="359"/>
      <c r="F3" s="85"/>
      <c r="G3" s="1"/>
      <c r="J3" s="360" t="s">
        <v>43</v>
      </c>
      <c r="K3" s="360"/>
      <c r="L3" s="360"/>
      <c r="M3" s="359"/>
      <c r="N3" s="359"/>
      <c r="O3" s="35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9" t="s">
        <v>65</v>
      </c>
      <c r="B4" s="359"/>
      <c r="C4" s="359"/>
      <c r="F4" s="85"/>
      <c r="G4" s="1"/>
      <c r="J4" s="360" t="s">
        <v>44</v>
      </c>
      <c r="K4" s="360"/>
      <c r="L4" s="360"/>
      <c r="M4" s="390">
        <f ca="1">TODAY()+1</f>
        <v>46233</v>
      </c>
      <c r="N4" s="390"/>
      <c r="O4" s="39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7" t="s">
        <v>93</v>
      </c>
      <c r="B5" s="387"/>
      <c r="C5" s="387"/>
      <c r="F5" s="85"/>
      <c r="G5" s="1"/>
      <c r="J5" s="360" t="s">
        <v>45</v>
      </c>
      <c r="K5" s="360"/>
      <c r="L5" s="360"/>
      <c r="M5" s="390">
        <f ca="1">M4-1</f>
        <v>46232</v>
      </c>
      <c r="N5" s="359"/>
      <c r="O5" s="359"/>
      <c r="Q5" s="85"/>
      <c r="R5" s="1"/>
    </row>
    <row r="6" spans="1:18 16382:16383" ht="15" customHeight="1" x14ac:dyDescent="0.35">
      <c r="A6" s="360" t="s">
        <v>94</v>
      </c>
      <c r="B6" s="360"/>
      <c r="C6" s="360"/>
      <c r="F6" s="85"/>
      <c r="G6" s="86"/>
      <c r="J6" s="360" t="s">
        <v>69</v>
      </c>
      <c r="K6" s="360"/>
      <c r="L6" s="360"/>
      <c r="M6" s="389" t="s">
        <v>62</v>
      </c>
      <c r="N6" s="389"/>
      <c r="O6" s="38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0" t="s">
        <v>73</v>
      </c>
      <c r="B7" s="360"/>
      <c r="C7" s="360"/>
      <c r="F7" s="85"/>
      <c r="G7" s="86"/>
      <c r="J7" s="360" t="s">
        <v>66</v>
      </c>
      <c r="K7" s="360"/>
      <c r="L7" s="360"/>
      <c r="M7" s="389" t="s">
        <v>70</v>
      </c>
      <c r="N7" s="389"/>
      <c r="O7" s="38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6" t="s">
        <v>95</v>
      </c>
      <c r="B8" s="386"/>
      <c r="C8" s="386"/>
      <c r="F8" s="85"/>
      <c r="G8" s="86"/>
      <c r="J8" s="360" t="s">
        <v>67</v>
      </c>
      <c r="K8" s="360"/>
      <c r="L8" s="360"/>
      <c r="M8" s="389" t="s">
        <v>71</v>
      </c>
      <c r="N8" s="389"/>
      <c r="O8" s="389"/>
      <c r="Q8" s="85"/>
      <c r="R8" s="86"/>
    </row>
    <row r="9" spans="1:18 16382:16383" x14ac:dyDescent="0.35">
      <c r="A9" s="386" t="s">
        <v>96</v>
      </c>
      <c r="B9" s="386"/>
      <c r="C9" s="386"/>
      <c r="F9" s="85"/>
      <c r="G9" s="86"/>
      <c r="J9" s="360" t="s">
        <v>68</v>
      </c>
      <c r="K9" s="360"/>
      <c r="L9" s="360"/>
      <c r="M9" s="389" t="s">
        <v>104</v>
      </c>
      <c r="N9" s="389"/>
      <c r="O9" s="389"/>
      <c r="Q9" s="85"/>
      <c r="R9" s="86"/>
      <c r="XFC9" t="s">
        <v>49</v>
      </c>
    </row>
    <row r="10" spans="1:18 16382:16383" x14ac:dyDescent="0.35">
      <c r="A10" s="386" t="s">
        <v>97</v>
      </c>
      <c r="B10" s="386"/>
      <c r="C10" s="386"/>
      <c r="F10" s="85"/>
      <c r="G10" s="1"/>
      <c r="J10" s="360" t="s">
        <v>46</v>
      </c>
      <c r="K10" s="360"/>
      <c r="L10" s="360"/>
      <c r="M10" s="359" t="s">
        <v>47</v>
      </c>
      <c r="N10" s="359"/>
      <c r="O10" s="35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0" t="s">
        <v>48</v>
      </c>
      <c r="K11" s="360"/>
      <c r="L11" s="360"/>
      <c r="M11" s="359" t="s">
        <v>49</v>
      </c>
      <c r="N11" s="359"/>
      <c r="O11" s="35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0" t="s">
        <v>50</v>
      </c>
      <c r="K12" s="360"/>
      <c r="L12" s="360"/>
      <c r="M12" s="359"/>
      <c r="N12" s="359"/>
      <c r="O12" s="35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9" t="s">
        <v>51</v>
      </c>
      <c r="B14" s="351"/>
      <c r="C14" s="381" t="s">
        <v>90</v>
      </c>
      <c r="D14" s="88" t="s">
        <v>52</v>
      </c>
      <c r="E14" s="95" t="s">
        <v>74</v>
      </c>
      <c r="F14" s="115" t="s">
        <v>53</v>
      </c>
      <c r="G14" s="355" t="s">
        <v>54</v>
      </c>
      <c r="H14" s="357"/>
      <c r="I14" s="385" t="s">
        <v>77</v>
      </c>
      <c r="J14" s="356" t="s">
        <v>55</v>
      </c>
      <c r="K14" s="357"/>
      <c r="L14" s="38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0"/>
      <c r="B15" s="352"/>
      <c r="C15" s="38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6"/>
      <c r="M28" s="373" t="s">
        <v>60</v>
      </c>
      <c r="N28" s="374"/>
      <c r="O28" s="139">
        <f>I25</f>
        <v>1452.8</v>
      </c>
    </row>
    <row r="29" spans="1:18 16383:16383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9"/>
      <c r="M29" s="375" t="s">
        <v>85</v>
      </c>
      <c r="N29" s="376"/>
      <c r="O29" s="140">
        <f>K25</f>
        <v>0</v>
      </c>
    </row>
    <row r="30" spans="1:18 16383:16383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9"/>
      <c r="M30" s="375" t="s">
        <v>86</v>
      </c>
      <c r="N30" s="376"/>
      <c r="O30" s="140">
        <f>J25</f>
        <v>50.848000000000006</v>
      </c>
    </row>
    <row r="31" spans="1:18 16383:16383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9"/>
      <c r="L31" s="131"/>
      <c r="M31" s="375" t="s">
        <v>87</v>
      </c>
      <c r="N31" s="376"/>
      <c r="O31" s="140">
        <f>O28-O29-O30</f>
        <v>1401.952</v>
      </c>
    </row>
    <row r="32" spans="1:18 16383:16383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9"/>
      <c r="L33" s="131"/>
      <c r="M33" s="377" t="s">
        <v>76</v>
      </c>
      <c r="N33" s="378"/>
      <c r="O33" s="140">
        <f>O31+O32</f>
        <v>1710.3814400000001</v>
      </c>
    </row>
    <row r="34" spans="2:15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4" t="s">
        <v>88</v>
      </c>
      <c r="N35" s="335"/>
      <c r="O35" s="141">
        <f>O28-O29+O31+O34</f>
        <v>2897.511536</v>
      </c>
    </row>
    <row r="36" spans="2:15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3" t="s">
        <v>439</v>
      </c>
      <c r="E1" s="326" t="s">
        <v>58</v>
      </c>
      <c r="F1" s="326"/>
      <c r="G1" s="327" t="s">
        <v>440</v>
      </c>
      <c r="H1" s="327"/>
      <c r="I1" s="400" t="s">
        <v>441</v>
      </c>
      <c r="J1" s="400"/>
      <c r="K1" s="400" t="s">
        <v>442</v>
      </c>
      <c r="L1" s="400"/>
      <c r="M1" s="395" t="s">
        <v>484</v>
      </c>
      <c r="N1" s="396"/>
      <c r="O1" s="397"/>
    </row>
    <row r="2" spans="3:24" ht="29" x14ac:dyDescent="0.35">
      <c r="C2" s="326"/>
      <c r="D2" s="39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8" t="s">
        <v>476</v>
      </c>
      <c r="D6" s="398"/>
      <c r="E6" s="398"/>
      <c r="F6" s="398"/>
      <c r="G6" s="398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4" t="s">
        <v>58</v>
      </c>
      <c r="F7" s="394"/>
      <c r="G7" s="392" t="s">
        <v>440</v>
      </c>
      <c r="H7" s="327"/>
      <c r="I7" s="328" t="s">
        <v>441</v>
      </c>
      <c r="J7" s="329"/>
      <c r="K7" s="328" t="s">
        <v>442</v>
      </c>
      <c r="L7" s="329"/>
      <c r="M7" s="395" t="s">
        <v>484</v>
      </c>
      <c r="N7" s="396"/>
      <c r="O7" s="397"/>
      <c r="P7" s="256" t="s">
        <v>475</v>
      </c>
      <c r="Q7" s="242" t="s">
        <v>473</v>
      </c>
      <c r="R7" s="393" t="s">
        <v>475</v>
      </c>
      <c r="S7" s="393" t="s">
        <v>485</v>
      </c>
      <c r="T7" s="391" t="s">
        <v>486</v>
      </c>
      <c r="U7" s="391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3"/>
      <c r="S8" s="393"/>
      <c r="T8" s="392"/>
      <c r="U8" s="39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9" t="s">
        <v>477</v>
      </c>
      <c r="D12" s="399"/>
      <c r="E12" s="399"/>
      <c r="F12" s="399"/>
      <c r="G12" s="399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5" t="s">
        <v>484</v>
      </c>
      <c r="N13" s="396"/>
      <c r="O13" s="397"/>
      <c r="P13" s="256" t="s">
        <v>475</v>
      </c>
      <c r="Q13" s="242" t="s">
        <v>473</v>
      </c>
      <c r="R13" s="393" t="s">
        <v>475</v>
      </c>
      <c r="S13" s="393" t="s">
        <v>485</v>
      </c>
      <c r="T13" s="391" t="s">
        <v>486</v>
      </c>
      <c r="U13" s="391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3"/>
      <c r="S14" s="393"/>
      <c r="T14" s="392"/>
      <c r="U14" s="39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8" t="s">
        <v>478</v>
      </c>
      <c r="D19" s="398"/>
      <c r="E19" s="398"/>
      <c r="F19" s="398"/>
      <c r="G19" s="398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5" t="s">
        <v>484</v>
      </c>
      <c r="N20" s="396"/>
      <c r="O20" s="397"/>
      <c r="P20" s="256" t="s">
        <v>475</v>
      </c>
      <c r="Q20" s="242" t="s">
        <v>473</v>
      </c>
      <c r="R20" s="393" t="s">
        <v>475</v>
      </c>
      <c r="S20" s="393" t="s">
        <v>485</v>
      </c>
      <c r="T20" s="391" t="s">
        <v>486</v>
      </c>
      <c r="U20" s="391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3"/>
      <c r="S21" s="393"/>
      <c r="T21" s="392"/>
      <c r="U21" s="39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8" t="s">
        <v>479</v>
      </c>
      <c r="D26" s="398"/>
      <c r="E26" s="398"/>
      <c r="F26" s="398"/>
      <c r="G26" s="398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5" t="s">
        <v>484</v>
      </c>
      <c r="N27" s="396"/>
      <c r="O27" s="397"/>
      <c r="P27" s="256" t="s">
        <v>475</v>
      </c>
      <c r="Q27" s="242" t="s">
        <v>473</v>
      </c>
      <c r="R27" s="393" t="s">
        <v>475</v>
      </c>
      <c r="S27" s="393" t="s">
        <v>485</v>
      </c>
      <c r="T27" s="391" t="s">
        <v>486</v>
      </c>
      <c r="U27" s="391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3"/>
      <c r="S28" s="393"/>
      <c r="T28" s="392"/>
      <c r="U28" s="39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3" t="s">
        <v>439</v>
      </c>
      <c r="D1" s="326" t="s">
        <v>58</v>
      </c>
      <c r="E1" s="326"/>
      <c r="F1" s="327" t="s">
        <v>440</v>
      </c>
      <c r="G1" s="327"/>
      <c r="H1" s="400" t="s">
        <v>441</v>
      </c>
      <c r="I1" s="400"/>
      <c r="J1" s="400" t="s">
        <v>442</v>
      </c>
      <c r="K1" s="400"/>
      <c r="L1" s="395" t="s">
        <v>484</v>
      </c>
      <c r="M1" s="396"/>
      <c r="N1" s="397"/>
    </row>
    <row r="2" spans="2:17" ht="29" x14ac:dyDescent="0.35">
      <c r="B2" s="326"/>
      <c r="C2" s="39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2"/>
      <c r="G60" s="160" t="s">
        <v>195</v>
      </c>
      <c r="H60" s="161" t="s">
        <v>100</v>
      </c>
    </row>
    <row r="61" spans="5:8" x14ac:dyDescent="0.35">
      <c r="E61" s="159" t="s">
        <v>192</v>
      </c>
      <c r="F61" s="402"/>
      <c r="G61" s="160" t="s">
        <v>196</v>
      </c>
      <c r="H61" s="161" t="s">
        <v>98</v>
      </c>
    </row>
    <row r="62" spans="5:8" x14ac:dyDescent="0.35">
      <c r="E62" s="159" t="s">
        <v>192</v>
      </c>
      <c r="F62" s="402"/>
      <c r="G62" s="160" t="s">
        <v>197</v>
      </c>
      <c r="H62" s="161" t="s">
        <v>101</v>
      </c>
    </row>
    <row r="63" spans="5:8" x14ac:dyDescent="0.35">
      <c r="E63" s="159" t="s">
        <v>192</v>
      </c>
      <c r="F63" s="402"/>
      <c r="G63" s="160" t="s">
        <v>198</v>
      </c>
      <c r="H63" s="161" t="s">
        <v>102</v>
      </c>
    </row>
    <row r="64" spans="5:8" x14ac:dyDescent="0.35">
      <c r="E64" s="159" t="s">
        <v>192</v>
      </c>
      <c r="F64" s="402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2"/>
      <c r="G121" s="160" t="s">
        <v>273</v>
      </c>
      <c r="H121" s="161" t="s">
        <v>98</v>
      </c>
    </row>
    <row r="122" spans="5:8" x14ac:dyDescent="0.35">
      <c r="E122" s="159" t="s">
        <v>269</v>
      </c>
      <c r="F122" s="40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2"/>
      <c r="G241" s="160" t="s">
        <v>432</v>
      </c>
      <c r="H241" s="161" t="s">
        <v>98</v>
      </c>
    </row>
    <row r="242" spans="5:8" x14ac:dyDescent="0.35">
      <c r="E242" s="159" t="s">
        <v>428</v>
      </c>
      <c r="F242" s="40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2026-07-29T11:54:28Z</dcterms:modified>
</cp:coreProperties>
</file>