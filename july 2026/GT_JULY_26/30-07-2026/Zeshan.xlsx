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F1868BB-DD18-42A0-86DA-ABC6F2E8EDF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<sst xmlns="http://schemas.openxmlformats.org/spreadsheetml/2006/main" count="3913" uniqueCount="524">
  <si>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</si>
  <si>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</si>
  <si>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</si>
  <si>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</si>
  <si>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</si>
  <si>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</si>
  <si>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</si>
  <si>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</si>
  <si>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</si>
  <si>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</si>
  <si>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</si>
  <si>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</si>
  <si>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</si>
  <si>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</si>
  <si>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</si>
  <si>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</si>
  <si>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</si>
  <si>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</si>
  <si>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</si>
  <si>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</si>
  <si>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</si>
  <si>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</si>
  <si>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</si>
  <si>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</si>
  <si>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</si>
  <si>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</si>
  <si>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</si>
  <si>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</si>
  <si>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</si>
  <si>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</si>
  <si>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</si>
  <si>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</si>
  <si>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</si>
  <si>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</si>
  <si>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</si>
  <si>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</si>
  <si>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</si>
  <si>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</si>
  <si>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</si>
  <si>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</si>
  <si>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</si>
  <si>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</si>
  <si>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</si>
  <si>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</si>
  <si>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</si>
  <si>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</si>
  <si>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</si>
  <si>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</si>
  <si>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</si>
  <si>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</si>
  <si>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</si>
  <si>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</si>
  <si>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</si>
  <si>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</si>
  <si>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</si>
  <si>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</si>
  <si>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</si>
  <si>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</si>
  <si>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</si>
  <si>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</si>
  <si>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</si>
  <si>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</si>
  <si>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</si>
  <si>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</si>
  <si>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</si>
  <si>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</si>
  <si>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</si>
  <si>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</si>
  <si>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</si>
  <si>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</si>
  <si>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</si>
  <si>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</si>
  <si>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</si>
  <si>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</si>
  <si>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</si>
  <si>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</si>
  <si>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</si>
  <si>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</si>
  <si>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</si>
  <si>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</si>
  <si>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</si>
  <si>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</si>
  <si>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</si>
  <si>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</si>
  <si>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</si>
  <si>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</si>
  <si>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</si>
  <si>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</si>
  <si>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</si>
  <si>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</si>
  <si>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</si>
  <si>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</si>
  <si>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</si>
  <si>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</si>
  <si>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</si>
  <si>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</si>
  <si>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</si>
  <si>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</si>
  <si>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</si>
  <si>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</si>
  <si>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</si>
  <si>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</si>
  <si>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</si>
  <si>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</si>
  <si>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</si>
  <si>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</si>
  <si>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</si>
  <si>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</si>
  <si>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</si>
  <si>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</si>
  <si>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</si>
  <si>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</si>
  <si>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</si>
  <si>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</si>
  <si>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</si>
  <si>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</si>
  <si>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</si>
  <si>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</si>
  <si>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</si>
  <si>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</si>
  <si>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</si>
  <si>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</si>
  <si>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</si>
  <si>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</si>
  <si>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</si>
  <si>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</si>
  <si>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</si>
  <si>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</si>
  <si>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</si>
  <si>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</si>
  <si>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</si>
  <si>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</si>
  <si>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</si>
  <si>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</si>
  <si>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</si>
  <si>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</si>
  <si>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</si>
  <si>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</si>
  <si>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</si>
  <si>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</si>
  <si>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</si>
  <si>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</si>
  <si>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</si>
  <si>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</si>
  <si>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</si>
  <si>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</si>
  <si>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</si>
  <si>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</si>
  <si>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</si>
  <si>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</si>
  <si>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</si>
  <si>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</si>
  <si>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</si>
  <si>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</si>
  <si>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</si>
  <si>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</si>
  <si>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</si>
  <si>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</si>
  <si>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</si>
  <si>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</si>
  <si>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</si>
  <si>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</si>
  <si>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</si>
  <si>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</si>
  <si>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</si>
  <si>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</si>
  <si>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</si>
  <si>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</si>
  <si>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</si>
  <si>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</si>
  <si>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</si>
  <si>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</si>
  <si>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</si>
  <si>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</si>
  <si>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</si>
  <si>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</si>
  <si>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</si>
  <si>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</si>
  <si>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</si>
  <si>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</si>
  <si>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</si>
  <si>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</si>
  <si>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</si>
  <si>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</si>
  <si>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</si>
  <si>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</si>
  <si>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</si>
  <si>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</si>
  <si>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</si>
  <si>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</si>
  <si>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</si>
  <si>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</si>
  <si>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</si>
  <si>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</si>
  <si>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</si>
  <si>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</si>
  <si>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</si>
  <si>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</si>
  <si>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</si>
  <si>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</si>
  <si>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</si>
  <si>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</si>
  <si>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</si>
  <si>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</si>
  <si>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</si>
  <si>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</si>
  <si>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</si>
  <si>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</si>
  <si>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</si>
  <si>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</si>
  <si>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</si>
  <si>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</si>
  <si>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</si>
  <si>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</si>
  <si>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</si>
  <si>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</si>
  <si>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</si>
  <si>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</si>
  <si>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</si>
  <si>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</si>
  <si>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</si>
  <si>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</si>
  <si>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</si>
  <si>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</si>
  <si>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</si>
  <si>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</si>
  <si>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</si>
  <si>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</si>
  <si>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</si>
  <si>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</si>
  <si>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</si>
  <si>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</si>
  <si>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</si>
  <si>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</si>
  <si>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</si>
  <si>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</si>
  <si>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</si>
  <si>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</si>
  <si>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</si>
  <si>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</si>
  <si>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</si>
  <si>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</si>
  <si>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</si>
  <si>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</si>
  <si>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</si>
  <si>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</si>
  <si>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</si>
  <si>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</si>
  <si>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</si>
  <si>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</si>
  <si>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</si>
  <si>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</si>
  <si>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</si>
  <si>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</si>
  <si>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</si>
  <si>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</si>
  <si>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</si>
  <si>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</si>
  <si>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</si>
  <si>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</si>
  <si>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</si>
  <si>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</si>
  <si>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</si>
  <si>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</si>
  <si>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</si>
  <si>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</si>
  <si>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</si>
  <si>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</si>
  <si>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</si>
  <si>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</si>
  <si>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</si>
  <si>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</si>
  <si>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</si>
  <si>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</si>
  <si>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</si>
  <si>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</si>
  <si>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</si>
  <si>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</si>
  <si>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</si>
  <si>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</si>
  <si>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</si>
  <si>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</si>
  <si>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</si>
  <si>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</si>
  <si>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</si>
  <si>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</si>
  <si>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</si>
  <si>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</si>
  <si>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</si>
  <si>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</si>
  <si>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</si>
  <si>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</si>
  <si>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</si>
  <si>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</si>
  <si>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</si>
  <si>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</si>
  <si>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</si>
  <si>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</si>
  <si>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</si>
  <si>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</si>
  <si>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</si>
  <si>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</si>
  <si>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</si>
  <si>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</si>
  <si>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</si>
  <si>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</si>
  <si>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</si>
  <si>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</si>
  <si>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</si>
  <si>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</si>
  <si>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</si>
  <si>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</si>
  <si>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</si>
  <si>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</si>
  <si>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</si>
  <si>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</si>
  <si>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</si>
  <si>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</si>
  <si>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</si>
  <si>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</si>
  <si>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</si>
  <si>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</si>
  <si>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</si>
  <si>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</si>
  <si>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</si>
  <si>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</si>
  <si>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</si>
  <si>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</si>
  <si>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</si>
  <si>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</si>
  <si>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</si>
  <si>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</si>
  <si>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</si>
  <si>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</si>
  <si>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</si>
  <si>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</si>
  <si>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</si>
  <si>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</si>
  <si>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</si>
  <si>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</si>
  <si>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</si>
  <si>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</si>
  <si>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</si>
  <si>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</si>
  <si>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</si>
  <si>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</si>
  <si>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</si>
  <si>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</si>
  <si>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</si>
  <si>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</si>
  <si>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</si>
  <si>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</si>
  <si>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</si>
  <si>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</si>
  <si>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</si>
  <si>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</si>
  <si>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</si>
  <si>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</si>
  <si>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</si>
  <si>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</si>
  <si>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</si>
  <si>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</si>
  <si>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</si>
  <si>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</si>
  <si>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</si>
  <si>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</si>
  <si>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</si>
  <si>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</si>
  <si>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</si>
  <si>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</si>
  <si>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</si>
  <si>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</si>
  <si>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</si>
  <si>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</si>
  <si>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</si>
  <si>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</si>
  <si>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</si>
  <si>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</si>
  <si>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</si>
  <si>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</si>
  <si>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</si>
  <si>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</si>
  <si>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</si>
  <si>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</si>
  <si>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</si>
  <si>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</si>
  <si>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</si>
  <si>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</si>
  <si>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</si>
  <si>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</si>
  <si>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</si>
  <si>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</si>
  <si>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</si>
  <si>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</si>
  <si>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</si>
  <si>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</si>
  <si>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</si>
  <si>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</si>
  <si>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</si>
  <si>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</si>
  <si>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</si>
  <si>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</si>
  <si>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</si>
  <si>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</si>
  <si>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</si>
  <si>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</si>
  <si>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</si>
  <si>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</si>
  <si>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</si>
  <si>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</si>
  <si>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</si>
  <si>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</si>
  <si>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</si>
  <si>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</si>
  <si>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</si>
  <si>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</si>
  <si>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</si>
  <si>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</si>
  <si>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</si>
  <si>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</si>
  <si>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</si>
  <si>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</si>
  <si>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</si>
  <si>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</si>
  <si>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</si>
  <si>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</si>
  <si>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</si>
  <si>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</si>
  <si>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</si>
  <si>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</si>
  <si>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</si>
  <si>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</si>
  <si>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</si>
  <si>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</si>
  <si>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</si>
  <si>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</si>
  <si>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</si>
  <si>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</si>
  <si>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</si>
  <si>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</si>
  <si>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</si>
  <si>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</si>
  <si>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</si>
  <si>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</si>
  <si>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</si>
  <si>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</si>
  <si>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</si>
  <si>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</si>
  <si>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</si>
  <si>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</si>
  <si>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</si>
  <si>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</si>
  <si>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</si>
  <si>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</si>
  <si>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</si>
  <si>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</si>
  <si>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</si>
  <si>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</si>
  <si>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</si>
  <si>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</si>
  <si>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</si>
  <si>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</si>
  <si>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</si>
  <si>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</si>
  <si>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</si>
  <si>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</si>
  <si>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</si>
  <si>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</si>
  <si>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</si>
  <si>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</si>
  <si>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</si>
  <si>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</si>
  <si>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</si>
  <si>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</si>
  <si>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</si>
  <si>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</si>
  <si>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</si>
  <si>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</si>
  <si>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</si>
  <si>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</si>
  <si>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</si>
  <si>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</si>
  <si>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</si>
  <si>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</si>
  <si>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</si>
  <si>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</si>
  <si>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</si>
  <si>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</si>
  <si>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</si>
  <si>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</si>
  <si>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</si>
  <si>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</si>
  <si>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</si>
  <si>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</si>
  <si>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</si>
  <si>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</si>
  <si>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</si>
  <si>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</si>
  <si>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</si>
  <si>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</si>
  <si>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</si>
  <si>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</si>
  <si>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</si>
  <si>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</si>
  <si>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</si>
  <si>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</si>
  <si>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</si>
  <si>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</si>
  <si>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</si>
  <si>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</si>
  <si>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</si>
  <si>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</si>
  <si>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>Allys Store</t>
  </si>
  <si>
    <t>Address:DHA</t>
  </si>
  <si>
    <t>Defence Store</t>
  </si>
  <si>
    <t>Pakistan Store</t>
  </si>
  <si>
    <t>Maharaja Store</t>
  </si>
  <si>
    <t>Adnan Store</t>
  </si>
  <si>
    <t>Trust Store</t>
  </si>
  <si>
    <t>Bravo Store</t>
  </si>
  <si>
    <t>Tariq Store</t>
  </si>
  <si>
    <t xml:space="preserve">MS Mart </t>
  </si>
  <si>
    <t>Bilal Store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</si>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</sst>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511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Allys Store</v>
      </c>
      <c r="T3" s="301">
        <f>+'1'!P35</f>
        <v>2700.6315839618646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Defence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Pakistan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Maharaja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118">
        <f>M7+N7+O7</f>
        <v>2831.3144785487289</v>
      </c>
      <c r="Q7" s="142"/>
      <c r="R7" s="299">
        <v>5</v>
      </c>
      <c r="S7" s="300" t="str">
        <f>+'5'!A6:A6</f>
        <v>Adnan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119">
        <f t="shared" ref="P8:P15" si="2">M8+N8+O8</f>
        <v>3397.5773742584738</v>
      </c>
      <c r="R8" s="299">
        <v>6</v>
      </c>
      <c r="S8" s="300" t="str">
        <f>+'6'!A6:A6</f>
        <v>Trust Store</v>
      </c>
      <c r="T8" s="301">
        <f>+'6'!P35</f>
        <v>1350.3157919809323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Bravo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31.206085423728812</v>
      </c>
      <c r="P10" s="119">
        <f t="shared" si="2"/>
        <v>6272.4231701694916</v>
      </c>
      <c r="R10" s="299">
        <v>8</v>
      </c>
      <c r="S10" s="300" t="str">
        <f>+'8'!A6:A6</f>
        <v>Tariq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25.354944406779662</v>
      </c>
      <c r="P11" s="119">
        <f t="shared" si="2"/>
        <v>5096.3438257627113</v>
      </c>
      <c r="R11" s="299">
        <v>9</v>
      </c>
      <c r="S11" s="300" t="str">
        <f>+'9'!A6:A6</f>
        <v xml:space="preserve">MS Mart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119">
        <f t="shared" si="2"/>
        <v>6664.4496183050842</v>
      </c>
      <c r="R12" s="299">
        <v>10</v>
      </c>
      <c r="S12" s="300" t="str">
        <f>+'10'!A6:A6</f>
        <v>Bilal Store</v>
      </c>
      <c r="T12" s="301">
        <f>+'10'!P35</f>
        <v>10206.652666500002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119">
        <f t="shared" si="2"/>
        <v>6676.7116539661019</v>
      </c>
      <c r="R13" s="299">
        <v>11</v>
      </c>
      <c r="S13" s="300" t="str">
        <f>+'11'!A6:A6</f>
        <v>Usman Store</v>
      </c>
      <c r="T13" s="301">
        <f>+'11'!P35</f>
        <v>7070.4410814152552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12.5</v>
      </c>
      <c r="H16" s="113">
        <f t="shared" ref="H16:M16" si="3">SUM(H7:H15)</f>
        <v>500</v>
      </c>
      <c r="I16" s="114">
        <f t="shared" si="3"/>
        <v>28754.875</v>
      </c>
      <c r="J16" s="274">
        <f>SUM(J7:J15)</f>
        <v>2112.0860000000002</v>
      </c>
      <c r="K16" s="275">
        <f t="shared" si="3"/>
        <v>1006.4206250000002</v>
      </c>
      <c r="L16" s="276">
        <f t="shared" si="3"/>
        <v>320.11680000000001</v>
      </c>
      <c r="M16" s="232">
        <f t="shared" si="3"/>
        <v>25316.251575000002</v>
      </c>
      <c r="N16" s="233">
        <f>SUM(N7:N15)</f>
        <v>5468.6440677966093</v>
      </c>
      <c r="O16" s="101">
        <f>SUM(O7:O15)</f>
        <v>153.92447821398306</v>
      </c>
      <c r="P16" s="234">
        <f>SUM(P7:P15)</f>
        <v>30938.820121010591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28754.875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2112.0860000000002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1326.5374250000002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25316.251575000002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5468.6440677966093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30784.895642796611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153.92447821398306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30938.820121010594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30938.820121010594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2502.0500000000002</v>
      </c>
      <c r="J25" s="274">
        <f>SUM(J16:J24)</f>
        <v>200.16399999999999</v>
      </c>
      <c r="K25" s="275">
        <f t="shared" si="10"/>
        <v>87.571750000000009</v>
      </c>
      <c r="L25" s="276">
        <f t="shared" si="10"/>
        <v>0</v>
      </c>
      <c r="M25" s="232">
        <f t="shared" si="10"/>
        <v>2214.3142500000004</v>
      </c>
      <c r="N25" s="233">
        <f>SUM(N16:N24)</f>
        <v>472.88135593220329</v>
      </c>
      <c r="O25" s="101">
        <f>SUM(O16:O24)</f>
        <v>13.435978029661015</v>
      </c>
      <c r="P25" s="234">
        <f>SUM(P16:P24)</f>
        <v>2700.6315839618646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2502.0500000000002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200.16399999999999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87.571750000000009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2214.3142500000004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2687.1956059322038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63" t="s">
        <v>88</v>
      </c>
      <c r="O35" s="364"/>
      <c r="P35" s="297">
        <f>+P33+P34</f>
        <v>2700.6315839618646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1251.0250000000001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100.08199999999999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43.785875000000004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1107.1571250000002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1343.5978029661019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63" t="s">
        <v>88</v>
      </c>
      <c r="O35" s="364"/>
      <c r="P35" s="297">
        <f>+P33+P34</f>
        <v>1350.3157919809323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519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520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521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50.779366499999995</v>
      </c>
      <c r="P25" s="234">
        <f>SUM(P16:P24)</f>
        <v>10206.6526665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9478.9000000000015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711.23599999999999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411.79070000000007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8355.8733000000011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10155.873300000001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63" t="s">
        <v>88</v>
      </c>
      <c r="O35" s="364"/>
      <c r="P35" s="297">
        <f>+P33+P34</f>
        <v>10206.652666500002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523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6573.3000000000011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478.78800000000001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310.09470000000005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5784.417300000001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7035.2647576271193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63" t="s">
        <v>88</v>
      </c>
      <c r="O35" s="364"/>
      <c r="P35" s="297">
        <f>+P33+P34</f>
        <v>7070.4410814152552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2026-07-29T12:17:02Z</dcterms:modified>
</cp:coreProperties>
</file>