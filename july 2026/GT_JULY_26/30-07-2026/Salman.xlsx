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5E32113-DE9E-452A-A3DB-02581B71EF31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1" i="47"/>
  <c r="O21" i="47" s="1"/>
  <c r="P21" i="47" s="1"/>
  <c r="M20" i="47"/>
  <c r="O20" i="47" s="1"/>
  <c r="P20" i="47" s="1"/>
  <c r="R20" i="47" s="1"/>
  <c r="M20" i="46"/>
  <c r="O20" i="46" s="1"/>
  <c r="P20" i="46" s="1"/>
  <c r="R20" i="46" s="1"/>
  <c r="K12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<sst xmlns="http://schemas.openxmlformats.org/spreadsheetml/2006/main" count="3913" uniqueCount="526">
  <si>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</si>
  <si>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</si>
  <si>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</si>
  <si>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</si>
  <si>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</si>
  <si>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</si>
  <si>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</si>
  <si>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</si>
  <si>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</si>
  <si>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</si>
  <si>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</si>
  <si>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</si>
  <si>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</si>
  <si>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</si>
  <si>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</si>
  <si>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</si>
  <si>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</si>
  <si>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</si>
  <si>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</si>
  <si>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</si>
  <si>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</si>
  <si>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</si>
  <si>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</si>
  <si>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</si>
  <si>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</si>
  <si>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</si>
  <si>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</si>
  <si>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</si>
  <si>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</si>
  <si>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</si>
  <si>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</si>
  <si>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</si>
  <si>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</si>
  <si>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</si>
  <si>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</si>
  <si>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</si>
  <si>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</si>
  <si>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</si>
  <si>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</si>
  <si>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</si>
  <si>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</si>
  <si>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</si>
  <si>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</si>
  <si>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</si>
  <si>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</si>
  <si>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</si>
  <si>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</si>
  <si>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</si>
  <si>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</si>
  <si>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</si>
  <si>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</si>
  <si>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</si>
  <si>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</si>
  <si>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</si>
  <si>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</si>
  <si>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</si>
  <si>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</si>
  <si>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</si>
  <si>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</si>
  <si>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</si>
  <si>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</si>
  <si>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</si>
  <si>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</si>
  <si>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</si>
  <si>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</si>
  <si>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</si>
  <si>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</si>
  <si>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</si>
  <si>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</si>
  <si>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</si>
  <si>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</si>
  <si>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</si>
  <si>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</si>
  <si>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</si>
  <si>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</si>
  <si>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</si>
  <si>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</si>
  <si>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</si>
  <si>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</si>
  <si>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</si>
  <si>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</si>
  <si>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</si>
  <si>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</si>
  <si>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</si>
  <si>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</si>
  <si>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</si>
  <si>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</si>
  <si>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</si>
  <si>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</si>
  <si>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</si>
  <si>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</si>
  <si>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</si>
  <si>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</si>
  <si>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</si>
  <si>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</si>
  <si>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</si>
  <si>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</si>
  <si>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</si>
  <si>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</si>
  <si>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</si>
  <si>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</si>
  <si>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</si>
  <si>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</si>
  <si>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</si>
  <si>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</si>
  <si>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</si>
  <si>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</si>
  <si>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</si>
  <si>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</si>
  <si>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</si>
  <si>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</si>
  <si>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</si>
  <si>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</si>
  <si>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</si>
  <si>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</si>
  <si>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</si>
  <si>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</si>
  <si>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</si>
  <si>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</si>
  <si>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</si>
  <si>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</si>
  <si>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</si>
  <si>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</si>
  <si>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</si>
  <si>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</si>
  <si>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</si>
  <si>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</si>
  <si>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</si>
  <si>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</si>
  <si>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</si>
  <si>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</si>
  <si>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</si>
  <si>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</si>
  <si>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</si>
  <si>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</si>
  <si>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</si>
  <si>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</si>
  <si>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</si>
  <si>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</si>
  <si>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</si>
  <si>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</si>
  <si>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</si>
  <si>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</si>
  <si>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</si>
  <si>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</si>
  <si>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</si>
  <si>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</si>
  <si>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</si>
  <si>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</si>
  <si>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</si>
  <si>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</si>
  <si>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</si>
  <si>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</si>
  <si>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</si>
  <si>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</si>
  <si>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</si>
  <si>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</si>
  <si>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</si>
  <si>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</si>
  <si>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</si>
  <si>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</si>
  <si>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</si>
  <si>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</si>
  <si>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</si>
  <si>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</si>
  <si>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</si>
  <si>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</si>
  <si>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</si>
  <si>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</si>
  <si>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</si>
  <si>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</si>
  <si>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</si>
  <si>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</si>
  <si>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</si>
  <si>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</si>
  <si>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</si>
  <si>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</si>
  <si>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</si>
  <si>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</si>
  <si>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</si>
  <si>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</si>
  <si>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</si>
  <si>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</si>
  <si>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</si>
  <si>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</si>
  <si>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</si>
  <si>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</si>
  <si>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</si>
  <si>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</si>
  <si>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</si>
  <si>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</si>
  <si>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</si>
  <si>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</si>
  <si>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</si>
  <si>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</si>
  <si>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</si>
  <si>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</si>
  <si>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</si>
  <si>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</si>
  <si>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</si>
  <si>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</si>
  <si>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</si>
  <si>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</si>
  <si>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</si>
  <si>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</si>
  <si>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</si>
  <si>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</si>
  <si>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</si>
  <si>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</si>
  <si>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</si>
  <si>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</si>
  <si>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</si>
  <si>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</si>
  <si>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</si>
  <si>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</si>
  <si>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</si>
  <si>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</si>
  <si>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</si>
  <si>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</si>
  <si>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</si>
  <si>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</si>
  <si>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</si>
  <si>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</si>
  <si>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</si>
  <si>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</si>
  <si>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</si>
  <si>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</si>
  <si>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</si>
  <si>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</si>
  <si>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</si>
  <si>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</si>
  <si>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</si>
  <si>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</si>
  <si>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</si>
  <si>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</si>
  <si>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</si>
  <si>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</si>
  <si>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</si>
  <si>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</si>
  <si>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</si>
  <si>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</si>
  <si>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</si>
  <si>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</si>
  <si>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</si>
  <si>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</si>
  <si>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</si>
  <si>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</si>
  <si>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</si>
  <si>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</si>
  <si>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</si>
  <si>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</si>
  <si>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</si>
  <si>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</si>
  <si>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</si>
  <si>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</si>
  <si>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</si>
  <si>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</si>
  <si>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</si>
  <si>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</si>
  <si>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</si>
  <si>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</si>
  <si>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</si>
  <si>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</si>
  <si>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</si>
  <si>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</si>
  <si>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</si>
  <si>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</si>
  <si>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</si>
  <si>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</si>
  <si>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</si>
  <si>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</si>
  <si>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</si>
  <si>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</si>
  <si>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</si>
  <si>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</si>
  <si>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</si>
  <si>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</si>
  <si>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</si>
  <si>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</si>
  <si>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</si>
  <si>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</si>
  <si>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</si>
  <si>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</si>
  <si>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</si>
  <si>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</si>
  <si>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</si>
  <si>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</si>
  <si>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</si>
  <si>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</si>
  <si>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</si>
  <si>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</si>
  <si>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</si>
  <si>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</si>
  <si>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</si>
  <si>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</si>
  <si>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</si>
  <si>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</si>
  <si>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</si>
  <si>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</si>
  <si>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</si>
  <si>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</si>
  <si>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</si>
  <si>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</si>
  <si>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</si>
  <si>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</si>
  <si>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</si>
  <si>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</si>
  <si>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</si>
  <si>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</si>
  <si>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</si>
  <si>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</si>
  <si>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</si>
  <si>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</si>
  <si>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</si>
  <si>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</si>
  <si>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</si>
  <si>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</si>
  <si>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</si>
  <si>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</si>
  <si>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</si>
  <si>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</si>
  <si>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</si>
  <si>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</si>
  <si>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</si>
  <si>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</si>
  <si>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</si>
  <si>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</si>
  <si>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</si>
  <si>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</si>
  <si>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</si>
  <si>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</si>
  <si>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</si>
  <si>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</si>
  <si>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</si>
  <si>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</si>
  <si>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</si>
  <si>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</si>
  <si>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</si>
  <si>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</si>
  <si>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</si>
  <si>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</si>
  <si>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</si>
  <si>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</si>
  <si>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</si>
  <si>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</si>
  <si>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</si>
  <si>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</si>
  <si>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</si>
  <si>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</si>
  <si>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</si>
  <si>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</si>
  <si>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</si>
  <si>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</si>
  <si>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</si>
  <si>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</si>
  <si>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</si>
  <si>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</si>
  <si>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</si>
  <si>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</si>
  <si>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</si>
  <si>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</si>
  <si>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</si>
  <si>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</si>
  <si>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</si>
  <si>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</si>
  <si>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</si>
  <si>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</si>
  <si>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</si>
  <si>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</si>
  <si>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</si>
  <si>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</si>
  <si>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</si>
  <si>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</si>
  <si>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</si>
  <si>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</si>
  <si>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</si>
  <si>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</si>
  <si>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</si>
  <si>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</si>
  <si>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</si>
  <si>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</si>
  <si>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</si>
  <si>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</si>
  <si>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</si>
  <si>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</si>
  <si>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</si>
  <si>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</si>
  <si>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</si>
  <si>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</si>
  <si>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</si>
  <si>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</si>
  <si>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</si>
  <si>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</si>
  <si>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</si>
  <si>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</si>
  <si>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</si>
  <si>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</si>
  <si>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</si>
  <si>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</si>
  <si>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</si>
  <si>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</si>
  <si>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</si>
  <si>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</si>
  <si>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</si>
  <si>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</si>
  <si>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</si>
  <si>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</si>
  <si>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</si>
  <si>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</si>
  <si>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</si>
  <si>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</si>
  <si>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</si>
  <si>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</si>
  <si>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</si>
  <si>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</si>
  <si>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</si>
  <si>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</si>
  <si>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</si>
  <si>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</si>
  <si>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</si>
  <si>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</si>
  <si>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</si>
  <si>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</si>
  <si>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</si>
  <si>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</si>
  <si>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</si>
  <si>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</si>
  <si>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</si>
  <si>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</si>
  <si>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</si>
  <si>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</si>
  <si>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</si>
  <si>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</si>
  <si>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</si>
  <si>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</si>
  <si>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</si>
  <si>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</si>
  <si>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</si>
  <si>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</si>
  <si>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</si>
  <si>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</si>
  <si>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</si>
  <si>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</si>
  <si>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</si>
  <si>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</si>
  <si>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</si>
  <si>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</si>
  <si>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</si>
  <si>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</si>
  <si>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</si>
  <si>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</si>
  <si>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</si>
  <si>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</si>
  <si>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</si>
  <si>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</si>
  <si>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</si>
  <si>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</si>
  <si>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</si>
  <si>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</si>
  <si>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</si>
  <si>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</si>
  <si>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</si>
  <si>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</si>
  <si>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</si>
  <si>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</si>
  <si>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</si>
  <si>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</si>
  <si>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</si>
  <si>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</si>
  <si>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</si>
  <si>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</si>
  <si>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</si>
  <si>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</si>
  <si>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</si>
  <si>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</si>
  <si>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</si>
  <si>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</si>
  <si>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</si>
  <si>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</si>
  <si>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</si>
  <si>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</si>
  <si>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</si>
  <si>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</si>
  <si>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</si>
  <si>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</si>
  <si>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</si>
  <si>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</si>
  <si>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</si>
  <si>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</si>
  <si>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</si>
  <si>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</si>
  <si>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</si>
  <si>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</si>
  <si>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</si>
  <si>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</si>
  <si>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</si>
  <si>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</si>
  <si>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</si>
  <si>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</si>
  <si>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</si>
  <si>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</si>
  <si>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</si>
  <si>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</si>
  <si>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</si>
  <si>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</si>
  <si>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</si>
  <si>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</si>
  <si>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</si>
  <si>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</si>
  <si>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</si>
  <si>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</si>
  <si>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Salman</t>
  </si>
  <si>
    <t xml:space="preserve">Classic Mart </t>
  </si>
  <si>
    <t>Address:Askari 9</t>
  </si>
  <si>
    <t>United Store</t>
  </si>
  <si>
    <t xml:space="preserve">Askari Photo Copy </t>
  </si>
  <si>
    <t>Address:Pepsi Road</t>
  </si>
  <si>
    <t xml:space="preserve">Bin Daud </t>
  </si>
  <si>
    <t>Address: Askari 9</t>
  </si>
  <si>
    <t>Address:  Pepsi Road</t>
  </si>
  <si>
    <t xml:space="preserve">Best One  Mart </t>
  </si>
  <si>
    <t xml:space="preserve">Chelet Bakers </t>
  </si>
  <si>
    <t>Address: Askari Market</t>
  </si>
  <si>
    <t>Askari Store</t>
  </si>
  <si>
    <t xml:space="preserve">Address:Askari Market </t>
  </si>
  <si>
    <t>Cant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</si>
</sst>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27" workbookViewId="0">
      <selection activeCell="J41" sqref="J4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511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46233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 xml:space="preserve">Classic Mart </v>
      </c>
      <c r="T3" s="301">
        <f>+'1'!P35</f>
        <v>2822.5904265762711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United Store</v>
      </c>
      <c r="T4" s="301">
        <f>+'2'!P35</f>
        <v>1459.2107922616528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Askari Photo Copy </v>
      </c>
      <c r="T5" s="301">
        <f>+'3'!P35</f>
        <v>1669.1779134915255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 xml:space="preserve">Bin Daud </v>
      </c>
      <c r="T6" s="301">
        <f>+'4'!P35</f>
        <v>3553.5060634576266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118">
        <f>M7+N7+O7</f>
        <v>4530.103165677966</v>
      </c>
      <c r="Q7" s="142"/>
      <c r="R7" s="299">
        <v>5</v>
      </c>
      <c r="S7" s="300" t="str">
        <f>+'5'!A6:A6</f>
        <v xml:space="preserve">Best One  Mart </v>
      </c>
      <c r="T7" s="301">
        <f>+'5'!P35</f>
        <v>4805.3894985762709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35</v>
      </c>
      <c r="I8" s="236">
        <f t="shared" ref="I8:I14" si="0">(G8*D8)*F8+H8*F8</f>
        <v>1836.1875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146.89499999999998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64.266562500000006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1625.0259375000001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347.03389830508456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9.8602991790254233</v>
      </c>
      <c r="P8" s="119">
        <f t="shared" ref="P8:P15" si="2">M8+N8+O8</f>
        <v>1981.9201349841101</v>
      </c>
      <c r="R8" s="299">
        <v>6</v>
      </c>
      <c r="S8" s="300" t="str">
        <f>+'6'!A6:A6</f>
        <v xml:space="preserve">Chelet Bakers </v>
      </c>
      <c r="T8" s="301">
        <f>+'6'!P35</f>
        <v>5252.2947505868642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Askari Store</v>
      </c>
      <c r="T9" s="301">
        <f>+'7'!P35</f>
        <v>5401.2631679237293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92</v>
      </c>
      <c r="I10" s="236">
        <f t="shared" si="0"/>
        <v>6682.88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534.63040000000001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233.9008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5914.3487999999998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1263.0508474576272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35.88699823728814</v>
      </c>
      <c r="P10" s="119">
        <f t="shared" si="2"/>
        <v>7213.286645694915</v>
      </c>
      <c r="R10" s="299">
        <v>8</v>
      </c>
      <c r="S10" s="300" t="str">
        <f>+'8'!A6:A6</f>
        <v>Cant Store</v>
      </c>
      <c r="T10" s="301">
        <f>+'8'!P35</f>
        <v>5401.2631679237293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67</v>
      </c>
      <c r="I11" s="236">
        <f t="shared" si="0"/>
        <v>4866.88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389.35040000000004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170.34080000000003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4307.1887999999999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919.83050847457639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26.135096542372885</v>
      </c>
      <c r="P11" s="119">
        <f t="shared" si="2"/>
        <v>5253.1544050169487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92</v>
      </c>
      <c r="I12" s="236">
        <f t="shared" si="0"/>
        <v>6682.88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534.63040000000001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233.90080000000003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5914.3487999999998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1263.0508474576272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35.886998237288132</v>
      </c>
      <c r="P12" s="119">
        <f t="shared" si="2"/>
        <v>7213.286645694915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100</v>
      </c>
      <c r="I13" s="236">
        <f t="shared" si="0"/>
        <v>3923.0000000000005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196.15000000000006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137.30500000000004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200.07299999999998</v>
      </c>
      <c r="M13" s="230">
        <f t="shared" si="1"/>
        <v>3389.4720000000007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762.71186440677911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20.760919322033899</v>
      </c>
      <c r="P13" s="119">
        <f t="shared" si="2"/>
        <v>4172.9447837288135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>H16/40</f>
        <v>11.65</v>
      </c>
      <c r="H16" s="113">
        <f t="shared" ref="H16:M16" si="3">SUM(H7:H15)</f>
        <v>466</v>
      </c>
      <c r="I16" s="114">
        <f t="shared" si="3"/>
        <v>28188.827500000003</v>
      </c>
      <c r="J16" s="274">
        <f>SUM(J7:J15)</f>
        <v>2137.4162000000001</v>
      </c>
      <c r="K16" s="275">
        <f t="shared" si="3"/>
        <v>986.60896250000008</v>
      </c>
      <c r="L16" s="276">
        <f t="shared" si="3"/>
        <v>200.07299999999998</v>
      </c>
      <c r="M16" s="232">
        <f t="shared" si="3"/>
        <v>24864.729337500001</v>
      </c>
      <c r="N16" s="233">
        <f>SUM(N7:N15)</f>
        <v>5348.8983050847455</v>
      </c>
      <c r="O16" s="101">
        <f>SUM(O7:O15)</f>
        <v>151.06813821292371</v>
      </c>
      <c r="P16" s="234">
        <f>SUM(P7:P15)</f>
        <v>30364.695780797672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28188.827500000003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2137.4162000000001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1186.6819625000001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24864.729337500004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5348.8983050847455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30213.62764258475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151.06813821292371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30364.695780797672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30364.695780797672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7.25" customHeight="1" x14ac:dyDescent="0.4">
      <c r="A6" s="388" t="s">
        <v>512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7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36</v>
      </c>
      <c r="I25" s="114">
        <f t="shared" ref="I25:M25" si="10">SUM(I16:I24)</f>
        <v>2615.04</v>
      </c>
      <c r="J25" s="274">
        <f>SUM(J16:J24)</f>
        <v>209.20320000000004</v>
      </c>
      <c r="K25" s="275">
        <f t="shared" si="10"/>
        <v>91.52640000000001</v>
      </c>
      <c r="L25" s="276">
        <f t="shared" si="10"/>
        <v>0</v>
      </c>
      <c r="M25" s="232">
        <f t="shared" si="10"/>
        <v>2314.3104000000003</v>
      </c>
      <c r="N25" s="233">
        <f>SUM(N16:N24)</f>
        <v>494.23728813559325</v>
      </c>
      <c r="O25" s="101">
        <f>SUM(O16:O24)</f>
        <v>14.042738440677967</v>
      </c>
      <c r="P25" s="234">
        <f>SUM(P16:P24)</f>
        <v>2822.5904265762711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2615.04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209.20320000000004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91.52640000000001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2314.3103999999998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494.23728813559325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2808.547688135593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14.042738440677965</v>
      </c>
    </row>
    <row r="35" spans="2:16" ht="15.75" customHeight="1" thickBot="1" x14ac:dyDescent="0.4">
      <c r="N35" s="334" t="s">
        <v>88</v>
      </c>
      <c r="O35" s="335"/>
      <c r="P35" s="297">
        <f>+P33+P34</f>
        <v>2822.5904265762711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20</v>
      </c>
      <c r="I25" s="114">
        <f t="shared" si="7"/>
        <v>1351.9125000000001</v>
      </c>
      <c r="J25" s="274">
        <f>SUM(J16:J24)</f>
        <v>108.15299999999999</v>
      </c>
      <c r="K25" s="275">
        <f t="shared" si="7"/>
        <v>47.316937500000009</v>
      </c>
      <c r="L25" s="276">
        <f t="shared" si="7"/>
        <v>0</v>
      </c>
      <c r="M25" s="232">
        <f t="shared" si="7"/>
        <v>1196.4425625000001</v>
      </c>
      <c r="N25" s="233">
        <f>SUM(N16:N24)</f>
        <v>255.50847457627117</v>
      </c>
      <c r="O25" s="101">
        <f>SUM(O16:O24)</f>
        <v>7.2597551853813567</v>
      </c>
      <c r="P25" s="234">
        <f>SUM(P16:P24)</f>
        <v>1459.2107922616526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1351.9125000000001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108.15299999999999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47.316937500000009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1196.4425625000001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255.50847457627117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1451.9510370762714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7.2597551853813576</v>
      </c>
    </row>
    <row r="35" spans="2:16" ht="15.75" customHeight="1" thickBot="1" x14ac:dyDescent="0.4">
      <c r="N35" s="334" t="s">
        <v>88</v>
      </c>
      <c r="O35" s="335"/>
      <c r="P35" s="297">
        <f>+P33+P34</f>
        <v>1459.2107922616528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8.75" customHeight="1" x14ac:dyDescent="0.4">
      <c r="A6" s="388" t="s">
        <v>515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516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1569.2000000000003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78.460000000000022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134.95120000000003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1355.7888000000003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1660.873545762712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34" t="s">
        <v>88</v>
      </c>
      <c r="O35" s="335"/>
      <c r="P35" s="297">
        <f>+P33+P34</f>
        <v>1669.1779134915255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517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519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50</v>
      </c>
      <c r="I25" s="114">
        <f t="shared" si="7"/>
        <v>3297.9</v>
      </c>
      <c r="J25" s="274">
        <f>SUM(J16:J24)</f>
        <v>252.06300000000002</v>
      </c>
      <c r="K25" s="275">
        <f t="shared" si="7"/>
        <v>115.42650000000002</v>
      </c>
      <c r="L25" s="276">
        <f t="shared" si="7"/>
        <v>20.007300000000001</v>
      </c>
      <c r="M25" s="232">
        <f t="shared" si="7"/>
        <v>2910.4032000000002</v>
      </c>
      <c r="N25" s="233">
        <f>SUM(N16:N24)</f>
        <v>625.42372881355936</v>
      </c>
      <c r="O25" s="101">
        <f>SUM(O16:O24)</f>
        <v>17.679134644067798</v>
      </c>
      <c r="P25" s="234">
        <f>SUM(P16:P24)</f>
        <v>3553.5060634576271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3297.9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252.06300000000002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135.43380000000002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2910.4031999999997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625.42372881355936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3535.8269288135589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17.679134644067794</v>
      </c>
    </row>
    <row r="35" spans="2:16" ht="15.75" customHeight="1" thickBot="1" x14ac:dyDescent="0.4">
      <c r="N35" s="334" t="s">
        <v>88</v>
      </c>
      <c r="O35" s="335"/>
      <c r="P35" s="297">
        <f>+P33+P34</f>
        <v>3553.5060634576266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520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516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4474.8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310.90800000000002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236.64720000000003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3927.2447999999999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4781.4820881355927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34" t="s">
        <v>88</v>
      </c>
      <c r="O35" s="335"/>
      <c r="P35" s="297">
        <f>+P33+P34</f>
        <v>4805.3894985762709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521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522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4871.7750000000005</v>
      </c>
      <c r="J25" s="274">
        <f>SUM(J16:J24)</f>
        <v>377.97300000000001</v>
      </c>
      <c r="K25" s="275">
        <f t="shared" si="7"/>
        <v>170.51212500000003</v>
      </c>
      <c r="L25" s="276">
        <f t="shared" si="7"/>
        <v>20.007300000000001</v>
      </c>
      <c r="M25" s="232">
        <f t="shared" si="7"/>
        <v>4303.2825749999993</v>
      </c>
      <c r="N25" s="233">
        <f>SUM(N16:N24)</f>
        <v>922.88135593220318</v>
      </c>
      <c r="O25" s="101">
        <f>SUM(O16:O24)</f>
        <v>26.130819654661018</v>
      </c>
      <c r="P25" s="234">
        <f>SUM(P16:P24)</f>
        <v>5252.2947505868642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4871.7750000000005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377.97300000000001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190.51942500000001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4303.2825750000002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922.88135593220318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5226.1639309322036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26.130819654661018</v>
      </c>
    </row>
    <row r="35" spans="2:16" ht="15.75" customHeight="1" thickBot="1" x14ac:dyDescent="0.4">
      <c r="N35" s="334" t="s">
        <v>88</v>
      </c>
      <c r="O35" s="335"/>
      <c r="P35" s="297">
        <f>+P33+P34</f>
        <v>5252.2947505868642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523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524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5004.1000000000004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400.32799999999997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175.14350000000002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4428.6285000000007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5374.3912118644075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34" t="s">
        <v>88</v>
      </c>
      <c r="O35" s="335"/>
      <c r="P35" s="297">
        <f>+P33+P34</f>
        <v>5401.2631679237293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525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518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5004.1000000000004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400.32799999999997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175.14350000000002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4428.6285000000007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5374.3912118644075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34" t="s">
        <v>88</v>
      </c>
      <c r="O35" s="335"/>
      <c r="P35" s="297">
        <f>+P33+P34</f>
        <v>5401.2631679237293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8.7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46233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46232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2026-07-29T12:01:26Z</dcterms:modified>
</cp:coreProperties>
</file>