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202E3679-0A62-45A1-A49E-E05D2E0359B8}" xr6:coauthVersionLast="47" xr6:coauthVersionMax="47" xr10:uidLastSave="{00000000-0000-0000-0000-000000000000}"/>
  <bookViews>
    <workbookView xWindow="-110" yWindow="-110" windowWidth="19420" windowHeight="10420" tabRatio="949" activeTab="14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22" i="27" l="1"/>
  <c r="K17" i="17"/>
  <c r="K18" i="17"/>
  <c r="K19" i="17"/>
  <c r="K20" i="17"/>
  <c r="K21" i="17"/>
  <c r="K17" i="19"/>
  <c r="K18" i="19"/>
  <c r="K19" i="19"/>
  <c r="K20" i="19"/>
  <c r="K21" i="19"/>
  <c r="K17" i="18"/>
  <c r="K18" i="18"/>
  <c r="K19" i="18"/>
  <c r="K20" i="18"/>
  <c r="K21" i="18"/>
  <c r="K17" i="20"/>
  <c r="K18" i="20"/>
  <c r="K22" i="20"/>
  <c r="K17" i="21"/>
  <c r="K18" i="21"/>
  <c r="K17" i="22"/>
  <c r="K18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22" i="26"/>
  <c r="K17" i="27"/>
  <c r="K18" i="27"/>
  <c r="K19" i="27"/>
  <c r="K20" i="27"/>
  <c r="K21" i="27"/>
  <c r="K17" i="28"/>
  <c r="K18" i="28"/>
  <c r="K19" i="28"/>
  <c r="K20" i="28"/>
  <c r="K21" i="28"/>
  <c r="K22" i="28"/>
  <c r="K17" i="29"/>
  <c r="K18" i="29"/>
  <c r="K19" i="29"/>
  <c r="K20" i="29"/>
  <c r="K21" i="29"/>
  <c r="K22" i="29"/>
  <c r="K17" i="30"/>
  <c r="K18" i="30"/>
  <c r="K19" i="30"/>
  <c r="K20" i="30"/>
  <c r="K21" i="30"/>
  <c r="K22" i="30"/>
  <c r="K17" i="31"/>
  <c r="K18" i="31"/>
  <c r="K19" i="31"/>
  <c r="K20" i="31"/>
  <c r="K21" i="31"/>
  <c r="K22" i="31"/>
  <c r="K17" i="32"/>
  <c r="K18" i="32"/>
  <c r="K19" i="32"/>
  <c r="K20" i="32"/>
  <c r="K21" i="32"/>
  <c r="K22" i="32"/>
  <c r="K17" i="33"/>
  <c r="K18" i="33"/>
  <c r="K19" i="33"/>
  <c r="K20" i="33"/>
  <c r="K21" i="33"/>
  <c r="K22" i="33"/>
  <c r="K17" i="34"/>
  <c r="K18" i="34"/>
  <c r="K19" i="34"/>
  <c r="K20" i="34"/>
  <c r="K21" i="34"/>
  <c r="K22" i="34"/>
  <c r="K17" i="35"/>
  <c r="K18" i="35"/>
  <c r="K19" i="35"/>
  <c r="K20" i="35"/>
  <c r="K21" i="35"/>
  <c r="K22" i="35"/>
  <c r="K17" i="16"/>
  <c r="K18" i="16"/>
  <c r="K19" i="16"/>
  <c r="K20" i="16"/>
  <c r="K21" i="16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K16" i="16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I19" i="28"/>
  <c r="I20" i="28"/>
  <c r="I21" i="28"/>
  <c r="I22" i="28"/>
  <c r="I23" i="28"/>
  <c r="L23" i="28" s="1"/>
  <c r="I24" i="28"/>
  <c r="I22" i="32"/>
  <c r="I18" i="33"/>
  <c r="I20" i="33"/>
  <c r="I16" i="30"/>
  <c r="I17" i="30"/>
  <c r="I18" i="30"/>
  <c r="I19" i="30"/>
  <c r="I20" i="30"/>
  <c r="I21" i="30"/>
  <c r="I22" i="30"/>
  <c r="L22" i="30" s="1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I23" i="31"/>
  <c r="K23" i="31" s="1"/>
  <c r="I24" i="31"/>
  <c r="I23" i="32"/>
  <c r="I22" i="33"/>
  <c r="M22" i="33" s="1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L22" i="35"/>
  <c r="M22" i="35"/>
  <c r="K23" i="35"/>
  <c r="L23" i="35"/>
  <c r="K24" i="35"/>
  <c r="L24" i="35"/>
  <c r="L16" i="34"/>
  <c r="L17" i="34"/>
  <c r="L18" i="34"/>
  <c r="L21" i="34"/>
  <c r="L22" i="34"/>
  <c r="K23" i="34"/>
  <c r="L21" i="33"/>
  <c r="L22" i="33"/>
  <c r="L20" i="33"/>
  <c r="K24" i="33"/>
  <c r="L24" i="33"/>
  <c r="M17" i="33"/>
  <c r="K24" i="32"/>
  <c r="L24" i="32"/>
  <c r="I25" i="32"/>
  <c r="P28" i="32" s="1"/>
  <c r="L16" i="32"/>
  <c r="L17" i="32"/>
  <c r="L19" i="32"/>
  <c r="L20" i="32"/>
  <c r="L21" i="32"/>
  <c r="K23" i="32"/>
  <c r="L23" i="32"/>
  <c r="M23" i="32" s="1"/>
  <c r="L22" i="32"/>
  <c r="L17" i="31"/>
  <c r="M17" i="31" s="1"/>
  <c r="L21" i="31"/>
  <c r="L22" i="31"/>
  <c r="K24" i="31"/>
  <c r="L24" i="31"/>
  <c r="L16" i="31"/>
  <c r="L20" i="31"/>
  <c r="L23" i="31"/>
  <c r="L20" i="30"/>
  <c r="L21" i="30"/>
  <c r="M21" i="30" s="1"/>
  <c r="L23" i="30"/>
  <c r="L16" i="30"/>
  <c r="L17" i="30"/>
  <c r="K24" i="30"/>
  <c r="L24" i="30"/>
  <c r="L16" i="29"/>
  <c r="L21" i="29"/>
  <c r="K24" i="29"/>
  <c r="M24" i="29" s="1"/>
  <c r="L24" i="29"/>
  <c r="L17" i="29"/>
  <c r="L20" i="29"/>
  <c r="L22" i="29"/>
  <c r="I25" i="28"/>
  <c r="P28" i="28" s="1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K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22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K19" i="26" s="1"/>
  <c r="I20" i="26"/>
  <c r="I21" i="26"/>
  <c r="K21" i="26" s="1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3" i="27"/>
  <c r="L23" i="27"/>
  <c r="K24" i="27"/>
  <c r="L24" i="27"/>
  <c r="L19" i="27"/>
  <c r="L18" i="27"/>
  <c r="L17" i="26"/>
  <c r="L19" i="26"/>
  <c r="L22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L20" i="26" l="1"/>
  <c r="K20" i="26"/>
  <c r="N24" i="34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K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I22" i="18"/>
  <c r="I24" i="18"/>
  <c r="L24" i="18" s="1"/>
  <c r="I19" i="19"/>
  <c r="L19" i="19" s="1"/>
  <c r="I20" i="19"/>
  <c r="I21" i="19"/>
  <c r="L21" i="19" s="1"/>
  <c r="I22" i="19"/>
  <c r="K22" i="19" s="1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K19" i="20" s="1"/>
  <c r="I21" i="20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I22" i="20"/>
  <c r="I24" i="20"/>
  <c r="K24" i="20" s="1"/>
  <c r="I16" i="21"/>
  <c r="L16" i="21" s="1"/>
  <c r="I18" i="21"/>
  <c r="I20" i="21"/>
  <c r="K20" i="21" s="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I23" i="17"/>
  <c r="K23" i="17" s="1"/>
  <c r="I24" i="17"/>
  <c r="K24" i="17" s="1"/>
  <c r="I19" i="18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L22" i="22"/>
  <c r="L17" i="22"/>
  <c r="L19" i="22"/>
  <c r="L21" i="22"/>
  <c r="L24" i="20"/>
  <c r="K23" i="20"/>
  <c r="L20" i="19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20" l="1"/>
  <c r="K21" i="20"/>
  <c r="L20" i="20"/>
  <c r="K20" i="20"/>
  <c r="L22" i="18"/>
  <c r="K22" i="18"/>
  <c r="L22" i="19"/>
  <c r="L22" i="17"/>
  <c r="K22" i="17"/>
  <c r="L24" i="17"/>
  <c r="M21" i="19"/>
  <c r="K23" i="24"/>
  <c r="L22" i="25"/>
  <c r="I25" i="25"/>
  <c r="P28" i="25" s="1"/>
  <c r="M22" i="18"/>
  <c r="N22" i="18" s="1"/>
  <c r="O22" i="18" s="1"/>
  <c r="L18" i="17"/>
  <c r="K23" i="19"/>
  <c r="M23" i="19" s="1"/>
  <c r="N23" i="19" s="1"/>
  <c r="O23" i="19" s="1"/>
  <c r="L23" i="22"/>
  <c r="L25" i="22" s="1"/>
  <c r="P29" i="22" s="1"/>
  <c r="L19" i="25"/>
  <c r="L25" i="25" s="1"/>
  <c r="P29" i="25" s="1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M16" i="20"/>
  <c r="N16" i="20" s="1"/>
  <c r="M22" i="17"/>
  <c r="N22" i="17" s="1"/>
  <c r="O22" i="17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N24" i="19"/>
  <c r="O24" i="19" s="1"/>
  <c r="L25" i="19"/>
  <c r="P29" i="19" s="1"/>
  <c r="N24" i="18"/>
  <c r="O24" i="18" s="1"/>
  <c r="I23" i="15"/>
  <c r="L17" i="16" l="1"/>
  <c r="M23" i="22"/>
  <c r="N23" i="22" s="1"/>
  <c r="O23" i="22" s="1"/>
  <c r="L21" i="16"/>
  <c r="L21" i="15" s="1"/>
  <c r="K25" i="19"/>
  <c r="P30" i="19" s="1"/>
  <c r="P31" i="19" s="1"/>
  <c r="L22" i="16"/>
  <c r="L22" i="15" s="1"/>
  <c r="L19" i="16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19" i="18" l="1"/>
  <c r="P22" i="20"/>
  <c r="M25" i="20"/>
  <c r="M25" i="19"/>
  <c r="M25" i="18"/>
  <c r="M16" i="15"/>
  <c r="M22" i="15"/>
  <c r="M18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O22" i="16" l="1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<sst xmlns="http://schemas.openxmlformats.org/spreadsheetml/2006/main" count="1634" uniqueCount="143">
  <si>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</si>
  <si>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</si>
  <si>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</si>
  <si>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</si>
  <si>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</si>
  <si>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</si>
  <si>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</si>
  <si>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</si>
  <si>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</si>
  <si>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</si>
  <si>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</si>
  <si>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</si>
  <si>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</si>
  <si>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</si>
  <si>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</si>
  <si>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</si>
  <si>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</si>
  <si>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</si>
  <si>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</si>
  <si>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</si>
  <si>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</si>
  <si>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</si>
  <si>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</si>
  <si>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</si>
  <si>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</si>
  <si>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</si>
  <si>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</si>
  <si>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</si>
  <si>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</si>
  <si>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</si>
  <si>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</si>
  <si>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</si>
  <si>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</si>
  <si>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</si>
  <si>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</si>
  <si>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</si>
  <si>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</si>
  <si>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</si>
  <si>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</si>
  <si>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</si>
  <si>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</si>
  <si>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</si>
  <si>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</si>
  <si>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</si>
  <si>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</si>
  <si>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</si>
  <si>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</si>
  <si>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</si>
  <si>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</si>
  <si>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</si>
  <si>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</si>
  <si>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</si>
  <si>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</si>
  <si>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</si>
  <si>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</si>
  <si>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</si>
  <si>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</si>
  <si>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</si>
  <si>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</si>
  <si>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</si>
  <si>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</si>
  <si>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</si>
  <si>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</si>
  <si>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</si>
  <si>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</si>
  <si>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</si>
  <si>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</si>
  <si>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</si>
  <si>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</si>
  <si>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</si>
  <si>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</si>
  <si>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</si>
  <si>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</si>
  <si>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</si>
  <si>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</si>
  <si>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</si>
  <si>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</si>
  <si>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</si>
  <si>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</si>
  <si>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</si>
  <si>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</si>
  <si>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</si>
  <si>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</si>
  <si>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</si>
  <si>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</si>
  <si>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</si>
  <si>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</si>
  <si>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</si>
  <si>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</si>
  <si>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</si>
  <si>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</si>
  <si>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</si>
  <si>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</si>
  <si>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</si>
  <si>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</si>
  <si>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</si>
  <si>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</si>
  <si>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</si>
  <si>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</si>
  <si>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</si>
  <si>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</si>
  <si>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</si>
  <si>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</si>
  <si>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</si>
  <si>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</si>
  <si>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</si>
  <si>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</si>
  <si>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</si>
  <si>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</si>
  <si>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</si>
  <si>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</si>
  <si>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</si>
  <si>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</si>
  <si>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</si>
  <si>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</si>
  <si>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</si>
  <si>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</si>
  <si>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</si>
  <si>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</si>
  <si>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</si>
  <si>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 xml:space="preserve">Umair </t>
  </si>
  <si>
    <t>Shop Bill Summary (Umair)</t>
  </si>
  <si>
    <t>Customer Name : AB GS</t>
  </si>
  <si>
    <t xml:space="preserve">Address: Awan Market </t>
  </si>
  <si>
    <t>6925517-8</t>
  </si>
  <si>
    <t>Customer Name :Al Makkah Keryana Store</t>
  </si>
  <si>
    <t xml:space="preserve">Customer Name : Hafiz Bakery </t>
  </si>
  <si>
    <t xml:space="preserve">Address: Awan Town </t>
  </si>
  <si>
    <t>Customer Name : Al makkah GS</t>
  </si>
  <si>
    <t xml:space="preserve">Customer Name : Al Fazal Cash &amp; Carry </t>
  </si>
  <si>
    <t>Address: Feroz pur Road</t>
  </si>
  <si>
    <t xml:space="preserve">Customer Name : Al Ahmad Bakers </t>
  </si>
  <si>
    <t>Address: Nishter Bazar</t>
  </si>
  <si>
    <t xml:space="preserve">Customer Name : A1 Bakers </t>
  </si>
  <si>
    <t>Address: Nishter Main Bazar</t>
  </si>
  <si>
    <t>Customer Name : Faridiya Verity Store</t>
  </si>
  <si>
    <t>Address: Nashter Main Bazar</t>
  </si>
  <si>
    <t>Customer Name : Hanif Khan Store</t>
  </si>
  <si>
    <t>Customer Name : Every K Bakers</t>
  </si>
  <si>
    <t xml:space="preserve">Customer Name : SS Sweets </t>
  </si>
  <si>
    <t>Address: Nashter Road</t>
  </si>
  <si>
    <t>Customer Name : Gulshan Bakery</t>
  </si>
  <si>
    <t>Address: Awan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</si>
</sst>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F6" sqref="F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6" sqref="F6"/>
      <selection pane="topRight" activeCell="F6" sqref="F6"/>
      <selection pane="bottomLeft" activeCell="F6" sqref="F6"/>
      <selection pane="bottomRight" activeCell="F6" sqref="F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opLeftCell="A10" zoomScale="70" zoomScaleNormal="70" workbookViewId="0">
      <selection activeCell="V22" sqref="V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9" t="s">
        <v>45</v>
      </c>
      <c r="B2" s="209"/>
      <c r="C2" s="209"/>
    </row>
    <row r="3" spans="1:21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4" t="s">
        <v>120</v>
      </c>
      <c r="B5" s="214"/>
      <c r="C5" s="214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21 16383:16384" ht="15" customHeight="1" x14ac:dyDescent="0.35">
      <c r="A6" s="214"/>
      <c r="B6" s="214"/>
      <c r="C6" s="214"/>
      <c r="F6" s="70"/>
      <c r="G6" s="74"/>
      <c r="K6" s="211" t="s">
        <v>52</v>
      </c>
      <c r="L6" s="211"/>
      <c r="M6" s="211"/>
      <c r="N6" s="213" t="s">
        <v>42</v>
      </c>
      <c r="O6" s="213"/>
      <c r="P6" s="21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1 16383:16384" hidden="1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1 16383:16384" x14ac:dyDescent="0.35">
      <c r="A10" s="216"/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1 16383:16384" ht="15" thickBot="1" x14ac:dyDescent="0.4">
      <c r="A11" s="216"/>
      <c r="B11" s="76"/>
      <c r="C11" s="77"/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1 16383:16384" ht="14.65" customHeight="1" x14ac:dyDescent="0.35">
      <c r="A12" s="216"/>
      <c r="B12" s="76"/>
      <c r="C12" s="77"/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T12" s="225" t="s">
        <v>121</v>
      </c>
      <c r="U12" s="226"/>
      <c r="XFD12" t="s">
        <v>62</v>
      </c>
    </row>
    <row r="13" spans="1:21 16383:16384" ht="15" thickBot="1" x14ac:dyDescent="0.4">
      <c r="A13" s="253"/>
      <c r="J13" s="78"/>
      <c r="K13" s="78"/>
      <c r="L13" s="79">
        <v>0.05</v>
      </c>
      <c r="T13" s="227"/>
      <c r="U13" s="228"/>
      <c r="XFD13" t="s">
        <v>63</v>
      </c>
    </row>
    <row r="14" spans="1:21 16383:16384" ht="29.25" customHeight="1" x14ac:dyDescent="0.6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19" t="s">
        <v>68</v>
      </c>
      <c r="H14" s="220"/>
      <c r="I14" s="220" t="s">
        <v>69</v>
      </c>
      <c r="J14" s="220" t="s">
        <v>70</v>
      </c>
      <c r="K14" s="220"/>
      <c r="L14" s="222"/>
      <c r="M14" s="22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AB GS</v>
      </c>
      <c r="U14" s="164">
        <f>+'1'!P35</f>
        <v>1664.2566438000003</v>
      </c>
      <c r="XFD14" t="s">
        <v>75</v>
      </c>
    </row>
    <row r="15" spans="1:21 16383:16384" ht="29.25" customHeight="1" thickBot="1" x14ac:dyDescent="0.65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21"/>
      <c r="J15" s="171" t="s">
        <v>78</v>
      </c>
      <c r="K15" s="171" t="s">
        <v>79</v>
      </c>
      <c r="L15" s="174" t="s">
        <v>80</v>
      </c>
      <c r="M15" s="22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:Al Makkah Keryana Store</v>
      </c>
      <c r="U15" s="164">
        <f>+'2'!P35</f>
        <v>538.64712270000007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0</v>
      </c>
      <c r="I16" s="1">
        <f>(G16*D16)*F16+H16*F16</f>
        <v>0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+'3'!A5</f>
        <v xml:space="preserve">Customer Name : Hafiz Bakery </v>
      </c>
      <c r="U16" s="164">
        <f>+'3'!P35</f>
        <v>448.87260225000006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>Customer Name : Al makkah GS</v>
      </c>
      <c r="U17" s="164">
        <f>+'4'!P35</f>
        <v>538.64712270000007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Al Fazal Cash &amp; Carry </v>
      </c>
      <c r="U18" s="164">
        <f>+'5'!P35</f>
        <v>9458.5866047999989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85</v>
      </c>
      <c r="I19" s="1">
        <f t="shared" si="1"/>
        <v>6174.4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177.96800000000002</v>
      </c>
      <c r="L19" s="175">
        <f>+'1'!L19+'2'!L19+'4'!L19+'3'!L19+'5'!L19+'6'!L19+'7'!L19+'8'!L19+'9'!L19+'10'!L19</f>
        <v>406.78399999999999</v>
      </c>
      <c r="M19" s="118">
        <f t="shared" si="2"/>
        <v>5589.6480000000001</v>
      </c>
      <c r="N19" s="101">
        <f>+'1'!N19+'2'!N19+'4'!N19+'3'!N19+'5'!N19+'6'!N19+'7'!N19+'8'!N19+'9'!N19+'10'!N19</f>
        <v>990.01056000000005</v>
      </c>
      <c r="O19" s="101">
        <f>+'1'!O19+'2'!O19+'4'!O19+'3'!O19+'5'!O19+'6'!O19+'7'!O19+'8'!O19+'9'!O19+'10'!O19</f>
        <v>27.4502928</v>
      </c>
      <c r="P19" s="120">
        <f t="shared" si="0"/>
        <v>6607.1088528</v>
      </c>
      <c r="T19" s="163" t="str">
        <f>+'6'!A5</f>
        <v xml:space="preserve">Customer Name : Al Ahmad Bakers </v>
      </c>
      <c r="U19" s="164">
        <f>+'6'!P35</f>
        <v>4913.3186513999999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85</v>
      </c>
      <c r="I20" s="1">
        <f t="shared" si="1"/>
        <v>6174.4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177.96800000000002</v>
      </c>
      <c r="L20" s="175">
        <f>+'1'!L20+'2'!L20+'4'!L20+'3'!L20+'5'!L20+'6'!L20+'7'!L20+'8'!L20+'9'!L20+'10'!L20</f>
        <v>406.78399999999999</v>
      </c>
      <c r="M20" s="118">
        <f t="shared" si="2"/>
        <v>5589.6480000000001</v>
      </c>
      <c r="N20" s="101">
        <f>+'1'!N20+'2'!N20+'4'!N20+'3'!N20+'5'!N20+'6'!N20+'7'!N20+'8'!N20+'9'!N20+'10'!N20</f>
        <v>990.01056000000005</v>
      </c>
      <c r="O20" s="101">
        <f>+'1'!O20+'2'!O20+'4'!O20+'3'!O20+'5'!O20+'6'!O20+'7'!O20+'8'!O20+'9'!O20+'10'!O20</f>
        <v>27.4502928</v>
      </c>
      <c r="P20" s="120">
        <f t="shared" si="0"/>
        <v>6607.1088528</v>
      </c>
      <c r="T20" s="163" t="str">
        <f>+'7'!A5</f>
        <v xml:space="preserve">Customer Name : A1 Bakers </v>
      </c>
      <c r="U20" s="164">
        <f>+'7'!P35</f>
        <v>4913.3186513999999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70</v>
      </c>
      <c r="I21" s="1">
        <f t="shared" si="1"/>
        <v>5084.8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152.54400000000001</v>
      </c>
      <c r="L21" s="175">
        <f>+'1'!L21+'2'!L21+'4'!L21+'3'!L21+'5'!L21+'6'!L21+'7'!L21+'8'!L21+'9'!L21+'10'!L21</f>
        <v>348.67200000000003</v>
      </c>
      <c r="M21" s="118">
        <f t="shared" si="2"/>
        <v>4583.5840000000007</v>
      </c>
      <c r="N21" s="101">
        <f>+'1'!N21+'2'!N21+'4'!N21+'3'!N21+'5'!N21+'6'!N21+'7'!N21+'8'!N21+'9'!N21+'10'!N21</f>
        <v>848.58047999999997</v>
      </c>
      <c r="O21" s="101">
        <f>+'1'!O21+'2'!O21+'4'!O21+'3'!O21+'5'!O21+'6'!O21+'7'!O21+'8'!O21+'9'!O21+'10'!O21</f>
        <v>23.528822399999999</v>
      </c>
      <c r="P21" s="120">
        <f t="shared" si="0"/>
        <v>5455.6933024</v>
      </c>
      <c r="T21" s="163" t="str">
        <f>+'8'!A5</f>
        <v>Customer Name : Faridiya Verity Store</v>
      </c>
      <c r="U21" s="164">
        <f>+'8'!P35</f>
        <v>897.74520450000011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294</v>
      </c>
      <c r="I22" s="1">
        <f t="shared" si="1"/>
        <v>11533.62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348.75470000000013</v>
      </c>
      <c r="L22" s="175">
        <f>+'1'!L22+'2'!L22+'4'!L22+'3'!L22+'5'!L22+'6'!L22+'7'!L22+'8'!L22+'9'!L22+'10'!L22</f>
        <v>576.68100000000015</v>
      </c>
      <c r="M22" s="118">
        <f t="shared" si="2"/>
        <v>10608.184300000001</v>
      </c>
      <c r="N22" s="101">
        <f>+'1'!N22+'2'!N22+'4'!N22+'3'!N22+'5'!N22+'6'!N22+'7'!N22+'8'!N22+'9'!N22+'10'!N22</f>
        <v>1988.5765460000002</v>
      </c>
      <c r="O22" s="101">
        <f>+'1'!O22+'2'!O22+'4'!O22+'3'!O22+'5'!O22+'6'!O22+'7'!O22+'8'!O22+'9'!O22+'10'!O22</f>
        <v>172.50156755000003</v>
      </c>
      <c r="P22" s="120">
        <f t="shared" si="0"/>
        <v>12769.262413550001</v>
      </c>
      <c r="T22" s="163" t="str">
        <f>+'9'!A5</f>
        <v>Customer Name : Hanif Khan Store</v>
      </c>
      <c r="U22" s="164">
        <f>+'9'!P35</f>
        <v>1795.4904090000002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Every K Bakers</v>
      </c>
      <c r="U23" s="164">
        <f>+'10'!P35</f>
        <v>1795.4904090000002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SS Sweets </v>
      </c>
      <c r="U24" s="164">
        <f>+'11'!P35</f>
        <v>3215.605728</v>
      </c>
    </row>
    <row r="25" spans="1:21 16384:16384" ht="26.5" thickBot="1" x14ac:dyDescent="0.65">
      <c r="A25" s="235" t="s">
        <v>84</v>
      </c>
      <c r="B25" s="236"/>
      <c r="C25" s="237">
        <f>H25/40</f>
        <v>13.35</v>
      </c>
      <c r="D25" s="231"/>
      <c r="E25" s="231"/>
      <c r="F25" s="231"/>
      <c r="G25" s="176">
        <f t="shared" ref="G25:M25" si="3">SUM(G16:G24)</f>
        <v>0</v>
      </c>
      <c r="H25" s="177">
        <f t="shared" si="3"/>
        <v>534</v>
      </c>
      <c r="I25" s="178">
        <f t="shared" si="3"/>
        <v>28967.22</v>
      </c>
      <c r="J25" s="177">
        <f t="shared" si="3"/>
        <v>0</v>
      </c>
      <c r="K25" s="178">
        <f t="shared" si="3"/>
        <v>857.2347000000002</v>
      </c>
      <c r="L25" s="179">
        <f t="shared" si="3"/>
        <v>1738.9210000000003</v>
      </c>
      <c r="M25" s="141">
        <f t="shared" si="3"/>
        <v>26371.064300000002</v>
      </c>
      <c r="N25" s="142">
        <f>SUM(N16:N24)</f>
        <v>4817.1781460000002</v>
      </c>
      <c r="O25" s="143">
        <f>SUM(O16:O24)</f>
        <v>250.93097555000003</v>
      </c>
      <c r="P25" s="144">
        <f>SUM(P16:P24)</f>
        <v>31439.17342155</v>
      </c>
      <c r="T25" s="163" t="str">
        <f>+'12'!A5</f>
        <v>Customer Name : Gulshan Bakery</v>
      </c>
      <c r="U25" s="164">
        <f>+'12'!P35</f>
        <v>1664.2566438000003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31844.235793350002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8" t="s">
        <v>85</v>
      </c>
      <c r="C36" s="239"/>
      <c r="D36" s="239"/>
      <c r="E36" s="239"/>
      <c r="F36" s="239"/>
      <c r="G36" s="239"/>
      <c r="H36" s="239"/>
      <c r="I36" s="239"/>
      <c r="J36" s="239"/>
      <c r="K36" s="239"/>
      <c r="L36" s="240"/>
      <c r="N36" s="247" t="s">
        <v>86</v>
      </c>
      <c r="O36" s="248"/>
      <c r="P36" s="152">
        <f>I25</f>
        <v>28967.22</v>
      </c>
    </row>
    <row r="37" spans="1:21" ht="15" customHeight="1" x14ac:dyDescent="0.35">
      <c r="B37" s="241"/>
      <c r="C37" s="242"/>
      <c r="D37" s="242"/>
      <c r="E37" s="242"/>
      <c r="F37" s="242"/>
      <c r="G37" s="242"/>
      <c r="H37" s="242"/>
      <c r="I37" s="242"/>
      <c r="J37" s="242"/>
      <c r="K37" s="242"/>
      <c r="L37" s="243"/>
      <c r="N37" s="249" t="s">
        <v>87</v>
      </c>
      <c r="O37" s="250"/>
      <c r="P37" s="153">
        <f>L25</f>
        <v>1738.9210000000003</v>
      </c>
    </row>
    <row r="38" spans="1:21" ht="15" customHeight="1" x14ac:dyDescent="0.35">
      <c r="B38" s="241"/>
      <c r="C38" s="242"/>
      <c r="D38" s="242"/>
      <c r="E38" s="242"/>
      <c r="F38" s="242"/>
      <c r="G38" s="242"/>
      <c r="H38" s="242"/>
      <c r="I38" s="242"/>
      <c r="J38" s="242"/>
      <c r="K38" s="242"/>
      <c r="L38" s="243"/>
      <c r="N38" s="249" t="s">
        <v>4</v>
      </c>
      <c r="O38" s="250"/>
      <c r="P38" s="154">
        <f>K25</f>
        <v>857.2347000000002</v>
      </c>
    </row>
    <row r="39" spans="1:21" ht="15" customHeight="1" x14ac:dyDescent="0.35">
      <c r="B39" s="241"/>
      <c r="C39" s="242"/>
      <c r="D39" s="242"/>
      <c r="E39" s="242"/>
      <c r="F39" s="242"/>
      <c r="G39" s="242"/>
      <c r="H39" s="242"/>
      <c r="I39" s="242"/>
      <c r="J39" s="242"/>
      <c r="K39" s="242"/>
      <c r="L39" s="243"/>
      <c r="M39" s="2"/>
      <c r="N39" s="249" t="s">
        <v>88</v>
      </c>
      <c r="O39" s="250"/>
      <c r="P39" s="153">
        <f>P36-P37-P38</f>
        <v>26371.064299999998</v>
      </c>
    </row>
    <row r="40" spans="1:21" ht="15" customHeight="1" x14ac:dyDescent="0.35">
      <c r="B40" s="241"/>
      <c r="C40" s="242"/>
      <c r="D40" s="242"/>
      <c r="E40" s="242"/>
      <c r="F40" s="242"/>
      <c r="G40" s="242"/>
      <c r="H40" s="242"/>
      <c r="I40" s="242"/>
      <c r="J40" s="242"/>
      <c r="K40" s="242"/>
      <c r="L40" s="243"/>
      <c r="M40" s="2"/>
      <c r="N40" s="155" t="s">
        <v>89</v>
      </c>
      <c r="O40" s="156">
        <f>IF(B12="Registered",18%,22%)</f>
        <v>0.22</v>
      </c>
      <c r="P40" s="153">
        <f>N25</f>
        <v>4817.1781460000002</v>
      </c>
    </row>
    <row r="41" spans="1:21" ht="15" customHeight="1" x14ac:dyDescent="0.35">
      <c r="B41" s="241"/>
      <c r="C41" s="242"/>
      <c r="D41" s="242"/>
      <c r="E41" s="242"/>
      <c r="F41" s="242"/>
      <c r="G41" s="242"/>
      <c r="H41" s="242"/>
      <c r="I41" s="242"/>
      <c r="J41" s="242"/>
      <c r="K41" s="242"/>
      <c r="L41" s="243"/>
      <c r="M41" s="2"/>
      <c r="N41" s="251" t="s">
        <v>90</v>
      </c>
      <c r="O41" s="252"/>
      <c r="P41" s="153">
        <f>P39+P40</f>
        <v>31188.242445999997</v>
      </c>
    </row>
    <row r="42" spans="1:21" ht="15" customHeight="1" thickBot="1" x14ac:dyDescent="0.4">
      <c r="B42" s="244"/>
      <c r="C42" s="245"/>
      <c r="D42" s="245"/>
      <c r="E42" s="245"/>
      <c r="F42" s="245"/>
      <c r="G42" s="245"/>
      <c r="H42" s="245"/>
      <c r="I42" s="245"/>
      <c r="J42" s="245"/>
      <c r="K42" s="245"/>
      <c r="L42" s="246"/>
      <c r="M42" s="157"/>
      <c r="N42" s="158" t="s">
        <v>91</v>
      </c>
      <c r="O42" s="159">
        <f>IF(B11="Filer",0.5%,2.5%)</f>
        <v>2.5000000000000001E-2</v>
      </c>
      <c r="P42" s="153">
        <f>O42*P41</f>
        <v>779.70606114999998</v>
      </c>
    </row>
    <row r="43" spans="1:21" ht="15.75" customHeight="1" thickBot="1" x14ac:dyDescent="0.4">
      <c r="N43" s="229" t="s">
        <v>92</v>
      </c>
      <c r="O43" s="230"/>
      <c r="P43" s="160">
        <f>P41+P42</f>
        <v>31967.948507149995</v>
      </c>
    </row>
    <row r="44" spans="1:21" ht="15" thickBot="1" x14ac:dyDescent="0.4">
      <c r="B44" s="161" t="s">
        <v>93</v>
      </c>
      <c r="C44" s="231"/>
      <c r="D44" s="231"/>
      <c r="E44" s="231"/>
      <c r="F44" s="231"/>
      <c r="G44" s="231"/>
      <c r="H44" s="231"/>
      <c r="I44" s="232"/>
      <c r="J44" s="233"/>
      <c r="K44" s="23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0" workbookViewId="0">
      <selection activeCell="I26" sqref="I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9" t="s">
        <v>45</v>
      </c>
      <c r="B2" s="209"/>
      <c r="C2" s="209"/>
    </row>
    <row r="3" spans="1:26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6" t="s">
        <v>122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26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6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6 16383:16384" x14ac:dyDescent="0.35">
      <c r="A10" s="216" t="s">
        <v>95</v>
      </c>
      <c r="B10" s="75" t="s">
        <v>124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6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6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26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S14" s="263" t="s">
        <v>117</v>
      </c>
      <c r="T14" s="263"/>
      <c r="U14" s="263"/>
      <c r="V14" s="263"/>
      <c r="W14" s="264" t="s">
        <v>119</v>
      </c>
      <c r="X14" s="264"/>
      <c r="Y14" s="264"/>
      <c r="Z14" s="264"/>
      <c r="XFD14" t="s">
        <v>75</v>
      </c>
    </row>
    <row r="15" spans="1:26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2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65" t="s">
        <v>118</v>
      </c>
      <c r="T19" s="265"/>
      <c r="U19" s="265"/>
      <c r="V19" s="265"/>
      <c r="W19" s="266" t="s">
        <v>116</v>
      </c>
      <c r="X19" s="266"/>
      <c r="Y19" s="266"/>
      <c r="Z19" s="266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04">
        <f t="shared" si="4"/>
        <v>54.922000000000011</v>
      </c>
      <c r="L22" s="120">
        <f>I22*10%</f>
        <v>156.92000000000004</v>
      </c>
      <c r="M22" s="118">
        <f t="shared" si="6"/>
        <v>1357.3580000000002</v>
      </c>
      <c r="N22" s="118">
        <f t="shared" si="0"/>
        <v>298.61876000000007</v>
      </c>
      <c r="O22" s="119">
        <f t="shared" si="1"/>
        <v>8.2798838000000021</v>
      </c>
      <c r="P22" s="120">
        <f t="shared" si="2"/>
        <v>1664.2566438000003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13">SUM(G16:G24)</f>
        <v>0</v>
      </c>
      <c r="H25" s="136">
        <f t="shared" si="13"/>
        <v>40</v>
      </c>
      <c r="I25" s="137">
        <f t="shared" si="13"/>
        <v>1569.2000000000003</v>
      </c>
      <c r="J25" s="138"/>
      <c r="K25" s="139">
        <f t="shared" si="13"/>
        <v>54.922000000000011</v>
      </c>
      <c r="L25" s="140">
        <f t="shared" si="13"/>
        <v>156.92000000000004</v>
      </c>
      <c r="M25" s="141">
        <f t="shared" si="13"/>
        <v>1357.3580000000002</v>
      </c>
      <c r="N25" s="142">
        <f>SUM(N16:N24)</f>
        <v>298.61876000000007</v>
      </c>
      <c r="O25" s="143">
        <f>SUM(O16:O24)</f>
        <v>8.2798838000000021</v>
      </c>
      <c r="P25" s="144">
        <f>SUM(P16:P24)</f>
        <v>1664.2566438000003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1569.2000000000003</v>
      </c>
    </row>
    <row r="29" spans="1:26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156.92000000000004</v>
      </c>
    </row>
    <row r="30" spans="1:26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54.922000000000011</v>
      </c>
    </row>
    <row r="31" spans="1:26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1357.3580000000002</v>
      </c>
    </row>
    <row r="32" spans="1:26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298.61876000000007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1655.9767600000002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8.2798838000000021</v>
      </c>
    </row>
    <row r="35" spans="2:16" ht="15.75" customHeight="1" thickBot="1" x14ac:dyDescent="0.4">
      <c r="N35" s="229" t="s">
        <v>92</v>
      </c>
      <c r="O35" s="230"/>
      <c r="P35" s="160">
        <f>P33+P34</f>
        <v>1664.2566438000003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2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125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04">
        <f t="shared" si="3"/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13.137734700000003</v>
      </c>
      <c r="P22" s="120">
        <f t="shared" si="1"/>
        <v>538.64712270000007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16.476600000000005</v>
      </c>
      <c r="L25" s="140">
        <f t="shared" si="9"/>
        <v>23.538000000000004</v>
      </c>
      <c r="M25" s="141">
        <f t="shared" si="9"/>
        <v>430.74540000000002</v>
      </c>
      <c r="N25" s="142">
        <f>SUM(N16:N24)</f>
        <v>94.763987999999998</v>
      </c>
      <c r="O25" s="143">
        <f>SUM(O16:O24)</f>
        <v>13.137734700000003</v>
      </c>
      <c r="P25" s="144">
        <f>SUM(P16:P24)</f>
        <v>538.64712270000007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470.76000000000005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23.538000000000004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16.476600000000005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430.74540000000002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94.763987999999998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525.50938800000006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13.137734700000003</v>
      </c>
    </row>
    <row r="35" spans="2:16" ht="15.75" customHeight="1" thickBot="1" x14ac:dyDescent="0.4">
      <c r="N35" s="229" t="s">
        <v>92</v>
      </c>
      <c r="O35" s="230"/>
      <c r="P35" s="160">
        <f>P33+P34</f>
        <v>538.64712270000007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4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126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127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 t="shared" si="3"/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392.30000000000007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19.615000000000006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13.730500000000003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358.95450000000005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437.92449000000005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29" t="s">
        <v>92</v>
      </c>
      <c r="O35" s="230"/>
      <c r="P35" s="160">
        <f>P33+P34</f>
        <v>448.87260225000006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3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128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04">
        <f t="shared" si="3"/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13.137734700000003</v>
      </c>
      <c r="P22" s="120">
        <f t="shared" si="1"/>
        <v>538.64712270000007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16.476600000000005</v>
      </c>
      <c r="L25" s="140">
        <f t="shared" si="9"/>
        <v>23.538000000000004</v>
      </c>
      <c r="M25" s="141">
        <f t="shared" si="9"/>
        <v>430.74540000000002</v>
      </c>
      <c r="N25" s="142">
        <f>SUM(N16:N24)</f>
        <v>94.763987999999998</v>
      </c>
      <c r="O25" s="143">
        <f>SUM(O16:O24)</f>
        <v>13.137734700000003</v>
      </c>
      <c r="P25" s="144">
        <f>SUM(P16:P24)</f>
        <v>538.64712270000007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470.76000000000005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23.538000000000004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16.476600000000005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430.74540000000002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94.763987999999998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525.50938800000006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13.137734700000003</v>
      </c>
    </row>
    <row r="35" spans="2:16" ht="15.75" customHeight="1" thickBot="1" x14ac:dyDescent="0.4">
      <c r="N35" s="229" t="s">
        <v>92</v>
      </c>
      <c r="O35" s="230"/>
      <c r="P35" s="160">
        <f>P33+P34</f>
        <v>538.64712270000007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2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5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130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3277876302987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565.72032000000002</v>
      </c>
      <c r="O19" s="119">
        <f t="shared" si="6"/>
        <v>15.6858816</v>
      </c>
      <c r="P19" s="120">
        <f t="shared" si="1"/>
        <v>3152.8622015999999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565.72032000000002</v>
      </c>
      <c r="O20" s="119">
        <f t="shared" si="6"/>
        <v>15.6858816</v>
      </c>
      <c r="P20" s="120">
        <f t="shared" si="1"/>
        <v>3152.8622015999999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565.72032000000002</v>
      </c>
      <c r="O21" s="119">
        <f t="shared" si="6"/>
        <v>15.6858816</v>
      </c>
      <c r="P21" s="120">
        <f t="shared" si="1"/>
        <v>3152.8622015999999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120</v>
      </c>
      <c r="I25" s="137">
        <f t="shared" si="9"/>
        <v>8716.7999999999993</v>
      </c>
      <c r="J25" s="138"/>
      <c r="K25" s="139">
        <f t="shared" si="9"/>
        <v>305.08800000000002</v>
      </c>
      <c r="L25" s="140">
        <f t="shared" si="9"/>
        <v>697.34400000000005</v>
      </c>
      <c r="M25" s="141">
        <f t="shared" si="9"/>
        <v>7714.3680000000004</v>
      </c>
      <c r="N25" s="142">
        <f>SUM(N16:N24)</f>
        <v>1697.1609600000002</v>
      </c>
      <c r="O25" s="143">
        <f>SUM(O16:O24)</f>
        <v>47.057644799999998</v>
      </c>
      <c r="P25" s="144">
        <f>SUM(P16:P24)</f>
        <v>9458.5866047999989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8716.7999999999993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697.34400000000005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305.08800000000002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7714.3679999999995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1697.1609600000002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9411.5289599999996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47.057644799999998</v>
      </c>
    </row>
    <row r="35" spans="2:16" ht="15.75" customHeight="1" thickBot="1" x14ac:dyDescent="0.4">
      <c r="N35" s="229" t="s">
        <v>92</v>
      </c>
      <c r="O35" s="230"/>
      <c r="P35" s="160">
        <f>P33+P34</f>
        <v>9458.5866047999989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6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131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132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3510154733365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212.14511999999999</v>
      </c>
      <c r="O19" s="119">
        <f t="shared" si="6"/>
        <v>5.8822055999999998</v>
      </c>
      <c r="P19" s="120">
        <f t="shared" si="1"/>
        <v>1182.3233255999999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15</v>
      </c>
      <c r="I20" s="116">
        <f t="shared" si="2"/>
        <v>1089.5999999999999</v>
      </c>
      <c r="J20" s="117"/>
      <c r="K20" s="104">
        <f t="shared" si="3"/>
        <v>38.136000000000003</v>
      </c>
      <c r="L20" s="105">
        <f t="shared" si="4"/>
        <v>87.167999999999992</v>
      </c>
      <c r="M20" s="118">
        <f t="shared" si="5"/>
        <v>964.29599999999994</v>
      </c>
      <c r="N20" s="118">
        <f t="shared" si="0"/>
        <v>212.14511999999999</v>
      </c>
      <c r="O20" s="119">
        <f t="shared" si="6"/>
        <v>5.8822055999999998</v>
      </c>
      <c r="P20" s="120">
        <f t="shared" si="1"/>
        <v>1182.3233255999999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141.43008</v>
      </c>
      <c r="O21" s="119">
        <f t="shared" si="6"/>
        <v>3.9214704</v>
      </c>
      <c r="P21" s="120">
        <f t="shared" si="1"/>
        <v>788.21555039999998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 t="shared" si="3"/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8.7584898000000013</v>
      </c>
      <c r="P22" s="120">
        <f t="shared" si="1"/>
        <v>1760.4564498000002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80</v>
      </c>
      <c r="I25" s="137">
        <f t="shared" si="9"/>
        <v>4474.8</v>
      </c>
      <c r="J25" s="138"/>
      <c r="K25" s="139">
        <f t="shared" si="9"/>
        <v>156.61800000000002</v>
      </c>
      <c r="L25" s="140">
        <f t="shared" si="9"/>
        <v>310.90800000000002</v>
      </c>
      <c r="M25" s="141">
        <f t="shared" si="9"/>
        <v>4007.2740000000003</v>
      </c>
      <c r="N25" s="142">
        <f>SUM(N16:N24)</f>
        <v>881.60028000000011</v>
      </c>
      <c r="O25" s="143">
        <f>SUM(O16:O24)</f>
        <v>24.444371400000001</v>
      </c>
      <c r="P25" s="144">
        <f>SUM(P16:P24)</f>
        <v>4913.3186513999999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4474.8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310.90800000000002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156.61800000000002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4007.2739999999999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881.60028000000011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4888.87428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24.444371400000001</v>
      </c>
    </row>
    <row r="35" spans="2:16" ht="15.75" customHeight="1" thickBot="1" x14ac:dyDescent="0.4">
      <c r="N35" s="229" t="s">
        <v>92</v>
      </c>
      <c r="O35" s="230"/>
      <c r="P35" s="160">
        <f>P33+P34</f>
        <v>4913.3186513999999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7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133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134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3520170188827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212.14511999999999</v>
      </c>
      <c r="O19" s="119">
        <f t="shared" si="6"/>
        <v>5.8822055999999998</v>
      </c>
      <c r="P19" s="120">
        <f t="shared" si="1"/>
        <v>1182.3233255999999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15</v>
      </c>
      <c r="I20" s="116">
        <f t="shared" si="2"/>
        <v>1089.5999999999999</v>
      </c>
      <c r="J20" s="117"/>
      <c r="K20" s="104">
        <f t="shared" si="3"/>
        <v>38.136000000000003</v>
      </c>
      <c r="L20" s="105">
        <f t="shared" si="4"/>
        <v>87.167999999999992</v>
      </c>
      <c r="M20" s="118">
        <f t="shared" si="5"/>
        <v>964.29599999999994</v>
      </c>
      <c r="N20" s="118">
        <f t="shared" si="0"/>
        <v>212.14511999999999</v>
      </c>
      <c r="O20" s="119">
        <f t="shared" si="6"/>
        <v>5.8822055999999998</v>
      </c>
      <c r="P20" s="120">
        <f t="shared" si="1"/>
        <v>1182.3233255999999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141.43008</v>
      </c>
      <c r="O21" s="119">
        <f t="shared" si="6"/>
        <v>3.9214704</v>
      </c>
      <c r="P21" s="120">
        <f t="shared" si="1"/>
        <v>788.21555039999998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 t="shared" si="3"/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8.7584898000000013</v>
      </c>
      <c r="P22" s="120">
        <f t="shared" si="1"/>
        <v>1760.4564498000002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80</v>
      </c>
      <c r="I25" s="137">
        <f t="shared" si="9"/>
        <v>4474.8</v>
      </c>
      <c r="J25" s="138"/>
      <c r="K25" s="139">
        <f t="shared" si="9"/>
        <v>156.61800000000002</v>
      </c>
      <c r="L25" s="140">
        <f t="shared" si="9"/>
        <v>310.90800000000002</v>
      </c>
      <c r="M25" s="141">
        <f t="shared" si="9"/>
        <v>4007.2740000000003</v>
      </c>
      <c r="N25" s="142">
        <f>SUM(N16:N24)</f>
        <v>881.60028000000011</v>
      </c>
      <c r="O25" s="143">
        <f>SUM(O16:O24)</f>
        <v>24.444371400000001</v>
      </c>
      <c r="P25" s="144">
        <f>SUM(P16:P24)</f>
        <v>4913.3186513999999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4474.8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310.90800000000002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156.61800000000002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4007.2739999999999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881.60028000000011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4888.87428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24.444371400000001</v>
      </c>
    </row>
    <row r="35" spans="2:16" ht="15.75" customHeight="1" thickBot="1" x14ac:dyDescent="0.4">
      <c r="N35" s="229" t="s">
        <v>92</v>
      </c>
      <c r="O35" s="230"/>
      <c r="P35" s="160">
        <f>P33+P34</f>
        <v>4913.3186513999999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20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8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135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136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04">
        <f t="shared" si="3"/>
        <v>27.461000000000006</v>
      </c>
      <c r="L22" s="120">
        <f>I22*5%</f>
        <v>39.230000000000011</v>
      </c>
      <c r="M22" s="118">
        <f t="shared" si="5"/>
        <v>717.90900000000011</v>
      </c>
      <c r="N22" s="118">
        <f t="shared" si="0"/>
        <v>157.93998000000002</v>
      </c>
      <c r="O22" s="119">
        <f t="shared" si="6"/>
        <v>21.896224500000002</v>
      </c>
      <c r="P22" s="120">
        <f t="shared" si="1"/>
        <v>897.74520450000011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20</v>
      </c>
      <c r="I25" s="137">
        <f t="shared" si="9"/>
        <v>784.60000000000014</v>
      </c>
      <c r="J25" s="138"/>
      <c r="K25" s="139">
        <f t="shared" si="9"/>
        <v>27.461000000000006</v>
      </c>
      <c r="L25" s="140">
        <f t="shared" si="9"/>
        <v>39.230000000000011</v>
      </c>
      <c r="M25" s="141">
        <f t="shared" si="9"/>
        <v>717.90900000000011</v>
      </c>
      <c r="N25" s="142">
        <f>SUM(N16:N24)</f>
        <v>157.93998000000002</v>
      </c>
      <c r="O25" s="143">
        <f>SUM(O16:O24)</f>
        <v>21.896224500000002</v>
      </c>
      <c r="P25" s="144">
        <f>SUM(P16:P24)</f>
        <v>897.74520450000011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784.60000000000014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39.230000000000011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27.461000000000006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717.90900000000011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157.93998000000002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875.8489800000001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21.896224500000002</v>
      </c>
    </row>
    <row r="35" spans="2:16" ht="15.75" customHeight="1" thickBot="1" x14ac:dyDescent="0.4">
      <c r="N35" s="229" t="s">
        <v>92</v>
      </c>
      <c r="O35" s="230"/>
      <c r="P35" s="160">
        <f>P33+P34</f>
        <v>897.74520450000011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9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137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136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7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 t="shared" si="3"/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43.792449000000005</v>
      </c>
      <c r="P22" s="120">
        <f t="shared" si="1"/>
        <v>1795.4904090000002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315.87996000000004</v>
      </c>
      <c r="O25" s="143">
        <f>SUM(O16:O24)</f>
        <v>43.792449000000005</v>
      </c>
      <c r="P25" s="144">
        <f>SUM(P16:P24)</f>
        <v>1795.4904090000002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1569.2000000000003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78.460000000000022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54.922000000000011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1435.8180000000002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315.87996000000004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1751.6979600000002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43.792449000000005</v>
      </c>
    </row>
    <row r="35" spans="2:16" ht="15.75" customHeight="1" thickBot="1" x14ac:dyDescent="0.4">
      <c r="N35" s="229" t="s">
        <v>92</v>
      </c>
      <c r="O35" s="230"/>
      <c r="P35" s="160">
        <f>P33+P34</f>
        <v>1795.4904090000002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18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138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136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 t="shared" si="3"/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43.792449000000005</v>
      </c>
      <c r="P22" s="120">
        <f t="shared" si="1"/>
        <v>1795.4904090000002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315.87996000000004</v>
      </c>
      <c r="O25" s="143">
        <f>SUM(O16:O24)</f>
        <v>43.792449000000005</v>
      </c>
      <c r="P25" s="144">
        <f>SUM(P16:P24)</f>
        <v>1795.4904090000002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1569.2000000000003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78.460000000000022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54.922000000000011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1435.8180000000002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315.87996000000004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1751.6979600000002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43.792449000000005</v>
      </c>
    </row>
    <row r="35" spans="2:16" ht="15.75" customHeight="1" thickBot="1" x14ac:dyDescent="0.4">
      <c r="N35" s="229" t="s">
        <v>92</v>
      </c>
      <c r="O35" s="230"/>
      <c r="P35" s="160">
        <f>P33+P34</f>
        <v>1795.4904090000002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8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140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212.14511999999999</v>
      </c>
      <c r="O19" s="119">
        <f t="shared" si="6"/>
        <v>29.411028000000002</v>
      </c>
      <c r="P19" s="120">
        <f t="shared" si="1"/>
        <v>1205.8521479999999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15</v>
      </c>
      <c r="I20" s="116">
        <f t="shared" si="2"/>
        <v>1089.5999999999999</v>
      </c>
      <c r="J20" s="117"/>
      <c r="K20" s="104">
        <f t="shared" si="3"/>
        <v>38.136000000000003</v>
      </c>
      <c r="L20" s="105">
        <f t="shared" si="4"/>
        <v>87.167999999999992</v>
      </c>
      <c r="M20" s="118">
        <f t="shared" si="5"/>
        <v>964.29599999999994</v>
      </c>
      <c r="N20" s="118">
        <f t="shared" si="0"/>
        <v>212.14511999999999</v>
      </c>
      <c r="O20" s="119">
        <f t="shared" si="6"/>
        <v>29.411028000000002</v>
      </c>
      <c r="P20" s="120">
        <f t="shared" si="1"/>
        <v>1205.8521479999999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141.43008</v>
      </c>
      <c r="O21" s="119">
        <f t="shared" si="6"/>
        <v>19.607352000000002</v>
      </c>
      <c r="P21" s="120">
        <f t="shared" si="1"/>
        <v>803.901432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101.69600000000001</v>
      </c>
      <c r="L25" s="140">
        <f t="shared" si="9"/>
        <v>232.44799999999998</v>
      </c>
      <c r="M25" s="141">
        <f t="shared" si="9"/>
        <v>2571.4560000000001</v>
      </c>
      <c r="N25" s="142">
        <f>SUM(N16:N24)</f>
        <v>565.72032000000002</v>
      </c>
      <c r="O25" s="143">
        <f>SUM(O16:O24)</f>
        <v>78.429408000000009</v>
      </c>
      <c r="P25" s="144">
        <f>SUM(P16:P24)</f>
        <v>3215.605728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2905.6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232.44799999999998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101.69600000000001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2571.4560000000001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565.72032000000002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3137.17632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78.429408000000009</v>
      </c>
    </row>
    <row r="35" spans="2:16" ht="15.75" customHeight="1" thickBot="1" x14ac:dyDescent="0.4">
      <c r="N35" s="229" t="s">
        <v>92</v>
      </c>
      <c r="O35" s="230"/>
      <c r="P35" s="160">
        <f>P33+P34</f>
        <v>3215.605728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abSelected="1" topLeftCell="A18" workbookViewId="0">
      <selection activeCell="I27" sqref="I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141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142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124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 t="shared" si="3"/>
        <v>54.922000000000011</v>
      </c>
      <c r="L22" s="120">
        <f>I22*10%</f>
        <v>156.92000000000004</v>
      </c>
      <c r="M22" s="118">
        <f t="shared" si="5"/>
        <v>1357.3580000000002</v>
      </c>
      <c r="N22" s="118">
        <f t="shared" si="0"/>
        <v>298.61876000000007</v>
      </c>
      <c r="O22" s="119">
        <f t="shared" si="6"/>
        <v>8.2798838000000021</v>
      </c>
      <c r="P22" s="120">
        <f t="shared" si="1"/>
        <v>1664.2566438000003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156.92000000000004</v>
      </c>
      <c r="M25" s="141">
        <f t="shared" si="9"/>
        <v>1357.3580000000002</v>
      </c>
      <c r="N25" s="142">
        <f>SUM(N16:N24)</f>
        <v>298.61876000000007</v>
      </c>
      <c r="O25" s="143">
        <f>SUM(O16:O24)</f>
        <v>8.2798838000000021</v>
      </c>
      <c r="P25" s="144">
        <f>SUM(P16:P24)</f>
        <v>1664.2566438000003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1569.2000000000003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156.92000000000004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54.922000000000011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1357.3580000000002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298.61876000000007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1655.9767600000002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8.2798838000000021</v>
      </c>
    </row>
    <row r="35" spans="2:16" ht="15.75" customHeight="1" thickBot="1" x14ac:dyDescent="0.4">
      <c r="N35" s="229" t="s">
        <v>92</v>
      </c>
      <c r="O35" s="230"/>
      <c r="P35" s="160">
        <f>P33+P34</f>
        <v>1664.2566438000003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80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7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2026-07-08T07:40:30Z</dcterms:modified>
</cp:coreProperties>
</file>