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83A5DEE5-7FD8-4AED-8627-A59A3DDC8032}" xr6:coauthVersionLast="47" xr6:coauthVersionMax="47" xr10:uidLastSave="{00000000-0000-0000-0000-000000000000}"/>
  <bookViews>
    <workbookView xWindow="-110" yWindow="-110" windowWidth="19420" windowHeight="10420" tabRatio="949" activeTab="6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22" i="18" l="1"/>
  <c r="L22" i="21"/>
  <c r="L22" i="20"/>
  <c r="K18" i="17"/>
  <c r="K20" i="17"/>
  <c r="K22" i="17"/>
  <c r="K17" i="19"/>
  <c r="K18" i="19"/>
  <c r="K19" i="19"/>
  <c r="K20" i="19"/>
  <c r="K21" i="19"/>
  <c r="K17" i="18"/>
  <c r="K18" i="18"/>
  <c r="K19" i="18"/>
  <c r="K20" i="18"/>
  <c r="K21" i="18"/>
  <c r="K17" i="20"/>
  <c r="K18" i="20"/>
  <c r="K19" i="20"/>
  <c r="K20" i="20"/>
  <c r="K21" i="20"/>
  <c r="K17" i="21"/>
  <c r="K18" i="21"/>
  <c r="K19" i="21"/>
  <c r="K20" i="21"/>
  <c r="K21" i="21"/>
  <c r="K17" i="22"/>
  <c r="K18" i="22"/>
  <c r="K22" i="22"/>
  <c r="K17" i="23"/>
  <c r="K18" i="23"/>
  <c r="K19" i="23"/>
  <c r="K20" i="23"/>
  <c r="K21" i="23"/>
  <c r="K22" i="23"/>
  <c r="K18" i="24"/>
  <c r="K19" i="24"/>
  <c r="K20" i="24"/>
  <c r="K21" i="24"/>
  <c r="K22" i="24"/>
  <c r="K18" i="25"/>
  <c r="K20" i="25"/>
  <c r="K22" i="25"/>
  <c r="K18" i="26"/>
  <c r="K19" i="26"/>
  <c r="K20" i="26"/>
  <c r="K21" i="26"/>
  <c r="K22" i="26"/>
  <c r="K17" i="27"/>
  <c r="K18" i="27"/>
  <c r="K19" i="27"/>
  <c r="K20" i="27"/>
  <c r="K21" i="27"/>
  <c r="K22" i="27"/>
  <c r="K17" i="28"/>
  <c r="K18" i="28"/>
  <c r="K19" i="28"/>
  <c r="K20" i="28"/>
  <c r="K21" i="28"/>
  <c r="K22" i="28"/>
  <c r="K17" i="29"/>
  <c r="K18" i="29"/>
  <c r="K19" i="29"/>
  <c r="K20" i="29"/>
  <c r="K21" i="29"/>
  <c r="K22" i="29"/>
  <c r="K17" i="30"/>
  <c r="K18" i="30"/>
  <c r="K19" i="30"/>
  <c r="K20" i="30"/>
  <c r="K21" i="30"/>
  <c r="K22" i="30"/>
  <c r="K17" i="31"/>
  <c r="K18" i="31"/>
  <c r="K19" i="31"/>
  <c r="K20" i="31"/>
  <c r="K21" i="31"/>
  <c r="K22" i="31"/>
  <c r="K17" i="32"/>
  <c r="K18" i="32"/>
  <c r="K19" i="32"/>
  <c r="K20" i="32"/>
  <c r="K21" i="32"/>
  <c r="K22" i="32"/>
  <c r="K17" i="33"/>
  <c r="K18" i="33"/>
  <c r="K19" i="33"/>
  <c r="K20" i="33"/>
  <c r="K21" i="33"/>
  <c r="K22" i="33"/>
  <c r="K17" i="34"/>
  <c r="K18" i="34"/>
  <c r="K19" i="34"/>
  <c r="K20" i="34"/>
  <c r="K21" i="34"/>
  <c r="K22" i="34"/>
  <c r="K17" i="35"/>
  <c r="K18" i="35"/>
  <c r="K19" i="35"/>
  <c r="K20" i="35"/>
  <c r="K21" i="35"/>
  <c r="K22" i="35"/>
  <c r="K17" i="16"/>
  <c r="K18" i="16"/>
  <c r="K22" i="16"/>
  <c r="K16" i="19"/>
  <c r="K16" i="18"/>
  <c r="K16" i="20"/>
  <c r="K16" i="21"/>
  <c r="K16" i="22"/>
  <c r="K16" i="24"/>
  <c r="K16" i="27"/>
  <c r="K16" i="28"/>
  <c r="K16" i="29"/>
  <c r="K16" i="30"/>
  <c r="K16" i="31"/>
  <c r="K16" i="32"/>
  <c r="K16" i="33"/>
  <c r="K16" i="34"/>
  <c r="K16" i="35"/>
  <c r="K16" i="16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6" i="28" l="1"/>
  <c r="I17" i="28"/>
  <c r="I18" i="28"/>
  <c r="I19" i="28"/>
  <c r="I20" i="28"/>
  <c r="I21" i="28"/>
  <c r="I22" i="28"/>
  <c r="I23" i="28"/>
  <c r="L23" i="28" s="1"/>
  <c r="I24" i="28"/>
  <c r="I22" i="32"/>
  <c r="I18" i="33"/>
  <c r="I20" i="33"/>
  <c r="I16" i="30"/>
  <c r="I17" i="30"/>
  <c r="I18" i="30"/>
  <c r="I19" i="30"/>
  <c r="I20" i="30"/>
  <c r="I21" i="30"/>
  <c r="I22" i="30"/>
  <c r="L22" i="30" s="1"/>
  <c r="I23" i="30"/>
  <c r="K23" i="30" s="1"/>
  <c r="M23" i="30" s="1"/>
  <c r="I24" i="30"/>
  <c r="I16" i="32"/>
  <c r="I17" i="32"/>
  <c r="I18" i="32"/>
  <c r="I19" i="32"/>
  <c r="I20" i="32"/>
  <c r="I21" i="32"/>
  <c r="I16" i="33"/>
  <c r="L16" i="33" s="1"/>
  <c r="I16" i="31"/>
  <c r="I17" i="31"/>
  <c r="I18" i="31"/>
  <c r="L18" i="31" s="1"/>
  <c r="I19" i="31"/>
  <c r="I20" i="31"/>
  <c r="I21" i="31"/>
  <c r="I22" i="31"/>
  <c r="I23" i="31"/>
  <c r="K23" i="31" s="1"/>
  <c r="I24" i="31"/>
  <c r="I23" i="32"/>
  <c r="I22" i="33"/>
  <c r="M22" i="33" s="1"/>
  <c r="I16" i="34"/>
  <c r="I17" i="34"/>
  <c r="I18" i="34"/>
  <c r="I19" i="34"/>
  <c r="I20" i="34"/>
  <c r="I21" i="34"/>
  <c r="I22" i="34"/>
  <c r="I23" i="34"/>
  <c r="I24" i="34"/>
  <c r="L24" i="34" s="1"/>
  <c r="I16" i="29"/>
  <c r="I17" i="29"/>
  <c r="I18" i="29"/>
  <c r="I19" i="29"/>
  <c r="I20" i="29"/>
  <c r="I21" i="29"/>
  <c r="I22" i="29"/>
  <c r="I23" i="29"/>
  <c r="L23" i="29" s="1"/>
  <c r="I24" i="29"/>
  <c r="I24" i="32"/>
  <c r="I19" i="33"/>
  <c r="L19" i="33" s="1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L22" i="35"/>
  <c r="M22" i="35"/>
  <c r="K23" i="35"/>
  <c r="L23" i="35"/>
  <c r="K24" i="35"/>
  <c r="L24" i="35"/>
  <c r="L16" i="34"/>
  <c r="L17" i="34"/>
  <c r="L18" i="34"/>
  <c r="L21" i="34"/>
  <c r="L22" i="34"/>
  <c r="K23" i="34"/>
  <c r="L21" i="33"/>
  <c r="L22" i="33"/>
  <c r="L20" i="33"/>
  <c r="K24" i="33"/>
  <c r="L24" i="33"/>
  <c r="M17" i="33"/>
  <c r="K24" i="32"/>
  <c r="L24" i="32"/>
  <c r="I25" i="32"/>
  <c r="P28" i="32" s="1"/>
  <c r="L16" i="32"/>
  <c r="L17" i="32"/>
  <c r="L19" i="32"/>
  <c r="L20" i="32"/>
  <c r="L21" i="32"/>
  <c r="K23" i="32"/>
  <c r="L23" i="32"/>
  <c r="M23" i="32" s="1"/>
  <c r="L22" i="32"/>
  <c r="L17" i="31"/>
  <c r="M17" i="31" s="1"/>
  <c r="L21" i="31"/>
  <c r="L22" i="31"/>
  <c r="K24" i="31"/>
  <c r="L24" i="31"/>
  <c r="L16" i="31"/>
  <c r="L20" i="31"/>
  <c r="L23" i="31"/>
  <c r="L20" i="30"/>
  <c r="L21" i="30"/>
  <c r="M21" i="30" s="1"/>
  <c r="L23" i="30"/>
  <c r="L16" i="30"/>
  <c r="L17" i="30"/>
  <c r="K24" i="30"/>
  <c r="L24" i="30"/>
  <c r="L16" i="29"/>
  <c r="L21" i="29"/>
  <c r="K24" i="29"/>
  <c r="M24" i="29" s="1"/>
  <c r="L24" i="29"/>
  <c r="L17" i="29"/>
  <c r="L20" i="29"/>
  <c r="L22" i="29"/>
  <c r="I25" i="28"/>
  <c r="P28" i="28" s="1"/>
  <c r="L16" i="28"/>
  <c r="L17" i="28"/>
  <c r="M17" i="28" s="1"/>
  <c r="L19" i="28"/>
  <c r="L20" i="28"/>
  <c r="L21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23" i="28" l="1"/>
  <c r="M23" i="28" s="1"/>
  <c r="K23" i="29"/>
  <c r="M22" i="29"/>
  <c r="N22" i="29" s="1"/>
  <c r="O22" i="29" s="1"/>
  <c r="L19" i="30"/>
  <c r="M22" i="31"/>
  <c r="L19" i="31"/>
  <c r="K24" i="34"/>
  <c r="M24" i="34" s="1"/>
  <c r="L20" i="34"/>
  <c r="M21" i="35"/>
  <c r="I25" i="34"/>
  <c r="P28" i="34" s="1"/>
  <c r="M24" i="28"/>
  <c r="L22" i="28"/>
  <c r="L18" i="28"/>
  <c r="L18" i="29"/>
  <c r="L25" i="29" s="1"/>
  <c r="P29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K16" i="26" s="1"/>
  <c r="I17" i="26"/>
  <c r="K17" i="26" s="1"/>
  <c r="I18" i="26"/>
  <c r="I19" i="26"/>
  <c r="I20" i="26"/>
  <c r="L20" i="26" s="1"/>
  <c r="I21" i="26"/>
  <c r="I22" i="26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N19" i="34"/>
  <c r="O19" i="34" s="1"/>
  <c r="N23" i="33"/>
  <c r="O23" i="33" s="1"/>
  <c r="N24" i="33"/>
  <c r="O24" i="33" s="1"/>
  <c r="N18" i="33"/>
  <c r="O18" i="33" s="1"/>
  <c r="N17" i="33"/>
  <c r="O17" i="33" s="1"/>
  <c r="N22" i="33"/>
  <c r="O22" i="33" s="1"/>
  <c r="M16" i="33"/>
  <c r="N17" i="32"/>
  <c r="O17" i="32" s="1"/>
  <c r="N23" i="32"/>
  <c r="O23" i="32" s="1"/>
  <c r="L25" i="32"/>
  <c r="P29" i="32" s="1"/>
  <c r="K25" i="32"/>
  <c r="P30" i="32" s="1"/>
  <c r="N21" i="31"/>
  <c r="O21" i="31" s="1"/>
  <c r="N24" i="31"/>
  <c r="O24" i="31" s="1"/>
  <c r="P24" i="3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16" i="29"/>
  <c r="N20" i="29"/>
  <c r="O20" i="29" s="1"/>
  <c r="N24" i="29"/>
  <c r="O24" i="29" s="1"/>
  <c r="P24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L16" i="27"/>
  <c r="L17" i="27"/>
  <c r="L20" i="27"/>
  <c r="L21" i="27"/>
  <c r="L22" i="27"/>
  <c r="K23" i="27"/>
  <c r="L23" i="27"/>
  <c r="K24" i="27"/>
  <c r="L24" i="27"/>
  <c r="L19" i="27"/>
  <c r="L18" i="27"/>
  <c r="L19" i="26"/>
  <c r="L22" i="26"/>
  <c r="K23" i="26"/>
  <c r="L23" i="26"/>
  <c r="L18" i="26"/>
  <c r="L21" i="26"/>
  <c r="K24" i="26"/>
  <c r="L16" i="26"/>
  <c r="T23" i="15"/>
  <c r="T22" i="15"/>
  <c r="T21" i="15"/>
  <c r="T20" i="15"/>
  <c r="T19" i="15"/>
  <c r="T18" i="15"/>
  <c r="T15" i="15"/>
  <c r="T14" i="15"/>
  <c r="L17" i="26" l="1"/>
  <c r="N24" i="34"/>
  <c r="O24" i="34" s="1"/>
  <c r="K25" i="34"/>
  <c r="P30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K21" i="22" s="1"/>
  <c r="B21" i="22"/>
  <c r="C21" i="22" s="1"/>
  <c r="F20" i="22"/>
  <c r="E20" i="22"/>
  <c r="D20" i="22"/>
  <c r="I20" i="22" s="1"/>
  <c r="K20" i="22" s="1"/>
  <c r="B20" i="22"/>
  <c r="C20" i="22" s="1"/>
  <c r="F19" i="22"/>
  <c r="E19" i="22"/>
  <c r="D19" i="22"/>
  <c r="I19" i="22" s="1"/>
  <c r="K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33" i="32" l="1"/>
  <c r="N25" i="34"/>
  <c r="P32" i="34" s="1"/>
  <c r="P33" i="34" s="1"/>
  <c r="P34" i="34" s="1"/>
  <c r="P35" i="34" s="1"/>
  <c r="U32" i="15" s="1"/>
  <c r="P24" i="34"/>
  <c r="I16" i="25"/>
  <c r="K16" i="25" s="1"/>
  <c r="I17" i="25"/>
  <c r="K17" i="25" s="1"/>
  <c r="I18" i="25"/>
  <c r="I19" i="25"/>
  <c r="K19" i="25" s="1"/>
  <c r="I20" i="25"/>
  <c r="I22" i="25"/>
  <c r="I23" i="25"/>
  <c r="I24" i="25"/>
  <c r="L24" i="25" s="1"/>
  <c r="I21" i="18"/>
  <c r="I22" i="18"/>
  <c r="I24" i="18"/>
  <c r="L24" i="18" s="1"/>
  <c r="I19" i="19"/>
  <c r="L19" i="19" s="1"/>
  <c r="I20" i="19"/>
  <c r="I21" i="19"/>
  <c r="L21" i="19" s="1"/>
  <c r="I22" i="19"/>
  <c r="K22" i="19" s="1"/>
  <c r="I23" i="19"/>
  <c r="L23" i="19" s="1"/>
  <c r="I24" i="19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P31" i="26"/>
  <c r="I16" i="24"/>
  <c r="L16" i="24" s="1"/>
  <c r="I17" i="24"/>
  <c r="I18" i="24"/>
  <c r="I19" i="24"/>
  <c r="L19" i="24" s="1"/>
  <c r="I20" i="24"/>
  <c r="I21" i="24"/>
  <c r="L21" i="24" s="1"/>
  <c r="I22" i="24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I23" i="24"/>
  <c r="L23" i="24" s="1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I18" i="23"/>
  <c r="L18" i="23" s="1"/>
  <c r="I20" i="23"/>
  <c r="L20" i="23" s="1"/>
  <c r="I22" i="23"/>
  <c r="I24" i="23"/>
  <c r="L24" i="23" s="1"/>
  <c r="I16" i="20"/>
  <c r="L16" i="20" s="1"/>
  <c r="I18" i="20"/>
  <c r="I20" i="20"/>
  <c r="L20" i="20" s="1"/>
  <c r="I22" i="20"/>
  <c r="K22" i="20" s="1"/>
  <c r="I24" i="20"/>
  <c r="K24" i="20" s="1"/>
  <c r="I16" i="21"/>
  <c r="L16" i="21" s="1"/>
  <c r="I18" i="21"/>
  <c r="I20" i="21"/>
  <c r="I22" i="21"/>
  <c r="K22" i="21" s="1"/>
  <c r="I24" i="21"/>
  <c r="K24" i="21" s="1"/>
  <c r="I16" i="17"/>
  <c r="K16" i="17" s="1"/>
  <c r="I17" i="17"/>
  <c r="K17" i="17" s="1"/>
  <c r="I18" i="17"/>
  <c r="I19" i="17"/>
  <c r="K19" i="17" s="1"/>
  <c r="I20" i="17"/>
  <c r="I21" i="17"/>
  <c r="I22" i="17"/>
  <c r="L22" i="17" s="1"/>
  <c r="I23" i="17"/>
  <c r="K23" i="17" s="1"/>
  <c r="I24" i="17"/>
  <c r="K24" i="17" s="1"/>
  <c r="I19" i="18"/>
  <c r="I23" i="18"/>
  <c r="L23" i="18" s="1"/>
  <c r="L18" i="25"/>
  <c r="L20" i="25"/>
  <c r="L16" i="25"/>
  <c r="K24" i="25"/>
  <c r="L17" i="25"/>
  <c r="L23" i="25"/>
  <c r="K23" i="25"/>
  <c r="L23" i="23"/>
  <c r="K23" i="23"/>
  <c r="L16" i="22"/>
  <c r="L18" i="22"/>
  <c r="L20" i="22"/>
  <c r="L22" i="22"/>
  <c r="L17" i="22"/>
  <c r="L19" i="22"/>
  <c r="L21" i="22"/>
  <c r="L24" i="20"/>
  <c r="K23" i="20"/>
  <c r="L20" i="19"/>
  <c r="K24" i="19"/>
  <c r="L24" i="19"/>
  <c r="L22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1" i="25" l="1"/>
  <c r="K21" i="25"/>
  <c r="L17" i="24"/>
  <c r="K17" i="24"/>
  <c r="K25" i="24" s="1"/>
  <c r="P30" i="24" s="1"/>
  <c r="L16" i="23"/>
  <c r="K16" i="23"/>
  <c r="K22" i="18"/>
  <c r="L21" i="17"/>
  <c r="K21" i="17"/>
  <c r="L24" i="17"/>
  <c r="M21" i="19"/>
  <c r="K23" i="24"/>
  <c r="L22" i="25"/>
  <c r="I25" i="25"/>
  <c r="P28" i="25" s="1"/>
  <c r="M22" i="18"/>
  <c r="N22" i="18" s="1"/>
  <c r="O22" i="18" s="1"/>
  <c r="L18" i="17"/>
  <c r="K23" i="19"/>
  <c r="M23" i="19" s="1"/>
  <c r="N23" i="19" s="1"/>
  <c r="O23" i="19" s="1"/>
  <c r="L23" i="22"/>
  <c r="L25" i="22" s="1"/>
  <c r="P29" i="22" s="1"/>
  <c r="L19" i="25"/>
  <c r="L25" i="25" s="1"/>
  <c r="P29" i="25" s="1"/>
  <c r="M16" i="24"/>
  <c r="N16" i="24" s="1"/>
  <c r="M18" i="18"/>
  <c r="N18" i="18" s="1"/>
  <c r="O18" i="18" s="1"/>
  <c r="M21" i="20"/>
  <c r="N21" i="20" s="1"/>
  <c r="O21" i="20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19" i="24"/>
  <c r="N19" i="24" s="1"/>
  <c r="O19" i="24" s="1"/>
  <c r="P19" i="24" s="1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M22" i="21"/>
  <c r="N22" i="21" s="1"/>
  <c r="O22" i="21" s="1"/>
  <c r="L18" i="21"/>
  <c r="M18" i="21" s="1"/>
  <c r="N18" i="21" s="1"/>
  <c r="O18" i="21" s="1"/>
  <c r="M16" i="20"/>
  <c r="N16" i="20" s="1"/>
  <c r="M22" i="17"/>
  <c r="N22" i="17" s="1"/>
  <c r="O22" i="17" s="1"/>
  <c r="L19" i="21"/>
  <c r="M19" i="21" s="1"/>
  <c r="N19" i="21" s="1"/>
  <c r="O19" i="21" s="1"/>
  <c r="M17" i="21"/>
  <c r="N17" i="21" s="1"/>
  <c r="O17" i="21" s="1"/>
  <c r="P17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M16" i="21"/>
  <c r="N16" i="21" s="1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I18" i="16"/>
  <c r="I19" i="16"/>
  <c r="K19" i="16" s="1"/>
  <c r="I20" i="16"/>
  <c r="K20" i="16" s="1"/>
  <c r="I21" i="16"/>
  <c r="K21" i="16" s="1"/>
  <c r="I22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M16" i="22"/>
  <c r="M21" i="21"/>
  <c r="N21" i="21" s="1"/>
  <c r="M17" i="19"/>
  <c r="N17" i="19" s="1"/>
  <c r="O17" i="19" s="1"/>
  <c r="N24" i="19"/>
  <c r="O24" i="19" s="1"/>
  <c r="L25" i="19"/>
  <c r="P29" i="19" s="1"/>
  <c r="N24" i="18"/>
  <c r="O24" i="18" s="1"/>
  <c r="I23" i="15"/>
  <c r="M17" i="24" l="1"/>
  <c r="N17" i="24" s="1"/>
  <c r="O17" i="24" s="1"/>
  <c r="L17" i="16"/>
  <c r="M23" i="22"/>
  <c r="N23" i="22" s="1"/>
  <c r="O23" i="22" s="1"/>
  <c r="P23" i="22" s="1"/>
  <c r="L21" i="16"/>
  <c r="L21" i="15" s="1"/>
  <c r="K25" i="19"/>
  <c r="P30" i="19" s="1"/>
  <c r="P31" i="19" s="1"/>
  <c r="L22" i="16"/>
  <c r="L22" i="15" s="1"/>
  <c r="L19" i="16"/>
  <c r="L19" i="15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I25" i="15"/>
  <c r="P36" i="15" s="1"/>
  <c r="M24" i="16"/>
  <c r="N24" i="16" s="1"/>
  <c r="K23" i="16"/>
  <c r="K19" i="15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1" i="15" l="1"/>
  <c r="P19" i="18"/>
  <c r="P22" i="20"/>
  <c r="M25" i="20"/>
  <c r="M25" i="19"/>
  <c r="M25" i="18"/>
  <c r="M16" i="15"/>
  <c r="M22" i="15"/>
  <c r="M18" i="15"/>
  <c r="N16" i="18"/>
  <c r="N16" i="15" s="1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O22" i="16" l="1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33" i="16" l="1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<sst xmlns="http://schemas.openxmlformats.org/spreadsheetml/2006/main" count="1640" uniqueCount="144">
  <si>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</si>
  <si>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</si>
  <si>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</si>
  <si>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</si>
  <si>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</si>
  <si>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</si>
  <si>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</si>
  <si>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</si>
  <si>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</si>
  <si>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</si>
  <si>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</si>
  <si>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</si>
  <si>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</si>
  <si>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</si>
  <si>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</si>
  <si>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</si>
  <si>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</si>
  <si>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</si>
  <si>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</si>
  <si>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</si>
  <si>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</si>
  <si>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</si>
  <si>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</si>
  <si>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</si>
  <si>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</si>
  <si>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</si>
  <si>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</si>
  <si>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</si>
  <si>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</si>
  <si>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</si>
  <si>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</si>
  <si>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</si>
  <si>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</si>
  <si>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</si>
  <si>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</si>
  <si>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</si>
  <si>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</si>
  <si>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</si>
  <si>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</si>
  <si>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</si>
  <si>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</si>
  <si>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</si>
  <si>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</si>
  <si>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</si>
  <si>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</si>
  <si>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</si>
  <si>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</si>
  <si>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</si>
  <si>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</si>
  <si>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</si>
  <si>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</si>
  <si>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</si>
  <si>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</si>
  <si>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</si>
  <si>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</si>
  <si>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</si>
  <si>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</si>
  <si>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</si>
  <si>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</si>
  <si>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</si>
  <si>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</si>
  <si>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</si>
  <si>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</si>
  <si>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</si>
  <si>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</si>
  <si>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</si>
  <si>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</si>
  <si>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</si>
  <si>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</si>
  <si>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</si>
  <si>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</si>
  <si>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</si>
  <si>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</si>
  <si>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</si>
  <si>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</si>
  <si>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</si>
  <si>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</si>
  <si>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</si>
  <si>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</si>
  <si>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</si>
  <si>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</si>
  <si>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</si>
  <si>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</si>
  <si>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</si>
  <si>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</si>
  <si>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</si>
  <si>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</si>
  <si>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</si>
  <si>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</si>
  <si>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</si>
  <si>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</si>
  <si>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</si>
  <si>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</si>
  <si>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</si>
  <si>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</si>
  <si>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</si>
  <si>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</si>
  <si>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</si>
  <si>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</si>
  <si>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</si>
  <si>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</si>
  <si>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</si>
  <si>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</si>
  <si>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</si>
  <si>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</si>
  <si>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</si>
  <si>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</si>
  <si>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</si>
  <si>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</si>
  <si>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</si>
  <si>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</si>
  <si>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</si>
  <si>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</si>
  <si>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</si>
  <si>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</si>
  <si>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</si>
  <si>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</si>
  <si>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</si>
  <si>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</si>
  <si>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</si>
  <si>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 xml:space="preserve">Zeshan </t>
  </si>
  <si>
    <t>Shop Bill Summary (Zeshan)</t>
  </si>
  <si>
    <t xml:space="preserve">Customer Name : Raza Mart </t>
  </si>
  <si>
    <t xml:space="preserve">Address: Ali Park </t>
  </si>
  <si>
    <t>1302558-9</t>
  </si>
  <si>
    <t>Customer Name : Euro Store</t>
  </si>
  <si>
    <t>Address: Nadra Abad</t>
  </si>
  <si>
    <t>6616156-4</t>
  </si>
  <si>
    <t>Customer Name : Nishat Store</t>
  </si>
  <si>
    <t>Address: Nishat Colony</t>
  </si>
  <si>
    <t>565553-4</t>
  </si>
  <si>
    <t>Customer Name : Khan Store</t>
  </si>
  <si>
    <t>Address: Nishat</t>
  </si>
  <si>
    <t>Customer Name : LaL Store</t>
  </si>
  <si>
    <t xml:space="preserve">Address: Nishat </t>
  </si>
  <si>
    <t>F259821-1</t>
  </si>
  <si>
    <t>Customer Name : Mian Store</t>
  </si>
  <si>
    <t>Customer Name : Shareef Mart</t>
  </si>
  <si>
    <t>9616030-7</t>
  </si>
  <si>
    <t>Customer Name : Chaudry Store</t>
  </si>
  <si>
    <t>Customer Name : MS Store</t>
  </si>
  <si>
    <t>Customer Name : 786 Store</t>
  </si>
  <si>
    <t>8058676-4</t>
  </si>
  <si>
    <t>Customer Name : Bilal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</si>
</sst>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F6" sqref="F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F6" sqref="F6"/>
      <selection pane="topRight" activeCell="F6" sqref="F6"/>
      <selection pane="bottomLeft" activeCell="F6" sqref="F6"/>
      <selection pane="bottomRight" activeCell="F6" sqref="F6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3"/>
      <c r="B3" s="193"/>
      <c r="C3" s="193"/>
      <c r="D3" s="193"/>
      <c r="E3" s="193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</row>
    <row r="4" spans="1:29" x14ac:dyDescent="0.35">
      <c r="A4" s="195" t="s">
        <v>6</v>
      </c>
      <c r="B4" s="5" t="s">
        <v>7</v>
      </c>
      <c r="C4" s="5"/>
      <c r="D4" s="197" t="s">
        <v>8</v>
      </c>
      <c r="E4" s="199" t="s">
        <v>9</v>
      </c>
      <c r="F4" s="201" t="s">
        <v>3</v>
      </c>
      <c r="G4" s="201"/>
      <c r="H4" s="202" t="s">
        <v>10</v>
      </c>
      <c r="I4" s="202"/>
      <c r="J4" s="203" t="s">
        <v>11</v>
      </c>
      <c r="K4" s="204"/>
      <c r="L4" s="203" t="s">
        <v>12</v>
      </c>
      <c r="M4" s="204"/>
      <c r="N4" s="205" t="s">
        <v>13</v>
      </c>
      <c r="O4" s="205"/>
      <c r="P4" s="203" t="s">
        <v>4</v>
      </c>
      <c r="Q4" s="204"/>
      <c r="R4" s="203" t="s">
        <v>14</v>
      </c>
      <c r="S4" s="204"/>
      <c r="T4" s="206" t="s">
        <v>15</v>
      </c>
      <c r="U4" s="206"/>
      <c r="V4" s="207" t="s">
        <v>16</v>
      </c>
      <c r="W4" s="208"/>
      <c r="X4" s="207" t="s">
        <v>17</v>
      </c>
      <c r="Y4" s="208"/>
    </row>
    <row r="5" spans="1:29" ht="26.25" customHeight="1" thickBot="1" x14ac:dyDescent="0.4">
      <c r="A5" s="196"/>
      <c r="B5" s="7" t="s">
        <v>18</v>
      </c>
      <c r="C5" s="7" t="s">
        <v>8</v>
      </c>
      <c r="D5" s="198"/>
      <c r="E5" s="20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opLeftCell="A6" zoomScale="70" zoomScaleNormal="70" workbookViewId="0">
      <selection activeCell="T17" sqref="T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55" t="s">
        <v>45</v>
      </c>
      <c r="B2" s="255"/>
      <c r="C2" s="255"/>
    </row>
    <row r="3" spans="1:21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46211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4" t="s">
        <v>120</v>
      </c>
      <c r="B5" s="254"/>
      <c r="C5" s="254"/>
      <c r="F5" s="70"/>
      <c r="G5" s="71"/>
      <c r="K5" s="239" t="s">
        <v>51</v>
      </c>
      <c r="L5" s="239"/>
      <c r="M5" s="239"/>
      <c r="N5" s="253">
        <f ca="1">N4-1</f>
        <v>46210</v>
      </c>
      <c r="O5" s="240"/>
      <c r="P5" s="240"/>
      <c r="R5" s="70"/>
      <c r="S5" s="71"/>
    </row>
    <row r="6" spans="1:21 16383:16384" ht="15" customHeight="1" x14ac:dyDescent="0.35">
      <c r="A6" s="254"/>
      <c r="B6" s="254"/>
      <c r="C6" s="254"/>
      <c r="F6" s="70"/>
      <c r="G6" s="74"/>
      <c r="K6" s="239" t="s">
        <v>52</v>
      </c>
      <c r="L6" s="239"/>
      <c r="M6" s="239"/>
      <c r="N6" s="252" t="s">
        <v>42</v>
      </c>
      <c r="O6" s="252"/>
      <c r="P6" s="25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21 16383:16384" hidden="1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21 16383:16384" x14ac:dyDescent="0.35">
      <c r="A10" s="237"/>
      <c r="B10" s="75"/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21 16383:16384" ht="15" thickBot="1" x14ac:dyDescent="0.4">
      <c r="A11" s="237"/>
      <c r="B11" s="76"/>
      <c r="C11" s="77"/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21 16383:16384" ht="14.65" customHeight="1" x14ac:dyDescent="0.35">
      <c r="A12" s="237"/>
      <c r="B12" s="76"/>
      <c r="C12" s="77"/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T12" s="209" t="s">
        <v>121</v>
      </c>
      <c r="U12" s="210"/>
      <c r="XFD12" t="s">
        <v>62</v>
      </c>
    </row>
    <row r="13" spans="1:21 16383:16384" ht="15" thickBot="1" x14ac:dyDescent="0.4">
      <c r="A13" s="238"/>
      <c r="J13" s="78"/>
      <c r="K13" s="78"/>
      <c r="L13" s="79">
        <v>0.05</v>
      </c>
      <c r="T13" s="211"/>
      <c r="U13" s="212"/>
      <c r="XFD13" t="s">
        <v>63</v>
      </c>
    </row>
    <row r="14" spans="1:21 16383:16384" ht="29.25" customHeight="1" x14ac:dyDescent="0.6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8" t="s">
        <v>69</v>
      </c>
      <c r="J14" s="248" t="s">
        <v>70</v>
      </c>
      <c r="K14" s="248"/>
      <c r="L14" s="250"/>
      <c r="M14" s="24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Raza Mart </v>
      </c>
      <c r="U14" s="164">
        <f>+'1'!P35</f>
        <v>3049.4896703999998</v>
      </c>
      <c r="XFD14" t="s">
        <v>75</v>
      </c>
    </row>
    <row r="15" spans="1:21 16383:16384" ht="29.25" customHeight="1" thickBot="1" x14ac:dyDescent="0.65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49"/>
      <c r="J15" s="171" t="s">
        <v>78</v>
      </c>
      <c r="K15" s="171" t="s">
        <v>79</v>
      </c>
      <c r="L15" s="174" t="s">
        <v>80</v>
      </c>
      <c r="M15" s="24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Euro Store</v>
      </c>
      <c r="U15" s="164">
        <f>+'2'!P35</f>
        <v>15755.73161445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90</v>
      </c>
      <c r="I16" s="1">
        <f>(G16*D16)*F16+H16*F16</f>
        <v>4721.625</v>
      </c>
      <c r="J16" s="172">
        <f>+'1'!J16+'2'!J16+'4'!J16+'3'!J16+'5'!J16+'6'!J16+'7'!J16+'8'!J16+'9'!J16+'10'!J16+'11'!J16+'12'!J16+'13'!J16+'14'!J16+'15'!J16+'16'!J16+'17'!J16+'18'!J16+'19'!J16+'20'!J16</f>
        <v>0</v>
      </c>
      <c r="K16" s="172">
        <f>+'1'!K16+'2'!K16+'4'!K16+'3'!K16+'5'!K16+'6'!K16+'7'!K16+'8'!K16+'9'!K16+'10'!K16</f>
        <v>128.53312500000001</v>
      </c>
      <c r="L16" s="175">
        <f>+'1'!L16+'2'!L16+'4'!L16+'3'!L16+'5'!L16+'6'!L16+'7'!L16+'8'!L16+'9'!L16+'10'!L16</f>
        <v>293.78999999999996</v>
      </c>
      <c r="M16" s="106">
        <f>I16-K16-L16</f>
        <v>4299.3018750000001</v>
      </c>
      <c r="N16" s="101">
        <f>+'1'!N16+'2'!N16+'4'!N16+'3'!N16+'5'!N16+'6'!N16+'7'!N16+'8'!N16+'9'!N16+'10'!N16</f>
        <v>603.58106250000003</v>
      </c>
      <c r="O16" s="101">
        <f>+'1'!O16+'2'!O16+'4'!O16+'3'!O16+'5'!O16+'6'!O16+'7'!O16+'8'!O16+'9'!O16+'10'!O16</f>
        <v>19.268164687500001</v>
      </c>
      <c r="P16" s="105">
        <f t="shared" ref="P16:P24" si="0">M16+N16+O16</f>
        <v>4922.1511021875003</v>
      </c>
      <c r="Q16" s="108"/>
      <c r="T16" s="163" t="str">
        <f>+'3'!A5</f>
        <v>Customer Name : Nishat Store</v>
      </c>
      <c r="U16" s="164">
        <f>+'3'!P35</f>
        <v>440.11411245000005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130</v>
      </c>
      <c r="I17" s="1">
        <f t="shared" ref="I17:I23" si="1">(G17*D17)*F17+H17*F17</f>
        <v>6820.125</v>
      </c>
      <c r="J17" s="172">
        <f>+'1'!J17+'2'!J17+'4'!J17+'3'!J17+'5'!J17+'6'!J17+'7'!J17+'8'!J17+'9'!J17+'10'!J17+'11'!J17+'12'!J17+'13'!J17+'14'!J17+'15'!J17+'16'!J17+'17'!J17+'18'!J17+'19'!J17+'20'!J17</f>
        <v>0</v>
      </c>
      <c r="K17" s="172">
        <f>+'1'!K17+'2'!K17+'4'!K17+'3'!K17+'5'!K17+'6'!K17+'7'!K17+'8'!K17+'9'!K17+'10'!K17</f>
        <v>201.980625</v>
      </c>
      <c r="L17" s="175">
        <f>+'1'!L17+'2'!L17+'4'!L17+'3'!L17+'5'!L17+'6'!L17+'7'!L17+'8'!L17+'9'!L17+'10'!L17</f>
        <v>461.67</v>
      </c>
      <c r="M17" s="118">
        <f t="shared" ref="M17:M23" si="2">I17-K17-L17</f>
        <v>6156.4743749999998</v>
      </c>
      <c r="N17" s="101">
        <f>+'1'!N17+'2'!N17+'4'!N17+'3'!N17+'5'!N17+'6'!N17+'7'!N17+'8'!N17+'9'!N17+'10'!N17</f>
        <v>937.87211249999996</v>
      </c>
      <c r="O17" s="101">
        <f>+'1'!O17+'2'!O17+'4'!O17+'3'!O17+'5'!O17+'6'!O17+'7'!O17+'8'!O17+'9'!O17+'10'!O17</f>
        <v>30.225482437499998</v>
      </c>
      <c r="P17" s="120">
        <f t="shared" si="0"/>
        <v>7124.5719699375004</v>
      </c>
      <c r="S17" s="64"/>
      <c r="T17" s="163" t="str">
        <f>+'4'!A5</f>
        <v>Customer Name : Khan Store</v>
      </c>
      <c r="U17" s="164">
        <f>+'4'!P35</f>
        <v>416.06416095000009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LaL Store</v>
      </c>
      <c r="U18" s="164">
        <f>+'5'!P35</f>
        <v>416.06416095000009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130</v>
      </c>
      <c r="I19" s="1">
        <f t="shared" si="1"/>
        <v>9443.2000000000007</v>
      </c>
      <c r="J19" s="172">
        <f>+'1'!J19+'2'!J19+'4'!J19+'3'!J19+'5'!J19+'6'!J19+'7'!J19+'8'!J19+'9'!J19+'10'!J19+'11'!J19+'12'!J19+'13'!J19+'14'!J19+'15'!J19+'16'!J19+'17'!J19+'18'!J19+'19'!J19+'20'!J19</f>
        <v>0</v>
      </c>
      <c r="K19" s="172">
        <f>+'1'!K19+'2'!K19+'4'!K19+'3'!K19+'5'!K19+'6'!K19+'7'!K19+'8'!K19+'9'!K19+'10'!K19</f>
        <v>330.51200000000006</v>
      </c>
      <c r="L19" s="175">
        <f>+'1'!L19+'2'!L19+'4'!L19+'3'!L19+'5'!L19+'6'!L19+'7'!L19+'8'!L19+'9'!L19+'10'!L19</f>
        <v>755.45600000000002</v>
      </c>
      <c r="M19" s="118">
        <f t="shared" si="2"/>
        <v>8357.232</v>
      </c>
      <c r="N19" s="101">
        <f>+'1'!N19+'2'!N19+'4'!N19+'3'!N19+'5'!N19+'6'!N19+'7'!N19+'8'!N19+'9'!N19+'10'!N19</f>
        <v>1542.8735999999999</v>
      </c>
      <c r="O19" s="101">
        <f>+'1'!O19+'2'!O19+'4'!O19+'3'!O19+'5'!O19+'6'!O19+'7'!O19+'8'!O19+'9'!O19+'10'!O19</f>
        <v>49.500527999999996</v>
      </c>
      <c r="P19" s="120">
        <f t="shared" si="0"/>
        <v>9949.6061279999994</v>
      </c>
      <c r="T19" s="163" t="str">
        <f>+'6'!A5</f>
        <v>Customer Name : Mian Store</v>
      </c>
      <c r="U19" s="164">
        <f>+'6'!P35</f>
        <v>424.34404475000008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25</v>
      </c>
      <c r="I20" s="1">
        <f t="shared" si="1"/>
        <v>1816</v>
      </c>
      <c r="J20" s="172">
        <f>+'1'!J20+'2'!J20+'4'!J20+'3'!J20+'5'!J20+'6'!J20+'7'!J20+'8'!J20+'9'!J20+'10'!J20+'11'!J20+'12'!J20+'13'!J20+'14'!J20+'15'!J20+'16'!J20+'17'!J20+'18'!J20+'19'!J20+'20'!J20</f>
        <v>0</v>
      </c>
      <c r="K20" s="172">
        <f>+'1'!K20+'2'!K20+'4'!K20+'3'!K20+'5'!K20+'6'!K20+'7'!K20+'8'!K20+'9'!K20+'10'!K20</f>
        <v>63.56</v>
      </c>
      <c r="L20" s="175">
        <f>+'1'!L20+'2'!L20+'4'!L20+'3'!L20+'5'!L20+'6'!L20+'7'!L20+'8'!L20+'9'!L20+'10'!L20</f>
        <v>145.28</v>
      </c>
      <c r="M20" s="118">
        <f t="shared" si="2"/>
        <v>1607.16</v>
      </c>
      <c r="N20" s="101">
        <f>+'1'!N20+'2'!N20+'4'!N20+'3'!N20+'5'!N20+'6'!N20+'7'!N20+'8'!N20+'9'!N20+'10'!N20</f>
        <v>327.86063999999999</v>
      </c>
      <c r="O20" s="101">
        <f>+'1'!O20+'2'!O20+'4'!O20+'3'!O20+'5'!O20+'6'!O20+'7'!O20+'8'!O20+'9'!O20+'10'!O20</f>
        <v>9.6751031999999988</v>
      </c>
      <c r="P20" s="120">
        <f t="shared" si="0"/>
        <v>1944.6957432000002</v>
      </c>
      <c r="T20" s="163" t="str">
        <f>+'7'!A5</f>
        <v>Customer Name : Shareef Mart</v>
      </c>
      <c r="U20" s="164">
        <f>+'7'!P35</f>
        <v>3546.9699768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90</v>
      </c>
      <c r="I21" s="1">
        <f t="shared" si="1"/>
        <v>6537.6</v>
      </c>
      <c r="J21" s="172">
        <f>+'1'!J21+'2'!J21+'4'!J21+'3'!J21+'5'!J21+'6'!J21+'7'!J21+'8'!J21+'9'!J21+'10'!J21+'11'!J21+'12'!J21+'13'!J21+'14'!J21+'15'!J21+'16'!J21+'17'!J21+'18'!J21+'19'!J21+'20'!J21</f>
        <v>0</v>
      </c>
      <c r="K21" s="172">
        <f>+'1'!K21+'2'!K21+'4'!K21+'3'!K21+'5'!K21+'6'!K21+'7'!K21+'8'!K21+'9'!K21+'10'!K21</f>
        <v>228.81600000000003</v>
      </c>
      <c r="L21" s="175">
        <f>+'1'!L21+'2'!L21+'4'!L21+'3'!L21+'5'!L21+'6'!L21+'7'!L21+'8'!L21+'9'!L21+'10'!L21</f>
        <v>523.00800000000004</v>
      </c>
      <c r="M21" s="118">
        <f t="shared" si="2"/>
        <v>5785.7760000000007</v>
      </c>
      <c r="N21" s="101">
        <f>+'1'!N21+'2'!N21+'4'!N21+'3'!N21+'5'!N21+'6'!N21+'7'!N21+'8'!N21+'9'!N21+'10'!N21</f>
        <v>1080.01152</v>
      </c>
      <c r="O21" s="101">
        <f>+'1'!O21+'2'!O21+'4'!O21+'3'!O21+'5'!O21+'6'!O21+'7'!O21+'8'!O21+'9'!O21+'10'!O21</f>
        <v>34.328937599999996</v>
      </c>
      <c r="P21" s="120">
        <f t="shared" si="0"/>
        <v>6900.116457600001</v>
      </c>
      <c r="T21" s="163" t="str">
        <f>+'8'!A5</f>
        <v>Customer Name : Chaudry Store</v>
      </c>
      <c r="U21" s="164">
        <f>+'8'!P35</f>
        <v>569.2698005625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40</v>
      </c>
      <c r="I22" s="1">
        <f t="shared" si="1"/>
        <v>1569.2000000000003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54.922000000000011</v>
      </c>
      <c r="L22" s="175">
        <f>+'1'!L22+'2'!L22+'4'!L22+'3'!L22+'5'!L22+'6'!L22+'7'!L22+'8'!L22+'9'!L22+'10'!L22</f>
        <v>137.30500000000004</v>
      </c>
      <c r="M22" s="118">
        <f t="shared" si="2"/>
        <v>1376.9730000000002</v>
      </c>
      <c r="N22" s="101">
        <f>+'1'!N22+'2'!N22+'4'!N22+'3'!N22+'5'!N22+'6'!N22+'7'!N22+'8'!N22+'9'!N22+'10'!N22</f>
        <v>302.93406000000004</v>
      </c>
      <c r="O22" s="101">
        <f>+'1'!O22+'2'!O22+'4'!O22+'3'!O22+'5'!O22+'6'!O22+'7'!O22+'8'!O22+'9'!O22+'10'!O22</f>
        <v>16.679419100000004</v>
      </c>
      <c r="P22" s="120">
        <f t="shared" si="0"/>
        <v>1696.5864791000001</v>
      </c>
      <c r="T22" s="163" t="str">
        <f>+'9'!A5</f>
        <v>Customer Name : MS Store</v>
      </c>
      <c r="U22" s="164">
        <f>+'9'!P35</f>
        <v>569.2698005625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786 Store</v>
      </c>
      <c r="U23" s="164">
        <f>+'10'!P35</f>
        <v>5251.9105381500003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>Customer Name : Bilal Store</v>
      </c>
      <c r="U24" s="164">
        <f>+'11'!P35</f>
        <v>2322.3942112499999</v>
      </c>
    </row>
    <row r="25" spans="1:21 16384:16384" ht="26.5" thickBot="1" x14ac:dyDescent="0.65">
      <c r="A25" s="219" t="s">
        <v>84</v>
      </c>
      <c r="B25" s="220"/>
      <c r="C25" s="221">
        <f>H25/40</f>
        <v>12.625</v>
      </c>
      <c r="D25" s="215"/>
      <c r="E25" s="215"/>
      <c r="F25" s="215"/>
      <c r="G25" s="176">
        <f t="shared" ref="G25:M25" si="3">SUM(G16:G24)</f>
        <v>0</v>
      </c>
      <c r="H25" s="177">
        <f t="shared" si="3"/>
        <v>505</v>
      </c>
      <c r="I25" s="178">
        <f t="shared" si="3"/>
        <v>30907.750000000004</v>
      </c>
      <c r="J25" s="177">
        <f t="shared" si="3"/>
        <v>0</v>
      </c>
      <c r="K25" s="178">
        <f t="shared" si="3"/>
        <v>1008.32375</v>
      </c>
      <c r="L25" s="179">
        <f t="shared" si="3"/>
        <v>2316.509</v>
      </c>
      <c r="M25" s="141">
        <f t="shared" si="3"/>
        <v>27582.917250000002</v>
      </c>
      <c r="N25" s="142">
        <f>SUM(N16:N24)</f>
        <v>4795.1329949999999</v>
      </c>
      <c r="O25" s="143">
        <f>SUM(O16:O24)</f>
        <v>159.67763502499997</v>
      </c>
      <c r="P25" s="144">
        <f>SUM(P16:P24)</f>
        <v>32537.727880025002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 xml:space="preserve">Customer Name : 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32761.622091275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2" t="s">
        <v>85</v>
      </c>
      <c r="C36" s="223"/>
      <c r="D36" s="223"/>
      <c r="E36" s="223"/>
      <c r="F36" s="223"/>
      <c r="G36" s="223"/>
      <c r="H36" s="223"/>
      <c r="I36" s="223"/>
      <c r="J36" s="223"/>
      <c r="K36" s="223"/>
      <c r="L36" s="224"/>
      <c r="N36" s="231" t="s">
        <v>86</v>
      </c>
      <c r="O36" s="232"/>
      <c r="P36" s="152">
        <f>I25</f>
        <v>30907.750000000004</v>
      </c>
    </row>
    <row r="37" spans="1:21" ht="15" customHeight="1" x14ac:dyDescent="0.35">
      <c r="B37" s="225"/>
      <c r="C37" s="226"/>
      <c r="D37" s="226"/>
      <c r="E37" s="226"/>
      <c r="F37" s="226"/>
      <c r="G37" s="226"/>
      <c r="H37" s="226"/>
      <c r="I37" s="226"/>
      <c r="J37" s="226"/>
      <c r="K37" s="226"/>
      <c r="L37" s="227"/>
      <c r="N37" s="233" t="s">
        <v>87</v>
      </c>
      <c r="O37" s="234"/>
      <c r="P37" s="153">
        <f>L25</f>
        <v>2316.509</v>
      </c>
    </row>
    <row r="38" spans="1:21" ht="15" customHeight="1" x14ac:dyDescent="0.35">
      <c r="B38" s="225"/>
      <c r="C38" s="226"/>
      <c r="D38" s="226"/>
      <c r="E38" s="226"/>
      <c r="F38" s="226"/>
      <c r="G38" s="226"/>
      <c r="H38" s="226"/>
      <c r="I38" s="226"/>
      <c r="J38" s="226"/>
      <c r="K38" s="226"/>
      <c r="L38" s="227"/>
      <c r="N38" s="233" t="s">
        <v>4</v>
      </c>
      <c r="O38" s="234"/>
      <c r="P38" s="154">
        <f>K25</f>
        <v>1008.32375</v>
      </c>
    </row>
    <row r="39" spans="1:21" ht="15" customHeight="1" x14ac:dyDescent="0.35">
      <c r="B39" s="225"/>
      <c r="C39" s="226"/>
      <c r="D39" s="226"/>
      <c r="E39" s="226"/>
      <c r="F39" s="226"/>
      <c r="G39" s="226"/>
      <c r="H39" s="226"/>
      <c r="I39" s="226"/>
      <c r="J39" s="226"/>
      <c r="K39" s="226"/>
      <c r="L39" s="227"/>
      <c r="M39" s="2"/>
      <c r="N39" s="233" t="s">
        <v>88</v>
      </c>
      <c r="O39" s="234"/>
      <c r="P39" s="153">
        <f>P36-P37-P38</f>
        <v>27582.917250000002</v>
      </c>
    </row>
    <row r="40" spans="1:21" ht="15" customHeight="1" x14ac:dyDescent="0.35">
      <c r="B40" s="225"/>
      <c r="C40" s="226"/>
      <c r="D40" s="226"/>
      <c r="E40" s="226"/>
      <c r="F40" s="226"/>
      <c r="G40" s="226"/>
      <c r="H40" s="226"/>
      <c r="I40" s="226"/>
      <c r="J40" s="226"/>
      <c r="K40" s="226"/>
      <c r="L40" s="227"/>
      <c r="M40" s="2"/>
      <c r="N40" s="155" t="s">
        <v>89</v>
      </c>
      <c r="O40" s="156">
        <f>IF(B12="Registered",18%,22%)</f>
        <v>0.22</v>
      </c>
      <c r="P40" s="153">
        <f>N25</f>
        <v>4795.1329949999999</v>
      </c>
    </row>
    <row r="41" spans="1:21" ht="15" customHeight="1" x14ac:dyDescent="0.35">
      <c r="B41" s="225"/>
      <c r="C41" s="226"/>
      <c r="D41" s="226"/>
      <c r="E41" s="226"/>
      <c r="F41" s="226"/>
      <c r="G41" s="226"/>
      <c r="H41" s="226"/>
      <c r="I41" s="226"/>
      <c r="J41" s="226"/>
      <c r="K41" s="226"/>
      <c r="L41" s="227"/>
      <c r="M41" s="2"/>
      <c r="N41" s="235" t="s">
        <v>90</v>
      </c>
      <c r="O41" s="236"/>
      <c r="P41" s="153">
        <f>P39+P40</f>
        <v>32378.050245000002</v>
      </c>
    </row>
    <row r="42" spans="1:21" ht="15" customHeight="1" thickBot="1" x14ac:dyDescent="0.4">
      <c r="B42" s="228"/>
      <c r="C42" s="229"/>
      <c r="D42" s="229"/>
      <c r="E42" s="229"/>
      <c r="F42" s="229"/>
      <c r="G42" s="229"/>
      <c r="H42" s="229"/>
      <c r="I42" s="229"/>
      <c r="J42" s="229"/>
      <c r="K42" s="229"/>
      <c r="L42" s="230"/>
      <c r="M42" s="157"/>
      <c r="N42" s="158" t="s">
        <v>91</v>
      </c>
      <c r="O42" s="159">
        <f>IF(B11="Filer",0.5%,2.5%)</f>
        <v>2.5000000000000001E-2</v>
      </c>
      <c r="P42" s="153">
        <f>O42*P41</f>
        <v>809.4512561250001</v>
      </c>
    </row>
    <row r="43" spans="1:21" ht="15.75" customHeight="1" thickBot="1" x14ac:dyDescent="0.4">
      <c r="N43" s="213" t="s">
        <v>92</v>
      </c>
      <c r="O43" s="214"/>
      <c r="P43" s="160">
        <f>P41+P42</f>
        <v>33187.501501125</v>
      </c>
    </row>
    <row r="44" spans="1:21" ht="15" thickBot="1" x14ac:dyDescent="0.4">
      <c r="B44" s="161" t="s">
        <v>93</v>
      </c>
      <c r="C44" s="215"/>
      <c r="D44" s="215"/>
      <c r="E44" s="215"/>
      <c r="F44" s="215"/>
      <c r="G44" s="215"/>
      <c r="H44" s="215"/>
      <c r="I44" s="216"/>
      <c r="J44" s="217"/>
      <c r="K44" s="218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55" t="s">
        <v>45</v>
      </c>
      <c r="B2" s="255"/>
      <c r="C2" s="255"/>
    </row>
    <row r="3" spans="1:26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46211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66" t="s">
        <v>122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46210</v>
      </c>
      <c r="O5" s="240"/>
      <c r="P5" s="240"/>
      <c r="R5" s="70"/>
      <c r="S5" s="71"/>
    </row>
    <row r="6" spans="1:26 16383:16384" ht="15" customHeight="1" x14ac:dyDescent="0.35">
      <c r="A6" s="239" t="s">
        <v>123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26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26 16383:16384" x14ac:dyDescent="0.35">
      <c r="A10" s="237" t="s">
        <v>95</v>
      </c>
      <c r="B10" s="75" t="s">
        <v>124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26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26 16383:16384" ht="14.65" customHeight="1" x14ac:dyDescent="0.35">
      <c r="A12" s="23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26 16383:16384" ht="15" thickBot="1" x14ac:dyDescent="0.4">
      <c r="A13" s="238"/>
      <c r="B13" s="75" t="s">
        <v>124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S14" s="256" t="s">
        <v>117</v>
      </c>
      <c r="T14" s="256"/>
      <c r="U14" s="256"/>
      <c r="V14" s="256"/>
      <c r="W14" s="257" t="s">
        <v>119</v>
      </c>
      <c r="X14" s="257"/>
      <c r="Y14" s="257"/>
      <c r="Z14" s="257"/>
      <c r="XFD14" t="s">
        <v>75</v>
      </c>
    </row>
    <row r="15" spans="1:26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S15" s="185" t="s">
        <v>109</v>
      </c>
      <c r="T15" s="185" t="s">
        <v>110</v>
      </c>
      <c r="U15" s="185" t="s">
        <v>114</v>
      </c>
      <c r="V15" s="185" t="s">
        <v>115</v>
      </c>
      <c r="W15" s="186" t="s">
        <v>109</v>
      </c>
      <c r="X15" s="186" t="s">
        <v>110</v>
      </c>
      <c r="Y15" s="186" t="s">
        <v>114</v>
      </c>
      <c r="Z15" s="186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3" t="s">
        <v>106</v>
      </c>
      <c r="T16" s="183">
        <v>1697</v>
      </c>
      <c r="U16" s="183" t="s">
        <v>111</v>
      </c>
      <c r="V16" s="183">
        <f>T16/40</f>
        <v>42.424999999999997</v>
      </c>
      <c r="W16" s="187" t="s">
        <v>106</v>
      </c>
      <c r="X16" s="187">
        <v>1664</v>
      </c>
      <c r="Y16" s="187" t="s">
        <v>111</v>
      </c>
      <c r="Z16" s="187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2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4" t="s">
        <v>108</v>
      </c>
      <c r="T17" s="183">
        <v>2322</v>
      </c>
      <c r="U17" s="183" t="s">
        <v>112</v>
      </c>
      <c r="V17" s="183">
        <f t="shared" ref="V17:V18" si="7">T17/40</f>
        <v>58.05</v>
      </c>
      <c r="W17" s="188" t="s">
        <v>108</v>
      </c>
      <c r="X17" s="187">
        <v>2277</v>
      </c>
      <c r="Y17" s="187" t="s">
        <v>112</v>
      </c>
      <c r="Z17" s="187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3" t="s">
        <v>107</v>
      </c>
      <c r="T18" s="183">
        <v>3216</v>
      </c>
      <c r="U18" s="183" t="s">
        <v>113</v>
      </c>
      <c r="V18" s="183">
        <f t="shared" si="7"/>
        <v>80.400000000000006</v>
      </c>
      <c r="W18" s="187" t="s">
        <v>107</v>
      </c>
      <c r="X18" s="187">
        <v>3153</v>
      </c>
      <c r="Y18" s="187" t="s">
        <v>113</v>
      </c>
      <c r="Z18" s="187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3"/>
        <v>1089.5999999999999</v>
      </c>
      <c r="J19" s="117"/>
      <c r="K19" s="104">
        <f t="shared" si="4"/>
        <v>38.136000000000003</v>
      </c>
      <c r="L19" s="105">
        <f t="shared" si="5"/>
        <v>87.167999999999992</v>
      </c>
      <c r="M19" s="118">
        <f t="shared" si="6"/>
        <v>964.29599999999994</v>
      </c>
      <c r="N19" s="118">
        <f t="shared" si="0"/>
        <v>173.57327999999998</v>
      </c>
      <c r="O19" s="119">
        <f t="shared" si="1"/>
        <v>5.6893463999999998</v>
      </c>
      <c r="P19" s="120">
        <f t="shared" si="2"/>
        <v>1143.5586263999999</v>
      </c>
      <c r="S19" s="258" t="s">
        <v>118</v>
      </c>
      <c r="T19" s="258"/>
      <c r="U19" s="258"/>
      <c r="V19" s="258"/>
      <c r="W19" s="259" t="s">
        <v>116</v>
      </c>
      <c r="X19" s="259"/>
      <c r="Y19" s="259"/>
      <c r="Z19" s="259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3"/>
        <v>726.4</v>
      </c>
      <c r="J20" s="117"/>
      <c r="K20" s="104">
        <f t="shared" si="4"/>
        <v>25.424000000000003</v>
      </c>
      <c r="L20" s="105">
        <f t="shared" si="5"/>
        <v>58.112000000000002</v>
      </c>
      <c r="M20" s="118">
        <f t="shared" si="6"/>
        <v>642.86400000000003</v>
      </c>
      <c r="N20" s="118">
        <f t="shared" si="0"/>
        <v>115.71552</v>
      </c>
      <c r="O20" s="119">
        <f t="shared" si="1"/>
        <v>3.7928975999999999</v>
      </c>
      <c r="P20" s="120">
        <f t="shared" si="2"/>
        <v>762.37241759999995</v>
      </c>
      <c r="S20" s="185" t="s">
        <v>109</v>
      </c>
      <c r="T20" s="185" t="s">
        <v>110</v>
      </c>
      <c r="U20" s="185" t="s">
        <v>114</v>
      </c>
      <c r="V20" s="185" t="s">
        <v>115</v>
      </c>
      <c r="W20" s="185" t="s">
        <v>109</v>
      </c>
      <c r="X20" s="185" t="s">
        <v>110</v>
      </c>
      <c r="Y20" s="185" t="s">
        <v>114</v>
      </c>
      <c r="Z20" s="185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3"/>
        <v>1089.5999999999999</v>
      </c>
      <c r="J21" s="117"/>
      <c r="K21" s="104">
        <f t="shared" si="4"/>
        <v>38.136000000000003</v>
      </c>
      <c r="L21" s="105">
        <f t="shared" si="5"/>
        <v>87.167999999999992</v>
      </c>
      <c r="M21" s="118">
        <f t="shared" si="6"/>
        <v>964.29599999999994</v>
      </c>
      <c r="N21" s="118">
        <f t="shared" si="0"/>
        <v>173.57327999999998</v>
      </c>
      <c r="O21" s="119">
        <f t="shared" si="1"/>
        <v>5.6893463999999998</v>
      </c>
      <c r="P21" s="120">
        <f t="shared" si="2"/>
        <v>1143.5586263999999</v>
      </c>
      <c r="S21" s="189" t="s">
        <v>106</v>
      </c>
      <c r="T21" s="189">
        <v>1610</v>
      </c>
      <c r="U21" s="189" t="s">
        <v>111</v>
      </c>
      <c r="V21" s="189">
        <f>T21/40</f>
        <v>40.25</v>
      </c>
      <c r="W21" s="191" t="s">
        <v>106</v>
      </c>
      <c r="X21" s="191">
        <v>1642</v>
      </c>
      <c r="Y21" s="191" t="s">
        <v>111</v>
      </c>
      <c r="Z21" s="191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04">
        <f t="shared" si="4"/>
        <v>0</v>
      </c>
      <c r="L22" s="120">
        <f>I22*10%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  <c r="S22" s="190" t="s">
        <v>108</v>
      </c>
      <c r="T22" s="189">
        <v>2202</v>
      </c>
      <c r="U22" s="189" t="s">
        <v>112</v>
      </c>
      <c r="V22" s="189">
        <f t="shared" ref="V22:V25" si="9">T22/40</f>
        <v>55.05</v>
      </c>
      <c r="W22" s="192" t="s">
        <v>108</v>
      </c>
      <c r="X22" s="191">
        <v>2246</v>
      </c>
      <c r="Y22" s="191" t="s">
        <v>112</v>
      </c>
      <c r="Z22" s="191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9" t="s">
        <v>107</v>
      </c>
      <c r="T23" s="189">
        <v>3216</v>
      </c>
      <c r="U23" s="189" t="s">
        <v>113</v>
      </c>
      <c r="V23" s="189">
        <f t="shared" si="9"/>
        <v>80.400000000000006</v>
      </c>
      <c r="W23" s="191" t="s">
        <v>107</v>
      </c>
      <c r="X23" s="191">
        <v>3216</v>
      </c>
      <c r="Y23" s="191" t="s">
        <v>112</v>
      </c>
      <c r="Z23" s="191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9" t="s">
        <v>107</v>
      </c>
      <c r="T24" s="189">
        <v>3216</v>
      </c>
      <c r="U24" s="189" t="s">
        <v>113</v>
      </c>
      <c r="V24" s="189">
        <f t="shared" si="9"/>
        <v>80.400000000000006</v>
      </c>
      <c r="W24" s="191"/>
      <c r="X24" s="191"/>
      <c r="Y24" s="191" t="s">
        <v>112</v>
      </c>
      <c r="Z24" s="191">
        <f t="shared" si="10"/>
        <v>0</v>
      </c>
    </row>
    <row r="25" spans="1:26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13">SUM(G16:G24)</f>
        <v>0</v>
      </c>
      <c r="H25" s="136">
        <f t="shared" si="13"/>
        <v>40</v>
      </c>
      <c r="I25" s="137">
        <f t="shared" si="13"/>
        <v>2905.6</v>
      </c>
      <c r="J25" s="138"/>
      <c r="K25" s="139">
        <f t="shared" si="13"/>
        <v>101.696</v>
      </c>
      <c r="L25" s="140">
        <f t="shared" si="13"/>
        <v>232.44799999999998</v>
      </c>
      <c r="M25" s="141">
        <f t="shared" si="13"/>
        <v>2571.4559999999997</v>
      </c>
      <c r="N25" s="142">
        <f>SUM(N16:N24)</f>
        <v>462.86207999999999</v>
      </c>
      <c r="O25" s="143">
        <f>SUM(O16:O24)</f>
        <v>15.171590399999999</v>
      </c>
      <c r="P25" s="144">
        <f>SUM(P16:P24)</f>
        <v>3049.4896703999998</v>
      </c>
      <c r="S25" s="189" t="s">
        <v>107</v>
      </c>
      <c r="T25" s="189">
        <v>3216</v>
      </c>
      <c r="U25" s="189" t="s">
        <v>113</v>
      </c>
      <c r="V25" s="189">
        <f t="shared" si="9"/>
        <v>80.400000000000006</v>
      </c>
      <c r="W25" s="191" t="s">
        <v>107</v>
      </c>
      <c r="X25" s="191">
        <v>3110</v>
      </c>
      <c r="Y25" s="191" t="s">
        <v>113</v>
      </c>
      <c r="Z25" s="191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2905.6</v>
      </c>
    </row>
    <row r="29" spans="1:26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232.44799999999998</v>
      </c>
    </row>
    <row r="30" spans="1:26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101.696</v>
      </c>
    </row>
    <row r="31" spans="1:26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2571.4560000000001</v>
      </c>
    </row>
    <row r="32" spans="1:26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0.18</v>
      </c>
      <c r="P32" s="153">
        <f>N25</f>
        <v>462.86207999999999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3034.31808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15.171590399999999</v>
      </c>
    </row>
    <row r="35" spans="2:16" ht="15.75" customHeight="1" thickBot="1" x14ac:dyDescent="0.4">
      <c r="N35" s="213" t="s">
        <v>92</v>
      </c>
      <c r="O35" s="214"/>
      <c r="P35" s="160">
        <f>P33+P34</f>
        <v>3049.4896703999998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51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C36:I36"/>
    <mergeCell ref="J36:K36"/>
    <mergeCell ref="A25:B25"/>
    <mergeCell ref="C25:F25"/>
    <mergeCell ref="B28:L34"/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9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2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46211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125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46210</v>
      </c>
      <c r="O5" s="240"/>
      <c r="P5" s="240"/>
      <c r="R5" s="70"/>
      <c r="S5" s="71"/>
    </row>
    <row r="6" spans="1:19 16383:16384" ht="15" customHeight="1" x14ac:dyDescent="0.35">
      <c r="A6" s="239" t="s">
        <v>126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 t="s">
        <v>127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168">
        <v>3277876197882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/>
      <c r="K16" s="104">
        <f>I16*3.5%</f>
        <v>73.447500000000005</v>
      </c>
      <c r="L16" s="105">
        <f>I16*8%</f>
        <v>167.88</v>
      </c>
      <c r="M16" s="106">
        <f>I16-K16-L16</f>
        <v>1857.1725000000001</v>
      </c>
      <c r="N16" s="106">
        <f t="shared" ref="N16:N24" si="0">(M16*$N$15)+(J16*F16)*$N$15</f>
        <v>334.29104999999998</v>
      </c>
      <c r="O16" s="107">
        <f>(N16+M16)*$O$15</f>
        <v>10.95731775</v>
      </c>
      <c r="P16" s="105">
        <f t="shared" ref="P16:P24" si="1">M16+N16+O16</f>
        <v>2202.4208677500001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80</v>
      </c>
      <c r="I17" s="116">
        <f t="shared" ref="I17:I23" si="2">(G17*D17)*F17+H17*F17</f>
        <v>4197</v>
      </c>
      <c r="J17" s="117"/>
      <c r="K17" s="104">
        <f t="shared" ref="K17:K22" si="3">I17*3.5%</f>
        <v>146.89500000000001</v>
      </c>
      <c r="L17" s="105">
        <f t="shared" ref="L17:L21" si="4">I17*8%</f>
        <v>335.76</v>
      </c>
      <c r="M17" s="118">
        <f t="shared" ref="M17:M23" si="5">I17-K17-L17</f>
        <v>3714.3450000000003</v>
      </c>
      <c r="N17" s="118">
        <f t="shared" si="0"/>
        <v>668.58209999999997</v>
      </c>
      <c r="O17" s="119">
        <f t="shared" ref="O17:O24" si="6">(N17+M17)*$O$15</f>
        <v>21.914635499999999</v>
      </c>
      <c r="P17" s="120">
        <f t="shared" si="1"/>
        <v>4404.8417355000001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80</v>
      </c>
      <c r="I19" s="116">
        <f t="shared" si="2"/>
        <v>5811.2</v>
      </c>
      <c r="J19" s="117"/>
      <c r="K19" s="104">
        <f t="shared" si="3"/>
        <v>203.39200000000002</v>
      </c>
      <c r="L19" s="105">
        <f t="shared" si="4"/>
        <v>464.89600000000002</v>
      </c>
      <c r="M19" s="118">
        <f t="shared" si="5"/>
        <v>5142.9120000000003</v>
      </c>
      <c r="N19" s="118">
        <f t="shared" si="0"/>
        <v>925.72415999999998</v>
      </c>
      <c r="O19" s="119">
        <f t="shared" si="6"/>
        <v>30.343180799999999</v>
      </c>
      <c r="P19" s="120">
        <f t="shared" si="1"/>
        <v>6098.9793407999996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04">
        <f t="shared" si="3"/>
        <v>101.69600000000001</v>
      </c>
      <c r="L21" s="105">
        <f t="shared" si="4"/>
        <v>232.44800000000001</v>
      </c>
      <c r="M21" s="118">
        <f t="shared" si="5"/>
        <v>2571.4560000000001</v>
      </c>
      <c r="N21" s="118">
        <f t="shared" si="0"/>
        <v>462.86207999999999</v>
      </c>
      <c r="O21" s="119">
        <f t="shared" si="6"/>
        <v>15.171590399999999</v>
      </c>
      <c r="P21" s="120">
        <f t="shared" si="1"/>
        <v>3049.4896703999998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240</v>
      </c>
      <c r="I25" s="137">
        <f t="shared" si="9"/>
        <v>15012.300000000001</v>
      </c>
      <c r="J25" s="138"/>
      <c r="K25" s="139">
        <f t="shared" si="9"/>
        <v>525.43050000000005</v>
      </c>
      <c r="L25" s="140">
        <f t="shared" si="9"/>
        <v>1200.9840000000002</v>
      </c>
      <c r="M25" s="141">
        <f t="shared" si="9"/>
        <v>13285.8855</v>
      </c>
      <c r="N25" s="142">
        <f>SUM(N16:N24)</f>
        <v>2391.45939</v>
      </c>
      <c r="O25" s="143">
        <f>SUM(O16:O24)</f>
        <v>78.386724450000003</v>
      </c>
      <c r="P25" s="144">
        <f>SUM(P16:P24)</f>
        <v>15755.73161445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15012.300000000001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1200.9840000000002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525.43050000000005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13285.8855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0.18</v>
      </c>
      <c r="P32" s="153">
        <f>N25</f>
        <v>2391.45939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15677.34489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78.386724450000003</v>
      </c>
    </row>
    <row r="35" spans="2:16" ht="15.75" customHeight="1" thickBot="1" x14ac:dyDescent="0.4">
      <c r="N35" s="213" t="s">
        <v>92</v>
      </c>
      <c r="O35" s="214"/>
      <c r="P35" s="160">
        <f>P33+P34</f>
        <v>15755.73161445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8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4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46211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128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46210</v>
      </c>
      <c r="O5" s="240"/>
      <c r="P5" s="240"/>
      <c r="R5" s="70"/>
      <c r="S5" s="71"/>
    </row>
    <row r="6" spans="1:19 16383:16384" ht="15" customHeight="1" x14ac:dyDescent="0.35">
      <c r="A6" s="239" t="s">
        <v>129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 t="s">
        <v>130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 t="shared" si="3"/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2.1896224500000003</v>
      </c>
      <c r="P22" s="120">
        <f t="shared" si="1"/>
        <v>440.11411245000005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2.1896224500000003</v>
      </c>
      <c r="P25" s="144">
        <f>SUM(P16:P24)</f>
        <v>440.11411245000005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392.30000000000007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19.615000000000006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13.730500000000003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358.95450000000005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437.92449000000005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2.1896224500000003</v>
      </c>
    </row>
    <row r="35" spans="2:16" ht="15.75" customHeight="1" thickBot="1" x14ac:dyDescent="0.4">
      <c r="N35" s="213" t="s">
        <v>92</v>
      </c>
      <c r="O35" s="214"/>
      <c r="P35" s="160">
        <f>P33+P34</f>
        <v>440.11411245000005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abSelected="1" topLeftCell="A16" workbookViewId="0">
      <selection activeCell="I27" sqref="I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3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46211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131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46210</v>
      </c>
      <c r="O5" s="240"/>
      <c r="P5" s="240"/>
      <c r="R5" s="70"/>
      <c r="S5" s="71"/>
    </row>
    <row r="6" spans="1:19 16383:16384" ht="15" customHeight="1" x14ac:dyDescent="0.35">
      <c r="A6" s="239" t="s">
        <v>132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467387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 t="shared" si="3"/>
        <v>13.730500000000003</v>
      </c>
      <c r="L22" s="120">
        <f>I22*10%</f>
        <v>39.230000000000011</v>
      </c>
      <c r="M22" s="118">
        <f t="shared" si="5"/>
        <v>339.33950000000004</v>
      </c>
      <c r="N22" s="118">
        <f t="shared" si="0"/>
        <v>74.654690000000016</v>
      </c>
      <c r="O22" s="119">
        <f t="shared" si="6"/>
        <v>2.0699709500000005</v>
      </c>
      <c r="P22" s="120">
        <f t="shared" si="1"/>
        <v>416.06416095000009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39.230000000000011</v>
      </c>
      <c r="M25" s="141">
        <f t="shared" si="9"/>
        <v>339.33950000000004</v>
      </c>
      <c r="N25" s="142">
        <f>SUM(N16:N24)</f>
        <v>74.654690000000016</v>
      </c>
      <c r="O25" s="143">
        <f>SUM(O16:O24)</f>
        <v>2.0699709500000005</v>
      </c>
      <c r="P25" s="144">
        <f>SUM(P16:P24)</f>
        <v>416.06416095000009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392.30000000000007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39.230000000000011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13.730500000000003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339.33950000000004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74.654690000000016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413.99419000000006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2.0699709500000005</v>
      </c>
    </row>
    <row r="35" spans="2:16" ht="15.75" customHeight="1" thickBot="1" x14ac:dyDescent="0.4">
      <c r="N35" s="213" t="s">
        <v>92</v>
      </c>
      <c r="O35" s="214"/>
      <c r="P35" s="160">
        <f>P33+P34</f>
        <v>416.06416095000009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8" workbookViewId="0">
      <selection activeCell="B28" sqref="B28:L3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5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46211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133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46210</v>
      </c>
      <c r="O5" s="240"/>
      <c r="P5" s="240"/>
      <c r="R5" s="70"/>
      <c r="S5" s="71"/>
    </row>
    <row r="6" spans="1:19 16383:16384" ht="15" customHeight="1" x14ac:dyDescent="0.35">
      <c r="A6" s="239" t="s">
        <v>134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 t="s">
        <v>135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 t="shared" si="3"/>
        <v>13.730500000000003</v>
      </c>
      <c r="L22" s="120">
        <f>I22*10%</f>
        <v>39.230000000000011</v>
      </c>
      <c r="M22" s="118">
        <f t="shared" si="5"/>
        <v>339.33950000000004</v>
      </c>
      <c r="N22" s="118">
        <f t="shared" si="0"/>
        <v>74.654690000000016</v>
      </c>
      <c r="O22" s="119">
        <f t="shared" si="6"/>
        <v>2.0699709500000005</v>
      </c>
      <c r="P22" s="120">
        <f t="shared" si="1"/>
        <v>416.06416095000009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39.230000000000011</v>
      </c>
      <c r="M25" s="141">
        <f t="shared" si="9"/>
        <v>339.33950000000004</v>
      </c>
      <c r="N25" s="142">
        <f>SUM(N16:N24)</f>
        <v>74.654690000000016</v>
      </c>
      <c r="O25" s="143">
        <f>SUM(O16:O24)</f>
        <v>2.0699709500000005</v>
      </c>
      <c r="P25" s="144">
        <f>SUM(P16:P24)</f>
        <v>416.06416095000009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392.30000000000007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39.230000000000011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13.730500000000003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339.33950000000004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74.654690000000016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413.99419000000006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2.0699709500000005</v>
      </c>
    </row>
    <row r="35" spans="2:16" ht="15.75" customHeight="1" thickBot="1" x14ac:dyDescent="0.4">
      <c r="N35" s="213" t="s">
        <v>92</v>
      </c>
      <c r="O35" s="214"/>
      <c r="P35" s="160">
        <f>P33+P34</f>
        <v>416.06416095000009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4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6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46211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136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46210</v>
      </c>
      <c r="O5" s="240"/>
      <c r="P5" s="240"/>
      <c r="R5" s="70"/>
      <c r="S5" s="71"/>
    </row>
    <row r="6" spans="1:19 16383:16384" ht="15" customHeight="1" x14ac:dyDescent="0.35">
      <c r="A6" s="239" t="s">
        <v>134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 t="shared" si="3"/>
        <v>13.730500000000003</v>
      </c>
      <c r="L22" s="120">
        <f>I22*10%</f>
        <v>39.230000000000011</v>
      </c>
      <c r="M22" s="118">
        <f t="shared" si="5"/>
        <v>339.33950000000004</v>
      </c>
      <c r="N22" s="118">
        <f t="shared" si="0"/>
        <v>74.654690000000016</v>
      </c>
      <c r="O22" s="119">
        <f t="shared" si="6"/>
        <v>10.349854750000002</v>
      </c>
      <c r="P22" s="120">
        <f t="shared" si="1"/>
        <v>424.34404475000008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39.230000000000011</v>
      </c>
      <c r="M25" s="141">
        <f t="shared" si="9"/>
        <v>339.33950000000004</v>
      </c>
      <c r="N25" s="142">
        <f>SUM(N16:N24)</f>
        <v>74.654690000000016</v>
      </c>
      <c r="O25" s="143">
        <f>SUM(O16:O24)</f>
        <v>10.349854750000002</v>
      </c>
      <c r="P25" s="144">
        <f>SUM(P16:P24)</f>
        <v>424.34404475000008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392.30000000000007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39.230000000000011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13.730500000000003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339.33950000000004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74.654690000000016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413.99419000000006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10.349854750000002</v>
      </c>
    </row>
    <row r="35" spans="2:16" ht="15.75" customHeight="1" thickBot="1" x14ac:dyDescent="0.4">
      <c r="N35" s="213" t="s">
        <v>92</v>
      </c>
      <c r="O35" s="214"/>
      <c r="P35" s="160">
        <f>P33+P34</f>
        <v>424.34404475000008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4" workbookViewId="0">
      <selection activeCell="F10" sqref="F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7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46211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137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46210</v>
      </c>
      <c r="O5" s="240"/>
      <c r="P5" s="240"/>
      <c r="R5" s="70"/>
      <c r="S5" s="71"/>
    </row>
    <row r="6" spans="1:19 16383:16384" ht="15" customHeight="1" x14ac:dyDescent="0.35">
      <c r="A6" s="239" t="s">
        <v>132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 t="s">
        <v>138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04">
        <f t="shared" si="3"/>
        <v>38.136000000000003</v>
      </c>
      <c r="L19" s="105">
        <f t="shared" si="4"/>
        <v>87.167999999999992</v>
      </c>
      <c r="M19" s="118">
        <f t="shared" si="5"/>
        <v>964.29599999999994</v>
      </c>
      <c r="N19" s="118">
        <f t="shared" si="0"/>
        <v>212.14511999999999</v>
      </c>
      <c r="O19" s="119">
        <f t="shared" si="6"/>
        <v>5.8822055999999998</v>
      </c>
      <c r="P19" s="120">
        <f t="shared" si="1"/>
        <v>1182.3233255999999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15</v>
      </c>
      <c r="I20" s="116">
        <f t="shared" si="2"/>
        <v>1089.5999999999999</v>
      </c>
      <c r="J20" s="117"/>
      <c r="K20" s="104">
        <f t="shared" si="3"/>
        <v>38.136000000000003</v>
      </c>
      <c r="L20" s="105">
        <f t="shared" si="4"/>
        <v>87.167999999999992</v>
      </c>
      <c r="M20" s="118">
        <f t="shared" si="5"/>
        <v>964.29599999999994</v>
      </c>
      <c r="N20" s="118">
        <f t="shared" si="0"/>
        <v>212.14511999999999</v>
      </c>
      <c r="O20" s="119">
        <f t="shared" si="6"/>
        <v>5.8822055999999998</v>
      </c>
      <c r="P20" s="120">
        <f t="shared" si="1"/>
        <v>1182.3233255999999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04">
        <f t="shared" si="3"/>
        <v>38.136000000000003</v>
      </c>
      <c r="L21" s="105">
        <f t="shared" si="4"/>
        <v>87.167999999999992</v>
      </c>
      <c r="M21" s="118">
        <f t="shared" si="5"/>
        <v>964.29599999999994</v>
      </c>
      <c r="N21" s="118">
        <f t="shared" si="0"/>
        <v>212.14511999999999</v>
      </c>
      <c r="O21" s="119">
        <f t="shared" si="6"/>
        <v>5.8822055999999998</v>
      </c>
      <c r="P21" s="120">
        <f t="shared" si="1"/>
        <v>1182.3233255999999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45</v>
      </c>
      <c r="I25" s="137">
        <f t="shared" si="9"/>
        <v>3268.7999999999997</v>
      </c>
      <c r="J25" s="138"/>
      <c r="K25" s="139">
        <f t="shared" si="9"/>
        <v>114.40800000000002</v>
      </c>
      <c r="L25" s="140">
        <f t="shared" si="9"/>
        <v>261.50399999999996</v>
      </c>
      <c r="M25" s="141">
        <f t="shared" si="9"/>
        <v>2892.8879999999999</v>
      </c>
      <c r="N25" s="142">
        <f>SUM(N16:N24)</f>
        <v>636.43535999999995</v>
      </c>
      <c r="O25" s="143">
        <f>SUM(O16:O24)</f>
        <v>17.6466168</v>
      </c>
      <c r="P25" s="144">
        <f>SUM(P16:P24)</f>
        <v>3546.9699767999996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3268.7999999999997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261.50399999999996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114.40800000000002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2892.8879999999999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636.43535999999995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3529.3233599999999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17.6466168</v>
      </c>
    </row>
    <row r="35" spans="2:16" ht="15.75" customHeight="1" thickBot="1" x14ac:dyDescent="0.4">
      <c r="N35" s="213" t="s">
        <v>92</v>
      </c>
      <c r="O35" s="214"/>
      <c r="P35" s="160">
        <f>P33+P34</f>
        <v>3546.9699768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workbookViewId="0">
      <selection activeCell="F9" sqref="F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8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46211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139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46210</v>
      </c>
      <c r="O5" s="240"/>
      <c r="P5" s="240"/>
      <c r="R5" s="70"/>
      <c r="S5" s="71"/>
    </row>
    <row r="6" spans="1:19 16383:16384" ht="15" customHeight="1" x14ac:dyDescent="0.35">
      <c r="A6" s="239" t="s">
        <v>132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4745431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I16*3.5%</f>
        <v>18.361875000000001</v>
      </c>
      <c r="L16" s="105">
        <f>I16*8%</f>
        <v>41.97</v>
      </c>
      <c r="M16" s="106">
        <f>I16-K16-L16</f>
        <v>464.29312500000003</v>
      </c>
      <c r="N16" s="106">
        <f t="shared" ref="N16:N24" si="0">(M16*$N$15)+(J16*F16)*$N$15</f>
        <v>102.14448750000001</v>
      </c>
      <c r="O16" s="107">
        <f>(N16+M16)*$O$15</f>
        <v>2.8321880625000002</v>
      </c>
      <c r="P16" s="105">
        <f t="shared" ref="P16:P24" si="1">M16+N16+O16</f>
        <v>569.2698005625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10</v>
      </c>
      <c r="I25" s="137">
        <f t="shared" si="9"/>
        <v>524.625</v>
      </c>
      <c r="J25" s="138"/>
      <c r="K25" s="139">
        <f t="shared" si="9"/>
        <v>18.361875000000001</v>
      </c>
      <c r="L25" s="140">
        <f t="shared" si="9"/>
        <v>41.97</v>
      </c>
      <c r="M25" s="141">
        <f t="shared" si="9"/>
        <v>464.29312500000003</v>
      </c>
      <c r="N25" s="142">
        <f>SUM(N16:N24)</f>
        <v>102.14448750000001</v>
      </c>
      <c r="O25" s="143">
        <f>SUM(O16:O24)</f>
        <v>2.8321880625000002</v>
      </c>
      <c r="P25" s="144">
        <f>SUM(P16:P24)</f>
        <v>569.2698005625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524.625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41.97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18.361875000000001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464.29312499999997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102.14448750000001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566.4376125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2.8321880625000002</v>
      </c>
    </row>
    <row r="35" spans="2:16" ht="15.75" customHeight="1" thickBot="1" x14ac:dyDescent="0.4">
      <c r="N35" s="213" t="s">
        <v>92</v>
      </c>
      <c r="O35" s="214"/>
      <c r="P35" s="160">
        <f>P33+P34</f>
        <v>569.2698005625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3" workbookViewId="0">
      <selection activeCell="E6" sqref="E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9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46211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140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46210</v>
      </c>
      <c r="O5" s="240"/>
      <c r="P5" s="240"/>
      <c r="R5" s="70"/>
      <c r="S5" s="71"/>
    </row>
    <row r="6" spans="1:19 16383:16384" ht="15" customHeight="1" x14ac:dyDescent="0.35">
      <c r="A6" s="239" t="s">
        <v>132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7">
        <v>694321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/>
      <c r="K17" s="104">
        <f t="shared" ref="K17:K22" si="3">I17*3.5%</f>
        <v>18.361875000000001</v>
      </c>
      <c r="L17" s="105">
        <f t="shared" ref="L17:L21" si="4">I17*8%</f>
        <v>41.97</v>
      </c>
      <c r="M17" s="118">
        <f t="shared" ref="M17:M23" si="5">I17-K17-L17</f>
        <v>464.29312500000003</v>
      </c>
      <c r="N17" s="118">
        <f t="shared" si="0"/>
        <v>102.14448750000001</v>
      </c>
      <c r="O17" s="119">
        <f t="shared" ref="O17:O24" si="6">(N17+M17)*$O$15</f>
        <v>2.8321880625000002</v>
      </c>
      <c r="P17" s="120">
        <f t="shared" si="1"/>
        <v>569.2698005625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10</v>
      </c>
      <c r="I25" s="137">
        <f t="shared" si="9"/>
        <v>524.625</v>
      </c>
      <c r="J25" s="138"/>
      <c r="K25" s="139">
        <f t="shared" si="9"/>
        <v>18.361875000000001</v>
      </c>
      <c r="L25" s="140">
        <f t="shared" si="9"/>
        <v>41.97</v>
      </c>
      <c r="M25" s="141">
        <f t="shared" si="9"/>
        <v>464.29312500000003</v>
      </c>
      <c r="N25" s="142">
        <f>SUM(N16:N24)</f>
        <v>102.14448750000001</v>
      </c>
      <c r="O25" s="143">
        <f>SUM(O16:O24)</f>
        <v>2.8321880625000002</v>
      </c>
      <c r="P25" s="144">
        <f>SUM(P16:P24)</f>
        <v>569.2698005625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524.625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41.97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18.361875000000001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464.29312499999997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102.14448750000001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566.4376125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2.8321880625000002</v>
      </c>
    </row>
    <row r="35" spans="2:16" ht="15.75" customHeight="1" thickBot="1" x14ac:dyDescent="0.4">
      <c r="N35" s="213" t="s">
        <v>92</v>
      </c>
      <c r="O35" s="214"/>
      <c r="P35" s="160">
        <f>P33+P34</f>
        <v>569.2698005625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18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46211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141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46210</v>
      </c>
      <c r="O5" s="240"/>
      <c r="P5" s="240"/>
      <c r="R5" s="70"/>
      <c r="S5" s="71"/>
    </row>
    <row r="6" spans="1:19 16383:16384" ht="15" customHeight="1" x14ac:dyDescent="0.35">
      <c r="A6" s="239" t="s">
        <v>132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 t="s">
        <v>142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75" t="s">
        <v>142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/>
      <c r="K16" s="104">
        <f>I16*3.5%</f>
        <v>36.723750000000003</v>
      </c>
      <c r="L16" s="105">
        <f>I16*8%</f>
        <v>83.94</v>
      </c>
      <c r="M16" s="106">
        <f>I16-K16-L16</f>
        <v>928.58625000000006</v>
      </c>
      <c r="N16" s="106">
        <f t="shared" ref="N16:N24" si="0">(M16*$N$15)+(J16*F16)*$N$15</f>
        <v>167.14552499999999</v>
      </c>
      <c r="O16" s="107">
        <f>(N16+M16)*$O$15</f>
        <v>5.4786588749999998</v>
      </c>
      <c r="P16" s="105">
        <f t="shared" ref="P16:P24" si="1">M16+N16+O16</f>
        <v>1101.210433875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/>
      <c r="K17" s="104">
        <f t="shared" ref="K17:K22" si="3">I17*3.5%</f>
        <v>36.723750000000003</v>
      </c>
      <c r="L17" s="105">
        <f t="shared" ref="L17:L21" si="4">I17*8%</f>
        <v>83.94</v>
      </c>
      <c r="M17" s="118">
        <f t="shared" ref="M17:M23" si="5">I17-K17-L17</f>
        <v>928.58625000000006</v>
      </c>
      <c r="N17" s="118">
        <f t="shared" si="0"/>
        <v>167.14552499999999</v>
      </c>
      <c r="O17" s="119">
        <f t="shared" ref="O17:O24" si="6">(N17+M17)*$O$15</f>
        <v>5.4786588749999998</v>
      </c>
      <c r="P17" s="120">
        <f t="shared" si="1"/>
        <v>1101.210433875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/>
      <c r="K19" s="104">
        <f t="shared" si="3"/>
        <v>50.848000000000006</v>
      </c>
      <c r="L19" s="105">
        <f t="shared" si="4"/>
        <v>116.224</v>
      </c>
      <c r="M19" s="118">
        <f t="shared" si="5"/>
        <v>1285.7280000000001</v>
      </c>
      <c r="N19" s="118">
        <f t="shared" si="0"/>
        <v>231.43104</v>
      </c>
      <c r="O19" s="119">
        <f t="shared" si="6"/>
        <v>7.5857951999999997</v>
      </c>
      <c r="P19" s="120">
        <f t="shared" si="1"/>
        <v>1524.7448351999999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/>
      <c r="K21" s="104">
        <f t="shared" si="3"/>
        <v>50.848000000000006</v>
      </c>
      <c r="L21" s="105">
        <f t="shared" si="4"/>
        <v>116.224</v>
      </c>
      <c r="M21" s="118">
        <f t="shared" si="5"/>
        <v>1285.7280000000001</v>
      </c>
      <c r="N21" s="118">
        <f t="shared" si="0"/>
        <v>231.43104</v>
      </c>
      <c r="O21" s="119">
        <f t="shared" si="6"/>
        <v>7.5857951999999997</v>
      </c>
      <c r="P21" s="120">
        <f t="shared" si="1"/>
        <v>1524.7448351999999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80</v>
      </c>
      <c r="I25" s="137">
        <f t="shared" si="9"/>
        <v>5004.1000000000004</v>
      </c>
      <c r="J25" s="138"/>
      <c r="K25" s="139">
        <f t="shared" si="9"/>
        <v>175.14350000000002</v>
      </c>
      <c r="L25" s="140">
        <f t="shared" si="9"/>
        <v>400.32799999999997</v>
      </c>
      <c r="M25" s="141">
        <f t="shared" si="9"/>
        <v>4428.6285000000007</v>
      </c>
      <c r="N25" s="142">
        <f>SUM(N16:N24)</f>
        <v>797.15312999999992</v>
      </c>
      <c r="O25" s="143">
        <f>SUM(O16:O24)</f>
        <v>26.128908150000001</v>
      </c>
      <c r="P25" s="144">
        <f>SUM(P16:P24)</f>
        <v>5251.9105381500003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5004.1000000000004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400.32799999999997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175.14350000000002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4428.6285000000007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0.18</v>
      </c>
      <c r="P32" s="153">
        <f>N25</f>
        <v>797.15312999999992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5225.7816300000004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26.128908150000001</v>
      </c>
    </row>
    <row r="35" spans="2:16" ht="15.75" customHeight="1" thickBot="1" x14ac:dyDescent="0.4">
      <c r="N35" s="213" t="s">
        <v>92</v>
      </c>
      <c r="O35" s="214"/>
      <c r="P35" s="160">
        <f>P33+P34</f>
        <v>5251.9105381500003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19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46211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143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46210</v>
      </c>
      <c r="O5" s="240"/>
      <c r="P5" s="240"/>
      <c r="R5" s="70"/>
      <c r="S5" s="71"/>
    </row>
    <row r="6" spans="1:19 16383:16384" ht="15" customHeight="1" x14ac:dyDescent="0.35">
      <c r="A6" s="239" t="s">
        <v>132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/>
      <c r="K16" s="104">
        <f>I16*3.5%</f>
        <v>36.723750000000003</v>
      </c>
      <c r="L16" s="105">
        <f>I16*8%</f>
        <v>83.94</v>
      </c>
      <c r="M16" s="106">
        <f>I16-K16-L16</f>
        <v>928.58625000000006</v>
      </c>
      <c r="N16" s="106">
        <f t="shared" ref="N16:N24" si="0">(M16*$N$15)+(J16*F16)*$N$15</f>
        <v>204.28897500000002</v>
      </c>
      <c r="O16" s="107">
        <f>(N16+M16)*$O$15</f>
        <v>28.321880625000002</v>
      </c>
      <c r="P16" s="105">
        <f t="shared" ref="P16:P24" si="1">M16+N16+O16</f>
        <v>1161.1971056249999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/>
      <c r="K17" s="104">
        <f t="shared" ref="K17:K22" si="3">I17*3.5%</f>
        <v>36.723750000000003</v>
      </c>
      <c r="L17" s="105">
        <f t="shared" ref="L17:L21" si="4">I17*8%</f>
        <v>83.94</v>
      </c>
      <c r="M17" s="118">
        <f t="shared" ref="M17:M23" si="5">I17-K17-L17</f>
        <v>928.58625000000006</v>
      </c>
      <c r="N17" s="118">
        <f t="shared" si="0"/>
        <v>204.28897500000002</v>
      </c>
      <c r="O17" s="119">
        <f t="shared" ref="O17:O24" si="6">(N17+M17)*$O$15</f>
        <v>28.321880625000002</v>
      </c>
      <c r="P17" s="120">
        <f t="shared" si="1"/>
        <v>1161.1971056249999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40</v>
      </c>
      <c r="I25" s="137">
        <f t="shared" si="9"/>
        <v>2098.5</v>
      </c>
      <c r="J25" s="138"/>
      <c r="K25" s="139">
        <f t="shared" si="9"/>
        <v>73.447500000000005</v>
      </c>
      <c r="L25" s="140">
        <f t="shared" si="9"/>
        <v>167.88</v>
      </c>
      <c r="M25" s="141">
        <f t="shared" si="9"/>
        <v>1857.1725000000001</v>
      </c>
      <c r="N25" s="142">
        <f>SUM(N16:N24)</f>
        <v>408.57795000000004</v>
      </c>
      <c r="O25" s="143">
        <f>SUM(O16:O24)</f>
        <v>56.643761250000004</v>
      </c>
      <c r="P25" s="144">
        <f>SUM(P16:P24)</f>
        <v>2322.3942112499999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2098.5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167.88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73.447500000000005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1857.1724999999999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408.57795000000004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2265.75045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56.643761250000004</v>
      </c>
    </row>
    <row r="35" spans="2:16" ht="15.75" customHeight="1" thickBot="1" x14ac:dyDescent="0.4">
      <c r="N35" s="213" t="s">
        <v>92</v>
      </c>
      <c r="O35" s="214"/>
      <c r="P35" s="160">
        <f>P33+P34</f>
        <v>2322.3942112499999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K17" sqref="K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46211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46210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K17" sqref="K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46211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46210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K17" sqref="K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46211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46210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K17" sqref="K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46211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46210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80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K17" sqref="K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46211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46210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K17" sqref="K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46211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46210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K17" sqref="K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46211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46210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topLeftCell="A7" workbookViewId="0">
      <selection activeCell="K17" sqref="K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46211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46210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K17" sqref="K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46211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46210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2026-07-08T06:58:01Z</dcterms:modified>
</cp:coreProperties>
</file>