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15F63657-C11B-492B-A4EC-A8DB692AFE6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7" l="1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8" i="22"/>
  <c r="K20" i="22"/>
  <c r="K22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1" i="16"/>
  <c r="K16" i="19"/>
  <c r="K16" i="18"/>
  <c r="K16" i="20"/>
  <c r="K16" i="21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L22" i="30" s="1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L22" i="35"/>
  <c r="M22" i="35"/>
  <c r="K23" i="35"/>
  <c r="L23" i="35"/>
  <c r="K24" i="35"/>
  <c r="L24" i="35"/>
  <c r="L16" i="34"/>
  <c r="L17" i="34"/>
  <c r="L18" i="34"/>
  <c r="L21" i="34"/>
  <c r="L22" i="34"/>
  <c r="K23" i="34"/>
  <c r="L21" i="33"/>
  <c r="L22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22" i="32"/>
  <c r="L17" i="31"/>
  <c r="M17" i="31" s="1"/>
  <c r="L21" i="31"/>
  <c r="L22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L22" i="27"/>
  <c r="K23" i="27"/>
  <c r="L23" i="27"/>
  <c r="K24" i="27"/>
  <c r="L24" i="27"/>
  <c r="L19" i="27"/>
  <c r="L18" i="27"/>
  <c r="L17" i="26"/>
  <c r="L19" i="26"/>
  <c r="L22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K16" i="17" s="1"/>
  <c r="I17" i="17"/>
  <c r="K17" i="17" s="1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22" i="22"/>
  <c r="L17" i="22"/>
  <c r="L19" i="22"/>
  <c r="L21" i="22"/>
  <c r="L24" i="20"/>
  <c r="K23" i="20"/>
  <c r="L20" i="19"/>
  <c r="K24" i="19"/>
  <c r="L24" i="19"/>
  <c r="L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18" l="1"/>
  <c r="K22" i="18"/>
  <c r="L22" i="17"/>
  <c r="K22" i="17"/>
  <c r="L24" i="17"/>
  <c r="M21" i="19"/>
  <c r="K23" i="24"/>
  <c r="L22" i="25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L22" i="16"/>
  <c r="L22" i="15" s="1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19" i="18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<sst xmlns="http://schemas.openxmlformats.org/spreadsheetml/2006/main" count="1632" uniqueCount="129">
  <si>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</si>
  <si>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</si>
  <si>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</si>
  <si>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</si>
  <si>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</si>
  <si>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</si>
  <si>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</si>
  <si>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</si>
  <si>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</si>
  <si>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</si>
  <si>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</si>
  <si>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</si>
  <si>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</si>
  <si>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</si>
  <si>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</si>
  <si>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</si>
  <si>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</si>
  <si>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</si>
  <si>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</si>
  <si>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</si>
  <si>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</si>
  <si>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</si>
  <si>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</si>
  <si>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</si>
  <si>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</si>
  <si>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</si>
  <si>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</si>
  <si>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</si>
  <si>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</si>
  <si>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</si>
  <si>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</si>
  <si>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</si>
  <si>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</si>
  <si>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</si>
  <si>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</si>
  <si>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</si>
  <si>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</si>
  <si>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</si>
  <si>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</si>
  <si>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</si>
  <si>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</si>
  <si>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</si>
  <si>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</si>
  <si>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</si>
  <si>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</si>
  <si>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</si>
  <si>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</si>
  <si>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</si>
  <si>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</si>
  <si>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</si>
  <si>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</si>
  <si>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</si>
  <si>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</si>
  <si>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</si>
  <si>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</si>
  <si>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</si>
  <si>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</si>
  <si>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</si>
  <si>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</si>
  <si>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</si>
  <si>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</si>
  <si>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</si>
  <si>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</si>
  <si>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</si>
  <si>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</si>
  <si>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</si>
  <si>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</si>
  <si>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</si>
  <si>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</si>
  <si>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</si>
  <si>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</si>
  <si>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</si>
  <si>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</si>
  <si>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</si>
  <si>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</si>
  <si>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</si>
  <si>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</si>
  <si>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</si>
  <si>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</si>
  <si>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</si>
  <si>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</si>
  <si>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</si>
  <si>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</si>
  <si>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</si>
  <si>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</si>
  <si>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</si>
  <si>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</si>
  <si>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</si>
  <si>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</si>
  <si>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</si>
  <si>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</si>
  <si>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</si>
  <si>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</si>
  <si>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</si>
  <si>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</si>
  <si>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</si>
  <si>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</si>
  <si>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</si>
  <si>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</si>
  <si>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</si>
  <si>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</si>
  <si>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</si>
  <si>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</si>
  <si>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</si>
  <si>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</si>
  <si>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</si>
  <si>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</si>
  <si>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</si>
  <si>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</si>
  <si>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</si>
  <si>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</si>
  <si>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</si>
  <si>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</si>
  <si>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</si>
  <si>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</si>
  <si>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</si>
  <si>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</si>
  <si>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</si>
  <si>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</si>
  <si>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</si>
  <si>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 (Salman)</t>
  </si>
  <si>
    <t>Customer Name : Khalil Store</t>
  </si>
  <si>
    <t>Customer Name : Kashmir Bakers</t>
  </si>
  <si>
    <t>Customer Name : Bismillah Store</t>
  </si>
  <si>
    <t>Customer Name : Subhan Store</t>
  </si>
  <si>
    <t>Customer Name :Zubair Store</t>
  </si>
  <si>
    <t>Customer Name : Abdullah Store</t>
  </si>
  <si>
    <t>Customer Name : Hafiz Store</t>
  </si>
  <si>
    <t>Address: Walton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</si>
</sst>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9" sqref="F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103</v>
      </c>
    </row>
    <row r="15" spans="1:2" x14ac:dyDescent="0.35">
      <c r="A15">
        <v>10</v>
      </c>
      <c r="B15" t="s">
        <v>104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4" zoomScale="70" zoomScaleNormal="70" workbookViewId="0">
      <selection activeCell="S31" sqref="S3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119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120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Khalil Store</v>
      </c>
      <c r="U14" s="164">
        <f>+'1'!P35</f>
        <v>820.86225050000019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Kashmir Bakers</v>
      </c>
      <c r="U15" s="164">
        <f>+'2'!P35</f>
        <v>6107.5783017000003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50</v>
      </c>
      <c r="I16" s="1">
        <f>(G16*D16)*F16+H16*F16</f>
        <v>2623.125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91.809375000000003</v>
      </c>
      <c r="L16" s="175">
        <f>+'1'!L16+'2'!L16+'4'!L16+'3'!L16+'5'!L16+'6'!L16+'7'!L16+'8'!L16+'9'!L16+'10'!L16</f>
        <v>209.85</v>
      </c>
      <c r="M16" s="106">
        <f>I16-K16-L16</f>
        <v>2321.4656250000003</v>
      </c>
      <c r="N16" s="101">
        <f>+'1'!N16+'2'!N16+'4'!N16+'3'!N16+'5'!N16+'6'!N16+'7'!N16+'8'!N16+'9'!N16+'10'!N16</f>
        <v>436.43553750000001</v>
      </c>
      <c r="O16" s="101">
        <f>+'1'!O16+'2'!O16+'4'!O16+'3'!O16+'5'!O16+'6'!O16+'7'!O16+'8'!O16+'9'!O16+'10'!O16</f>
        <v>13.7895058125</v>
      </c>
      <c r="P16" s="105">
        <f t="shared" ref="P16:P24" si="0">M16+N16+O16</f>
        <v>2771.6906683125003</v>
      </c>
      <c r="Q16" s="108"/>
      <c r="T16" s="163" t="str">
        <f>+'3'!A5</f>
        <v>Customer Name : Bismillah Store</v>
      </c>
      <c r="U16" s="164">
        <f>+'3'!P35</f>
        <v>1760.4564498000002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50</v>
      </c>
      <c r="I17" s="1">
        <f t="shared" ref="I17:I23" si="1">(G17*D17)*F17+H17*F17</f>
        <v>2623.125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91.809375000000003</v>
      </c>
      <c r="L17" s="175">
        <f>+'1'!L17+'2'!L17+'4'!L17+'3'!L17+'5'!L17+'6'!L17+'7'!L17+'8'!L17+'9'!L17+'10'!L17</f>
        <v>209.85</v>
      </c>
      <c r="M17" s="118">
        <f t="shared" ref="M17:M23" si="2">I17-K17-L17</f>
        <v>2321.4656250000003</v>
      </c>
      <c r="N17" s="101">
        <f>+'1'!N17+'2'!N17+'4'!N17+'3'!N17+'5'!N17+'6'!N17+'7'!N17+'8'!N17+'9'!N17+'10'!N17</f>
        <v>436.43553750000001</v>
      </c>
      <c r="O17" s="101">
        <f>+'1'!O17+'2'!O17+'4'!O17+'3'!O17+'5'!O17+'6'!O17+'7'!O17+'8'!O17+'9'!O17+'10'!O17</f>
        <v>13.7895058125</v>
      </c>
      <c r="P17" s="120">
        <f t="shared" si="0"/>
        <v>2771.6906683125003</v>
      </c>
      <c r="S17" s="64"/>
      <c r="T17" s="163" t="str">
        <f>+'4'!A5</f>
        <v>Customer Name : Subhan Store</v>
      </c>
      <c r="U17" s="164">
        <f>+'4'!P35</f>
        <v>880.2282249000001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:Zubair Store</v>
      </c>
      <c r="U18" s="164">
        <f>+'5'!P35</f>
        <v>897.74520450000011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10</v>
      </c>
      <c r="I19" s="1">
        <f t="shared" si="1"/>
        <v>726.4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25.424000000000003</v>
      </c>
      <c r="L19" s="175">
        <f>+'1'!L19+'2'!L19+'4'!L19+'3'!L19+'5'!L19+'6'!L19+'7'!L19+'8'!L19+'9'!L19+'10'!L19</f>
        <v>58.112000000000002</v>
      </c>
      <c r="M19" s="118">
        <f t="shared" si="2"/>
        <v>642.86400000000003</v>
      </c>
      <c r="N19" s="101">
        <f>+'1'!N19+'2'!N19+'4'!N19+'3'!N19+'5'!N19+'6'!N19+'7'!N19+'8'!N19+'9'!N19+'10'!N19</f>
        <v>141.43008</v>
      </c>
      <c r="O19" s="101">
        <f>+'1'!O19+'2'!O19+'4'!O19+'3'!O19+'5'!O19+'6'!O19+'7'!O19+'8'!O19+'9'!O19+'10'!O19</f>
        <v>3.9214704</v>
      </c>
      <c r="P19" s="120">
        <f t="shared" si="0"/>
        <v>788.21555039999998</v>
      </c>
      <c r="T19" s="163" t="str">
        <f>+'6'!A5</f>
        <v>Customer Name : Abdullah Store</v>
      </c>
      <c r="U19" s="164">
        <f>+'6'!P35</f>
        <v>897.74520450000011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>Customer Name : Hafiz Store</v>
      </c>
      <c r="U20" s="164">
        <f>+'7'!P35</f>
        <v>2714.9707019250004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10</v>
      </c>
      <c r="I21" s="1">
        <f t="shared" si="1"/>
        <v>726.4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25.424000000000003</v>
      </c>
      <c r="L21" s="175">
        <f>+'1'!L21+'2'!L21+'4'!L21+'3'!L21+'5'!L21+'6'!L21+'7'!L21+'8'!L21+'9'!L21+'10'!L21</f>
        <v>58.112000000000002</v>
      </c>
      <c r="M21" s="118">
        <f t="shared" si="2"/>
        <v>642.86400000000003</v>
      </c>
      <c r="N21" s="101">
        <f>+'1'!N21+'2'!N21+'4'!N21+'3'!N21+'5'!N21+'6'!N21+'7'!N21+'8'!N21+'9'!N21+'10'!N21</f>
        <v>141.43008</v>
      </c>
      <c r="O21" s="101">
        <f>+'1'!O21+'2'!O21+'4'!O21+'3'!O21+'5'!O21+'6'!O21+'7'!O21+'8'!O21+'9'!O21+'10'!O21</f>
        <v>3.9214704</v>
      </c>
      <c r="P21" s="120">
        <f t="shared" si="0"/>
        <v>788.21555039999998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160</v>
      </c>
      <c r="I22" s="1">
        <f t="shared" si="1"/>
        <v>6276.8000000000011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219.68800000000005</v>
      </c>
      <c r="L22" s="175">
        <f>+'1'!L22+'2'!L22+'4'!L22+'3'!L22+'5'!L22+'6'!L22+'7'!L22+'8'!L22+'9'!L22+'10'!L22</f>
        <v>353.07000000000011</v>
      </c>
      <c r="M22" s="118">
        <f t="shared" si="2"/>
        <v>5704.0420000000013</v>
      </c>
      <c r="N22" s="101">
        <f>+'1'!N22+'2'!N22+'4'!N22+'3'!N22+'5'!N22+'6'!N22+'7'!N22+'8'!N22+'9'!N22+'10'!N22</f>
        <v>1170.30936</v>
      </c>
      <c r="O22" s="101">
        <f>+'1'!O22+'2'!O22+'4'!O22+'3'!O22+'5'!O22+'6'!O22+'7'!O22+'8'!O22+'9'!O22+'10'!O22</f>
        <v>85.422540400000017</v>
      </c>
      <c r="P22" s="120">
        <f t="shared" si="0"/>
        <v>6959.7739004000014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7</v>
      </c>
      <c r="D25" s="215"/>
      <c r="E25" s="215"/>
      <c r="F25" s="215"/>
      <c r="G25" s="176">
        <f t="shared" ref="G25:M25" si="3">SUM(G16:G24)</f>
        <v>0</v>
      </c>
      <c r="H25" s="177">
        <f t="shared" si="3"/>
        <v>280</v>
      </c>
      <c r="I25" s="178">
        <f t="shared" si="3"/>
        <v>12975.85</v>
      </c>
      <c r="J25" s="177">
        <f t="shared" si="3"/>
        <v>0</v>
      </c>
      <c r="K25" s="178">
        <f t="shared" si="3"/>
        <v>454.15475000000004</v>
      </c>
      <c r="L25" s="179">
        <f t="shared" si="3"/>
        <v>888.99400000000014</v>
      </c>
      <c r="M25" s="141">
        <f t="shared" si="3"/>
        <v>11632.701250000002</v>
      </c>
      <c r="N25" s="142">
        <f>SUM(N16:N24)</f>
        <v>2326.0405949999999</v>
      </c>
      <c r="O25" s="143">
        <f>SUM(O16:O24)</f>
        <v>120.84449282500002</v>
      </c>
      <c r="P25" s="144">
        <f>SUM(P16:P24)</f>
        <v>14079.586337825003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14079.586337825003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12975.85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888.99400000000014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454.15475000000004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11632.70125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2326.0405949999999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13958.741845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348.96854612500005</v>
      </c>
    </row>
    <row r="43" spans="1:21" ht="15.75" customHeight="1" thickBot="1" x14ac:dyDescent="0.4">
      <c r="N43" s="213" t="s">
        <v>92</v>
      </c>
      <c r="O43" s="214"/>
      <c r="P43" s="160">
        <f>P41+P42</f>
        <v>14307.710391125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26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75">
        <v>3520303644969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116</v>
      </c>
      <c r="T14" s="256"/>
      <c r="U14" s="256"/>
      <c r="V14" s="256"/>
      <c r="W14" s="257" t="s">
        <v>118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5" t="s">
        <v>108</v>
      </c>
      <c r="T15" s="185" t="s">
        <v>109</v>
      </c>
      <c r="U15" s="185" t="s">
        <v>113</v>
      </c>
      <c r="V15" s="185" t="s">
        <v>114</v>
      </c>
      <c r="W15" s="186" t="s">
        <v>108</v>
      </c>
      <c r="X15" s="186" t="s">
        <v>109</v>
      </c>
      <c r="Y15" s="186" t="s">
        <v>113</v>
      </c>
      <c r="Z15" s="186" t="s">
        <v>114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105</v>
      </c>
      <c r="T16" s="183">
        <v>1697</v>
      </c>
      <c r="U16" s="183" t="s">
        <v>110</v>
      </c>
      <c r="V16" s="183">
        <f>T16/40</f>
        <v>42.424999999999997</v>
      </c>
      <c r="W16" s="187" t="s">
        <v>105</v>
      </c>
      <c r="X16" s="187">
        <v>1664</v>
      </c>
      <c r="Y16" s="187" t="s">
        <v>110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107</v>
      </c>
      <c r="T17" s="183">
        <v>2322</v>
      </c>
      <c r="U17" s="183" t="s">
        <v>111</v>
      </c>
      <c r="V17" s="183">
        <f t="shared" ref="V17:V18" si="7">T17/40</f>
        <v>58.05</v>
      </c>
      <c r="W17" s="188" t="s">
        <v>107</v>
      </c>
      <c r="X17" s="187">
        <v>2277</v>
      </c>
      <c r="Y17" s="187" t="s">
        <v>111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106</v>
      </c>
      <c r="T18" s="183">
        <v>3216</v>
      </c>
      <c r="U18" s="183" t="s">
        <v>112</v>
      </c>
      <c r="V18" s="183">
        <f t="shared" si="7"/>
        <v>80.400000000000006</v>
      </c>
      <c r="W18" s="187" t="s">
        <v>106</v>
      </c>
      <c r="X18" s="187">
        <v>3153</v>
      </c>
      <c r="Y18" s="187" t="s">
        <v>112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117</v>
      </c>
      <c r="T19" s="258"/>
      <c r="U19" s="258"/>
      <c r="V19" s="258"/>
      <c r="W19" s="259" t="s">
        <v>115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108</v>
      </c>
      <c r="T20" s="185" t="s">
        <v>109</v>
      </c>
      <c r="U20" s="185" t="s">
        <v>113</v>
      </c>
      <c r="V20" s="185" t="s">
        <v>114</v>
      </c>
      <c r="W20" s="185" t="s">
        <v>108</v>
      </c>
      <c r="X20" s="185" t="s">
        <v>109</v>
      </c>
      <c r="Y20" s="185" t="s">
        <v>113</v>
      </c>
      <c r="Z20" s="185" t="s">
        <v>114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105</v>
      </c>
      <c r="T21" s="189">
        <v>1610</v>
      </c>
      <c r="U21" s="189" t="s">
        <v>110</v>
      </c>
      <c r="V21" s="189">
        <f>T21/40</f>
        <v>40.25</v>
      </c>
      <c r="W21" s="191" t="s">
        <v>105</v>
      </c>
      <c r="X21" s="191">
        <v>1642</v>
      </c>
      <c r="Y21" s="191" t="s">
        <v>110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3"/>
        <v>784.60000000000014</v>
      </c>
      <c r="J22" s="117"/>
      <c r="K22" s="104">
        <f t="shared" si="4"/>
        <v>27.461000000000006</v>
      </c>
      <c r="L22" s="120">
        <f>I22*10%</f>
        <v>78.460000000000022</v>
      </c>
      <c r="M22" s="118">
        <f t="shared" si="6"/>
        <v>678.67900000000009</v>
      </c>
      <c r="N22" s="118">
        <f t="shared" si="0"/>
        <v>122.16222</v>
      </c>
      <c r="O22" s="119">
        <f t="shared" si="1"/>
        <v>20.021030500000006</v>
      </c>
      <c r="P22" s="120">
        <f t="shared" si="2"/>
        <v>820.86225050000019</v>
      </c>
      <c r="S22" s="190" t="s">
        <v>107</v>
      </c>
      <c r="T22" s="189">
        <v>2202</v>
      </c>
      <c r="U22" s="189" t="s">
        <v>111</v>
      </c>
      <c r="V22" s="189">
        <f t="shared" ref="V22:V25" si="9">T22/40</f>
        <v>55.05</v>
      </c>
      <c r="W22" s="192" t="s">
        <v>107</v>
      </c>
      <c r="X22" s="191">
        <v>2246</v>
      </c>
      <c r="Y22" s="191" t="s">
        <v>111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106</v>
      </c>
      <c r="T23" s="189">
        <v>3216</v>
      </c>
      <c r="U23" s="189" t="s">
        <v>112</v>
      </c>
      <c r="V23" s="189">
        <f t="shared" si="9"/>
        <v>80.400000000000006</v>
      </c>
      <c r="W23" s="191" t="s">
        <v>106</v>
      </c>
      <c r="X23" s="191">
        <v>3216</v>
      </c>
      <c r="Y23" s="191" t="s">
        <v>111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106</v>
      </c>
      <c r="T24" s="189">
        <v>3216</v>
      </c>
      <c r="U24" s="189" t="s">
        <v>112</v>
      </c>
      <c r="V24" s="189">
        <f t="shared" si="9"/>
        <v>80.400000000000006</v>
      </c>
      <c r="W24" s="191"/>
      <c r="X24" s="191"/>
      <c r="Y24" s="191" t="s">
        <v>111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20</v>
      </c>
      <c r="I25" s="137">
        <f t="shared" si="13"/>
        <v>784.60000000000014</v>
      </c>
      <c r="J25" s="138"/>
      <c r="K25" s="139">
        <f t="shared" si="13"/>
        <v>27.461000000000006</v>
      </c>
      <c r="L25" s="140">
        <f t="shared" si="13"/>
        <v>78.460000000000022</v>
      </c>
      <c r="M25" s="141">
        <f t="shared" si="13"/>
        <v>678.67900000000009</v>
      </c>
      <c r="N25" s="142">
        <f>SUM(N16:N24)</f>
        <v>122.16222</v>
      </c>
      <c r="O25" s="143">
        <f>SUM(O16:O24)</f>
        <v>20.021030500000006</v>
      </c>
      <c r="P25" s="144">
        <f>SUM(P16:P24)</f>
        <v>820.86225050000019</v>
      </c>
      <c r="S25" s="189" t="s">
        <v>106</v>
      </c>
      <c r="T25" s="189">
        <v>3216</v>
      </c>
      <c r="U25" s="189" t="s">
        <v>112</v>
      </c>
      <c r="V25" s="189">
        <f t="shared" si="9"/>
        <v>80.400000000000006</v>
      </c>
      <c r="W25" s="191" t="s">
        <v>106</v>
      </c>
      <c r="X25" s="191">
        <v>3110</v>
      </c>
      <c r="Y25" s="191" t="s">
        <v>112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784.60000000000014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78.460000000000022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27.461000000000006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678.67900000000009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122.16222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800.84122000000013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20.021030500000006</v>
      </c>
    </row>
    <row r="35" spans="2:16" ht="15.75" customHeight="1" thickBot="1" x14ac:dyDescent="0.4">
      <c r="N35" s="213" t="s">
        <v>92</v>
      </c>
      <c r="O35" s="214"/>
      <c r="P35" s="160">
        <f>P33+P34</f>
        <v>820.86225050000019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2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120</v>
      </c>
      <c r="I25" s="137">
        <f t="shared" si="9"/>
        <v>5766.2000000000007</v>
      </c>
      <c r="J25" s="138"/>
      <c r="K25" s="139">
        <f t="shared" si="9"/>
        <v>201.81700000000001</v>
      </c>
      <c r="L25" s="140">
        <f t="shared" si="9"/>
        <v>414.22</v>
      </c>
      <c r="M25" s="141">
        <f t="shared" si="9"/>
        <v>5150.1630000000005</v>
      </c>
      <c r="N25" s="142">
        <f>SUM(N16:N24)</f>
        <v>927.02934000000005</v>
      </c>
      <c r="O25" s="143">
        <f>SUM(O16:O24)</f>
        <v>30.385961700000003</v>
      </c>
      <c r="P25" s="144">
        <f>SUM(P16:P24)</f>
        <v>6107.5783017000003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5766.2000000000007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414.22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201.81700000000001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5150.1630000000005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927.02934000000005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6077.1923400000005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30.385961700000003</v>
      </c>
    </row>
    <row r="35" spans="2:16" ht="15.75" customHeight="1" thickBot="1" x14ac:dyDescent="0.4">
      <c r="N35" s="213" t="s">
        <v>92</v>
      </c>
      <c r="O35" s="214"/>
      <c r="P35" s="160">
        <f>P33+P34</f>
        <v>6107.5783017000003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3520051547527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8.7584898000000013</v>
      </c>
      <c r="P25" s="144">
        <f>SUM(P16:P24)</f>
        <v>1760.4564498000002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78.460000000000022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1435.8180000000002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1751.6979600000002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8.7584898000000013</v>
      </c>
    </row>
    <row r="35" spans="2:16" ht="15.75" customHeight="1" thickBot="1" x14ac:dyDescent="0.4">
      <c r="N35" s="213" t="s">
        <v>92</v>
      </c>
      <c r="O35" s="214"/>
      <c r="P35" s="160">
        <f>P33+P34</f>
        <v>1760.4564498000002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3520296587693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 t="shared" si="3"/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4.3792449000000007</v>
      </c>
      <c r="P22" s="120">
        <f t="shared" si="1"/>
        <v>880.2282249000001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157.93998000000002</v>
      </c>
      <c r="O25" s="143">
        <f>SUM(O16:O24)</f>
        <v>4.3792449000000007</v>
      </c>
      <c r="P25" s="144">
        <f>SUM(P16:P24)</f>
        <v>880.2282249000001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784.60000000000014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27.461000000000006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717.90900000000011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157.93998000000002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875.8489800000001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4.3792449000000007</v>
      </c>
    </row>
    <row r="35" spans="2:16" ht="15.75" customHeight="1" thickBot="1" x14ac:dyDescent="0.4">
      <c r="N35" s="213" t="s">
        <v>92</v>
      </c>
      <c r="O35" s="214"/>
      <c r="P35" s="160">
        <f>P33+P34</f>
        <v>880.2282249000001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 t="shared" si="3"/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157.93998000000002</v>
      </c>
      <c r="O25" s="143">
        <f>SUM(O16:O24)</f>
        <v>21.896224500000002</v>
      </c>
      <c r="P25" s="144">
        <f>SUM(P16:P24)</f>
        <v>897.74520450000011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784.60000000000014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27.461000000000006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717.90900000000011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157.93998000000002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875.8489800000001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21.896224500000002</v>
      </c>
    </row>
    <row r="35" spans="2:16" ht="15.75" customHeight="1" thickBot="1" x14ac:dyDescent="0.4">
      <c r="N35" s="213" t="s">
        <v>92</v>
      </c>
      <c r="O35" s="214"/>
      <c r="P35" s="160">
        <f>P33+P34</f>
        <v>897.74520450000011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 t="shared" si="3"/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157.93998000000002</v>
      </c>
      <c r="O25" s="143">
        <f>SUM(O16:O24)</f>
        <v>21.896224500000002</v>
      </c>
      <c r="P25" s="144">
        <f>SUM(P16:P24)</f>
        <v>897.74520450000011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784.60000000000014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27.461000000000006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717.90900000000011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157.93998000000002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875.8489800000001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21.896224500000002</v>
      </c>
    </row>
    <row r="35" spans="2:16" ht="15.75" customHeight="1" thickBot="1" x14ac:dyDescent="0.4">
      <c r="N35" s="213" t="s">
        <v>92</v>
      </c>
      <c r="O35" s="214"/>
      <c r="P35" s="160">
        <f>P33+P34</f>
        <v>897.74520450000011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3520256212631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2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2.8321880625000002</v>
      </c>
      <c r="P17" s="120">
        <f t="shared" si="1"/>
        <v>569.2698005625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2502.0500000000002</v>
      </c>
      <c r="J25" s="138"/>
      <c r="K25" s="139">
        <f t="shared" si="9"/>
        <v>87.571750000000009</v>
      </c>
      <c r="L25" s="140">
        <f t="shared" si="9"/>
        <v>200.16399999999999</v>
      </c>
      <c r="M25" s="141">
        <f t="shared" si="9"/>
        <v>2214.3142500000004</v>
      </c>
      <c r="N25" s="142">
        <f>SUM(N16:N24)</f>
        <v>487.149135</v>
      </c>
      <c r="O25" s="143">
        <f>SUM(O16:O24)</f>
        <v>13.507316925000001</v>
      </c>
      <c r="P25" s="144">
        <f>SUM(P16:P24)</f>
        <v>2714.970701925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2502.0500000000002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200.16399999999999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87.571750000000009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2214.3142500000004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487.149135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2701.4633850000005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13.507316925000003</v>
      </c>
    </row>
    <row r="35" spans="2:16" ht="15.75" customHeight="1" thickBot="1" x14ac:dyDescent="0.4">
      <c r="N35" s="213" t="s">
        <v>92</v>
      </c>
      <c r="O35" s="214"/>
      <c r="P35" s="160">
        <f>P33+P34</f>
        <v>2714.9707019250004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2026-07-07T12:16:12Z</dcterms:modified>
</cp:coreProperties>
</file>