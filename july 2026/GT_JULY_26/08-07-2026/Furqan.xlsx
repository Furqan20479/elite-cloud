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EE9C308F-3CE4-4A40-99FC-18A4401B35DF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9" i="17"/>
  <c r="K20" i="17"/>
  <c r="K21" i="17"/>
  <c r="K17" i="19"/>
  <c r="K18" i="19"/>
  <c r="K19" i="19"/>
  <c r="K20" i="19"/>
  <c r="K21" i="19"/>
  <c r="K17" i="18"/>
  <c r="K18" i="18"/>
  <c r="K20" i="18"/>
  <c r="K22" i="18"/>
  <c r="K17" i="20"/>
  <c r="K18" i="20"/>
  <c r="K22" i="20"/>
  <c r="K17" i="21"/>
  <c r="K18" i="21"/>
  <c r="K19" i="21"/>
  <c r="K20" i="21"/>
  <c r="K21" i="21"/>
  <c r="K17" i="22"/>
  <c r="K18" i="22"/>
  <c r="K19" i="22"/>
  <c r="K20" i="22"/>
  <c r="K21" i="22"/>
  <c r="K22" i="22"/>
  <c r="K17" i="23"/>
  <c r="K18" i="23"/>
  <c r="K19" i="23"/>
  <c r="K20" i="23"/>
  <c r="K21" i="23"/>
  <c r="K22" i="23"/>
  <c r="K17" i="24"/>
  <c r="K18" i="24"/>
  <c r="K19" i="24"/>
  <c r="K20" i="24"/>
  <c r="K21" i="24"/>
  <c r="K22" i="24"/>
  <c r="K17" i="25"/>
  <c r="K18" i="25"/>
  <c r="K19" i="25"/>
  <c r="K20" i="25"/>
  <c r="K21" i="25"/>
  <c r="K22" i="25"/>
  <c r="K17" i="26"/>
  <c r="K18" i="26"/>
  <c r="K19" i="26"/>
  <c r="K20" i="26"/>
  <c r="K21" i="26"/>
  <c r="K22" i="26"/>
  <c r="K17" i="27"/>
  <c r="K18" i="27"/>
  <c r="K19" i="27"/>
  <c r="K20" i="27"/>
  <c r="K21" i="27"/>
  <c r="K22" i="27"/>
  <c r="K17" i="28"/>
  <c r="K18" i="28"/>
  <c r="K19" i="28"/>
  <c r="K20" i="28"/>
  <c r="K21" i="28"/>
  <c r="K22" i="28"/>
  <c r="K17" i="29"/>
  <c r="K18" i="29"/>
  <c r="K19" i="29"/>
  <c r="K20" i="29"/>
  <c r="K21" i="29"/>
  <c r="K22" i="29"/>
  <c r="K17" i="30"/>
  <c r="K18" i="30"/>
  <c r="K19" i="30"/>
  <c r="K20" i="30"/>
  <c r="K21" i="30"/>
  <c r="K22" i="30"/>
  <c r="K17" i="31"/>
  <c r="K18" i="31"/>
  <c r="K19" i="31"/>
  <c r="K20" i="31"/>
  <c r="K21" i="31"/>
  <c r="K22" i="31"/>
  <c r="K17" i="32"/>
  <c r="K18" i="32"/>
  <c r="K19" i="32"/>
  <c r="K20" i="32"/>
  <c r="K21" i="32"/>
  <c r="K22" i="32"/>
  <c r="K17" i="33"/>
  <c r="K18" i="33"/>
  <c r="K19" i="33"/>
  <c r="K20" i="33"/>
  <c r="K21" i="33"/>
  <c r="K22" i="33"/>
  <c r="K17" i="34"/>
  <c r="K18" i="34"/>
  <c r="K19" i="34"/>
  <c r="K20" i="34"/>
  <c r="K21" i="34"/>
  <c r="K22" i="34"/>
  <c r="K17" i="35"/>
  <c r="K18" i="35"/>
  <c r="K19" i="35"/>
  <c r="K20" i="35"/>
  <c r="K21" i="35"/>
  <c r="K22" i="35"/>
  <c r="K17" i="16"/>
  <c r="K18" i="16"/>
  <c r="K19" i="16"/>
  <c r="K20" i="16"/>
  <c r="K21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L22" i="30" s="1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L22" i="35"/>
  <c r="M22" i="35"/>
  <c r="K23" i="35"/>
  <c r="L23" i="35"/>
  <c r="K24" i="35"/>
  <c r="L24" i="35"/>
  <c r="L16" i="34"/>
  <c r="L17" i="34"/>
  <c r="L18" i="34"/>
  <c r="L21" i="34"/>
  <c r="L22" i="34"/>
  <c r="K23" i="34"/>
  <c r="L21" i="33"/>
  <c r="L22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22" i="32"/>
  <c r="L17" i="31"/>
  <c r="M17" i="31" s="1"/>
  <c r="L21" i="31"/>
  <c r="L22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L22" i="27"/>
  <c r="K23" i="27"/>
  <c r="L23" i="27"/>
  <c r="K24" i="27"/>
  <c r="L24" i="27"/>
  <c r="L19" i="27"/>
  <c r="L18" i="27"/>
  <c r="L17" i="26"/>
  <c r="L19" i="26"/>
  <c r="L22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K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K19" i="20" s="1"/>
  <c r="I21" i="20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I22" i="20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22" i="22"/>
  <c r="L17" i="22"/>
  <c r="L19" i="22"/>
  <c r="L21" i="22"/>
  <c r="L24" i="20"/>
  <c r="K23" i="20"/>
  <c r="L20" i="19"/>
  <c r="K24" i="19"/>
  <c r="L24" i="19"/>
  <c r="L22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0" l="1"/>
  <c r="K21" i="20"/>
  <c r="L20" i="20"/>
  <c r="K20" i="20"/>
  <c r="L21" i="18"/>
  <c r="L22" i="17"/>
  <c r="K22" i="17"/>
  <c r="L24" i="17"/>
  <c r="M21" i="19"/>
  <c r="K23" i="24"/>
  <c r="L22" i="25"/>
  <c r="I25" i="25"/>
  <c r="P28" i="25" s="1"/>
  <c r="M22" i="18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M16" i="20"/>
  <c r="N16" i="20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L22" i="16"/>
  <c r="L22" i="15" s="1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19" i="18"/>
  <c r="P22" i="20"/>
  <c r="M25" i="20"/>
  <c r="M25" i="19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" authorId="0" shapeId="0" xr:uid="{99990BDA-5CE9-42C7-931F-2965A6F95AFD}">
      <text>
        <r>
          <rPr>
            <b/>
            <sz val="9"/>
            <color indexed="81"/>
            <rFont val="Tahoma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<sst xmlns="http://schemas.openxmlformats.org/spreadsheetml/2006/main" count="1633" uniqueCount="131">
  <si>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</si>
  <si>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</si>
  <si>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</si>
  <si>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</si>
  <si>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</si>
  <si>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</si>
  <si>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</si>
  <si>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</si>
  <si>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</si>
  <si>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</si>
  <si>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</si>
  <si>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</si>
  <si>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</si>
  <si>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</si>
  <si>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</si>
  <si>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</si>
  <si>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</si>
  <si>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</si>
  <si>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</si>
  <si>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</si>
  <si>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</si>
  <si>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</si>
  <si>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</si>
  <si>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</si>
  <si>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</si>
  <si>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</si>
  <si>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</si>
  <si>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</si>
  <si>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</si>
  <si>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</si>
  <si>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</si>
  <si>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</si>
  <si>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</si>
  <si>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</si>
  <si>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</si>
  <si>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</si>
  <si>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</si>
  <si>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</si>
  <si>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</si>
  <si>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</si>
  <si>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</si>
  <si>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</si>
  <si>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</si>
  <si>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</si>
  <si>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</si>
  <si>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</si>
  <si>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</si>
  <si>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</si>
  <si>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</si>
  <si>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</si>
  <si>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</si>
  <si>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</si>
  <si>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</si>
  <si>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</si>
  <si>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</si>
  <si>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</si>
  <si>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</si>
  <si>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</si>
  <si>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</si>
  <si>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</si>
  <si>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</si>
  <si>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</si>
  <si>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</si>
  <si>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</si>
  <si>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</si>
  <si>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</si>
  <si>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</si>
  <si>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</si>
  <si>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</si>
  <si>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</si>
  <si>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</si>
  <si>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</si>
  <si>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</si>
  <si>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</si>
  <si>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</si>
  <si>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</si>
  <si>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</si>
  <si>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</si>
  <si>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</si>
  <si>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</si>
  <si>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</si>
  <si>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</si>
  <si>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</si>
  <si>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</si>
  <si>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</si>
  <si>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</si>
  <si>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</si>
  <si>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</si>
  <si>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</si>
  <si>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</si>
  <si>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</si>
  <si>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</si>
  <si>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</si>
  <si>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</si>
  <si>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</si>
  <si>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</si>
  <si>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</si>
  <si>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</si>
  <si>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</si>
  <si>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</si>
  <si>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</si>
  <si>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</si>
  <si>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</si>
  <si>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</si>
  <si>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</si>
  <si>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</si>
  <si>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</si>
  <si>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</si>
  <si>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</si>
  <si>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</si>
  <si>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</si>
  <si>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</si>
  <si>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</si>
  <si>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</si>
  <si>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</si>
  <si>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</si>
  <si>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</si>
  <si>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</si>
  <si>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</si>
  <si>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</si>
  <si>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 (Furqan)</t>
  </si>
  <si>
    <t>Customer Name : Awan Store</t>
  </si>
  <si>
    <t>Address: Kacha Lawrance Road</t>
  </si>
  <si>
    <t>Customer Name : Chaudry Store</t>
  </si>
  <si>
    <t xml:space="preserve">Customer Name : Lawrance Bakery </t>
  </si>
  <si>
    <t>F310931-8</t>
  </si>
  <si>
    <t>Customer Name : Makkah Dry Fruit</t>
  </si>
  <si>
    <t>Address: Temple Road</t>
  </si>
  <si>
    <t xml:space="preserve">Customer Name : Khan Nimko </t>
  </si>
  <si>
    <t>Customer Name : Hafiz Store</t>
  </si>
  <si>
    <t>Address: Chiragh Din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</si>
</sst>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9"/>
      <color indexed="81"/>
      <name val="Tahoma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F6" sqref="F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6" sqref="F6"/>
      <selection pane="topRight" activeCell="F6" sqref="F6"/>
      <selection pane="bottomLeft" activeCell="F6" sqref="F6"/>
      <selection pane="bottomRight" activeCell="F6" sqref="F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2" zoomScale="70" zoomScaleNormal="70"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96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120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Awan Store</v>
      </c>
      <c r="U14" s="164">
        <f>+'1'!P35</f>
        <v>509.21285369999998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Chaudry Store</v>
      </c>
      <c r="U15" s="164">
        <f>+'2'!P35</f>
        <v>528.13693494000006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Lawrance Bakery </v>
      </c>
      <c r="U16" s="164">
        <f>+'3'!P35</f>
        <v>3520.9128996000004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Makkah Dry Fruit</v>
      </c>
      <c r="U17" s="164">
        <f>+'4'!P35</f>
        <v>9330.5280959999982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Khan Nimko </v>
      </c>
      <c r="U18" s="164">
        <f>+'5'!P35</f>
        <v>1555.0880160000002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87</v>
      </c>
      <c r="I19" s="1">
        <f t="shared" si="1"/>
        <v>6319.68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221.18880000000001</v>
      </c>
      <c r="L19" s="175">
        <f>+'1'!L19+'2'!L19+'4'!L19+'3'!L19+'5'!L19+'6'!L19+'7'!L19+'8'!L19+'9'!L19+'10'!L19</f>
        <v>505.57440000000003</v>
      </c>
      <c r="M19" s="118">
        <f t="shared" si="2"/>
        <v>5592.9168</v>
      </c>
      <c r="N19" s="101">
        <f>+'1'!N19+'2'!N19+'4'!N19+'3'!N19+'5'!N19+'6'!N19+'7'!N19+'8'!N19+'9'!N19+'10'!N19</f>
        <v>1006.725024</v>
      </c>
      <c r="O19" s="101">
        <f>+'1'!O19+'2'!O19+'4'!O19+'3'!O19+'5'!O19+'6'!O19+'7'!O19+'8'!O19+'9'!O19+'10'!O19</f>
        <v>164.99104560000001</v>
      </c>
      <c r="P19" s="120">
        <f t="shared" si="0"/>
        <v>6764.6328696</v>
      </c>
      <c r="T19" s="163" t="str">
        <f>+'6'!A5</f>
        <v>Customer Name : Hafiz Store</v>
      </c>
      <c r="U19" s="164">
        <f>+'6'!P35</f>
        <v>1077.2942454000001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7</v>
      </c>
      <c r="I20" s="1">
        <f t="shared" si="1"/>
        <v>508.48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17.796800000000001</v>
      </c>
      <c r="L20" s="175">
        <f>+'1'!L20+'2'!L20+'4'!L20+'3'!L20+'5'!L20+'6'!L20+'7'!L20+'8'!L20+'9'!L20+'10'!L20</f>
        <v>40.678400000000003</v>
      </c>
      <c r="M20" s="118">
        <f t="shared" si="2"/>
        <v>450.00479999999999</v>
      </c>
      <c r="N20" s="101">
        <f>+'1'!N20+'2'!N20+'4'!N20+'3'!N20+'5'!N20+'6'!N20+'7'!N20+'8'!N20+'9'!N20+'10'!N20</f>
        <v>81.000863999999993</v>
      </c>
      <c r="O20" s="101">
        <f>+'1'!O20+'2'!O20+'4'!O20+'3'!O20+'5'!O20+'6'!O20+'7'!O20+'8'!O20+'9'!O20+'10'!O20</f>
        <v>13.275141600000001</v>
      </c>
      <c r="P20" s="120">
        <f t="shared" si="0"/>
        <v>544.28080560000001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46</v>
      </c>
      <c r="I21" s="1">
        <f t="shared" si="1"/>
        <v>3341.44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116.95040000000002</v>
      </c>
      <c r="L21" s="175">
        <f>+'1'!L21+'2'!L21+'4'!L21+'3'!L21+'5'!L21+'6'!L21+'7'!L21+'8'!L21+'9'!L21+'10'!L21</f>
        <v>267.3152</v>
      </c>
      <c r="M21" s="118">
        <f t="shared" si="2"/>
        <v>2957.1743999999999</v>
      </c>
      <c r="N21" s="101">
        <f>+'1'!N21+'2'!N21+'4'!N21+'3'!N21+'5'!N21+'6'!N21+'7'!N21+'8'!N21+'9'!N21+'10'!N21</f>
        <v>532.29139199999997</v>
      </c>
      <c r="O21" s="101">
        <f>+'1'!O21+'2'!O21+'4'!O21+'3'!O21+'5'!O21+'6'!O21+'7'!O21+'8'!O21+'9'!O21+'10'!O21</f>
        <v>87.236644799999993</v>
      </c>
      <c r="P21" s="120">
        <f t="shared" si="0"/>
        <v>3576.7024367999998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128</v>
      </c>
      <c r="I22" s="1">
        <f t="shared" si="1"/>
        <v>5021.4400000000005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175.75040000000004</v>
      </c>
      <c r="L22" s="175">
        <f>+'1'!L22+'2'!L22+'4'!L22+'3'!L22+'5'!L22+'6'!L22+'7'!L22+'8'!L22+'9'!L22+'10'!L22</f>
        <v>274.61000000000007</v>
      </c>
      <c r="M22" s="118">
        <f t="shared" si="2"/>
        <v>4571.0796000000009</v>
      </c>
      <c r="N22" s="101">
        <f>+'1'!N22+'2'!N22+'4'!N22+'3'!N22+'5'!N22+'6'!N22+'7'!N22+'8'!N22+'9'!N22+'10'!N22</f>
        <v>1005.637512</v>
      </c>
      <c r="O22" s="101">
        <f>+'1'!O22+'2'!O22+'4'!O22+'3'!O22+'5'!O22+'6'!O22+'7'!O22+'8'!O22+'9'!O22+'10'!O22</f>
        <v>58.839821640000011</v>
      </c>
      <c r="P22" s="120">
        <f t="shared" si="0"/>
        <v>5635.5569336400013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6.7</v>
      </c>
      <c r="D25" s="215"/>
      <c r="E25" s="215"/>
      <c r="F25" s="215"/>
      <c r="G25" s="176">
        <f t="shared" ref="G25:M25" si="3">SUM(G16:G24)</f>
        <v>0</v>
      </c>
      <c r="H25" s="177">
        <f t="shared" si="3"/>
        <v>268</v>
      </c>
      <c r="I25" s="178">
        <f t="shared" si="3"/>
        <v>15191.04</v>
      </c>
      <c r="J25" s="177">
        <f t="shared" si="3"/>
        <v>0</v>
      </c>
      <c r="K25" s="178">
        <f t="shared" si="3"/>
        <v>531.68640000000005</v>
      </c>
      <c r="L25" s="179">
        <f t="shared" si="3"/>
        <v>1088.1780000000001</v>
      </c>
      <c r="M25" s="141">
        <f t="shared" si="3"/>
        <v>13571.1756</v>
      </c>
      <c r="N25" s="142">
        <f>SUM(N16:N24)</f>
        <v>2625.6547920000003</v>
      </c>
      <c r="O25" s="143">
        <f>SUM(O16:O24)</f>
        <v>324.34265364000004</v>
      </c>
      <c r="P25" s="144">
        <f>SUM(P16:P24)</f>
        <v>16521.17304564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16521.173045639996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15191.04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1088.1780000000001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531.68640000000005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13571.1756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2625.6547920000003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16196.830392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404.92075980000004</v>
      </c>
    </row>
    <row r="43" spans="1:21" ht="15.75" customHeight="1" thickBot="1" x14ac:dyDescent="0.4">
      <c r="N43" s="213" t="s">
        <v>92</v>
      </c>
      <c r="O43" s="214"/>
      <c r="P43" s="160">
        <f>P41+P42</f>
        <v>16601.751151799999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8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26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2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3"/>
        <v>470.76000000000005</v>
      </c>
      <c r="J22" s="117"/>
      <c r="K22" s="104">
        <f t="shared" si="4"/>
        <v>16.476600000000005</v>
      </c>
      <c r="L22" s="120">
        <f>I22*10%</f>
        <v>47.076000000000008</v>
      </c>
      <c r="M22" s="118">
        <f t="shared" si="6"/>
        <v>407.20740000000001</v>
      </c>
      <c r="N22" s="118">
        <f t="shared" si="0"/>
        <v>89.585628</v>
      </c>
      <c r="O22" s="119">
        <f t="shared" si="1"/>
        <v>12.419825700000001</v>
      </c>
      <c r="P22" s="120">
        <f t="shared" si="2"/>
        <v>509.21285369999998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12</v>
      </c>
      <c r="I25" s="137">
        <f t="shared" si="13"/>
        <v>470.76000000000005</v>
      </c>
      <c r="J25" s="138"/>
      <c r="K25" s="139">
        <f t="shared" si="13"/>
        <v>16.476600000000005</v>
      </c>
      <c r="L25" s="140">
        <f t="shared" si="13"/>
        <v>47.076000000000008</v>
      </c>
      <c r="M25" s="141">
        <f t="shared" si="13"/>
        <v>407.20740000000001</v>
      </c>
      <c r="N25" s="142">
        <f>SUM(N16:N24)</f>
        <v>89.585628</v>
      </c>
      <c r="O25" s="143">
        <f>SUM(O16:O24)</f>
        <v>12.419825700000001</v>
      </c>
      <c r="P25" s="144">
        <f>SUM(P16:P24)</f>
        <v>509.21285369999998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470.76000000000005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47.076000000000008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16.476600000000005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407.20740000000001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89.585628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496.79302799999999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12.419825700000001</v>
      </c>
    </row>
    <row r="35" spans="2:16" ht="15.75" customHeight="1" thickBot="1" x14ac:dyDescent="0.4">
      <c r="N35" s="213" t="s">
        <v>92</v>
      </c>
      <c r="O35" s="214"/>
      <c r="P35" s="160">
        <f>P33+P34</f>
        <v>509.21285369999998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7327703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 t="shared" si="3"/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2.6275469400000002</v>
      </c>
      <c r="P22" s="120">
        <f t="shared" si="1"/>
        <v>528.13693494000006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2.6275469400000002</v>
      </c>
      <c r="P25" s="144">
        <f>SUM(P16:P24)</f>
        <v>528.13693494000006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470.76000000000005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23.538000000000004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16.476600000000005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430.74540000000002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525.50938800000006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2.6275469400000002</v>
      </c>
    </row>
    <row r="35" spans="2:16" ht="15.75" customHeight="1" thickBot="1" x14ac:dyDescent="0.4">
      <c r="N35" s="213" t="s">
        <v>92</v>
      </c>
      <c r="O35" s="214"/>
      <c r="P35" s="160">
        <f>P33+P34</f>
        <v>528.13693494000006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8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125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 t="shared" si="3"/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631.75992000000008</v>
      </c>
      <c r="O22" s="119">
        <f t="shared" si="6"/>
        <v>17.516979600000003</v>
      </c>
      <c r="P22" s="120">
        <f t="shared" si="1"/>
        <v>3520.9128996000004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80</v>
      </c>
      <c r="I25" s="137">
        <f t="shared" si="9"/>
        <v>3138.4000000000005</v>
      </c>
      <c r="J25" s="138"/>
      <c r="K25" s="139">
        <f t="shared" si="9"/>
        <v>109.84400000000002</v>
      </c>
      <c r="L25" s="140">
        <f t="shared" si="9"/>
        <v>156.92000000000004</v>
      </c>
      <c r="M25" s="141">
        <f t="shared" si="9"/>
        <v>2871.6360000000004</v>
      </c>
      <c r="N25" s="142">
        <f>SUM(N16:N24)</f>
        <v>631.75992000000008</v>
      </c>
      <c r="O25" s="143">
        <f>SUM(O16:O24)</f>
        <v>17.516979600000003</v>
      </c>
      <c r="P25" s="144">
        <f>SUM(P16:P24)</f>
        <v>3520.9128996000004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3138.4000000000005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156.92000000000004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109.84400000000002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2871.6360000000004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631.75992000000008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3503.3959200000004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17.516979600000003</v>
      </c>
    </row>
    <row r="35" spans="2:16" ht="15.75" customHeight="1" thickBot="1" x14ac:dyDescent="0.4">
      <c r="N35" s="213" t="s">
        <v>92</v>
      </c>
      <c r="O35" s="214"/>
      <c r="P35" s="160">
        <f>P33+P34</f>
        <v>3520.9128996000004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7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126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127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3640272298333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04">
        <f t="shared" si="3"/>
        <v>203.39200000000002</v>
      </c>
      <c r="L19" s="105">
        <f t="shared" si="4"/>
        <v>464.89600000000002</v>
      </c>
      <c r="M19" s="118">
        <f t="shared" si="5"/>
        <v>5142.9120000000003</v>
      </c>
      <c r="N19" s="118">
        <f t="shared" si="0"/>
        <v>925.72415999999998</v>
      </c>
      <c r="O19" s="119">
        <f t="shared" si="6"/>
        <v>151.71590399999999</v>
      </c>
      <c r="P19" s="120">
        <f t="shared" si="1"/>
        <v>6220.3520639999997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75.857951999999997</v>
      </c>
      <c r="P21" s="120">
        <f t="shared" si="1"/>
        <v>3110.1760319999999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305.08800000000002</v>
      </c>
      <c r="L25" s="140">
        <f t="shared" si="9"/>
        <v>697.34400000000005</v>
      </c>
      <c r="M25" s="141">
        <f t="shared" si="9"/>
        <v>7714.3680000000004</v>
      </c>
      <c r="N25" s="142">
        <f>SUM(N16:N24)</f>
        <v>1388.5862400000001</v>
      </c>
      <c r="O25" s="143">
        <f>SUM(O16:O24)</f>
        <v>227.57385599999998</v>
      </c>
      <c r="P25" s="144">
        <f>SUM(P16:P24)</f>
        <v>9330.528096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8716.7999999999993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697.34400000000005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305.08800000000002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7714.3679999999995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1388.5862400000001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9102.9542399999991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227.57385599999998</v>
      </c>
    </row>
    <row r="35" spans="2:16" ht="15.75" customHeight="1" thickBot="1" x14ac:dyDescent="0.4">
      <c r="N35" s="213" t="s">
        <v>92</v>
      </c>
      <c r="O35" s="214"/>
      <c r="P35" s="160">
        <f>P33+P34</f>
        <v>9330.5280959999982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128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127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3520262710933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7</v>
      </c>
      <c r="I19" s="116">
        <f t="shared" si="2"/>
        <v>508.48</v>
      </c>
      <c r="J19" s="117"/>
      <c r="K19" s="104">
        <f t="shared" si="3"/>
        <v>17.796800000000001</v>
      </c>
      <c r="L19" s="105">
        <f t="shared" si="4"/>
        <v>40.678400000000003</v>
      </c>
      <c r="M19" s="118">
        <f t="shared" si="5"/>
        <v>450.00479999999999</v>
      </c>
      <c r="N19" s="118">
        <f t="shared" si="0"/>
        <v>81.000863999999993</v>
      </c>
      <c r="O19" s="119">
        <f t="shared" si="6"/>
        <v>13.275141600000001</v>
      </c>
      <c r="P19" s="120">
        <f t="shared" si="1"/>
        <v>544.28080560000001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7</v>
      </c>
      <c r="I20" s="116">
        <f t="shared" si="2"/>
        <v>508.48</v>
      </c>
      <c r="J20" s="117"/>
      <c r="K20" s="104">
        <f t="shared" si="3"/>
        <v>17.796800000000001</v>
      </c>
      <c r="L20" s="105">
        <f t="shared" si="4"/>
        <v>40.678400000000003</v>
      </c>
      <c r="M20" s="118">
        <f t="shared" si="5"/>
        <v>450.00479999999999</v>
      </c>
      <c r="N20" s="118">
        <f t="shared" si="0"/>
        <v>81.000863999999993</v>
      </c>
      <c r="O20" s="119">
        <f t="shared" si="6"/>
        <v>13.275141600000001</v>
      </c>
      <c r="P20" s="120">
        <f t="shared" si="1"/>
        <v>544.28080560000001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11.378692800000001</v>
      </c>
      <c r="P21" s="120">
        <f t="shared" si="1"/>
        <v>466.52640480000002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20</v>
      </c>
      <c r="I25" s="137">
        <f t="shared" si="9"/>
        <v>1452.8000000000002</v>
      </c>
      <c r="J25" s="138"/>
      <c r="K25" s="139">
        <f t="shared" si="9"/>
        <v>50.848000000000006</v>
      </c>
      <c r="L25" s="140">
        <f t="shared" si="9"/>
        <v>116.22400000000002</v>
      </c>
      <c r="M25" s="141">
        <f t="shared" si="9"/>
        <v>1285.7280000000001</v>
      </c>
      <c r="N25" s="142">
        <f>SUM(N16:N24)</f>
        <v>231.43104</v>
      </c>
      <c r="O25" s="143">
        <f>SUM(O16:O24)</f>
        <v>37.928976000000006</v>
      </c>
      <c r="P25" s="144">
        <f>SUM(P16:P24)</f>
        <v>1555.0880160000002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1452.8000000000002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116.22400000000002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50.848000000000006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1285.7280000000003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231.43104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1517.1590400000002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37.928976000000006</v>
      </c>
    </row>
    <row r="35" spans="2:16" ht="15.75" customHeight="1" thickBot="1" x14ac:dyDescent="0.4">
      <c r="N35" s="213" t="s">
        <v>92</v>
      </c>
      <c r="O35" s="214"/>
      <c r="P35" s="160">
        <f>P33+P34</f>
        <v>1555.0880160000002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0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130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04">
        <f t="shared" si="3"/>
        <v>32.95320000000001</v>
      </c>
      <c r="L22" s="120">
        <f>I22*5%</f>
        <v>47.076000000000008</v>
      </c>
      <c r="M22" s="118">
        <f t="shared" si="5"/>
        <v>861.49080000000004</v>
      </c>
      <c r="N22" s="118">
        <f t="shared" si="0"/>
        <v>189.527976</v>
      </c>
      <c r="O22" s="119">
        <f t="shared" si="6"/>
        <v>26.275469400000006</v>
      </c>
      <c r="P22" s="120">
        <f t="shared" si="1"/>
        <v>1077.2942454000001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32.95320000000001</v>
      </c>
      <c r="L25" s="140">
        <f t="shared" si="9"/>
        <v>47.076000000000008</v>
      </c>
      <c r="M25" s="141">
        <f t="shared" si="9"/>
        <v>861.49080000000004</v>
      </c>
      <c r="N25" s="142">
        <f>SUM(N16:N24)</f>
        <v>189.527976</v>
      </c>
      <c r="O25" s="143">
        <f>SUM(O16:O24)</f>
        <v>26.275469400000006</v>
      </c>
      <c r="P25" s="144">
        <f>SUM(P16:P24)</f>
        <v>1077.2942454000001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941.5200000000001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47.076000000000008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32.95320000000001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861.49080000000004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189.527976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1051.0187760000001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26.275469400000006</v>
      </c>
    </row>
    <row r="35" spans="2:16" ht="15.75" customHeight="1" thickBot="1" x14ac:dyDescent="0.4">
      <c r="N35" s="213" t="s">
        <v>92</v>
      </c>
      <c r="O35" s="214"/>
      <c r="P35" s="160">
        <f>P33+P34</f>
        <v>1077.2942454000001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2026-07-07T12:36:59Z</dcterms:modified>
</cp:coreProperties>
</file>