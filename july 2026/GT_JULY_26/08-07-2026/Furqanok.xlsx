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4B1F5B2-9130-4AB9-ABD4-B7DE7CEA6BA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20" i="18"/>
  <c r="K22" i="18"/>
  <c r="K17" i="20"/>
  <c r="K18" i="20"/>
  <c r="K22" i="20"/>
  <c r="K17" i="21"/>
  <c r="K18" i="21"/>
  <c r="K19" i="21"/>
  <c r="K20" i="21"/>
  <c r="K21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0" l="1"/>
  <c r="K21" i="20"/>
  <c r="L20" i="20"/>
  <c r="K20" i="20"/>
  <c r="L21" i="18"/>
  <c r="L22" i="17"/>
  <c r="K22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99990BDA-5CE9-42C7-931F-2965A6F95AFD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<sst xmlns="http://schemas.openxmlformats.org/spreadsheetml/2006/main" count="1634" uniqueCount="131">
  <si>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</si>
  <si>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</si>
  <si>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</si>
  <si>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</si>
  <si>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</si>
  <si>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</si>
  <si>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</si>
  <si>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</si>
  <si>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</si>
  <si>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</si>
  <si>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</si>
  <si>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</si>
  <si>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</si>
  <si>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</si>
  <si>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</si>
  <si>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</si>
  <si>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</si>
  <si>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</si>
  <si>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</si>
  <si>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</si>
  <si>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</si>
  <si>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</si>
  <si>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</si>
  <si>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</si>
  <si>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</si>
  <si>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</si>
  <si>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</si>
  <si>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</si>
  <si>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</si>
  <si>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</si>
  <si>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</si>
  <si>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</si>
  <si>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</si>
  <si>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</si>
  <si>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</si>
  <si>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</si>
  <si>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</si>
  <si>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</si>
  <si>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</si>
  <si>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</si>
  <si>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</si>
  <si>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</si>
  <si>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</si>
  <si>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</si>
  <si>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</si>
  <si>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</si>
  <si>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</si>
  <si>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</si>
  <si>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</si>
  <si>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</si>
  <si>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</si>
  <si>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</si>
  <si>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</si>
  <si>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</si>
  <si>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</si>
  <si>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</si>
  <si>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</si>
  <si>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</si>
  <si>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</si>
  <si>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</si>
  <si>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</si>
  <si>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</si>
  <si>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</si>
  <si>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</si>
  <si>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</si>
  <si>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</si>
  <si>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</si>
  <si>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</si>
  <si>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</si>
  <si>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</si>
  <si>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</si>
  <si>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</si>
  <si>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</si>
  <si>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</si>
  <si>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</si>
  <si>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</si>
  <si>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</si>
  <si>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</si>
  <si>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</si>
  <si>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</si>
  <si>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</si>
  <si>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</si>
  <si>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</si>
  <si>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</si>
  <si>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</si>
  <si>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</si>
  <si>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</si>
  <si>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</si>
  <si>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</si>
  <si>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</si>
  <si>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</si>
  <si>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</si>
  <si>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</si>
  <si>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</si>
  <si>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</si>
  <si>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</si>
  <si>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</si>
  <si>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</si>
  <si>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</si>
  <si>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</si>
  <si>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</si>
  <si>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</si>
  <si>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</si>
  <si>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</si>
  <si>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</si>
  <si>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</si>
  <si>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</si>
  <si>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</si>
  <si>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</si>
  <si>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</si>
  <si>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</si>
  <si>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</si>
  <si>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</si>
  <si>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</si>
  <si>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</si>
  <si>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</si>
  <si>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</si>
  <si>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</si>
  <si>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</si>
  <si>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</si>
  <si>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</si>
  <si>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>Customer Name : Awan Store</t>
  </si>
  <si>
    <t>Address: Kacha Lawrance Road</t>
  </si>
  <si>
    <t>Customer Name : Chaudry Store</t>
  </si>
  <si>
    <t xml:space="preserve">Customer Name : Lawrance Bakery </t>
  </si>
  <si>
    <t>F310931-8</t>
  </si>
  <si>
    <t>Customer Name : Makkah Dry Fruit</t>
  </si>
  <si>
    <t>Address: Temple Road</t>
  </si>
  <si>
    <t xml:space="preserve">Customer Name : Khan Nimko </t>
  </si>
  <si>
    <t>Customer Name : Hafiz Store</t>
  </si>
  <si>
    <t>Address: Chiragh Din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</si>
</sst>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6" sqref="F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6" sqref="F6"/>
      <selection pane="topRight" activeCell="F6" sqref="F6"/>
      <selection pane="bottomLeft" activeCell="F6" sqref="F6"/>
      <selection pane="bottomRight" activeCell="F6" sqref="F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9" zoomScale="70" zoomScaleNormal="70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96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Awan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Chaudry Store</v>
      </c>
      <c r="U15" s="164">
        <f>+'2'!P35</f>
        <v>528.13693494000006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Lawrance Bakery </v>
      </c>
      <c r="U16" s="164">
        <f>+'3'!P35</f>
        <v>3405.4731324000004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Makkah Dry Fruit</v>
      </c>
      <c r="U17" s="164">
        <f>+'4'!P35</f>
        <v>9330.5280959999982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Khan Nimko </v>
      </c>
      <c r="U18" s="164">
        <f>+'5'!P35</f>
        <v>1555.0880160000002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87</v>
      </c>
      <c r="I19" s="1">
        <f t="shared" si="1"/>
        <v>6319.68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221.18880000000001</v>
      </c>
      <c r="L19" s="175">
        <f>+'1'!L19+'2'!L19+'4'!L19+'3'!L19+'5'!L19+'6'!L19+'7'!L19+'8'!L19+'9'!L19+'10'!L19</f>
        <v>505.57440000000003</v>
      </c>
      <c r="M19" s="118">
        <f t="shared" si="2"/>
        <v>5592.9168</v>
      </c>
      <c r="N19" s="101">
        <f>+'1'!N19+'2'!N19+'4'!N19+'3'!N19+'5'!N19+'6'!N19+'7'!N19+'8'!N19+'9'!N19+'10'!N19</f>
        <v>1006.725024</v>
      </c>
      <c r="O19" s="101">
        <f>+'1'!O19+'2'!O19+'4'!O19+'3'!O19+'5'!O19+'6'!O19+'7'!O19+'8'!O19+'9'!O19+'10'!O19</f>
        <v>164.99104560000001</v>
      </c>
      <c r="P19" s="120">
        <f t="shared" si="0"/>
        <v>6764.6328696</v>
      </c>
      <c r="T19" s="163" t="str">
        <f>+'6'!A5</f>
        <v>Customer Name : Hafiz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7</v>
      </c>
      <c r="I20" s="1">
        <f t="shared" si="1"/>
        <v>508.48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17.796800000000001</v>
      </c>
      <c r="L20" s="175">
        <f>+'1'!L20+'2'!L20+'4'!L20+'3'!L20+'5'!L20+'6'!L20+'7'!L20+'8'!L20+'9'!L20+'10'!L20</f>
        <v>40.678400000000003</v>
      </c>
      <c r="M20" s="118">
        <f t="shared" si="2"/>
        <v>450.00479999999999</v>
      </c>
      <c r="N20" s="101">
        <f>+'1'!N20+'2'!N20+'4'!N20+'3'!N20+'5'!N20+'6'!N20+'7'!N20+'8'!N20+'9'!N20+'10'!N20</f>
        <v>81.000863999999993</v>
      </c>
      <c r="O20" s="101">
        <f>+'1'!O20+'2'!O20+'4'!O20+'3'!O20+'5'!O20+'6'!O20+'7'!O20+'8'!O20+'9'!O20+'10'!O20</f>
        <v>13.275141600000001</v>
      </c>
      <c r="P20" s="120">
        <f t="shared" si="0"/>
        <v>544.28080560000001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46</v>
      </c>
      <c r="I21" s="1">
        <f t="shared" si="1"/>
        <v>3341.44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116.95040000000002</v>
      </c>
      <c r="L21" s="175">
        <f>+'1'!L21+'2'!L21+'4'!L21+'3'!L21+'5'!L21+'6'!L21+'7'!L21+'8'!L21+'9'!L21+'10'!L21</f>
        <v>267.3152</v>
      </c>
      <c r="M21" s="118">
        <f t="shared" si="2"/>
        <v>2957.1743999999999</v>
      </c>
      <c r="N21" s="101">
        <f>+'1'!N21+'2'!N21+'4'!N21+'3'!N21+'5'!N21+'6'!N21+'7'!N21+'8'!N21+'9'!N21+'10'!N21</f>
        <v>532.29139199999997</v>
      </c>
      <c r="O21" s="101">
        <f>+'1'!O21+'2'!O21+'4'!O21+'3'!O21+'5'!O21+'6'!O21+'7'!O21+'8'!O21+'9'!O21+'10'!O21</f>
        <v>87.236644799999993</v>
      </c>
      <c r="P21" s="120">
        <f t="shared" si="0"/>
        <v>3576.7024367999998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92</v>
      </c>
      <c r="I22" s="1">
        <f t="shared" si="1"/>
        <v>3609.1600000000003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126.32060000000003</v>
      </c>
      <c r="L22" s="175">
        <f>+'1'!L22+'2'!L22+'4'!L22+'3'!L22+'5'!L22+'6'!L22+'7'!L22+'8'!L22+'9'!L22+'10'!L22</f>
        <v>180.45800000000006</v>
      </c>
      <c r="M22" s="118">
        <f t="shared" si="2"/>
        <v>3302.3814000000002</v>
      </c>
      <c r="N22" s="101">
        <f>+'1'!N22+'2'!N22+'4'!N22+'3'!N22+'5'!N22+'6'!N22+'7'!N22+'8'!N22+'9'!N22+'10'!N22</f>
        <v>611.65846800000008</v>
      </c>
      <c r="O22" s="101">
        <f>+'1'!O22+'2'!O22+'4'!O22+'3'!O22+'5'!O22+'6'!O22+'7'!O22+'8'!O22+'9'!O22+'10'!O22</f>
        <v>19.570199340000002</v>
      </c>
      <c r="P22" s="120">
        <f t="shared" si="0"/>
        <v>3933.6100673400001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5.8</v>
      </c>
      <c r="D25" s="231"/>
      <c r="E25" s="231"/>
      <c r="F25" s="231"/>
      <c r="G25" s="176">
        <f t="shared" ref="G25:M25" si="3">SUM(G16:G24)</f>
        <v>0</v>
      </c>
      <c r="H25" s="177">
        <f t="shared" si="3"/>
        <v>232</v>
      </c>
      <c r="I25" s="178">
        <f t="shared" si="3"/>
        <v>13778.76</v>
      </c>
      <c r="J25" s="177">
        <f t="shared" si="3"/>
        <v>0</v>
      </c>
      <c r="K25" s="178">
        <f t="shared" si="3"/>
        <v>482.25660000000005</v>
      </c>
      <c r="L25" s="179">
        <f t="shared" si="3"/>
        <v>994.02600000000007</v>
      </c>
      <c r="M25" s="141">
        <f t="shared" si="3"/>
        <v>12302.4774</v>
      </c>
      <c r="N25" s="142">
        <f>SUM(N16:N24)</f>
        <v>2231.6757480000001</v>
      </c>
      <c r="O25" s="143">
        <f>SUM(O16:O24)</f>
        <v>285.07303134</v>
      </c>
      <c r="P25" s="144">
        <f>SUM(P16:P24)</f>
        <v>14819.226179339999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14819.226179339998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13778.76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994.02600000000007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482.25660000000005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12302.4774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2231.6757480000001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14534.153147999999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363.35382870000001</v>
      </c>
    </row>
    <row r="43" spans="1:21" ht="15.75" customHeight="1" thickBot="1" x14ac:dyDescent="0.4">
      <c r="N43" s="229" t="s">
        <v>92</v>
      </c>
      <c r="O43" s="230"/>
      <c r="P43" s="160">
        <f>P41+P42</f>
        <v>14897.506976699999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6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7327703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 t="shared" si="3"/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2.6275469400000002</v>
      </c>
      <c r="P25" s="144">
        <f>SUM(P16:P24)</f>
        <v>528.13693494000006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430.74540000000002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525.50938800000006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2.6275469400000002</v>
      </c>
    </row>
    <row r="35" spans="2:16" ht="15.75" customHeight="1" thickBot="1" x14ac:dyDescent="0.4">
      <c r="N35" s="229" t="s">
        <v>92</v>
      </c>
      <c r="O35" s="230"/>
      <c r="P35" s="160">
        <f>P33+P34</f>
        <v>528.13693494000006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R26" sqref="R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9" t="s">
        <v>125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 t="shared" si="3"/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109.84400000000002</v>
      </c>
      <c r="L25" s="140">
        <f t="shared" si="9"/>
        <v>156.92000000000004</v>
      </c>
      <c r="M25" s="141">
        <f t="shared" si="9"/>
        <v>2871.6360000000004</v>
      </c>
      <c r="N25" s="142">
        <f>SUM(N16:N24)</f>
        <v>516.89448000000004</v>
      </c>
      <c r="O25" s="143">
        <f>SUM(O16:O24)</f>
        <v>16.942652400000004</v>
      </c>
      <c r="P25" s="144">
        <f>SUM(P16:P24)</f>
        <v>3405.4731324000004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3138.4000000000005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109.84400000000002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2871.6360000000004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516.89448000000004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3388.5304800000004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16.942652400000004</v>
      </c>
    </row>
    <row r="35" spans="2:16" ht="15.75" customHeight="1" thickBot="1" x14ac:dyDescent="0.4">
      <c r="N35" s="229" t="s">
        <v>92</v>
      </c>
      <c r="O35" s="230"/>
      <c r="P35" s="160">
        <f>P33+P34</f>
        <v>3405.4731324000004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151.71590399999999</v>
      </c>
      <c r="P19" s="120">
        <f t="shared" si="1"/>
        <v>6220.3520639999997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75.857951999999997</v>
      </c>
      <c r="P21" s="120">
        <f t="shared" si="1"/>
        <v>3110.1760319999999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227.57385599999998</v>
      </c>
      <c r="P25" s="144">
        <f>SUM(P16:P24)</f>
        <v>9330.528096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9102.9542399999991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227.57385599999998</v>
      </c>
    </row>
    <row r="35" spans="2:16" ht="15.75" customHeight="1" thickBot="1" x14ac:dyDescent="0.4">
      <c r="N35" s="229" t="s">
        <v>92</v>
      </c>
      <c r="O35" s="230"/>
      <c r="P35" s="160">
        <f>P33+P34</f>
        <v>9330.5280959999982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3520262710933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</v>
      </c>
      <c r="I19" s="116">
        <f t="shared" si="2"/>
        <v>508.48</v>
      </c>
      <c r="J19" s="117"/>
      <c r="K19" s="104">
        <f t="shared" si="3"/>
        <v>17.796800000000001</v>
      </c>
      <c r="L19" s="105">
        <f t="shared" si="4"/>
        <v>40.678400000000003</v>
      </c>
      <c r="M19" s="118">
        <f t="shared" si="5"/>
        <v>450.00479999999999</v>
      </c>
      <c r="N19" s="118">
        <f t="shared" si="0"/>
        <v>81.000863999999993</v>
      </c>
      <c r="O19" s="119">
        <f t="shared" si="6"/>
        <v>13.275141600000001</v>
      </c>
      <c r="P19" s="120">
        <f t="shared" si="1"/>
        <v>544.28080560000001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7</v>
      </c>
      <c r="I20" s="116">
        <f t="shared" si="2"/>
        <v>508.48</v>
      </c>
      <c r="J20" s="117"/>
      <c r="K20" s="104">
        <f t="shared" si="3"/>
        <v>17.796800000000001</v>
      </c>
      <c r="L20" s="105">
        <f t="shared" si="4"/>
        <v>40.678400000000003</v>
      </c>
      <c r="M20" s="118">
        <f t="shared" si="5"/>
        <v>450.00479999999999</v>
      </c>
      <c r="N20" s="118">
        <f t="shared" si="0"/>
        <v>81.000863999999993</v>
      </c>
      <c r="O20" s="119">
        <f t="shared" si="6"/>
        <v>13.275141600000001</v>
      </c>
      <c r="P20" s="120">
        <f t="shared" si="1"/>
        <v>544.28080560000001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11.378692800000001</v>
      </c>
      <c r="P21" s="120">
        <f t="shared" si="1"/>
        <v>466.52640480000002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50.848000000000006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231.43104</v>
      </c>
      <c r="O25" s="143">
        <f>SUM(O16:O24)</f>
        <v>37.928976000000006</v>
      </c>
      <c r="P25" s="144">
        <f>SUM(P16:P24)</f>
        <v>1555.0880160000002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1452.8000000000002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116.22400000000002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50.848000000000006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1285.7280000000003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1517.1590400000002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37.928976000000006</v>
      </c>
    </row>
    <row r="35" spans="2:16" ht="15.75" customHeight="1" thickBot="1" x14ac:dyDescent="0.4">
      <c r="N35" s="229" t="s">
        <v>92</v>
      </c>
      <c r="O35" s="230"/>
      <c r="P35" s="160">
        <f>P33+P34</f>
        <v>1555.0880160000002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2026-07-08T07:58:31Z</dcterms:modified>
</cp:coreProperties>
</file>