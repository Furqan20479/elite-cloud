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4A7BCC1E-24DE-43D6-8039-A475B1EB0A11}" xr6:coauthVersionLast="47" xr6:coauthVersionMax="47" xr10:uidLastSave="{00000000-0000-0000-0000-000000000000}"/>
  <bookViews>
    <workbookView xWindow="-110" yWindow="-110" windowWidth="19420" windowHeight="10420" tabRatio="949" activeTab="6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7" l="1"/>
  <c r="K18" i="17"/>
  <c r="K19" i="17"/>
  <c r="K20" i="17"/>
  <c r="K21" i="17"/>
  <c r="K22" i="17"/>
  <c r="K17" i="19"/>
  <c r="K18" i="19"/>
  <c r="K19" i="19"/>
  <c r="K20" i="19"/>
  <c r="K21" i="19"/>
  <c r="K22" i="19"/>
  <c r="K17" i="18"/>
  <c r="K18" i="18"/>
  <c r="K19" i="18"/>
  <c r="K20" i="18"/>
  <c r="K21" i="18"/>
  <c r="K22" i="18"/>
  <c r="K17" i="20"/>
  <c r="K18" i="20"/>
  <c r="K19" i="20"/>
  <c r="K20" i="20"/>
  <c r="K21" i="20"/>
  <c r="K22" i="20"/>
  <c r="K17" i="21"/>
  <c r="K18" i="21"/>
  <c r="K19" i="21"/>
  <c r="K20" i="21"/>
  <c r="K21" i="21"/>
  <c r="K22" i="21"/>
  <c r="K17" i="22"/>
  <c r="K18" i="22"/>
  <c r="K19" i="22"/>
  <c r="K20" i="22"/>
  <c r="K21" i="22"/>
  <c r="K22" i="22"/>
  <c r="K17" i="23"/>
  <c r="K18" i="23"/>
  <c r="K19" i="23"/>
  <c r="K20" i="23"/>
  <c r="K21" i="23"/>
  <c r="K22" i="23"/>
  <c r="K17" i="24"/>
  <c r="K18" i="24"/>
  <c r="K19" i="24"/>
  <c r="K20" i="24"/>
  <c r="K21" i="24"/>
  <c r="K22" i="24"/>
  <c r="K17" i="25"/>
  <c r="K18" i="25"/>
  <c r="K19" i="25"/>
  <c r="K20" i="25"/>
  <c r="K21" i="25"/>
  <c r="K22" i="25"/>
  <c r="K17" i="26"/>
  <c r="K18" i="26"/>
  <c r="K19" i="26"/>
  <c r="K20" i="26"/>
  <c r="K21" i="26"/>
  <c r="K22" i="26"/>
  <c r="K17" i="27"/>
  <c r="K18" i="27"/>
  <c r="K19" i="27"/>
  <c r="K20" i="27"/>
  <c r="K21" i="27"/>
  <c r="K22" i="27"/>
  <c r="K17" i="28"/>
  <c r="K18" i="28"/>
  <c r="K19" i="28"/>
  <c r="K20" i="28"/>
  <c r="K21" i="28"/>
  <c r="K22" i="28"/>
  <c r="K17" i="29"/>
  <c r="K18" i="29"/>
  <c r="K19" i="29"/>
  <c r="K20" i="29"/>
  <c r="K21" i="29"/>
  <c r="K22" i="29"/>
  <c r="K17" i="30"/>
  <c r="K18" i="30"/>
  <c r="K19" i="30"/>
  <c r="K20" i="30"/>
  <c r="K21" i="30"/>
  <c r="K22" i="30"/>
  <c r="K17" i="31"/>
  <c r="K18" i="31"/>
  <c r="K19" i="31"/>
  <c r="K20" i="31"/>
  <c r="K21" i="31"/>
  <c r="K22" i="31"/>
  <c r="K17" i="32"/>
  <c r="K18" i="32"/>
  <c r="K19" i="32"/>
  <c r="K20" i="32"/>
  <c r="K21" i="32"/>
  <c r="K22" i="32"/>
  <c r="K17" i="33"/>
  <c r="K18" i="33"/>
  <c r="K19" i="33"/>
  <c r="K20" i="33"/>
  <c r="K21" i="33"/>
  <c r="K22" i="33"/>
  <c r="K17" i="34"/>
  <c r="K18" i="34"/>
  <c r="K19" i="34"/>
  <c r="K20" i="34"/>
  <c r="K21" i="34"/>
  <c r="K22" i="34"/>
  <c r="K17" i="35"/>
  <c r="K18" i="35"/>
  <c r="K19" i="35"/>
  <c r="K20" i="35"/>
  <c r="K21" i="35"/>
  <c r="K22" i="35"/>
  <c r="K17" i="16"/>
  <c r="K18" i="16"/>
  <c r="K19" i="16"/>
  <c r="K20" i="16"/>
  <c r="K21" i="16"/>
  <c r="K22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L22" i="30" s="1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L22" i="35"/>
  <c r="M22" i="35"/>
  <c r="K23" i="35"/>
  <c r="L23" i="35"/>
  <c r="K24" i="35"/>
  <c r="L24" i="35"/>
  <c r="L16" i="34"/>
  <c r="L17" i="34"/>
  <c r="L18" i="34"/>
  <c r="L21" i="34"/>
  <c r="L22" i="34"/>
  <c r="K23" i="34"/>
  <c r="L21" i="33"/>
  <c r="L22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L22" i="32"/>
  <c r="L17" i="31"/>
  <c r="M17" i="31" s="1"/>
  <c r="L21" i="31"/>
  <c r="L22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22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L22" i="27"/>
  <c r="K23" i="27"/>
  <c r="L23" i="27"/>
  <c r="K24" i="27"/>
  <c r="L24" i="27"/>
  <c r="L19" i="27"/>
  <c r="L18" i="27"/>
  <c r="L17" i="26"/>
  <c r="L19" i="26"/>
  <c r="L22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P34" i="32" s="1"/>
  <c r="P35" i="32" s="1"/>
  <c r="U30" i="15" s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I18" i="23"/>
  <c r="L18" i="23" s="1"/>
  <c r="I20" i="23"/>
  <c r="L20" i="23" s="1"/>
  <c r="I22" i="23"/>
  <c r="I24" i="23"/>
  <c r="L24" i="23" s="1"/>
  <c r="I16" i="20"/>
  <c r="I18" i="20"/>
  <c r="I20" i="20"/>
  <c r="L20" i="20" s="1"/>
  <c r="I22" i="20"/>
  <c r="I24" i="20"/>
  <c r="K24" i="20" s="1"/>
  <c r="I16" i="21"/>
  <c r="L16" i="21" s="1"/>
  <c r="I18" i="21"/>
  <c r="I20" i="21"/>
  <c r="I22" i="21"/>
  <c r="I24" i="21"/>
  <c r="K24" i="21" s="1"/>
  <c r="I16" i="17"/>
  <c r="I17" i="17"/>
  <c r="I18" i="17"/>
  <c r="I19" i="17"/>
  <c r="I20" i="17"/>
  <c r="I21" i="17"/>
  <c r="L21" i="17" s="1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22" i="22"/>
  <c r="L17" i="22"/>
  <c r="L19" i="22"/>
  <c r="L21" i="22"/>
  <c r="L24" i="20"/>
  <c r="K23" i="20"/>
  <c r="L20" i="19"/>
  <c r="K24" i="19"/>
  <c r="L24" i="19"/>
  <c r="L22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6" i="23" l="1"/>
  <c r="L16" i="20"/>
  <c r="L21" i="18"/>
  <c r="L20" i="18"/>
  <c r="L17" i="19"/>
  <c r="L16" i="19"/>
  <c r="L22" i="17"/>
  <c r="L24" i="17"/>
  <c r="M21" i="19"/>
  <c r="K23" i="24"/>
  <c r="L22" i="25"/>
  <c r="I25" i="25"/>
  <c r="P28" i="25" s="1"/>
  <c r="M22" i="18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M16" i="20"/>
  <c r="N16" i="20" s="1"/>
  <c r="M22" i="17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L22" i="16"/>
  <c r="L22" i="15" s="1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M21" i="15"/>
  <c r="P22" i="20"/>
  <c r="M25" i="20"/>
  <c r="M25" i="19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O16" i="18" l="1"/>
  <c r="O25" i="18" s="1"/>
  <c r="N25" i="18"/>
  <c r="P32" i="18" s="1"/>
  <c r="P33" i="18" s="1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<sst xmlns="http://schemas.openxmlformats.org/spreadsheetml/2006/main" count="1633" uniqueCount="132">
  <si>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</si>
  <si>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</si>
  <si>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</si>
  <si>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</si>
  <si>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</si>
  <si>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</si>
  <si>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</si>
  <si>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</si>
  <si>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</si>
  <si>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</si>
  <si>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</si>
  <si>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</si>
  <si>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</si>
  <si>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</si>
  <si>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</si>
  <si>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</si>
  <si>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</si>
  <si>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</si>
  <si>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</si>
  <si>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</si>
  <si>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</si>
  <si>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</si>
  <si>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</si>
  <si>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</si>
  <si>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</si>
  <si>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</si>
  <si>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</si>
  <si>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</si>
  <si>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</si>
  <si>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</si>
  <si>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</si>
  <si>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</si>
  <si>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</si>
  <si>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</si>
  <si>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</si>
  <si>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</si>
  <si>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</si>
  <si>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</si>
  <si>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</si>
  <si>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</si>
  <si>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</si>
  <si>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</si>
  <si>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</si>
  <si>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</si>
  <si>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</si>
  <si>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</si>
  <si>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</si>
  <si>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</si>
  <si>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</si>
  <si>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</si>
  <si>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</si>
  <si>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</si>
  <si>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</si>
  <si>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</si>
  <si>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</si>
  <si>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</si>
  <si>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</si>
  <si>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</si>
  <si>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</si>
  <si>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</si>
  <si>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</si>
  <si>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</si>
  <si>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</si>
  <si>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</si>
  <si>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</si>
  <si>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</si>
  <si>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</si>
  <si>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</si>
  <si>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</si>
  <si>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</si>
  <si>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</si>
  <si>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</si>
  <si>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</si>
  <si>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</si>
  <si>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</si>
  <si>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</si>
  <si>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</si>
  <si>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</si>
  <si>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</si>
  <si>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</si>
  <si>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</si>
  <si>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</si>
  <si>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</si>
  <si>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</si>
  <si>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</si>
  <si>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</si>
  <si>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</si>
  <si>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</si>
  <si>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</si>
  <si>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</si>
  <si>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</si>
  <si>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</si>
  <si>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</si>
  <si>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</si>
  <si>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</si>
  <si>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</si>
  <si>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</si>
  <si>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</si>
  <si>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</si>
  <si>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</si>
  <si>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</si>
  <si>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</si>
  <si>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</si>
  <si>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</si>
  <si>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</si>
  <si>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</si>
  <si>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</si>
  <si>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</si>
  <si>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</si>
  <si>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</si>
  <si>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</si>
  <si>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</si>
  <si>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</si>
  <si>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</si>
  <si>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</si>
  <si>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</si>
  <si>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</si>
  <si>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</si>
  <si>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</si>
  <si>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</si>
  <si>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Salman</t>
  </si>
  <si>
    <t>Shop Bill Summary (Salman)</t>
  </si>
  <si>
    <t>Customer Name : Ahmad Usman Mart</t>
  </si>
  <si>
    <t>Customer Name : Wali Super Store</t>
  </si>
  <si>
    <t>Customer Name : Shahid Sons &amp; General Store</t>
  </si>
  <si>
    <t xml:space="preserve">Customer Name : Al Harmain Mart </t>
  </si>
  <si>
    <t>Customer Name : Shreef General Store</t>
  </si>
  <si>
    <t>Customer Name : Al Sheikh Store</t>
  </si>
  <si>
    <t xml:space="preserve">Customer Name : Sher Rabbani Store </t>
  </si>
  <si>
    <t>Customer Name : Khan Store</t>
  </si>
  <si>
    <t>Address: Cavalary Ground</t>
  </si>
  <si>
    <t>F4972667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</si>
</sst>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16" sqref="K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6" sqref="K16"/>
      <selection pane="topRight" activeCell="K16" sqref="K16"/>
      <selection pane="bottomLeft" activeCell="K16" sqref="K16"/>
      <selection pane="bottomRight" activeCell="K16" sqref="K1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11" zoomScale="70" zoomScaleNormal="70" workbookViewId="0">
      <selection activeCell="T17" sqref="T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1.6328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120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121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Ahmad Usman Mart</v>
      </c>
      <c r="U14" s="164">
        <f>+'1'!P35</f>
        <v>5692.7999251875008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Wali Super Store</v>
      </c>
      <c r="U15" s="164">
        <f>+'2'!P35</f>
        <v>1795.4904090000002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82</v>
      </c>
      <c r="I16" s="1">
        <f>(G16*D16)*F16+H16*F16</f>
        <v>4301.9250000000002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150.56737500000003</v>
      </c>
      <c r="L16" s="175">
        <f>+'1'!L16+'2'!L16+'4'!L16+'3'!L16+'5'!L16+'6'!L16+'7'!L16+'8'!L16+'9'!L16+'10'!L16</f>
        <v>344.154</v>
      </c>
      <c r="M16" s="106">
        <f>I16-K16-L16</f>
        <v>3807.2036250000006</v>
      </c>
      <c r="N16" s="101">
        <f>+'1'!N16+'2'!N16+'4'!N16+'3'!N16+'5'!N16+'6'!N16+'7'!N16+'8'!N16+'9'!N16+'10'!N16</f>
        <v>763.29789749999998</v>
      </c>
      <c r="O16" s="101">
        <f>+'1'!O16+'2'!O16+'4'!O16+'3'!O16+'5'!O16+'6'!O16+'7'!O16+'8'!O16+'9'!O16+'10'!O16</f>
        <v>78.010530862500005</v>
      </c>
      <c r="P16" s="105">
        <f t="shared" ref="P16:P24" si="0">M16+N16+O16</f>
        <v>4648.5120533625004</v>
      </c>
      <c r="Q16" s="108"/>
      <c r="T16" s="163" t="str">
        <f>+'3'!A5</f>
        <v>Customer Name : Shahid Sons &amp; General Store</v>
      </c>
      <c r="U16" s="164">
        <f>+'3'!P35</f>
        <v>1024.6856410124999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26</v>
      </c>
      <c r="I17" s="1">
        <f t="shared" ref="I17:I23" si="1">(G17*D17)*F17+H17*F17</f>
        <v>1364.0249999999999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47.740875000000003</v>
      </c>
      <c r="L17" s="175">
        <f>+'1'!L17+'2'!L17+'4'!L17+'3'!L17+'5'!L17+'6'!L17+'7'!L17+'8'!L17+'9'!L17+'10'!L17</f>
        <v>109.122</v>
      </c>
      <c r="M17" s="118">
        <f t="shared" ref="M17:M23" si="2">I17-K17-L17</f>
        <v>1207.1621249999998</v>
      </c>
      <c r="N17" s="101">
        <f>+'1'!N17+'2'!N17+'4'!N17+'3'!N17+'5'!N17+'6'!N17+'7'!N17+'8'!N17+'9'!N17+'10'!N17</f>
        <v>265.57566750000001</v>
      </c>
      <c r="O17" s="101">
        <f>+'1'!O17+'2'!O17+'4'!O17+'3'!O17+'5'!O17+'6'!O17+'7'!O17+'8'!O17+'9'!O17+'10'!O17</f>
        <v>18.6924412125</v>
      </c>
      <c r="P17" s="120">
        <f t="shared" si="0"/>
        <v>1491.4302337124998</v>
      </c>
      <c r="S17" s="64"/>
      <c r="T17" s="163" t="str">
        <f>+'4'!A5</f>
        <v xml:space="preserve">Customer Name : Al Harmain Mart </v>
      </c>
      <c r="U17" s="164">
        <f>+'4'!P35</f>
        <v>3941.0777520000001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Shreef General Store</v>
      </c>
      <c r="U18" s="164">
        <f>+'5'!P35</f>
        <v>1610.0697078750002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60</v>
      </c>
      <c r="I19" s="1">
        <f t="shared" si="1"/>
        <v>4358.3999999999996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152.54400000000001</v>
      </c>
      <c r="L19" s="175">
        <f>+'1'!L19+'2'!L19+'4'!L19+'3'!L19+'5'!L19+'6'!L19+'7'!L19+'8'!L19+'9'!L19+'10'!L19</f>
        <v>348.67200000000003</v>
      </c>
      <c r="M19" s="118">
        <f t="shared" si="2"/>
        <v>3857.1839999999997</v>
      </c>
      <c r="N19" s="101">
        <f>+'1'!N19+'2'!N19+'4'!N19+'3'!N19+'5'!N19+'6'!N19+'7'!N19+'8'!N19+'9'!N19+'10'!N19</f>
        <v>797.15136000000007</v>
      </c>
      <c r="O19" s="101">
        <f>+'1'!O19+'2'!O19+'4'!O19+'3'!O19+'5'!O19+'6'!O19+'7'!O19+'8'!O19+'9'!O19+'10'!O19</f>
        <v>69.30073920000001</v>
      </c>
      <c r="P19" s="120">
        <f t="shared" si="0"/>
        <v>4723.6360992</v>
      </c>
      <c r="T19" s="163" t="str">
        <f>+'6'!A5</f>
        <v>Customer Name : Al Sheikh Store</v>
      </c>
      <c r="U19" s="164">
        <f>+'6'!P35</f>
        <v>1607.802864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25</v>
      </c>
      <c r="I20" s="1">
        <f t="shared" si="1"/>
        <v>1816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63.560000000000009</v>
      </c>
      <c r="L20" s="175">
        <f>+'1'!L20+'2'!L20+'4'!L20+'3'!L20+'5'!L20+'6'!L20+'7'!L20+'8'!L20+'9'!L20+'10'!L20</f>
        <v>145.28</v>
      </c>
      <c r="M20" s="118">
        <f t="shared" si="2"/>
        <v>1607.16</v>
      </c>
      <c r="N20" s="101">
        <f>+'1'!N20+'2'!N20+'4'!N20+'3'!N20+'5'!N20+'6'!N20+'7'!N20+'8'!N20+'9'!N20+'10'!N20</f>
        <v>353.5752</v>
      </c>
      <c r="O20" s="101">
        <f>+'1'!O20+'2'!O20+'4'!O20+'3'!O20+'5'!O20+'6'!O20+'7'!O20+'8'!O20+'9'!O20+'10'!O20</f>
        <v>17.6466168</v>
      </c>
      <c r="P20" s="120">
        <f t="shared" si="0"/>
        <v>1978.3818168</v>
      </c>
      <c r="T20" s="163" t="str">
        <f>+'7'!A5</f>
        <v xml:space="preserve">Customer Name : Sher Rabbani Store </v>
      </c>
      <c r="U20" s="164">
        <f>+'7'!P35</f>
        <v>1760.4564498000002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65</v>
      </c>
      <c r="I21" s="1">
        <f t="shared" si="1"/>
        <v>4721.6000000000004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165.25600000000003</v>
      </c>
      <c r="L21" s="175">
        <f>+'1'!L21+'2'!L21+'4'!L21+'3'!L21+'5'!L21+'6'!L21+'7'!L21+'8'!L21+'9'!L21+'10'!L21</f>
        <v>377.72800000000001</v>
      </c>
      <c r="M21" s="118">
        <f t="shared" si="2"/>
        <v>4178.616</v>
      </c>
      <c r="N21" s="101">
        <f>+'1'!N21+'2'!N21+'4'!N21+'3'!N21+'5'!N21+'6'!N21+'7'!N21+'8'!N21+'9'!N21+'10'!N21</f>
        <v>867.86640000000011</v>
      </c>
      <c r="O21" s="101">
        <f>+'1'!O21+'2'!O21+'4'!O21+'3'!O21+'5'!O21+'6'!O21+'7'!O21+'8'!O21+'9'!O21+'10'!O21</f>
        <v>63.418533600000004</v>
      </c>
      <c r="P21" s="120">
        <f t="shared" si="0"/>
        <v>5109.9009335999999</v>
      </c>
      <c r="T21" s="163" t="str">
        <f>+'8'!A5</f>
        <v>Customer Name : Khan Store</v>
      </c>
      <c r="U21" s="164">
        <f>+'8'!P35</f>
        <v>5356.42617075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110</v>
      </c>
      <c r="I22" s="1">
        <f t="shared" si="1"/>
        <v>4315.3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151.03550000000001</v>
      </c>
      <c r="L22" s="175">
        <f>+'1'!L22+'2'!L22+'4'!L22+'3'!L22+'5'!L22+'6'!L22+'7'!L22+'8'!L22+'9'!L22+'10'!L22</f>
        <v>254.99500000000006</v>
      </c>
      <c r="M22" s="118">
        <f t="shared" si="2"/>
        <v>3909.2695000000003</v>
      </c>
      <c r="N22" s="101">
        <f>+'1'!N22+'2'!N22+'4'!N22+'3'!N22+'5'!N22+'6'!N22+'7'!N22+'8'!N22+'9'!N22+'10'!N22</f>
        <v>860.03929000000016</v>
      </c>
      <c r="O22" s="101">
        <f>+'1'!O22+'2'!O22+'4'!O22+'3'!O22+'5'!O22+'6'!O22+'7'!O22+'8'!O22+'9'!O22+'10'!O22</f>
        <v>67.638992950000016</v>
      </c>
      <c r="P22" s="120">
        <f t="shared" si="0"/>
        <v>4836.9477829500011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9.1999999999999993</v>
      </c>
      <c r="D25" s="231"/>
      <c r="E25" s="231"/>
      <c r="F25" s="231"/>
      <c r="G25" s="176">
        <f t="shared" ref="G25:M25" si="3">SUM(G16:G24)</f>
        <v>0</v>
      </c>
      <c r="H25" s="177">
        <f t="shared" si="3"/>
        <v>368</v>
      </c>
      <c r="I25" s="178">
        <f t="shared" si="3"/>
        <v>20877.249999999996</v>
      </c>
      <c r="J25" s="177">
        <f t="shared" si="3"/>
        <v>0</v>
      </c>
      <c r="K25" s="178">
        <f t="shared" si="3"/>
        <v>730.70375000000013</v>
      </c>
      <c r="L25" s="179">
        <f t="shared" si="3"/>
        <v>1579.9510000000002</v>
      </c>
      <c r="M25" s="141">
        <f t="shared" si="3"/>
        <v>18566.595249999998</v>
      </c>
      <c r="N25" s="142">
        <f>SUM(N16:N24)</f>
        <v>3907.505815</v>
      </c>
      <c r="O25" s="143">
        <f>SUM(O16:O24)</f>
        <v>314.70785462499998</v>
      </c>
      <c r="P25" s="144">
        <f>SUM(P16:P24)</f>
        <v>22788.808919625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22788.808919625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20877.249999999996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1579.9510000000002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730.70375000000013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18566.595249999995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3907.505815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22474.101064999995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561.85252662499988</v>
      </c>
    </row>
    <row r="43" spans="1:21" ht="15.75" customHeight="1" thickBot="1" x14ac:dyDescent="0.4">
      <c r="N43" s="229" t="s">
        <v>92</v>
      </c>
      <c r="O43" s="230"/>
      <c r="P43" s="160">
        <f>P41+P42</f>
        <v>23035.953591624995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20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10.816406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26 16383:16384" ht="15" customHeight="1" x14ac:dyDescent="0.35">
      <c r="A6" s="211" t="s">
        <v>130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>
        <v>4628264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 t="shared" ref="O16:O24" si="1">(N16+M16)*$O$15</f>
        <v>5.6643761250000004</v>
      </c>
      <c r="P16" s="105">
        <f t="shared" ref="P16:P24" si="2">M16+N16+O16</f>
        <v>1138.539601125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3">(G17*D17)*F17+H17*F17</f>
        <v>524.625</v>
      </c>
      <c r="J17" s="117"/>
      <c r="K17" s="104">
        <f t="shared" ref="K17:K22" si="4">I17*3.5%</f>
        <v>18.361875000000001</v>
      </c>
      <c r="L17" s="105">
        <f t="shared" ref="L17:L21" si="5">I17*8%</f>
        <v>41.97</v>
      </c>
      <c r="M17" s="118">
        <f t="shared" ref="M17:M23" si="6">I17-K17-L17</f>
        <v>464.29312500000003</v>
      </c>
      <c r="N17" s="118">
        <f t="shared" si="0"/>
        <v>102.14448750000001</v>
      </c>
      <c r="O17" s="119">
        <f t="shared" si="1"/>
        <v>2.8321880625000002</v>
      </c>
      <c r="P17" s="120">
        <f t="shared" si="2"/>
        <v>569.2698005625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3"/>
        <v>1452.8</v>
      </c>
      <c r="J19" s="117"/>
      <c r="K19" s="104">
        <f t="shared" si="4"/>
        <v>50.848000000000006</v>
      </c>
      <c r="L19" s="105">
        <f t="shared" si="5"/>
        <v>116.224</v>
      </c>
      <c r="M19" s="118">
        <f t="shared" si="6"/>
        <v>1285.7280000000001</v>
      </c>
      <c r="N19" s="118">
        <f t="shared" si="0"/>
        <v>282.86016000000001</v>
      </c>
      <c r="O19" s="119">
        <f t="shared" si="1"/>
        <v>7.8429408</v>
      </c>
      <c r="P19" s="120">
        <f t="shared" si="2"/>
        <v>1576.4311008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/>
      <c r="K21" s="104">
        <f t="shared" si="4"/>
        <v>50.848000000000006</v>
      </c>
      <c r="L21" s="105">
        <f t="shared" si="5"/>
        <v>116.224</v>
      </c>
      <c r="M21" s="118">
        <f t="shared" si="6"/>
        <v>1285.7280000000001</v>
      </c>
      <c r="N21" s="118">
        <f t="shared" si="0"/>
        <v>282.86016000000001</v>
      </c>
      <c r="O21" s="119">
        <f t="shared" si="1"/>
        <v>7.8429408</v>
      </c>
      <c r="P21" s="120">
        <f t="shared" si="2"/>
        <v>1576.4311008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3"/>
        <v>784.60000000000014</v>
      </c>
      <c r="J22" s="117"/>
      <c r="K22" s="104">
        <f t="shared" si="4"/>
        <v>27.461000000000006</v>
      </c>
      <c r="L22" s="120">
        <f>I22*10%</f>
        <v>78.460000000000022</v>
      </c>
      <c r="M22" s="118">
        <f t="shared" si="6"/>
        <v>678.67900000000009</v>
      </c>
      <c r="N22" s="118">
        <f t="shared" si="0"/>
        <v>149.30938000000003</v>
      </c>
      <c r="O22" s="119">
        <f t="shared" si="1"/>
        <v>4.1399419000000011</v>
      </c>
      <c r="P22" s="120">
        <f t="shared" si="2"/>
        <v>832.12832190000017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90</v>
      </c>
      <c r="I25" s="137">
        <f t="shared" si="13"/>
        <v>5264.0750000000007</v>
      </c>
      <c r="J25" s="138"/>
      <c r="K25" s="139">
        <f t="shared" si="13"/>
        <v>184.24262500000003</v>
      </c>
      <c r="L25" s="140">
        <f t="shared" si="13"/>
        <v>436.81800000000004</v>
      </c>
      <c r="M25" s="141">
        <f t="shared" si="13"/>
        <v>4643.0143750000007</v>
      </c>
      <c r="N25" s="142">
        <f>SUM(N16:N24)</f>
        <v>1021.4631625000001</v>
      </c>
      <c r="O25" s="143">
        <f>SUM(O16:O24)</f>
        <v>28.322387687500001</v>
      </c>
      <c r="P25" s="144">
        <f>SUM(P16:P24)</f>
        <v>5692.799925187499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5264.0750000000007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436.81800000000004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184.24262500000003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4643.0143750000007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1021.4631625000001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5664.4775375000008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28.322387687500004</v>
      </c>
    </row>
    <row r="35" spans="2:16" ht="15.75" customHeight="1" thickBot="1" x14ac:dyDescent="0.4">
      <c r="N35" s="229" t="s">
        <v>92</v>
      </c>
      <c r="O35" s="230"/>
      <c r="P35" s="160">
        <f>P33+P34</f>
        <v>5692.7999251875008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1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123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130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43.792449000000005</v>
      </c>
      <c r="P25" s="144">
        <f>SUM(P16:P24)</f>
        <v>1795.4904090000002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1569.2000000000003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78.460000000000022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54.922000000000011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1435.8180000000002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1751.6979600000002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43.792449000000005</v>
      </c>
    </row>
    <row r="35" spans="2:16" ht="15.75" customHeight="1" thickBot="1" x14ac:dyDescent="0.4">
      <c r="N35" s="229" t="s">
        <v>92</v>
      </c>
      <c r="O35" s="230"/>
      <c r="P35" s="160">
        <f>P33+P34</f>
        <v>1795.4904090000002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1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130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3520135430825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I16*3.5%</f>
        <v>22.03425</v>
      </c>
      <c r="L16" s="105">
        <f>I16*8%</f>
        <v>50.363999999999997</v>
      </c>
      <c r="M16" s="106">
        <f>I16-K16-L16</f>
        <v>557.15174999999988</v>
      </c>
      <c r="N16" s="106">
        <f t="shared" ref="N16:N24" si="0">(M16*$N$15)+(J16*F16)*$N$15</f>
        <v>122.57338499999997</v>
      </c>
      <c r="O16" s="107">
        <f>(N16+M16)*$O$15</f>
        <v>3.3986256749999995</v>
      </c>
      <c r="P16" s="105">
        <f t="shared" ref="P16:P24" si="1">M16+N16+O16</f>
        <v>683.12376067499986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04">
        <f t="shared" ref="K17:K22" si="3">I17*3.5%</f>
        <v>11.017125</v>
      </c>
      <c r="L17" s="105">
        <f t="shared" ref="L17:L21" si="4">I17*8%</f>
        <v>25.181999999999999</v>
      </c>
      <c r="M17" s="118">
        <f t="shared" ref="M17:M23" si="5">I17-K17-L17</f>
        <v>278.57587499999994</v>
      </c>
      <c r="N17" s="118">
        <f t="shared" si="0"/>
        <v>61.286692499999987</v>
      </c>
      <c r="O17" s="119">
        <f t="shared" ref="O17:O24" si="6">(N17+M17)*$O$15</f>
        <v>1.6993128374999997</v>
      </c>
      <c r="P17" s="120">
        <f t="shared" si="1"/>
        <v>341.56188033749993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18</v>
      </c>
      <c r="I25" s="137">
        <f t="shared" si="9"/>
        <v>944.32499999999993</v>
      </c>
      <c r="J25" s="138"/>
      <c r="K25" s="139">
        <f t="shared" si="9"/>
        <v>33.051375</v>
      </c>
      <c r="L25" s="140">
        <f t="shared" si="9"/>
        <v>75.545999999999992</v>
      </c>
      <c r="M25" s="141">
        <f t="shared" si="9"/>
        <v>835.72762499999976</v>
      </c>
      <c r="N25" s="142">
        <f>SUM(N16:N24)</f>
        <v>183.86007749999996</v>
      </c>
      <c r="O25" s="143">
        <f>SUM(O16:O24)</f>
        <v>5.097938512499999</v>
      </c>
      <c r="P25" s="144">
        <f>SUM(P16:P24)</f>
        <v>1024.6856410124997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944.32499999999993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75.545999999999992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33.051375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835.72762499999999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183.86007749999996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1019.5877025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5.0979385124999999</v>
      </c>
    </row>
    <row r="35" spans="2:16" ht="15.75" customHeight="1" thickBot="1" x14ac:dyDescent="0.4">
      <c r="N35" s="229" t="s">
        <v>92</v>
      </c>
      <c r="O35" s="230"/>
      <c r="P35" s="160">
        <f>P33+P34</f>
        <v>1024.6856410124999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abSelected="1" topLeftCell="A18" workbookViewId="0">
      <selection activeCell="I27" sqref="I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125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130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131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141.43008</v>
      </c>
      <c r="O19" s="119">
        <f t="shared" si="6"/>
        <v>3.9214704</v>
      </c>
      <c r="P19" s="120">
        <f t="shared" si="1"/>
        <v>788.21555039999998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282.86016000000001</v>
      </c>
      <c r="O20" s="119">
        <f t="shared" si="6"/>
        <v>7.8429408</v>
      </c>
      <c r="P20" s="120">
        <f t="shared" si="1"/>
        <v>1576.4311008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282.86016000000001</v>
      </c>
      <c r="O21" s="119">
        <f t="shared" si="6"/>
        <v>7.8429408</v>
      </c>
      <c r="P21" s="120">
        <f t="shared" si="1"/>
        <v>1576.4311008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50</v>
      </c>
      <c r="I25" s="137">
        <f t="shared" si="9"/>
        <v>3632</v>
      </c>
      <c r="J25" s="138"/>
      <c r="K25" s="139">
        <f t="shared" si="9"/>
        <v>127.12</v>
      </c>
      <c r="L25" s="140">
        <f t="shared" si="9"/>
        <v>290.56</v>
      </c>
      <c r="M25" s="141">
        <f t="shared" si="9"/>
        <v>3214.32</v>
      </c>
      <c r="N25" s="142">
        <f>SUM(N16:N24)</f>
        <v>707.15039999999999</v>
      </c>
      <c r="O25" s="143">
        <f>SUM(O16:O24)</f>
        <v>19.607351999999999</v>
      </c>
      <c r="P25" s="144">
        <f>SUM(P16:P24)</f>
        <v>3941.0777519999997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3632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290.56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127.12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3214.32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707.15039999999999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3921.4704000000002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19.607352000000002</v>
      </c>
    </row>
    <row r="35" spans="2:16" ht="15.75" customHeight="1" thickBot="1" x14ac:dyDescent="0.4">
      <c r="N35" s="229" t="s">
        <v>92</v>
      </c>
      <c r="O35" s="230"/>
      <c r="P35" s="160">
        <f>P33+P34</f>
        <v>3941.0777520000001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20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130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102.14448750000001</v>
      </c>
      <c r="O16" s="107">
        <f>(N16+M16)*$O$15</f>
        <v>14.160940312500001</v>
      </c>
      <c r="P16" s="105">
        <f t="shared" ref="P16:P24" si="1">M16+N16+O16</f>
        <v>580.59855281249997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2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102.14448750000001</v>
      </c>
      <c r="O17" s="119">
        <f t="shared" ref="O17:O24" si="6">(N17+M17)*$O$15</f>
        <v>14.160940312500001</v>
      </c>
      <c r="P17" s="120">
        <f t="shared" si="1"/>
        <v>580.59855281249997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 t="shared" si="3"/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30</v>
      </c>
      <c r="I25" s="137">
        <f t="shared" si="9"/>
        <v>1441.5500000000002</v>
      </c>
      <c r="J25" s="138"/>
      <c r="K25" s="139">
        <f t="shared" si="9"/>
        <v>50.454250000000002</v>
      </c>
      <c r="L25" s="140">
        <f t="shared" si="9"/>
        <v>103.55500000000001</v>
      </c>
      <c r="M25" s="141">
        <f t="shared" si="9"/>
        <v>1287.5407500000001</v>
      </c>
      <c r="N25" s="142">
        <f>SUM(N16:N24)</f>
        <v>283.25896500000005</v>
      </c>
      <c r="O25" s="143">
        <f>SUM(O16:O24)</f>
        <v>39.269992875</v>
      </c>
      <c r="P25" s="144">
        <f>SUM(P16:P24)</f>
        <v>1610.0697078749999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1441.5500000000002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103.55500000000001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50.454250000000002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1287.5407500000001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283.25896500000005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1570.7997150000001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39.269992875000007</v>
      </c>
    </row>
    <row r="35" spans="2:16" ht="15.75" customHeight="1" thickBot="1" x14ac:dyDescent="0.4">
      <c r="N35" s="229" t="s">
        <v>92</v>
      </c>
      <c r="O35" s="230"/>
      <c r="P35" s="160">
        <f>P33+P34</f>
        <v>1610.0697078750002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127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130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141.43008</v>
      </c>
      <c r="O19" s="119">
        <f t="shared" si="6"/>
        <v>19.607352000000002</v>
      </c>
      <c r="P19" s="120">
        <f t="shared" si="1"/>
        <v>803.901432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2"/>
        <v>363.2</v>
      </c>
      <c r="J20" s="117"/>
      <c r="K20" s="104">
        <f t="shared" si="3"/>
        <v>12.712000000000002</v>
      </c>
      <c r="L20" s="105">
        <f t="shared" si="4"/>
        <v>29.056000000000001</v>
      </c>
      <c r="M20" s="118">
        <f t="shared" si="5"/>
        <v>321.43200000000002</v>
      </c>
      <c r="N20" s="118">
        <f t="shared" si="0"/>
        <v>70.715040000000002</v>
      </c>
      <c r="O20" s="119">
        <f t="shared" si="6"/>
        <v>9.8036760000000012</v>
      </c>
      <c r="P20" s="120">
        <f t="shared" si="1"/>
        <v>401.950716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5</v>
      </c>
      <c r="I21" s="116">
        <f t="shared" si="2"/>
        <v>363.2</v>
      </c>
      <c r="J21" s="117"/>
      <c r="K21" s="104">
        <f t="shared" si="3"/>
        <v>12.712000000000002</v>
      </c>
      <c r="L21" s="105">
        <f t="shared" si="4"/>
        <v>29.056000000000001</v>
      </c>
      <c r="M21" s="118">
        <f t="shared" si="5"/>
        <v>321.43200000000002</v>
      </c>
      <c r="N21" s="118">
        <f t="shared" si="0"/>
        <v>70.715040000000002</v>
      </c>
      <c r="O21" s="119">
        <f t="shared" si="6"/>
        <v>9.8036760000000012</v>
      </c>
      <c r="P21" s="120">
        <f t="shared" si="1"/>
        <v>401.950716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50.848000000000006</v>
      </c>
      <c r="L25" s="140">
        <f t="shared" si="9"/>
        <v>116.224</v>
      </c>
      <c r="M25" s="141">
        <f t="shared" si="9"/>
        <v>1285.7280000000001</v>
      </c>
      <c r="N25" s="142">
        <f>SUM(N16:N24)</f>
        <v>282.86016000000001</v>
      </c>
      <c r="O25" s="143">
        <f>SUM(O16:O24)</f>
        <v>39.214704000000005</v>
      </c>
      <c r="P25" s="144">
        <f>SUM(P16:P24)</f>
        <v>1607.802864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1452.8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116.224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50.848000000000006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1285.7280000000001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282.86016000000001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1568.58816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39.214704000000005</v>
      </c>
    </row>
    <row r="35" spans="2:16" ht="15.75" customHeight="1" thickBot="1" x14ac:dyDescent="0.4">
      <c r="N35" s="229" t="s">
        <v>92</v>
      </c>
      <c r="O35" s="230"/>
      <c r="P35" s="160">
        <f>P33+P34</f>
        <v>1607.802864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130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3520145889633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8.7584898000000013</v>
      </c>
      <c r="P25" s="144">
        <f>SUM(P16:P24)</f>
        <v>1760.4564498000002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1569.2000000000003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78.460000000000022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54.922000000000011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1435.8180000000002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1751.6979600000002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8.7584898000000013</v>
      </c>
    </row>
    <row r="35" spans="2:16" ht="15.75" customHeight="1" thickBot="1" x14ac:dyDescent="0.4">
      <c r="N35" s="229" t="s">
        <v>92</v>
      </c>
      <c r="O35" s="230"/>
      <c r="P35" s="160">
        <f>P33+P34</f>
        <v>1760.4564498000002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130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3520232013195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54.78658875</v>
      </c>
      <c r="P16" s="105">
        <f t="shared" ref="P16:P24" si="1">M16+N16+O16</f>
        <v>2246.2501387500001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37.928975999999999</v>
      </c>
      <c r="P19" s="120">
        <f t="shared" si="1"/>
        <v>1555.0880159999999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37.928975999999999</v>
      </c>
      <c r="P21" s="120">
        <f t="shared" si="1"/>
        <v>1555.0880159999999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175.14350000000002</v>
      </c>
      <c r="L25" s="140">
        <f t="shared" si="9"/>
        <v>400.32799999999997</v>
      </c>
      <c r="M25" s="141">
        <f t="shared" si="9"/>
        <v>4428.6285000000007</v>
      </c>
      <c r="N25" s="142">
        <f>SUM(N16:N24)</f>
        <v>797.15312999999992</v>
      </c>
      <c r="O25" s="143">
        <f>SUM(O16:O24)</f>
        <v>130.64454075</v>
      </c>
      <c r="P25" s="144">
        <f>SUM(P16:P24)</f>
        <v>5356.42617075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5004.1000000000004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400.32799999999997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175.14350000000002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4428.6285000000007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797.15312999999992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5225.7816300000004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130.64454075</v>
      </c>
    </row>
    <row r="35" spans="2:16" ht="15.75" customHeight="1" thickBot="1" x14ac:dyDescent="0.4">
      <c r="N35" s="229" t="s">
        <v>92</v>
      </c>
      <c r="O35" s="230"/>
      <c r="P35" s="160">
        <f>P33+P34</f>
        <v>5356.42617075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2026-07-06T06:39:34Z</dcterms:modified>
</cp:coreProperties>
</file>