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C11E1BD-8B61-45CD-AA57-AC591851E5A0}" xr6:coauthVersionLast="47" xr6:coauthVersionMax="47" xr10:uidLastSave="{00000000-0000-0000-0000-000000000000}"/>
  <bookViews>
    <workbookView xWindow="-110" yWindow="-110" windowWidth="19420" windowHeight="10420" tabRatio="949" activeTab="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8" i="17"/>
  <c r="K22" i="17"/>
  <c r="K18" i="19"/>
  <c r="K19" i="19"/>
  <c r="K20" i="19"/>
  <c r="K21" i="19"/>
  <c r="K17" i="18"/>
  <c r="K18" i="18"/>
  <c r="K22" i="18"/>
  <c r="K17" i="20"/>
  <c r="K18" i="20"/>
  <c r="K22" i="20"/>
  <c r="K17" i="21"/>
  <c r="K18" i="21"/>
  <c r="K19" i="21"/>
  <c r="K20" i="21"/>
  <c r="K21" i="21"/>
  <c r="K22" i="21"/>
  <c r="K17" i="22"/>
  <c r="K18" i="22"/>
  <c r="K19" i="22"/>
  <c r="K20" i="22"/>
  <c r="K21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22" i="16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K21" i="18" s="1"/>
  <c r="I22" i="18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I22" i="2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0" l="1"/>
  <c r="K21" i="20"/>
  <c r="L20" i="20"/>
  <c r="K20" i="20"/>
  <c r="L21" i="18"/>
  <c r="L20" i="18"/>
  <c r="K20" i="18"/>
  <c r="L17" i="19"/>
  <c r="K17" i="19"/>
  <c r="L16" i="19"/>
  <c r="L25" i="19" s="1"/>
  <c r="P29" i="19" s="1"/>
  <c r="K16" i="19"/>
  <c r="L21" i="17"/>
  <c r="K21" i="17"/>
  <c r="L24" i="17"/>
  <c r="M21" i="19"/>
  <c r="K23" i="24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<sst xmlns="http://schemas.openxmlformats.org/spreadsheetml/2006/main" count="1633" uniqueCount="133">
  <si>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</si>
  <si>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</si>
  <si>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</si>
  <si>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</si>
  <si>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</si>
  <si>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</si>
  <si>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</si>
  <si>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</si>
  <si>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</si>
  <si>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</si>
  <si>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</si>
  <si>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</si>
  <si>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</si>
  <si>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</si>
  <si>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</si>
  <si>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</si>
  <si>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</si>
  <si>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</si>
  <si>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</si>
  <si>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</si>
  <si>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</si>
  <si>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</si>
  <si>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</si>
  <si>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</si>
  <si>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</si>
  <si>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</si>
  <si>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</si>
  <si>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</si>
  <si>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</si>
  <si>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</si>
  <si>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</si>
  <si>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</si>
  <si>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</si>
  <si>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</si>
  <si>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</si>
  <si>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</si>
  <si>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</si>
  <si>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</si>
  <si>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</si>
  <si>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</si>
  <si>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</si>
  <si>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</si>
  <si>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</si>
  <si>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</si>
  <si>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</si>
  <si>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</si>
  <si>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</si>
  <si>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</si>
  <si>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</si>
  <si>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</si>
  <si>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</si>
  <si>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</si>
  <si>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</si>
  <si>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</si>
  <si>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</si>
  <si>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</si>
  <si>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</si>
  <si>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</si>
  <si>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</si>
  <si>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</si>
  <si>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</si>
  <si>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</si>
  <si>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</si>
  <si>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</si>
  <si>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</si>
  <si>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</si>
  <si>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</si>
  <si>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</si>
  <si>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</si>
  <si>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</si>
  <si>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</si>
  <si>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</si>
  <si>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</si>
  <si>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</si>
  <si>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</si>
  <si>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</si>
  <si>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</si>
  <si>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</si>
  <si>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</si>
  <si>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</si>
  <si>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</si>
  <si>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</si>
  <si>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</si>
  <si>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</si>
  <si>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</si>
  <si>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</si>
  <si>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</si>
  <si>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</si>
  <si>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</si>
  <si>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</si>
  <si>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</si>
  <si>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</si>
  <si>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</si>
  <si>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</si>
  <si>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</si>
  <si>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</si>
  <si>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</si>
  <si>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</si>
  <si>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</si>
  <si>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</si>
  <si>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</si>
  <si>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</si>
  <si>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</si>
  <si>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</si>
  <si>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</si>
  <si>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</si>
  <si>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</si>
  <si>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</si>
  <si>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</si>
  <si>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</si>
  <si>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</si>
  <si>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</si>
  <si>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</si>
  <si>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</si>
  <si>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</si>
  <si>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</si>
  <si>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</si>
  <si>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</si>
  <si>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</si>
  <si>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</si>
  <si>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Mubeen </t>
  </si>
  <si>
    <t>Shop Bill Summary (Mubeen)</t>
  </si>
  <si>
    <t>Customer Name : Bhai Jan Medical Store</t>
  </si>
  <si>
    <t xml:space="preserve">Address: Dharam pura </t>
  </si>
  <si>
    <t>Customer Name : Basics Store</t>
  </si>
  <si>
    <t>Address: Upper Mall</t>
  </si>
  <si>
    <t>Customer Name : Bravo Store</t>
  </si>
  <si>
    <t>Address: Phase 6</t>
  </si>
  <si>
    <t>Customer Name : Rehmat Store</t>
  </si>
  <si>
    <t>Address: Phase 8 Eden Park</t>
  </si>
  <si>
    <t>Customer Name : Al noor Store</t>
  </si>
  <si>
    <t>Address: Phase 8</t>
  </si>
  <si>
    <t>0159676-4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</si>
</sst>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22" sqref="L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22" sqref="L22"/>
      <selection pane="topRight" activeCell="L22" sqref="L22"/>
      <selection pane="bottomLeft" activeCell="L22" sqref="L22"/>
      <selection pane="bottomRight" activeCell="L22" sqref="L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S30" sqref="S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Bhai Jan Medical Store</v>
      </c>
      <c r="U14" s="164">
        <f>+'1'!P35</f>
        <v>1576.4311008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Basics Store</v>
      </c>
      <c r="U15" s="164">
        <f>+'2'!P35</f>
        <v>7006.3725046500012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32</v>
      </c>
      <c r="I16" s="1">
        <f>(G16*D16)*F16+H16*F16</f>
        <v>1678.8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58.758000000000003</v>
      </c>
      <c r="L16" s="175">
        <f>+'1'!L16+'2'!L16+'4'!L16+'3'!L16+'5'!L16+'6'!L16+'7'!L16+'8'!L16+'9'!L16+'10'!L16</f>
        <v>134.304</v>
      </c>
      <c r="M16" s="106">
        <f>I16-K16-L16</f>
        <v>1485.7379999999998</v>
      </c>
      <c r="N16" s="101">
        <f>+'1'!N16+'2'!N16+'4'!N16+'3'!N16+'5'!N16+'6'!N16+'7'!N16+'8'!N16+'9'!N16+'10'!N16</f>
        <v>326.86235999999997</v>
      </c>
      <c r="O16" s="101">
        <f>+'1'!O16+'2'!O16+'4'!O16+'3'!O16+'5'!O16+'6'!O16+'7'!O16+'8'!O16+'9'!O16+'10'!O16</f>
        <v>22.657504499999998</v>
      </c>
      <c r="P16" s="105">
        <f t="shared" ref="P16:P24" si="0">M16+N16+O16</f>
        <v>1835.2578644999999</v>
      </c>
      <c r="Q16" s="108"/>
      <c r="T16" s="163" t="str">
        <f>+'3'!A5</f>
        <v>Customer Name : Bravo Store</v>
      </c>
      <c r="U16" s="164">
        <f>+'3'!P35</f>
        <v>1902.6493804499996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32</v>
      </c>
      <c r="I17" s="1">
        <f t="shared" ref="I17:I23" si="1">(G17*D17)*F17+H17*F17</f>
        <v>1678.8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58.758000000000003</v>
      </c>
      <c r="L17" s="175">
        <f>+'1'!L17+'2'!L17+'4'!L17+'3'!L17+'5'!L17+'6'!L17+'7'!L17+'8'!L17+'9'!L17+'10'!L17</f>
        <v>134.304</v>
      </c>
      <c r="M17" s="118">
        <f t="shared" ref="M17:M23" si="2">I17-K17-L17</f>
        <v>1485.7379999999998</v>
      </c>
      <c r="N17" s="101">
        <f>+'1'!N17+'2'!N17+'4'!N17+'3'!N17+'5'!N17+'6'!N17+'7'!N17+'8'!N17+'9'!N17+'10'!N17</f>
        <v>326.86235999999997</v>
      </c>
      <c r="O17" s="101">
        <f>+'1'!O17+'2'!O17+'4'!O17+'3'!O17+'5'!O17+'6'!O17+'7'!O17+'8'!O17+'9'!O17+'10'!O17</f>
        <v>22.657504499999998</v>
      </c>
      <c r="P17" s="120">
        <f t="shared" si="0"/>
        <v>1835.2578644999999</v>
      </c>
      <c r="S17" s="64"/>
      <c r="T17" s="163" t="str">
        <f>+'4'!A5</f>
        <v>Customer Name : Rehmat Store</v>
      </c>
      <c r="U17" s="164">
        <f>+'4'!P35</f>
        <v>9458.5866047999989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 noor Store</v>
      </c>
      <c r="U18" s="164">
        <f>+'5'!P35</f>
        <v>6305.7244031999999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110</v>
      </c>
      <c r="I19" s="1">
        <f t="shared" si="1"/>
        <v>7990.4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279.66400000000004</v>
      </c>
      <c r="L19" s="175">
        <f>+'1'!L19+'2'!L19+'4'!L19+'3'!L19+'5'!L19+'6'!L19+'7'!L19+'8'!L19+'9'!L19+'10'!L19</f>
        <v>639.23199999999997</v>
      </c>
      <c r="M19" s="118">
        <f t="shared" si="2"/>
        <v>7071.5039999999999</v>
      </c>
      <c r="N19" s="101">
        <f>+'1'!N19+'2'!N19+'4'!N19+'3'!N19+'5'!N19+'6'!N19+'7'!N19+'8'!N19+'9'!N19+'10'!N19</f>
        <v>1555.7308800000001</v>
      </c>
      <c r="O19" s="101">
        <f>+'1'!O19+'2'!O19+'4'!O19+'3'!O19+'5'!O19+'6'!O19+'7'!O19+'8'!O19+'9'!O19+'10'!O19</f>
        <v>43.136174400000002</v>
      </c>
      <c r="P19" s="120">
        <f t="shared" si="0"/>
        <v>8670.3710544000005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85</v>
      </c>
      <c r="I20" s="1">
        <f t="shared" si="1"/>
        <v>6174.4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216.10400000000004</v>
      </c>
      <c r="L20" s="175">
        <f>+'1'!L20+'2'!L20+'4'!L20+'3'!L20+'5'!L20+'6'!L20+'7'!L20+'8'!L20+'9'!L20+'10'!L20</f>
        <v>493.952</v>
      </c>
      <c r="M20" s="118">
        <f t="shared" si="2"/>
        <v>5464.3439999999991</v>
      </c>
      <c r="N20" s="101">
        <f>+'1'!N20+'2'!N20+'4'!N20+'3'!N20+'5'!N20+'6'!N20+'7'!N20+'8'!N20+'9'!N20+'10'!N20</f>
        <v>1202.1556800000001</v>
      </c>
      <c r="O20" s="101">
        <f>+'1'!O20+'2'!O20+'4'!O20+'3'!O20+'5'!O20+'6'!O20+'7'!O20+'8'!O20+'9'!O20+'10'!O20</f>
        <v>33.332498399999999</v>
      </c>
      <c r="P20" s="120">
        <f t="shared" si="0"/>
        <v>6699.8321783999991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85</v>
      </c>
      <c r="I21" s="1">
        <f t="shared" si="1"/>
        <v>6174.4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216.10400000000004</v>
      </c>
      <c r="L21" s="175">
        <f>+'1'!L21+'2'!L21+'4'!L21+'3'!L21+'5'!L21+'6'!L21+'7'!L21+'8'!L21+'9'!L21+'10'!L21</f>
        <v>493.952</v>
      </c>
      <c r="M21" s="118">
        <f t="shared" si="2"/>
        <v>5464.3439999999991</v>
      </c>
      <c r="N21" s="101">
        <f>+'1'!N21+'2'!N21+'4'!N21+'3'!N21+'5'!N21+'6'!N21+'7'!N21+'8'!N21+'9'!N21+'10'!N21</f>
        <v>1202.1556800000001</v>
      </c>
      <c r="O21" s="101">
        <f>+'1'!O21+'2'!O21+'4'!O21+'3'!O21+'5'!O21+'6'!O21+'7'!O21+'8'!O21+'9'!O21+'10'!O21</f>
        <v>33.332498399999999</v>
      </c>
      <c r="P21" s="120">
        <f t="shared" si="0"/>
        <v>6699.8321783999991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12</v>
      </c>
      <c r="I22" s="1">
        <f t="shared" si="1"/>
        <v>470.76000000000005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16.476600000000005</v>
      </c>
      <c r="L22" s="175">
        <f>+'1'!L22+'2'!L22+'4'!L22+'3'!L22+'5'!L22+'6'!L22+'7'!L22+'8'!L22+'9'!L22+'10'!L22</f>
        <v>47.076000000000008</v>
      </c>
      <c r="M22" s="118">
        <f t="shared" si="2"/>
        <v>407.20740000000001</v>
      </c>
      <c r="N22" s="101">
        <f>+'1'!N22+'2'!N22+'4'!N22+'3'!N22+'5'!N22+'6'!N22+'7'!N22+'8'!N22+'9'!N22+'10'!N22</f>
        <v>89.585628</v>
      </c>
      <c r="O22" s="101">
        <f>+'1'!O22+'2'!O22+'4'!O22+'3'!O22+'5'!O22+'6'!O22+'7'!O22+'8'!O22+'9'!O22+'10'!O22</f>
        <v>12.419825700000001</v>
      </c>
      <c r="P22" s="120">
        <f t="shared" si="0"/>
        <v>509.21285369999998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8.9</v>
      </c>
      <c r="D25" s="215"/>
      <c r="E25" s="215"/>
      <c r="F25" s="215"/>
      <c r="G25" s="176">
        <f t="shared" ref="G25:M25" si="3">SUM(G16:G24)</f>
        <v>0</v>
      </c>
      <c r="H25" s="177">
        <f t="shared" si="3"/>
        <v>356</v>
      </c>
      <c r="I25" s="178">
        <f t="shared" si="3"/>
        <v>24167.56</v>
      </c>
      <c r="J25" s="177">
        <f t="shared" si="3"/>
        <v>0</v>
      </c>
      <c r="K25" s="178">
        <f t="shared" si="3"/>
        <v>845.86460000000011</v>
      </c>
      <c r="L25" s="179">
        <f t="shared" si="3"/>
        <v>1942.82</v>
      </c>
      <c r="M25" s="141">
        <f t="shared" si="3"/>
        <v>21378.875399999997</v>
      </c>
      <c r="N25" s="142">
        <f>SUM(N16:N24)</f>
        <v>4703.3525879999997</v>
      </c>
      <c r="O25" s="143">
        <f>SUM(O16:O24)</f>
        <v>167.53600589999996</v>
      </c>
      <c r="P25" s="144">
        <f>SUM(P16:P24)</f>
        <v>26249.7639939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26249.7639939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24167.56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1942.82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845.86460000000011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21378.875400000001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4703.3525879999997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26082.227987999999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652.05569969999999</v>
      </c>
    </row>
    <row r="43" spans="1:21" ht="15.75" customHeight="1" thickBot="1" x14ac:dyDescent="0.4">
      <c r="N43" s="213" t="s">
        <v>92</v>
      </c>
      <c r="O43" s="214"/>
      <c r="P43" s="160">
        <f>P41+P42</f>
        <v>26734.283687699997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132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/>
      <c r="K19" s="104">
        <f t="shared" si="4"/>
        <v>25.424000000000003</v>
      </c>
      <c r="L19" s="105">
        <f t="shared" si="5"/>
        <v>58.112000000000002</v>
      </c>
      <c r="M19" s="118">
        <f t="shared" si="6"/>
        <v>642.86400000000003</v>
      </c>
      <c r="N19" s="118">
        <f t="shared" si="0"/>
        <v>141.43008</v>
      </c>
      <c r="O19" s="119">
        <f t="shared" si="1"/>
        <v>3.9214704</v>
      </c>
      <c r="P19" s="120">
        <f t="shared" si="2"/>
        <v>788.21555039999998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3"/>
        <v>363.2</v>
      </c>
      <c r="J20" s="117"/>
      <c r="K20" s="104">
        <f t="shared" si="4"/>
        <v>12.712000000000002</v>
      </c>
      <c r="L20" s="105">
        <f t="shared" si="5"/>
        <v>29.056000000000001</v>
      </c>
      <c r="M20" s="118">
        <f t="shared" si="6"/>
        <v>321.43200000000002</v>
      </c>
      <c r="N20" s="118">
        <f t="shared" si="0"/>
        <v>70.715040000000002</v>
      </c>
      <c r="O20" s="119">
        <f t="shared" si="1"/>
        <v>1.9607352</v>
      </c>
      <c r="P20" s="120">
        <f t="shared" si="2"/>
        <v>394.10777519999999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3"/>
        <v>363.2</v>
      </c>
      <c r="J21" s="117"/>
      <c r="K21" s="104">
        <f t="shared" si="4"/>
        <v>12.712000000000002</v>
      </c>
      <c r="L21" s="105">
        <f t="shared" si="5"/>
        <v>29.056000000000001</v>
      </c>
      <c r="M21" s="118">
        <f t="shared" si="6"/>
        <v>321.43200000000002</v>
      </c>
      <c r="N21" s="118">
        <f t="shared" si="0"/>
        <v>70.715040000000002</v>
      </c>
      <c r="O21" s="119">
        <f t="shared" si="1"/>
        <v>1.9607352</v>
      </c>
      <c r="P21" s="120">
        <f t="shared" si="2"/>
        <v>394.10777519999999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20</v>
      </c>
      <c r="I25" s="137">
        <f t="shared" si="13"/>
        <v>1452.8</v>
      </c>
      <c r="J25" s="138"/>
      <c r="K25" s="139">
        <f t="shared" si="13"/>
        <v>50.848000000000006</v>
      </c>
      <c r="L25" s="140">
        <f t="shared" si="13"/>
        <v>116.224</v>
      </c>
      <c r="M25" s="141">
        <f t="shared" si="13"/>
        <v>1285.7280000000001</v>
      </c>
      <c r="N25" s="142">
        <f>SUM(N16:N24)</f>
        <v>282.86016000000001</v>
      </c>
      <c r="O25" s="143">
        <f>SUM(O16:O24)</f>
        <v>7.8429408</v>
      </c>
      <c r="P25" s="144">
        <f>SUM(P16:P24)</f>
        <v>1576.4311008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1452.8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116.224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50.848000000000006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1285.7280000000001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1568.58816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7.8429408</v>
      </c>
    </row>
    <row r="35" spans="2:16" ht="15.75" customHeight="1" thickBot="1" x14ac:dyDescent="0.4">
      <c r="N35" s="213" t="s">
        <v>92</v>
      </c>
      <c r="O35" s="214"/>
      <c r="P35" s="160">
        <f>P33+P34</f>
        <v>1576.4311008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B10" sqref="B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3520114555018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100</v>
      </c>
      <c r="I25" s="137">
        <f t="shared" si="9"/>
        <v>6456.9000000000005</v>
      </c>
      <c r="J25" s="138"/>
      <c r="K25" s="139">
        <f t="shared" si="9"/>
        <v>225.99150000000003</v>
      </c>
      <c r="L25" s="140">
        <f t="shared" si="9"/>
        <v>516.55200000000002</v>
      </c>
      <c r="M25" s="141">
        <f t="shared" si="9"/>
        <v>5714.3565000000008</v>
      </c>
      <c r="N25" s="142">
        <f>SUM(N16:N24)</f>
        <v>1257.15843</v>
      </c>
      <c r="O25" s="143">
        <f>SUM(O16:O24)</f>
        <v>34.857574650000004</v>
      </c>
      <c r="P25" s="144">
        <f>SUM(P16:P24)</f>
        <v>7006.3725046500003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6456.9000000000005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516.55200000000002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225.99150000000003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5714.3565000000008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1257.15843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6971.5149300000012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34.857574650000004</v>
      </c>
    </row>
    <row r="35" spans="2:16" ht="15.75" customHeight="1" thickBot="1" x14ac:dyDescent="0.4">
      <c r="N35" s="213" t="s">
        <v>92</v>
      </c>
      <c r="O35" s="214"/>
      <c r="P35" s="160">
        <f>P33+P34</f>
        <v>7006.3725046500012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127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16.993128374999998</v>
      </c>
      <c r="P16" s="105">
        <f t="shared" ref="P16:P24" si="1">M16+N16+O16</f>
        <v>696.71826337499988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2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16.993128374999998</v>
      </c>
      <c r="P17" s="120">
        <f t="shared" si="1"/>
        <v>696.71826337499988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 t="shared" si="3"/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12.419825700000001</v>
      </c>
      <c r="P22" s="120">
        <f t="shared" si="1"/>
        <v>509.21285369999998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36</v>
      </c>
      <c r="I25" s="137">
        <f t="shared" si="9"/>
        <v>1729.86</v>
      </c>
      <c r="J25" s="138"/>
      <c r="K25" s="139">
        <f t="shared" si="9"/>
        <v>60.545100000000005</v>
      </c>
      <c r="L25" s="140">
        <f t="shared" si="9"/>
        <v>147.804</v>
      </c>
      <c r="M25" s="141">
        <f t="shared" si="9"/>
        <v>1521.5108999999998</v>
      </c>
      <c r="N25" s="142">
        <f>SUM(N16:N24)</f>
        <v>334.73239799999993</v>
      </c>
      <c r="O25" s="143">
        <f>SUM(O16:O24)</f>
        <v>46.40608245</v>
      </c>
      <c r="P25" s="144">
        <f>SUM(P16:P24)</f>
        <v>1902.6493804499996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1729.86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147.804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60.545100000000005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1521.5108999999998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334.73239799999993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1856.2432979999996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46.406082449999992</v>
      </c>
    </row>
    <row r="35" spans="2:16" ht="15.75" customHeight="1" thickBot="1" x14ac:dyDescent="0.4">
      <c r="N35" s="213" t="s">
        <v>92</v>
      </c>
      <c r="O35" s="214"/>
      <c r="P35" s="160">
        <f>P33+P34</f>
        <v>1902.6493804499996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129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34601123341403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1697.1609600000002</v>
      </c>
      <c r="O25" s="143">
        <f>SUM(O16:O24)</f>
        <v>47.057644799999998</v>
      </c>
      <c r="P25" s="144">
        <f>SUM(P16:P24)</f>
        <v>9458.5866047999989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8716.7999999999993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697.34400000000005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305.08800000000002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7714.3679999999995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1697.1609600000002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9411.5289599999996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47.057644799999998</v>
      </c>
    </row>
    <row r="35" spans="2:16" ht="15.75" customHeight="1" thickBot="1" x14ac:dyDescent="0.4">
      <c r="N35" s="213" t="s">
        <v>92</v>
      </c>
      <c r="O35" s="214"/>
      <c r="P35" s="160">
        <f>P33+P34</f>
        <v>9458.5866047999989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131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3520114555018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1131.44064</v>
      </c>
      <c r="O25" s="143">
        <f>SUM(O16:O24)</f>
        <v>31.3717632</v>
      </c>
      <c r="P25" s="144">
        <f>SUM(P16:P24)</f>
        <v>6305.7244031999999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5811.2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464.89600000000002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203.39200000000002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5142.9120000000003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1131.44064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6274.3526400000001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31.3717632</v>
      </c>
    </row>
    <row r="35" spans="2:16" ht="15.75" customHeight="1" thickBot="1" x14ac:dyDescent="0.4">
      <c r="N35" s="213" t="s">
        <v>92</v>
      </c>
      <c r="O35" s="214"/>
      <c r="P35" s="160">
        <f>P33+P34</f>
        <v>6305.7244031999999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13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A22:XFD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2026-07-06T04:40:03Z</dcterms:modified>
</cp:coreProperties>
</file>