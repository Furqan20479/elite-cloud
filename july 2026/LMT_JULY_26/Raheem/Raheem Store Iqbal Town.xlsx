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D61F450-1078-4144-AE29-8344A8696736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22" i="17"/>
  <c r="K23" i="17"/>
  <c r="K24" i="17"/>
  <c r="K16" i="17"/>
  <c r="L20" i="17"/>
  <c r="L17" i="19"/>
  <c r="L20" i="19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I24" i="17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17" l="1"/>
  <c r="K21" i="23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M19" i="17"/>
  <c r="N19" i="17" s="1"/>
  <c r="O19" i="17" s="1"/>
  <c r="P19" i="17" s="1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L18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M22" i="17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8" i="16"/>
  <c r="K18" i="15" s="1"/>
  <c r="L18" i="16"/>
  <c r="L18" i="15" s="1"/>
  <c r="K16" i="16"/>
  <c r="L16" i="16"/>
  <c r="M16" i="16" s="1"/>
  <c r="N16" i="16" s="1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L16" i="15" l="1"/>
  <c r="P31" i="24"/>
  <c r="M25" i="19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<sst xmlns="http://schemas.openxmlformats.org/spreadsheetml/2006/main" count="1580" uniqueCount="107">
  <si>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</si>
  <si>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</si>
  <si>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</si>
  <si>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</si>
  <si>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</si>
  <si>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</si>
  <si>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</si>
  <si>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</si>
  <si>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</si>
  <si>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</si>
  <si>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</si>
  <si>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</si>
  <si>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</si>
  <si>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</si>
  <si>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</si>
  <si>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</si>
  <si>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</si>
  <si>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</si>
  <si>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</si>
  <si>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</si>
  <si>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</si>
  <si>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</si>
  <si>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</si>
  <si>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</si>
  <si>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</si>
  <si>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</si>
  <si>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</si>
  <si>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</si>
  <si>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</si>
  <si>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</si>
  <si>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</si>
  <si>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</si>
  <si>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</si>
  <si>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</si>
  <si>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</si>
  <si>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</si>
  <si>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</si>
  <si>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</si>
  <si>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</si>
  <si>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</si>
  <si>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</si>
  <si>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</si>
  <si>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</si>
  <si>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</si>
  <si>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</si>
  <si>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</si>
  <si>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</si>
  <si>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</si>
  <si>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</si>
  <si>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</si>
  <si>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</si>
  <si>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</si>
  <si>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</si>
  <si>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</si>
  <si>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</si>
  <si>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</si>
  <si>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</si>
  <si>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</si>
  <si>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</si>
  <si>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</si>
  <si>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</si>
  <si>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</si>
  <si>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</si>
  <si>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</si>
  <si>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</si>
  <si>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</si>
  <si>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</si>
  <si>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</si>
  <si>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</si>
  <si>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</si>
  <si>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</si>
  <si>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</si>
  <si>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</si>
  <si>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</si>
  <si>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</si>
  <si>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</si>
  <si>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</si>
  <si>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</si>
  <si>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</si>
  <si>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</si>
  <si>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</si>
  <si>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</si>
  <si>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</si>
  <si>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</si>
  <si>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</si>
  <si>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</si>
  <si>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</si>
  <si>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</si>
  <si>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</si>
  <si>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</si>
  <si>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</si>
  <si>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</si>
  <si>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</si>
  <si>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</si>
  <si>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</si>
  <si>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</si>
  <si>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</si>
  <si>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</si>
  <si>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</si>
  <si>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</si>
  <si>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</si>
  <si>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</si>
  <si>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</si>
  <si>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>Customer Name : Raheem Store</t>
  </si>
  <si>
    <t xml:space="preserve">Address: Iqbal Town </t>
  </si>
  <si>
    <t>A244322-8</t>
  </si>
  <si>
    <t>Raheem Iqbal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</si>
</sst>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165" fontId="0" fillId="0" borderId="0" xfId="0" applyNumberFormat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23" zoomScale="70" zoomScaleNormal="70" workbookViewId="0">
      <selection activeCell="S37" sqref="S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106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102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59431.627538999994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35060.582056499996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220.34250000000003</v>
      </c>
      <c r="L16" s="174">
        <f>+'1'!L16+'2'!L16+'4'!L16+'3'!L16+'5'!L16+'6'!L16+'7'!L16+'8'!L16+'9'!L16+'10'!L16</f>
        <v>1468.9500000000003</v>
      </c>
      <c r="M16" s="105">
        <f>I16-K16-L16</f>
        <v>8803.2074999999986</v>
      </c>
      <c r="N16" s="100">
        <f>+'1'!N16+'2'!N16+'4'!N16+'3'!N16+'5'!N16+'6'!N16+'7'!N16+'8'!N16+'9'!N16+'10'!N16</f>
        <v>1584.57735</v>
      </c>
      <c r="O16" s="100">
        <f>+'1'!O16+'2'!O16+'4'!O16+'3'!O16+'5'!O16+'6'!O16+'7'!O16+'8'!O16+'9'!O16+'10'!O16</f>
        <v>51.938924250000007</v>
      </c>
      <c r="P16" s="104">
        <f t="shared" ref="P16:P24" si="0">M16+N16+O16</f>
        <v>10439.723774249998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5193.7875000000004</v>
      </c>
      <c r="N17" s="100">
        <f>+'1'!N17+'2'!N17+'4'!N17+'3'!N17+'5'!N17+'6'!N17+'7'!N17+'8'!N17+'9'!N17+'10'!N17</f>
        <v>934.88175000000001</v>
      </c>
      <c r="O17" s="100">
        <f>+'1'!O17+'2'!O17+'4'!O17+'3'!O17+'5'!O17+'6'!O17+'7'!O17+'8'!O17+'9'!O17+'10'!O17</f>
        <v>30.643346250000004</v>
      </c>
      <c r="P17" s="119">
        <f t="shared" si="0"/>
        <v>6159.3125962500008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360</v>
      </c>
      <c r="I19" s="1">
        <f t="shared" si="1"/>
        <v>26150.400000000001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406.78400000000005</v>
      </c>
      <c r="L19" s="174">
        <f>+'1'!L19+'2'!L19+'4'!L19+'3'!L19+'5'!L19+'6'!L19+'7'!L19+'8'!L19+'9'!L19+'10'!L19</f>
        <v>3661.0560000000005</v>
      </c>
      <c r="M19" s="117">
        <f t="shared" si="2"/>
        <v>22082.560000000001</v>
      </c>
      <c r="N19" s="100">
        <f>+'1'!N19+'2'!N19+'4'!N19+'3'!N19+'5'!N19+'6'!N19+'7'!N19+'8'!N19+'9'!N19+'10'!N19</f>
        <v>3974.8607999999999</v>
      </c>
      <c r="O19" s="100">
        <f>+'1'!O19+'2'!O19+'4'!O19+'3'!O19+'5'!O19+'6'!O19+'7'!O19+'8'!O19+'9'!O19+'10'!O19</f>
        <v>130.287104</v>
      </c>
      <c r="P19" s="119">
        <f t="shared" si="0"/>
        <v>26187.707903999999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560</v>
      </c>
      <c r="I21" s="1">
        <f t="shared" si="1"/>
        <v>40678.400000000001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406.78400000000005</v>
      </c>
      <c r="L21" s="174">
        <f>+'1'!L21+'2'!L21+'4'!L21+'3'!L21+'5'!L21+'6'!L21+'7'!L21+'8'!L21+'9'!L21+'10'!L21</f>
        <v>5694.9760000000006</v>
      </c>
      <c r="M21" s="117">
        <f t="shared" si="2"/>
        <v>34576.639999999999</v>
      </c>
      <c r="N21" s="100">
        <f>+'1'!N21+'2'!N21+'4'!N21+'3'!N21+'5'!N21+'6'!N21+'7'!N21+'8'!N21+'9'!N21+'10'!N21</f>
        <v>6223.7952000000005</v>
      </c>
      <c r="O21" s="100">
        <f>+'1'!O21+'2'!O21+'4'!O21+'3'!O21+'5'!O21+'6'!O21+'7'!O21+'8'!O21+'9'!O21+'10'!O21</f>
        <v>204.00217600000002</v>
      </c>
      <c r="P21" s="119">
        <f t="shared" si="0"/>
        <v>41004.437376000002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36</v>
      </c>
      <c r="D25" s="222"/>
      <c r="E25" s="222"/>
      <c r="F25" s="222"/>
      <c r="G25" s="175">
        <f t="shared" ref="G25:M25" si="3">SUM(G16:G24)</f>
        <v>0</v>
      </c>
      <c r="H25" s="176">
        <f t="shared" si="3"/>
        <v>1440</v>
      </c>
      <c r="I25" s="177">
        <f t="shared" si="3"/>
        <v>94109.3</v>
      </c>
      <c r="J25" s="176">
        <f t="shared" si="3"/>
        <v>0</v>
      </c>
      <c r="K25" s="177">
        <f t="shared" si="3"/>
        <v>1254.2530000000002</v>
      </c>
      <c r="L25" s="178">
        <f t="shared" si="3"/>
        <v>13175.302000000001</v>
      </c>
      <c r="M25" s="140">
        <f t="shared" si="3"/>
        <v>79679.744999999995</v>
      </c>
      <c r="N25" s="141">
        <f>SUM(N16:N24)</f>
        <v>14342.3541</v>
      </c>
      <c r="O25" s="142">
        <f>SUM(O16:O24)</f>
        <v>470.11049550000001</v>
      </c>
      <c r="P25" s="143">
        <f>SUM(P16:P24)</f>
        <v>94492.209595499997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94492.209595499997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94109.3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13175.302000000001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1254.2530000000002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79679.74500000001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14342.3541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94022.099100000007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2350.5524775000004</v>
      </c>
    </row>
    <row r="42" spans="1:21" ht="15.75" customHeight="1" thickBot="1" x14ac:dyDescent="0.4">
      <c r="N42" s="220" t="s">
        <v>92</v>
      </c>
      <c r="O42" s="221"/>
      <c r="P42" s="159">
        <f>P40+P41</f>
        <v>96372.651577500001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 t="shared" ref="I16:I22" si="0"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1">(M16*$N$15)+(J16*F16)*$N$15</f>
        <v>649.69560000000001</v>
      </c>
      <c r="O16" s="106">
        <f t="shared" ref="O16:O24" si="2">(N16+M16)*$O$15</f>
        <v>21.295578000000003</v>
      </c>
      <c r="P16" s="104">
        <f t="shared" ref="P16:P24" si="3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si="0"/>
        <v>0</v>
      </c>
      <c r="J17" s="116"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1"/>
        <v>0</v>
      </c>
      <c r="O17" s="118">
        <f t="shared" si="2"/>
        <v>0</v>
      </c>
      <c r="P17" s="119">
        <f t="shared" si="3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0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1"/>
        <v>1624.2389999999998</v>
      </c>
      <c r="O18" s="118">
        <f t="shared" si="2"/>
        <v>53.238944999999994</v>
      </c>
      <c r="P18" s="119">
        <f t="shared" si="3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0"/>
        <v>14528</v>
      </c>
      <c r="J19" s="116">
        <v>0</v>
      </c>
      <c r="K19" s="1">
        <f t="shared" si="4"/>
        <v>0</v>
      </c>
      <c r="L19" s="104">
        <f t="shared" si="5"/>
        <v>2033.9200000000003</v>
      </c>
      <c r="M19" s="117">
        <f t="shared" si="6"/>
        <v>12494.08</v>
      </c>
      <c r="N19" s="117">
        <f t="shared" si="1"/>
        <v>2248.9344000000001</v>
      </c>
      <c r="O19" s="118">
        <f t="shared" si="2"/>
        <v>73.715072000000006</v>
      </c>
      <c r="P19" s="119">
        <f t="shared" si="3"/>
        <v>14816.729472000001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0"/>
        <v>0</v>
      </c>
      <c r="J20" s="116"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1"/>
        <v>0</v>
      </c>
      <c r="O20" s="118">
        <f t="shared" si="2"/>
        <v>0</v>
      </c>
      <c r="P20" s="119">
        <f t="shared" si="3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0"/>
        <v>29056</v>
      </c>
      <c r="J21" s="116">
        <v>0</v>
      </c>
      <c r="K21" s="1">
        <f t="shared" si="4"/>
        <v>0</v>
      </c>
      <c r="L21" s="104">
        <f t="shared" si="5"/>
        <v>4067.8400000000006</v>
      </c>
      <c r="M21" s="117">
        <f t="shared" si="6"/>
        <v>24988.16</v>
      </c>
      <c r="N21" s="117">
        <f t="shared" si="1"/>
        <v>4497.8688000000002</v>
      </c>
      <c r="O21" s="118">
        <f t="shared" si="2"/>
        <v>147.43014400000001</v>
      </c>
      <c r="P21" s="119">
        <f t="shared" si="3"/>
        <v>29633.458944000002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0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1"/>
        <v>0</v>
      </c>
      <c r="O22" s="118">
        <f t="shared" si="2"/>
        <v>0</v>
      </c>
      <c r="P22" s="119">
        <f t="shared" si="3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ref="I23" si="7">(G23*D23)*F23+H23*F23</f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1"/>
        <v>0</v>
      </c>
      <c r="O23" s="118">
        <f t="shared" si="2"/>
        <v>0</v>
      </c>
      <c r="P23" s="119">
        <f t="shared" si="3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1"/>
        <v>0</v>
      </c>
      <c r="O24" s="133">
        <f t="shared" si="2"/>
        <v>0</v>
      </c>
      <c r="P24" s="131">
        <f t="shared" si="3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>SUM(H16:H24)</f>
        <v>880</v>
      </c>
      <c r="I25" s="136">
        <f t="shared" si="10"/>
        <v>58273.5</v>
      </c>
      <c r="J25" s="182">
        <f>SUM(J16:J21)</f>
        <v>0</v>
      </c>
      <c r="K25" s="138">
        <f t="shared" si="10"/>
        <v>0</v>
      </c>
      <c r="L25" s="139">
        <f t="shared" si="10"/>
        <v>8158.2900000000009</v>
      </c>
      <c r="M25" s="140">
        <f t="shared" si="10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58273.5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8158.2900000000009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50115.21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9020.737799999999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59135.947799999994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295.67973899999998</v>
      </c>
    </row>
    <row r="35" spans="2:16" ht="15.75" customHeight="1" thickBot="1" x14ac:dyDescent="0.4">
      <c r="N35" s="220" t="s">
        <v>92</v>
      </c>
      <c r="O35" s="221"/>
      <c r="P35" s="159">
        <f>P33+P34</f>
        <v>59431.627538999994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36328125" bestFit="1" customWidth="1"/>
    <col min="13" max="13" width="5.81640625" bestFit="1" customWidth="1"/>
    <col min="14" max="14" width="4.81640625" style="69" bestFit="1" customWidth="1"/>
    <col min="15" max="15" width="6.363281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>
        <v>0</v>
      </c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>(N16+M16)*$O$15</f>
        <v>30.643346250000004</v>
      </c>
      <c r="P16" s="104">
        <f t="shared" ref="P16:P24" si="1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2">(G17*D17)*F17+H17*F17</f>
        <v>6295.5</v>
      </c>
      <c r="J17" s="116">
        <v>0</v>
      </c>
      <c r="K17" s="103">
        <f t="shared" ref="K17:K24" si="3">I17*3.5%</f>
        <v>220.34250000000003</v>
      </c>
      <c r="L17" s="104">
        <f t="shared" ref="L17:L21" si="4">I17*14%</f>
        <v>881.37000000000012</v>
      </c>
      <c r="M17" s="117">
        <f t="shared" ref="M17:M23" si="5">I17-K17-L17</f>
        <v>5193.7875000000004</v>
      </c>
      <c r="N17" s="117">
        <f t="shared" si="0"/>
        <v>934.88175000000001</v>
      </c>
      <c r="O17" s="118">
        <f t="shared" ref="O17:O24" si="6">(N17+M17)*$O$15</f>
        <v>30.643346250000004</v>
      </c>
      <c r="P17" s="119">
        <f t="shared" si="1"/>
        <v>6159.3125962500008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2"/>
        <v>11622.4</v>
      </c>
      <c r="J19" s="116">
        <v>0</v>
      </c>
      <c r="K19" s="103">
        <f t="shared" si="3"/>
        <v>406.78400000000005</v>
      </c>
      <c r="L19" s="104">
        <f t="shared" si="4"/>
        <v>1627.1360000000002</v>
      </c>
      <c r="M19" s="117">
        <f t="shared" si="5"/>
        <v>9588.48</v>
      </c>
      <c r="N19" s="117">
        <f t="shared" si="0"/>
        <v>1725.9263999999998</v>
      </c>
      <c r="O19" s="118">
        <f t="shared" si="6"/>
        <v>56.572032</v>
      </c>
      <c r="P19" s="119">
        <f t="shared" si="1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16">
        <v>0</v>
      </c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03">
        <f t="shared" si="3"/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8">SUM(G16:G24)</f>
        <v>0</v>
      </c>
      <c r="H25" s="135">
        <f t="shared" si="8"/>
        <v>560</v>
      </c>
      <c r="I25" s="136">
        <f t="shared" si="8"/>
        <v>35835.800000000003</v>
      </c>
      <c r="J25" s="137"/>
      <c r="K25" s="138">
        <f t="shared" si="8"/>
        <v>1254.2530000000002</v>
      </c>
      <c r="L25" s="139">
        <f t="shared" si="8"/>
        <v>5017.0120000000006</v>
      </c>
      <c r="M25" s="140">
        <f t="shared" si="8"/>
        <v>29564.535</v>
      </c>
      <c r="N25" s="141">
        <f>SUM(N16:N24)</f>
        <v>5321.6162999999997</v>
      </c>
      <c r="O25" s="142">
        <f>SUM(O16:O24)</f>
        <v>174.4307565</v>
      </c>
      <c r="P25" s="143">
        <f>SUM(P16:P24)</f>
        <v>35060.582056500003</v>
      </c>
      <c r="S25" s="254"/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35835.800000000003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5017.0120000000006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1254.2530000000002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29564.535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5321.6162999999997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34886.151299999998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174.4307565</v>
      </c>
    </row>
    <row r="35" spans="2:16" ht="15.75" customHeight="1" thickBot="1" x14ac:dyDescent="0.4">
      <c r="N35" s="220" t="s">
        <v>92</v>
      </c>
      <c r="O35" s="221"/>
      <c r="P35" s="159">
        <f>P33+P34</f>
        <v>35060.582056499996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46206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2026-07-04T08:55:48Z</dcterms:modified>
</cp:coreProperties>
</file>