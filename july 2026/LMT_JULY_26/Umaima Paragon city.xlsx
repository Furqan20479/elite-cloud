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DD49DDE9-EECC-4800-850F-6635D1CB186F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H17" i="15" l="1"/>
  <c r="H18" i="15"/>
  <c r="H19" i="15"/>
  <c r="H20" i="15"/>
  <c r="H21" i="15"/>
  <c r="H22" i="15"/>
  <c r="H23" i="15"/>
  <c r="H24" i="15"/>
  <c r="H16" i="15"/>
  <c r="T31" i="15"/>
  <c r="T30" i="15"/>
  <c r="T29" i="15"/>
  <c r="J25" i="16"/>
  <c r="J17" i="15"/>
  <c r="J18" i="15"/>
  <c r="J19" i="15"/>
  <c r="J20" i="15"/>
  <c r="J21" i="15"/>
  <c r="J22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K18" i="31" s="1"/>
  <c r="I19" i="31"/>
  <c r="K19" i="31" s="1"/>
  <c r="I20" i="31"/>
  <c r="I21" i="31"/>
  <c r="I22" i="31"/>
  <c r="K22" i="31" s="1"/>
  <c r="I23" i="31"/>
  <c r="K23" i="31" s="1"/>
  <c r="I24" i="31"/>
  <c r="I23" i="32"/>
  <c r="I22" i="33"/>
  <c r="I16" i="34"/>
  <c r="I17" i="34"/>
  <c r="L17" i="34" s="1"/>
  <c r="I18" i="34"/>
  <c r="I19" i="34"/>
  <c r="L19" i="34" s="1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L22" i="29" s="1"/>
  <c r="I23" i="29"/>
  <c r="L23" i="29" s="1"/>
  <c r="I24" i="29"/>
  <c r="I24" i="32"/>
  <c r="I19" i="33"/>
  <c r="L19" i="33" s="1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K18" i="34"/>
  <c r="L18" i="34"/>
  <c r="K21" i="34"/>
  <c r="L21" i="34"/>
  <c r="K22" i="34"/>
  <c r="L22" i="34"/>
  <c r="K23" i="34"/>
  <c r="M23" i="34"/>
  <c r="L23" i="34"/>
  <c r="K24" i="34"/>
  <c r="K21" i="33"/>
  <c r="L21" i="33"/>
  <c r="K22" i="33"/>
  <c r="L22" i="33"/>
  <c r="K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L19" i="31"/>
  <c r="K21" i="31"/>
  <c r="L21" i="31"/>
  <c r="K24" i="31"/>
  <c r="L24" i="31"/>
  <c r="M24" i="31" s="1"/>
  <c r="K16" i="31"/>
  <c r="L16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3" l="1"/>
  <c r="L22" i="31"/>
  <c r="M21" i="35"/>
  <c r="L20" i="34"/>
  <c r="K19" i="34"/>
  <c r="M19" i="34" s="1"/>
  <c r="N19" i="34" s="1"/>
  <c r="O19" i="34" s="1"/>
  <c r="I25" i="34"/>
  <c r="P28" i="34" s="1"/>
  <c r="M17" i="31"/>
  <c r="M22" i="31"/>
  <c r="N22" i="31" s="1"/>
  <c r="O22" i="31" s="1"/>
  <c r="P22" i="31" s="1"/>
  <c r="M22" i="29"/>
  <c r="M23" i="33"/>
  <c r="I16" i="26"/>
  <c r="K16" i="26" s="1"/>
  <c r="I17" i="26"/>
  <c r="I18" i="26"/>
  <c r="K18" i="26" s="1"/>
  <c r="I19" i="26"/>
  <c r="I20" i="26"/>
  <c r="L20" i="26" s="1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N17" i="32" s="1"/>
  <c r="O17" i="32" s="1"/>
  <c r="K16" i="34"/>
  <c r="M16" i="34" s="1"/>
  <c r="N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28"/>
  <c r="N19" i="28" s="1"/>
  <c r="O19" i="28" s="1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N23" i="34"/>
  <c r="O23" i="34" s="1"/>
  <c r="P23" i="34" s="1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K25" i="31"/>
  <c r="P30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K23" i="26"/>
  <c r="L23" i="26"/>
  <c r="K20" i="26"/>
  <c r="K21" i="26"/>
  <c r="L21" i="26"/>
  <c r="K24" i="26"/>
  <c r="L24" i="26"/>
  <c r="M24" i="26" s="1"/>
  <c r="L16" i="26"/>
  <c r="T23" i="15"/>
  <c r="T22" i="15"/>
  <c r="T21" i="15"/>
  <c r="T20" i="15"/>
  <c r="T19" i="15"/>
  <c r="T18" i="15"/>
  <c r="T17" i="15"/>
  <c r="T16" i="15"/>
  <c r="T15" i="15"/>
  <c r="T14" i="15"/>
  <c r="L18" i="26" l="1"/>
  <c r="K25" i="34"/>
  <c r="P30" i="34" s="1"/>
  <c r="L22" i="26"/>
  <c r="I25" i="26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L17" i="25" s="1"/>
  <c r="I18" i="25"/>
  <c r="K18" i="25" s="1"/>
  <c r="I19" i="25"/>
  <c r="I20" i="25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I21" i="19"/>
  <c r="L21" i="19" s="1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20" i="25"/>
  <c r="L20" i="25"/>
  <c r="K16" i="25"/>
  <c r="L16" i="25"/>
  <c r="K24" i="25"/>
  <c r="L22" i="25"/>
  <c r="K17" i="25"/>
  <c r="L23" i="25"/>
  <c r="K23" i="25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1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18" l="1"/>
  <c r="I25" i="25"/>
  <c r="P28" i="25" s="1"/>
  <c r="L18" i="25"/>
  <c r="K17" i="24"/>
  <c r="K22" i="18"/>
  <c r="M22" i="18" s="1"/>
  <c r="L22" i="19"/>
  <c r="L18" i="17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25" i="25" s="1"/>
  <c r="P30" i="25" s="1"/>
  <c r="K16" i="24"/>
  <c r="K18" i="18"/>
  <c r="M18" i="18" s="1"/>
  <c r="K21" i="20"/>
  <c r="M21" i="20" s="1"/>
  <c r="N21" i="20" s="1"/>
  <c r="O21" i="20" s="1"/>
  <c r="L21" i="21"/>
  <c r="M21" i="21" s="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N24" i="24"/>
  <c r="O24" i="24" s="1"/>
  <c r="K25" i="24"/>
  <c r="P30" i="24" s="1"/>
  <c r="N18" i="22"/>
  <c r="O18" i="22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5" i="19" l="1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M16" i="15" s="1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5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0" l="1"/>
  <c r="M22" i="15"/>
  <c r="N16" i="18"/>
  <c r="N16" i="15" s="1"/>
  <c r="M18" i="16"/>
  <c r="N18" i="16" s="1"/>
  <c r="O18" i="16" s="1"/>
  <c r="O18" i="15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0" i="15" l="1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22" i="15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<sst xmlns="http://schemas.openxmlformats.org/spreadsheetml/2006/main" count="1579" uniqueCount="108">
  <si>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</si>
  <si>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</si>
  <si>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</si>
  <si>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</si>
  <si>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</si>
  <si>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</si>
  <si>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</si>
  <si>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</si>
  <si>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</si>
  <si>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</si>
  <si>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</si>
  <si>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</si>
  <si>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</si>
  <si>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</si>
  <si>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</si>
  <si>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</si>
  <si>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</si>
  <si>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</si>
  <si>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</si>
  <si>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</si>
  <si>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</si>
  <si>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</si>
  <si>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</si>
  <si>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</si>
  <si>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</si>
  <si>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</si>
  <si>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</si>
  <si>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</si>
  <si>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</si>
  <si>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</si>
  <si>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</si>
  <si>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</si>
  <si>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</si>
  <si>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</si>
  <si>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</si>
  <si>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</si>
  <si>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</si>
  <si>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</si>
  <si>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</si>
  <si>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</si>
  <si>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</si>
  <si>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</si>
  <si>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</si>
  <si>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</si>
  <si>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</si>
  <si>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</si>
  <si>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</si>
  <si>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</si>
  <si>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</si>
  <si>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</si>
  <si>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</si>
  <si>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</si>
  <si>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</si>
  <si>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</si>
  <si>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</si>
  <si>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</si>
  <si>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</si>
  <si>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</si>
  <si>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</si>
  <si>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</si>
  <si>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</si>
  <si>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</si>
  <si>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</si>
  <si>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</si>
  <si>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</si>
  <si>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</si>
  <si>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</si>
  <si>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</si>
  <si>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</si>
  <si>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</si>
  <si>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</si>
  <si>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</si>
  <si>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</si>
  <si>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</si>
  <si>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</si>
  <si>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</si>
  <si>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</si>
  <si>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</si>
  <si>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</si>
  <si>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</si>
  <si>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</si>
  <si>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</si>
  <si>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</si>
  <si>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</si>
  <si>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</si>
  <si>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</si>
  <si>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</si>
  <si>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</si>
  <si>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</si>
  <si>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</si>
  <si>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</si>
  <si>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</si>
  <si>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</si>
  <si>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</si>
  <si>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</si>
  <si>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</si>
  <si>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</si>
  <si>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</si>
  <si>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</si>
  <si>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</si>
  <si>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</si>
  <si>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</si>
  <si>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</si>
  <si>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</si>
  <si>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Shop Bill Summary (LMT)</t>
  </si>
  <si>
    <t>Umaima paragon city</t>
  </si>
  <si>
    <t>Customer Name : Umaima paragon city</t>
  </si>
  <si>
    <t>Address: Paragon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</si>
</sst>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I13" sqref="I13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I13" sqref="I13"/>
      <selection pane="topRight" activeCell="I13" sqref="I13"/>
      <selection pane="bottomLeft" activeCell="I13" sqref="I13"/>
      <selection pane="bottomRight" activeCell="I13" sqref="I13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zoomScale="70" zoomScaleNormal="70" workbookViewId="0">
      <selection activeCell="A10" sqref="A10:A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00" t="s">
        <v>45</v>
      </c>
      <c r="B2" s="200"/>
      <c r="C2" s="200"/>
    </row>
    <row r="3" spans="1:21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5" t="s">
        <v>105</v>
      </c>
      <c r="B5" s="205"/>
      <c r="C5" s="205"/>
      <c r="F5" s="70"/>
      <c r="G5" s="71"/>
      <c r="K5" s="202" t="s">
        <v>51</v>
      </c>
      <c r="L5" s="202"/>
      <c r="M5" s="202"/>
      <c r="N5" s="203">
        <f ca="1">N4-1</f>
        <v>46203</v>
      </c>
      <c r="O5" s="201"/>
      <c r="P5" s="201"/>
      <c r="R5" s="70"/>
      <c r="S5" s="71"/>
    </row>
    <row r="6" spans="1:21 16383:16384" ht="15" customHeight="1" x14ac:dyDescent="0.35">
      <c r="A6" s="205"/>
      <c r="B6" s="205"/>
      <c r="C6" s="205"/>
      <c r="F6" s="70"/>
      <c r="G6" s="74"/>
      <c r="K6" s="202" t="s">
        <v>52</v>
      </c>
      <c r="L6" s="202"/>
      <c r="M6" s="202"/>
      <c r="N6" s="204" t="s">
        <v>42</v>
      </c>
      <c r="O6" s="204"/>
      <c r="P6" s="204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21 16383:16384" hidden="1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21 16383:16384" x14ac:dyDescent="0.35">
      <c r="A10" s="207"/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21 16383:16384" ht="15" thickBot="1" x14ac:dyDescent="0.4">
      <c r="A11" s="207"/>
      <c r="B11" s="76"/>
      <c r="C11" s="77"/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21 16383:16384" ht="14.65" customHeight="1" x14ac:dyDescent="0.35">
      <c r="A12" s="207"/>
      <c r="B12" s="76"/>
      <c r="C12" s="77"/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T12" s="216" t="s">
        <v>104</v>
      </c>
      <c r="U12" s="217"/>
      <c r="XFD12" t="s">
        <v>62</v>
      </c>
    </row>
    <row r="13" spans="1:21 16383:16384" ht="15" thickBot="1" x14ac:dyDescent="0.4">
      <c r="A13" s="244"/>
      <c r="J13" s="78"/>
      <c r="K13" s="78"/>
      <c r="L13" s="79">
        <v>0.05</v>
      </c>
      <c r="T13" s="218"/>
      <c r="U13" s="219"/>
      <c r="XFD13" t="s">
        <v>63</v>
      </c>
    </row>
    <row r="14" spans="1:21 16383:16384" ht="29.25" customHeight="1" x14ac:dyDescent="0.6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10" t="s">
        <v>68</v>
      </c>
      <c r="H14" s="211"/>
      <c r="I14" s="211" t="s">
        <v>69</v>
      </c>
      <c r="J14" s="211" t="s">
        <v>70</v>
      </c>
      <c r="K14" s="211"/>
      <c r="L14" s="213"/>
      <c r="M14" s="214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Umaima paragon city</v>
      </c>
      <c r="U14" s="164">
        <f>+'1'!P35</f>
        <v>14089.317386400002</v>
      </c>
      <c r="XFD14" t="s">
        <v>75</v>
      </c>
    </row>
    <row r="15" spans="1:21 16383:16384" ht="29.25" customHeight="1" thickBot="1" x14ac:dyDescent="0.65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2"/>
      <c r="J15" s="171" t="s">
        <v>78</v>
      </c>
      <c r="K15" s="171" t="s">
        <v>79</v>
      </c>
      <c r="L15" s="174" t="s">
        <v>80</v>
      </c>
      <c r="M15" s="21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</f>
        <v>40</v>
      </c>
      <c r="I16" s="1">
        <f>(G16*D16)*F16+H16*F16</f>
        <v>2098.5</v>
      </c>
      <c r="J16" s="172">
        <f>+'1'!J16+'2'!J16+'4'!J16+'3'!J16+'5'!J16+'6'!J16+'7'!J16+'8'!J16+'9'!J16+'10'!J16+'11'!J16+'12'!J16+'13'!J16+'14'!J16+'15'!J16+'16'!J16+'17'!J16+'18'!J16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167.88</v>
      </c>
      <c r="M16" s="106">
        <f>I16-K16-L16</f>
        <v>1930.62</v>
      </c>
      <c r="N16" s="101">
        <f>+'1'!N16+'2'!N16+'4'!N16+'3'!N16+'5'!N16+'6'!N16+'7'!N16+'8'!N16+'9'!N16+'10'!N16</f>
        <v>347.51159999999999</v>
      </c>
      <c r="O16" s="101">
        <f>+'1'!O16+'2'!O16+'4'!O16+'3'!O16+'5'!O16+'6'!O16+'7'!O16+'8'!O16+'9'!O16+'10'!O16</f>
        <v>11.390657999999998</v>
      </c>
      <c r="P16" s="105">
        <f t="shared" ref="P16:P24" si="0">M16+N16+O16</f>
        <v>2289.5222579999995</v>
      </c>
      <c r="Q16" s="108"/>
      <c r="T16" s="163" t="str">
        <f>+'4'!A5</f>
        <v xml:space="preserve">Customer Name : </v>
      </c>
      <c r="U16" s="164">
        <f>+'4'!P35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</f>
        <v>40</v>
      </c>
      <c r="I17" s="1">
        <f t="shared" ref="I17:I23" si="1">(G17*D17)*F17+H17*F17</f>
        <v>2098.5</v>
      </c>
      <c r="J17" s="172">
        <f>+'1'!J17+'2'!J17+'4'!J17+'3'!J17+'5'!J17+'6'!J17+'7'!J17+'8'!J17+'9'!J17+'10'!J17+'11'!J17+'12'!J17+'13'!J17+'14'!J17+'15'!J17+'16'!J17+'17'!J17+'18'!J17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167.88</v>
      </c>
      <c r="M17" s="118">
        <f t="shared" ref="M17:M23" si="2">I17-K17-L17</f>
        <v>1930.62</v>
      </c>
      <c r="N17" s="101">
        <f>+'1'!N17+'2'!N17+'4'!N17+'3'!N17+'5'!N17+'6'!N17+'7'!N17+'8'!N17+'9'!N17+'10'!N17</f>
        <v>347.51159999999999</v>
      </c>
      <c r="O17" s="101">
        <f>+'1'!O17+'2'!O17+'4'!O17+'3'!O17+'5'!O17+'6'!O17+'7'!O17+'8'!O17+'9'!O17+'10'!O17</f>
        <v>11.390657999999998</v>
      </c>
      <c r="P17" s="120">
        <f t="shared" si="0"/>
        <v>2289.5222579999995</v>
      </c>
      <c r="S17" s="64"/>
      <c r="T17" s="163" t="str">
        <f>+'3'!A5</f>
        <v xml:space="preserve">Customer Name : </v>
      </c>
      <c r="U17" s="164">
        <f>+'3'!P35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</f>
        <v>40</v>
      </c>
      <c r="I19" s="1">
        <f t="shared" si="1"/>
        <v>2905.6</v>
      </c>
      <c r="J19" s="172">
        <f>+'1'!J19+'2'!J19+'4'!J19+'3'!J19+'5'!J19+'6'!J19+'7'!J19+'8'!J19+'9'!J19+'10'!J19+'11'!J19+'12'!J19+'13'!J19+'14'!J19+'15'!J19+'16'!J19+'17'!J19+'18'!J19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232.44800000000001</v>
      </c>
      <c r="M19" s="118">
        <f t="shared" si="2"/>
        <v>2673.152</v>
      </c>
      <c r="N19" s="101">
        <f>+'1'!N19+'2'!N19+'4'!N19+'3'!N19+'5'!N19+'6'!N19+'7'!N19+'8'!N19+'9'!N19+'10'!N19</f>
        <v>481.16735999999997</v>
      </c>
      <c r="O19" s="101">
        <f>+'1'!O19+'2'!O19+'4'!O19+'3'!O19+'5'!O19+'6'!O19+'7'!O19+'8'!O19+'9'!O19+'10'!O19</f>
        <v>15.771596799999999</v>
      </c>
      <c r="P19" s="120">
        <f t="shared" si="0"/>
        <v>3170.0909568000002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</f>
        <v>40</v>
      </c>
      <c r="I20" s="1">
        <f t="shared" si="1"/>
        <v>2905.6</v>
      </c>
      <c r="J20" s="172">
        <f>+'1'!J20+'2'!J20+'4'!J20+'3'!J20+'5'!J20+'6'!J20+'7'!J20+'8'!J20+'9'!J20+'10'!J20+'11'!J20+'12'!J20+'13'!J20+'14'!J20+'15'!J20+'16'!J20+'17'!J20+'18'!J20</f>
        <v>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232.44800000000001</v>
      </c>
      <c r="M20" s="118">
        <f t="shared" si="2"/>
        <v>2673.152</v>
      </c>
      <c r="N20" s="101">
        <f>+'1'!N20+'2'!N20+'4'!N20+'3'!N20+'5'!N20+'6'!N20+'7'!N20+'8'!N20+'9'!N20+'10'!N20</f>
        <v>481.16735999999997</v>
      </c>
      <c r="O20" s="101">
        <f>+'1'!O20+'2'!O20+'4'!O20+'3'!O20+'5'!O20+'6'!O20+'7'!O20+'8'!O20+'9'!O20+'10'!O20</f>
        <v>15.771596799999999</v>
      </c>
      <c r="P20" s="120">
        <f t="shared" si="0"/>
        <v>3170.0909568000002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</f>
        <v>40</v>
      </c>
      <c r="I21" s="1">
        <f t="shared" si="1"/>
        <v>2905.6</v>
      </c>
      <c r="J21" s="172">
        <f>+'1'!J21+'2'!J21+'4'!J21+'3'!J21+'5'!J21+'6'!J21+'7'!J21+'8'!J21+'9'!J21+'10'!J21+'11'!J21+'12'!J21+'13'!J21+'14'!J21+'15'!J21+'16'!J21+'17'!J21+'18'!J21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232.44800000000001</v>
      </c>
      <c r="M21" s="118">
        <f t="shared" si="2"/>
        <v>2673.152</v>
      </c>
      <c r="N21" s="101">
        <f>+'1'!N21+'2'!N21+'4'!N21+'3'!N21+'5'!N21+'6'!N21+'7'!N21+'8'!N21+'9'!N21+'10'!N21</f>
        <v>481.16735999999997</v>
      </c>
      <c r="O21" s="101">
        <f>+'1'!O21+'2'!O21+'4'!O21+'3'!O21+'5'!O21+'6'!O21+'7'!O21+'8'!O21+'9'!O21+'10'!O21</f>
        <v>15.771596799999999</v>
      </c>
      <c r="P21" s="120">
        <f t="shared" si="0"/>
        <v>3170.0909568000002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6" t="s">
        <v>84</v>
      </c>
      <c r="B25" s="227"/>
      <c r="C25" s="228">
        <f>H25/40</f>
        <v>5</v>
      </c>
      <c r="D25" s="222"/>
      <c r="E25" s="222"/>
      <c r="F25" s="222"/>
      <c r="G25" s="176">
        <f t="shared" ref="G25:M25" si="3">SUM(G16:G24)</f>
        <v>0</v>
      </c>
      <c r="H25" s="177">
        <f t="shared" si="3"/>
        <v>200</v>
      </c>
      <c r="I25" s="178">
        <f t="shared" si="3"/>
        <v>12913.800000000001</v>
      </c>
      <c r="J25" s="177">
        <f t="shared" si="3"/>
        <v>0</v>
      </c>
      <c r="K25" s="178">
        <f t="shared" si="3"/>
        <v>0</v>
      </c>
      <c r="L25" s="179">
        <f t="shared" si="3"/>
        <v>1033.104</v>
      </c>
      <c r="M25" s="141">
        <f t="shared" si="3"/>
        <v>11880.696</v>
      </c>
      <c r="N25" s="142">
        <f>SUM(N16:N24)</f>
        <v>2138.5252799999998</v>
      </c>
      <c r="O25" s="143">
        <f>SUM(O16:O24)</f>
        <v>70.096106399999996</v>
      </c>
      <c r="P25" s="144">
        <f>SUM(P16:P24)</f>
        <v>14089.3173864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/>
      <c r="U32" s="182"/>
    </row>
    <row r="33" spans="1:21" ht="26.5" thickBot="1" x14ac:dyDescent="0.65">
      <c r="A33" s="145"/>
      <c r="B33" s="145"/>
      <c r="C33" s="145"/>
      <c r="D33" s="145"/>
      <c r="E33" s="145"/>
      <c r="F33" s="145"/>
      <c r="G33" s="146"/>
      <c r="H33" s="146"/>
      <c r="I33" s="147"/>
      <c r="K33" s="148"/>
      <c r="L33" s="148"/>
      <c r="M33" s="148"/>
      <c r="N33" s="148"/>
      <c r="O33" s="149"/>
      <c r="P33" s="148"/>
      <c r="T33" s="166" t="s">
        <v>84</v>
      </c>
      <c r="U33" s="165">
        <f>SUM(U14:U28)</f>
        <v>14089.317386400002</v>
      </c>
    </row>
    <row r="34" spans="1:21" ht="15" thickBot="1" x14ac:dyDescent="0.4">
      <c r="A34" s="69"/>
      <c r="B34" s="69"/>
      <c r="C34" s="150"/>
      <c r="D34" s="150"/>
      <c r="E34" s="150"/>
      <c r="F34" s="150"/>
      <c r="G34" s="151"/>
      <c r="H34" s="151"/>
    </row>
    <row r="35" spans="1:21" x14ac:dyDescent="0.35">
      <c r="B35" s="229" t="s">
        <v>85</v>
      </c>
      <c r="C35" s="230"/>
      <c r="D35" s="230"/>
      <c r="E35" s="230"/>
      <c r="F35" s="230"/>
      <c r="G35" s="230"/>
      <c r="H35" s="230"/>
      <c r="I35" s="230"/>
      <c r="J35" s="230"/>
      <c r="K35" s="230"/>
      <c r="L35" s="231"/>
      <c r="N35" s="238" t="s">
        <v>86</v>
      </c>
      <c r="O35" s="239"/>
      <c r="P35" s="152">
        <f>I25</f>
        <v>12913.800000000001</v>
      </c>
    </row>
    <row r="36" spans="1:21" ht="15" customHeight="1" x14ac:dyDescent="0.35">
      <c r="B36" s="232"/>
      <c r="C36" s="233"/>
      <c r="D36" s="233"/>
      <c r="E36" s="233"/>
      <c r="F36" s="233"/>
      <c r="G36" s="233"/>
      <c r="H36" s="233"/>
      <c r="I36" s="233"/>
      <c r="J36" s="233"/>
      <c r="K36" s="233"/>
      <c r="L36" s="234"/>
      <c r="N36" s="240" t="s">
        <v>87</v>
      </c>
      <c r="O36" s="241"/>
      <c r="P36" s="153">
        <f>L25</f>
        <v>1033.104</v>
      </c>
    </row>
    <row r="37" spans="1:21" ht="15" customHeight="1" x14ac:dyDescent="0.35">
      <c r="B37" s="232"/>
      <c r="C37" s="233"/>
      <c r="D37" s="233"/>
      <c r="E37" s="233"/>
      <c r="F37" s="233"/>
      <c r="G37" s="233"/>
      <c r="H37" s="233"/>
      <c r="I37" s="233"/>
      <c r="J37" s="233"/>
      <c r="K37" s="233"/>
      <c r="L37" s="234"/>
      <c r="N37" s="240" t="s">
        <v>4</v>
      </c>
      <c r="O37" s="241"/>
      <c r="P37" s="154">
        <f>K25</f>
        <v>0</v>
      </c>
    </row>
    <row r="38" spans="1:21" ht="15" customHeight="1" x14ac:dyDescent="0.35">
      <c r="B38" s="232"/>
      <c r="C38" s="233"/>
      <c r="D38" s="233"/>
      <c r="E38" s="233"/>
      <c r="F38" s="233"/>
      <c r="G38" s="233"/>
      <c r="H38" s="233"/>
      <c r="I38" s="233"/>
      <c r="J38" s="233"/>
      <c r="K38" s="233"/>
      <c r="L38" s="234"/>
      <c r="M38" s="2"/>
      <c r="N38" s="240" t="s">
        <v>88</v>
      </c>
      <c r="O38" s="241"/>
      <c r="P38" s="153">
        <f>P35-P36-P37</f>
        <v>11880.696000000002</v>
      </c>
    </row>
    <row r="39" spans="1:21" ht="15" customHeight="1" x14ac:dyDescent="0.35">
      <c r="B39" s="232"/>
      <c r="C39" s="233"/>
      <c r="D39" s="233"/>
      <c r="E39" s="233"/>
      <c r="F39" s="233"/>
      <c r="G39" s="233"/>
      <c r="H39" s="233"/>
      <c r="I39" s="233"/>
      <c r="J39" s="233"/>
      <c r="K39" s="233"/>
      <c r="L39" s="234"/>
      <c r="M39" s="2"/>
      <c r="N39" s="155" t="s">
        <v>89</v>
      </c>
      <c r="O39" s="156">
        <f>IF(B12="Registered",18%,22%)</f>
        <v>0.22</v>
      </c>
      <c r="P39" s="153">
        <f>N25</f>
        <v>2138.5252799999998</v>
      </c>
    </row>
    <row r="40" spans="1:21" ht="15" customHeight="1" x14ac:dyDescent="0.35">
      <c r="B40" s="232"/>
      <c r="C40" s="233"/>
      <c r="D40" s="233"/>
      <c r="E40" s="233"/>
      <c r="F40" s="233"/>
      <c r="G40" s="233"/>
      <c r="H40" s="233"/>
      <c r="I40" s="233"/>
      <c r="J40" s="233"/>
      <c r="K40" s="233"/>
      <c r="L40" s="234"/>
      <c r="M40" s="2"/>
      <c r="N40" s="242" t="s">
        <v>90</v>
      </c>
      <c r="O40" s="243"/>
      <c r="P40" s="153">
        <f>P38+P39</f>
        <v>14019.221280000002</v>
      </c>
    </row>
    <row r="41" spans="1:21" ht="15" customHeight="1" thickBot="1" x14ac:dyDescent="0.4">
      <c r="B41" s="235"/>
      <c r="C41" s="236"/>
      <c r="D41" s="236"/>
      <c r="E41" s="236"/>
      <c r="F41" s="236"/>
      <c r="G41" s="236"/>
      <c r="H41" s="236"/>
      <c r="I41" s="236"/>
      <c r="J41" s="236"/>
      <c r="K41" s="236"/>
      <c r="L41" s="237"/>
      <c r="M41" s="157"/>
      <c r="N41" s="158" t="s">
        <v>91</v>
      </c>
      <c r="O41" s="159">
        <f>IF(B11="Filer",0.5%,2.5%)</f>
        <v>2.5000000000000001E-2</v>
      </c>
      <c r="P41" s="153">
        <f>O41*P40</f>
        <v>350.48053200000004</v>
      </c>
    </row>
    <row r="42" spans="1:21" ht="15.75" customHeight="1" thickBot="1" x14ac:dyDescent="0.4">
      <c r="N42" s="220" t="s">
        <v>92</v>
      </c>
      <c r="O42" s="221"/>
      <c r="P42" s="160">
        <f>P40+P41</f>
        <v>14369.701812000001</v>
      </c>
    </row>
    <row r="43" spans="1:21" ht="15" thickBot="1" x14ac:dyDescent="0.4">
      <c r="B43" s="161" t="s">
        <v>93</v>
      </c>
      <c r="C43" s="222"/>
      <c r="D43" s="222"/>
      <c r="E43" s="222"/>
      <c r="F43" s="222"/>
      <c r="G43" s="222"/>
      <c r="H43" s="222"/>
      <c r="I43" s="223"/>
      <c r="J43" s="224"/>
      <c r="K43" s="225"/>
    </row>
    <row r="44" spans="1:21" ht="15.75" customHeight="1" x14ac:dyDescent="0.35"/>
  </sheetData>
  <mergeCells count="47"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6" workbookViewId="0">
      <selection activeCell="J17" sqref="J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46203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I16*$K$13</f>
        <v>0</v>
      </c>
      <c r="L16" s="105">
        <f>I16*8%</f>
        <v>167.88</v>
      </c>
      <c r="M16" s="106">
        <f>I16-K16-L16</f>
        <v>1930.62</v>
      </c>
      <c r="N16" s="106">
        <f t="shared" ref="N16:N24" si="0">(M16*$N$15)+(J16*F16)*$N$15</f>
        <v>347.51159999999999</v>
      </c>
      <c r="O16" s="107">
        <f t="shared" ref="O16:O24" si="1">(N16+M16)*$O$15</f>
        <v>11.390657999999998</v>
      </c>
      <c r="P16" s="105">
        <f t="shared" ref="P16:P24" si="2">M16+N16+O16</f>
        <v>2289.5222579999995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3">(G17*D17)*F17+H17*F17</f>
        <v>2098.5</v>
      </c>
      <c r="J17" s="117"/>
      <c r="K17" s="1">
        <f t="shared" ref="K17:K21" si="4">I17*$K$13</f>
        <v>0</v>
      </c>
      <c r="L17" s="105">
        <f t="shared" ref="L17:L21" si="5">I17*8%</f>
        <v>167.88</v>
      </c>
      <c r="M17" s="118">
        <f t="shared" ref="M17:M23" si="6">I17-K17-L17</f>
        <v>1930.62</v>
      </c>
      <c r="N17" s="118">
        <f t="shared" si="0"/>
        <v>347.51159999999999</v>
      </c>
      <c r="O17" s="119">
        <f t="shared" si="1"/>
        <v>11.390657999999998</v>
      </c>
      <c r="P17" s="120">
        <f t="shared" si="2"/>
        <v>2289.5222579999995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3"/>
        <v>2905.6</v>
      </c>
      <c r="J19" s="117"/>
      <c r="K19" s="1">
        <f t="shared" si="4"/>
        <v>0</v>
      </c>
      <c r="L19" s="105">
        <f t="shared" si="5"/>
        <v>232.44800000000001</v>
      </c>
      <c r="M19" s="118">
        <f t="shared" si="6"/>
        <v>2673.152</v>
      </c>
      <c r="N19" s="118">
        <f t="shared" si="0"/>
        <v>481.16735999999997</v>
      </c>
      <c r="O19" s="119">
        <f t="shared" si="1"/>
        <v>15.771596799999999</v>
      </c>
      <c r="P19" s="120">
        <f t="shared" si="2"/>
        <v>3170.0909568000002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3"/>
        <v>2905.6</v>
      </c>
      <c r="J20" s="117"/>
      <c r="K20" s="1">
        <f t="shared" si="4"/>
        <v>0</v>
      </c>
      <c r="L20" s="105">
        <f t="shared" si="5"/>
        <v>232.44800000000001</v>
      </c>
      <c r="M20" s="118">
        <f t="shared" si="6"/>
        <v>2673.152</v>
      </c>
      <c r="N20" s="118">
        <f t="shared" si="0"/>
        <v>481.16735999999997</v>
      </c>
      <c r="O20" s="119">
        <f t="shared" si="1"/>
        <v>15.771596799999999</v>
      </c>
      <c r="P20" s="120">
        <f t="shared" si="2"/>
        <v>3170.0909568000002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3"/>
        <v>2905.6</v>
      </c>
      <c r="J21" s="117"/>
      <c r="K21" s="1">
        <f t="shared" si="4"/>
        <v>0</v>
      </c>
      <c r="L21" s="105">
        <f t="shared" si="5"/>
        <v>232.44800000000001</v>
      </c>
      <c r="M21" s="118">
        <f t="shared" si="6"/>
        <v>2673.152</v>
      </c>
      <c r="N21" s="118">
        <f t="shared" si="0"/>
        <v>481.16735999999997</v>
      </c>
      <c r="O21" s="119">
        <f t="shared" si="1"/>
        <v>15.771596799999999</v>
      </c>
      <c r="P21" s="120">
        <f t="shared" si="2"/>
        <v>3170.0909568000002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200</v>
      </c>
      <c r="I25" s="137">
        <f t="shared" si="9"/>
        <v>12913.800000000001</v>
      </c>
      <c r="J25" s="183">
        <f>SUM(J16:J21)</f>
        <v>0</v>
      </c>
      <c r="K25" s="139">
        <f t="shared" si="9"/>
        <v>0</v>
      </c>
      <c r="L25" s="140">
        <f t="shared" si="9"/>
        <v>1033.104</v>
      </c>
      <c r="M25" s="141">
        <f t="shared" si="9"/>
        <v>11880.696</v>
      </c>
      <c r="N25" s="142">
        <f>SUM(N16:N24)</f>
        <v>2138.5252799999998</v>
      </c>
      <c r="O25" s="143">
        <f>SUM(O16:O24)</f>
        <v>70.096106399999996</v>
      </c>
      <c r="P25" s="144">
        <f>SUM(P16:P24)</f>
        <v>14089.3173864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12913.800000000001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1033.104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11880.696000000002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0.18</v>
      </c>
      <c r="P32" s="153">
        <f>N25</f>
        <v>2138.5252799999998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14019.221280000002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5.0000000000000001E-3</v>
      </c>
      <c r="P34" s="153">
        <f>O34*P33</f>
        <v>70.096106400000011</v>
      </c>
    </row>
    <row r="35" spans="2:16" ht="15.75" customHeight="1" thickBot="1" x14ac:dyDescent="0.4">
      <c r="N35" s="220" t="s">
        <v>92</v>
      </c>
      <c r="O35" s="221"/>
      <c r="P35" s="160">
        <f>P33+P34</f>
        <v>14089.317386400002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8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2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46203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4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46203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9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3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46203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5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46203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9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6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46203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7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46203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9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8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46203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9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46203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7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46203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3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46203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46203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12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46203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46203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46203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80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46203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46203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46203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46203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46203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2026-07-01T11:36:27Z</dcterms:modified>
</cp:coreProperties>
</file>