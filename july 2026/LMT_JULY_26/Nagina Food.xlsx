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1FED2857-5422-49F9-9DD0-50C752086B0E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4" i="33" l="1"/>
  <c r="L24" i="33" s="1"/>
  <c r="I16" i="35"/>
  <c r="K16" i="35" s="1"/>
  <c r="I17" i="35"/>
  <c r="K17" i="35" s="1"/>
  <c r="I18" i="35"/>
  <c r="K18" i="35" s="1"/>
  <c r="I19" i="35"/>
  <c r="K19" i="35" s="1"/>
  <c r="I20" i="35"/>
  <c r="K20" i="35" s="1"/>
  <c r="I21" i="35"/>
  <c r="K21" i="35" s="1"/>
  <c r="I22" i="35"/>
  <c r="I23" i="35"/>
  <c r="K23" i="35" s="1"/>
  <c r="I24" i="35"/>
  <c r="I21" i="33"/>
  <c r="K21" i="33" s="1"/>
  <c r="K22" i="35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L24" i="28" s="1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I24" i="30"/>
  <c r="K24" i="30" s="1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K24" i="31" s="1"/>
  <c r="I23" i="32"/>
  <c r="L23" i="32" s="1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K24" i="29" s="1"/>
  <c r="I24" i="32"/>
  <c r="L24" i="32" s="1"/>
  <c r="I19" i="33"/>
  <c r="I23" i="33"/>
  <c r="L23" i="33" s="1"/>
  <c r="L17" i="33"/>
  <c r="M17" i="33" s="1"/>
  <c r="I25" i="35"/>
  <c r="P28" i="35" s="1"/>
  <c r="L16" i="35"/>
  <c r="L17" i="35"/>
  <c r="M17" i="35" s="1"/>
  <c r="L18" i="35"/>
  <c r="M18" i="35" s="1"/>
  <c r="L19" i="35"/>
  <c r="L20" i="35"/>
  <c r="L21" i="35"/>
  <c r="L23" i="35"/>
  <c r="K24" i="35"/>
  <c r="L24" i="35"/>
  <c r="L18" i="34"/>
  <c r="K23" i="34"/>
  <c r="L21" i="33"/>
  <c r="K24" i="33"/>
  <c r="K24" i="32"/>
  <c r="L16" i="32"/>
  <c r="L17" i="32"/>
  <c r="L20" i="32"/>
  <c r="L21" i="32"/>
  <c r="K23" i="32"/>
  <c r="L17" i="31"/>
  <c r="M17" i="31" s="1"/>
  <c r="L20" i="31"/>
  <c r="L21" i="30"/>
  <c r="M21" i="30" s="1"/>
  <c r="L17" i="30"/>
  <c r="L24" i="30"/>
  <c r="L21" i="29"/>
  <c r="L24" i="29"/>
  <c r="L17" i="29"/>
  <c r="L19" i="28"/>
  <c r="K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17" i="28" l="1"/>
  <c r="M17" i="28" s="1"/>
  <c r="L23" i="31"/>
  <c r="L21" i="28"/>
  <c r="L23" i="30"/>
  <c r="M23" i="30" s="1"/>
  <c r="N23" i="30" s="1"/>
  <c r="O23" i="30" s="1"/>
  <c r="L21" i="31"/>
  <c r="L20" i="33"/>
  <c r="L16" i="34"/>
  <c r="M24" i="29"/>
  <c r="N24" i="29" s="1"/>
  <c r="O24" i="29" s="1"/>
  <c r="P24" i="29" s="1"/>
  <c r="L16" i="28"/>
  <c r="L16" i="31"/>
  <c r="L21" i="34"/>
  <c r="L16" i="33"/>
  <c r="M16" i="33" s="1"/>
  <c r="K16" i="33"/>
  <c r="I16" i="27"/>
  <c r="K16" i="27" s="1"/>
  <c r="I17" i="27"/>
  <c r="K17" i="27" s="1"/>
  <c r="I18" i="27"/>
  <c r="K18" i="27" s="1"/>
  <c r="I19" i="27"/>
  <c r="K19" i="27" s="1"/>
  <c r="I20" i="27"/>
  <c r="K20" i="27" s="1"/>
  <c r="I22" i="27"/>
  <c r="K22" i="27" s="1"/>
  <c r="I23" i="27"/>
  <c r="I24" i="27"/>
  <c r="L20" i="28"/>
  <c r="L20" i="29"/>
  <c r="M20" i="29" s="1"/>
  <c r="N20" i="29" s="1"/>
  <c r="O20" i="29" s="1"/>
  <c r="L20" i="30"/>
  <c r="L24" i="31"/>
  <c r="M23" i="32"/>
  <c r="L19" i="32"/>
  <c r="M19" i="32" s="1"/>
  <c r="N19" i="32" s="1"/>
  <c r="O19" i="32" s="1"/>
  <c r="L19" i="33"/>
  <c r="K19" i="33"/>
  <c r="L18" i="31"/>
  <c r="K18" i="31"/>
  <c r="K25" i="31" s="1"/>
  <c r="P30" i="31" s="1"/>
  <c r="I25" i="28"/>
  <c r="P28" i="28" s="1"/>
  <c r="L16" i="29"/>
  <c r="L16" i="30"/>
  <c r="L17" i="34"/>
  <c r="M17" i="34" s="1"/>
  <c r="N17" i="34" s="1"/>
  <c r="O17" i="34" s="1"/>
  <c r="I25" i="32"/>
  <c r="P28" i="32" s="1"/>
  <c r="M22" i="35"/>
  <c r="K22" i="34"/>
  <c r="L22" i="34"/>
  <c r="L22" i="32"/>
  <c r="K22" i="32"/>
  <c r="K25" i="32" s="1"/>
  <c r="P30" i="32" s="1"/>
  <c r="K22" i="29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M23" i="29" s="1"/>
  <c r="N23" i="29" s="1"/>
  <c r="O23" i="29" s="1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N21" i="35" s="1"/>
  <c r="O21" i="35" s="1"/>
  <c r="I25" i="34"/>
  <c r="P28" i="34" s="1"/>
  <c r="M24" i="28"/>
  <c r="L18" i="28"/>
  <c r="M18" i="28" s="1"/>
  <c r="N18" i="28" s="1"/>
  <c r="O18" i="28" s="1"/>
  <c r="P18" i="28" s="1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19" i="34" s="1"/>
  <c r="N19" i="34" s="1"/>
  <c r="O19" i="34" s="1"/>
  <c r="M24" i="35"/>
  <c r="N24" i="35" s="1"/>
  <c r="O24" i="35" s="1"/>
  <c r="P24" i="35" s="1"/>
  <c r="L18" i="33"/>
  <c r="M18" i="33" s="1"/>
  <c r="I25" i="30"/>
  <c r="P28" i="30" s="1"/>
  <c r="M24" i="31"/>
  <c r="P24" i="31" s="1"/>
  <c r="K25" i="33"/>
  <c r="P30" i="33" s="1"/>
  <c r="M24" i="33"/>
  <c r="M23" i="35"/>
  <c r="M23" i="33"/>
  <c r="N23" i="33" s="1"/>
  <c r="O23" i="33" s="1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K23" i="26" s="1"/>
  <c r="I24" i="26"/>
  <c r="L24" i="26" s="1"/>
  <c r="I21" i="27"/>
  <c r="K21" i="27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1" i="33"/>
  <c r="N21" i="33" s="1"/>
  <c r="O21" i="33" s="1"/>
  <c r="M19" i="33"/>
  <c r="N19" i="33" s="1"/>
  <c r="O19" i="33" s="1"/>
  <c r="M19" i="28"/>
  <c r="M16" i="29"/>
  <c r="N16" i="29" s="1"/>
  <c r="M17" i="30"/>
  <c r="N17" i="30" s="1"/>
  <c r="O17" i="30" s="1"/>
  <c r="M16" i="32"/>
  <c r="N16" i="32" s="1"/>
  <c r="M17" i="29"/>
  <c r="N17" i="29" s="1"/>
  <c r="O17" i="29" s="1"/>
  <c r="P17" i="29" s="1"/>
  <c r="M18" i="32"/>
  <c r="N18" i="32" s="1"/>
  <c r="O18" i="32" s="1"/>
  <c r="M19" i="35"/>
  <c r="N19" i="35" s="1"/>
  <c r="O19" i="35" s="1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1" i="28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17" i="35"/>
  <c r="O17" i="35" s="1"/>
  <c r="K25" i="35"/>
  <c r="P30" i="35" s="1"/>
  <c r="N23" i="35"/>
  <c r="O23" i="35" s="1"/>
  <c r="L25" i="35"/>
  <c r="P29" i="35" s="1"/>
  <c r="M16" i="35"/>
  <c r="N24" i="33"/>
  <c r="O24" i="33" s="1"/>
  <c r="N18" i="33"/>
  <c r="O18" i="33" s="1"/>
  <c r="N17" i="33"/>
  <c r="O17" i="33" s="1"/>
  <c r="N17" i="32"/>
  <c r="O17" i="32" s="1"/>
  <c r="N23" i="32"/>
  <c r="O23" i="32" s="1"/>
  <c r="N24" i="31"/>
  <c r="O24" i="31" s="1"/>
  <c r="N17" i="31"/>
  <c r="O17" i="31" s="1"/>
  <c r="M16" i="31"/>
  <c r="N19" i="31"/>
  <c r="O19" i="31" s="1"/>
  <c r="N21" i="30"/>
  <c r="O21" i="30" s="1"/>
  <c r="N24" i="30"/>
  <c r="O24" i="30" s="1"/>
  <c r="P24" i="30" s="1"/>
  <c r="N24" i="28"/>
  <c r="O24" i="28" s="1"/>
  <c r="P24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L16" i="27"/>
  <c r="L21" i="27"/>
  <c r="K23" i="27"/>
  <c r="L23" i="27"/>
  <c r="K24" i="27"/>
  <c r="L24" i="27"/>
  <c r="L19" i="27"/>
  <c r="L18" i="27"/>
  <c r="L17" i="26"/>
  <c r="L19" i="26"/>
  <c r="L18" i="26"/>
  <c r="L21" i="26"/>
  <c r="T23" i="15"/>
  <c r="T22" i="15"/>
  <c r="T21" i="15"/>
  <c r="T20" i="15"/>
  <c r="T19" i="15"/>
  <c r="T18" i="15"/>
  <c r="T15" i="15"/>
  <c r="T14" i="15"/>
  <c r="L25" i="30" l="1"/>
  <c r="P29" i="30" s="1"/>
  <c r="M18" i="31"/>
  <c r="N18" i="31" s="1"/>
  <c r="O18" i="31" s="1"/>
  <c r="L25" i="32"/>
  <c r="P29" i="32" s="1"/>
  <c r="L22" i="27"/>
  <c r="L25" i="27" s="1"/>
  <c r="P29" i="27" s="1"/>
  <c r="L20" i="27"/>
  <c r="L25" i="33"/>
  <c r="P29" i="33" s="1"/>
  <c r="I25" i="27"/>
  <c r="P28" i="27" s="1"/>
  <c r="L25" i="34"/>
  <c r="P29" i="34" s="1"/>
  <c r="L16" i="26"/>
  <c r="L23" i="26"/>
  <c r="M23" i="26" s="1"/>
  <c r="N23" i="26" s="1"/>
  <c r="O23" i="26" s="1"/>
  <c r="P23" i="26" s="1"/>
  <c r="L17" i="27"/>
  <c r="M17" i="27" s="1"/>
  <c r="N17" i="27" s="1"/>
  <c r="O17" i="27" s="1"/>
  <c r="K24" i="26"/>
  <c r="M22" i="34"/>
  <c r="N22" i="34" s="1"/>
  <c r="O22" i="34" s="1"/>
  <c r="L25" i="28"/>
  <c r="P29" i="28" s="1"/>
  <c r="P31" i="28" s="1"/>
  <c r="L25" i="31"/>
  <c r="P29" i="31" s="1"/>
  <c r="M24" i="26"/>
  <c r="N24" i="26" s="1"/>
  <c r="O24" i="26" s="1"/>
  <c r="L20" i="26"/>
  <c r="K20" i="26"/>
  <c r="K25" i="29"/>
  <c r="P30" i="29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N16" i="33"/>
  <c r="P22" i="33"/>
  <c r="P21" i="33"/>
  <c r="P24" i="33"/>
  <c r="P23" i="33"/>
  <c r="N25" i="32"/>
  <c r="P32" i="32" s="1"/>
  <c r="O16" i="32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19" i="29"/>
  <c r="P20" i="29"/>
  <c r="N16" i="28"/>
  <c r="P17" i="28"/>
  <c r="P21" i="28"/>
  <c r="P19" i="28"/>
  <c r="M19" i="27"/>
  <c r="N19" i="27" s="1"/>
  <c r="O19" i="27" s="1"/>
  <c r="M20" i="26"/>
  <c r="N20" i="26" s="1"/>
  <c r="O20" i="26" s="1"/>
  <c r="M20" i="27"/>
  <c r="N20" i="27" s="1"/>
  <c r="O20" i="27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K25" i="27"/>
  <c r="P30" i="27" s="1"/>
  <c r="M16" i="26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22" i="29" l="1"/>
  <c r="P31" i="34"/>
  <c r="O25" i="32"/>
  <c r="L25" i="26"/>
  <c r="P29" i="26" s="1"/>
  <c r="I16" i="22"/>
  <c r="K16" i="22" s="1"/>
  <c r="I17" i="22"/>
  <c r="K17" i="22" s="1"/>
  <c r="I18" i="22"/>
  <c r="K18" i="22" s="1"/>
  <c r="I19" i="22"/>
  <c r="K19" i="22" s="1"/>
  <c r="I20" i="22"/>
  <c r="K20" i="22" s="1"/>
  <c r="I21" i="22"/>
  <c r="K21" i="22" s="1"/>
  <c r="I22" i="22"/>
  <c r="L22" i="22" s="1"/>
  <c r="M25" i="33"/>
  <c r="P31" i="29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P33" i="32"/>
  <c r="N25" i="34"/>
  <c r="P32" i="34" s="1"/>
  <c r="P33" i="34" s="1"/>
  <c r="P34" i="34" s="1"/>
  <c r="P35" i="34" s="1"/>
  <c r="U32" i="15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20" i="25"/>
  <c r="L16" i="25"/>
  <c r="L17" i="25"/>
  <c r="L23" i="25"/>
  <c r="K23" i="25"/>
  <c r="L23" i="23"/>
  <c r="K23" i="23"/>
  <c r="L16" i="22"/>
  <c r="L18" i="22"/>
  <c r="L20" i="22"/>
  <c r="L17" i="22"/>
  <c r="L21" i="22"/>
  <c r="L24" i="20"/>
  <c r="L20" i="19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9" i="22" l="1"/>
  <c r="K23" i="20"/>
  <c r="L18" i="25"/>
  <c r="K24" i="25"/>
  <c r="M24" i="25" s="1"/>
  <c r="N24" i="25" s="1"/>
  <c r="O24" i="25" s="1"/>
  <c r="L20" i="20"/>
  <c r="K20" i="20"/>
  <c r="L17" i="23"/>
  <c r="K17" i="23"/>
  <c r="L18" i="19"/>
  <c r="K18" i="19"/>
  <c r="L17" i="21"/>
  <c r="K17" i="21"/>
  <c r="M17" i="21" s="1"/>
  <c r="N17" i="21" s="1"/>
  <c r="O17" i="21" s="1"/>
  <c r="P17" i="21" s="1"/>
  <c r="L21" i="24"/>
  <c r="K21" i="24"/>
  <c r="L17" i="24"/>
  <c r="K17" i="24"/>
  <c r="M17" i="24" s="1"/>
  <c r="N17" i="24" s="1"/>
  <c r="O17" i="24" s="1"/>
  <c r="L18" i="18"/>
  <c r="K18" i="18"/>
  <c r="L16" i="21"/>
  <c r="K16" i="21"/>
  <c r="M16" i="21" s="1"/>
  <c r="N16" i="21" s="1"/>
  <c r="L20" i="23"/>
  <c r="K20" i="23"/>
  <c r="L17" i="18"/>
  <c r="K17" i="18"/>
  <c r="M17" i="18" s="1"/>
  <c r="N17" i="18" s="1"/>
  <c r="O17" i="18" s="1"/>
  <c r="L17" i="19"/>
  <c r="K17" i="19"/>
  <c r="L21" i="25"/>
  <c r="K21" i="25"/>
  <c r="M21" i="25" s="1"/>
  <c r="N21" i="25" s="1"/>
  <c r="O21" i="25" s="1"/>
  <c r="P21" i="25" s="1"/>
  <c r="L16" i="24"/>
  <c r="K16" i="24"/>
  <c r="L21" i="20"/>
  <c r="K21" i="20"/>
  <c r="M21" i="20" s="1"/>
  <c r="N21" i="20" s="1"/>
  <c r="O21" i="20" s="1"/>
  <c r="L20" i="18"/>
  <c r="K20" i="18"/>
  <c r="L21" i="19"/>
  <c r="K21" i="19"/>
  <c r="M21" i="19" s="1"/>
  <c r="L16" i="20"/>
  <c r="K16" i="20"/>
  <c r="L18" i="23"/>
  <c r="K18" i="23"/>
  <c r="M18" i="23" s="1"/>
  <c r="N18" i="23" s="1"/>
  <c r="O18" i="23" s="1"/>
  <c r="L16" i="18"/>
  <c r="K16" i="18"/>
  <c r="L16" i="19"/>
  <c r="K16" i="19"/>
  <c r="L19" i="24"/>
  <c r="K19" i="24"/>
  <c r="L21" i="17"/>
  <c r="K21" i="17"/>
  <c r="L16" i="23"/>
  <c r="K16" i="23"/>
  <c r="L19" i="19"/>
  <c r="K19" i="19"/>
  <c r="M19" i="19" s="1"/>
  <c r="N19" i="19" s="1"/>
  <c r="O19" i="19" s="1"/>
  <c r="K22" i="23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M18" i="18"/>
  <c r="N18" i="18" s="1"/>
  <c r="O18" i="18" s="1"/>
  <c r="L21" i="21"/>
  <c r="M21" i="21" s="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20" i="24" s="1"/>
  <c r="N20" i="24" s="1"/>
  <c r="O20" i="24" s="1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N24" i="24" s="1"/>
  <c r="O24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L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K25" i="24"/>
  <c r="P30" i="24" s="1"/>
  <c r="M16" i="22"/>
  <c r="M17" i="19"/>
  <c r="N17" i="19" s="1"/>
  <c r="O17" i="19" s="1"/>
  <c r="N24" i="19"/>
  <c r="O24" i="19" s="1"/>
  <c r="N24" i="18"/>
  <c r="O24" i="18" s="1"/>
  <c r="I23" i="15"/>
  <c r="M22" i="21" l="1"/>
  <c r="N22" i="21" s="1"/>
  <c r="O22" i="21" s="1"/>
  <c r="M22" i="19"/>
  <c r="N22" i="19" s="1"/>
  <c r="O22" i="19" s="1"/>
  <c r="P22" i="19" s="1"/>
  <c r="L25" i="18"/>
  <c r="P29" i="18" s="1"/>
  <c r="L22" i="15"/>
  <c r="K22" i="16"/>
  <c r="L25" i="25"/>
  <c r="P29" i="25" s="1"/>
  <c r="L17" i="16"/>
  <c r="M23" i="22"/>
  <c r="N23" i="22" s="1"/>
  <c r="O23" i="22" s="1"/>
  <c r="L21" i="16"/>
  <c r="L21" i="15" s="1"/>
  <c r="K25" i="19"/>
  <c r="P30" i="19" s="1"/>
  <c r="P31" i="19" s="1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22" l="1"/>
  <c r="P23" i="22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7"/>
  <c r="O25" i="17" s="1"/>
  <c r="N25" i="17"/>
  <c r="P32" i="17" s="1"/>
  <c r="N16" i="15" l="1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<sst xmlns="http://schemas.openxmlformats.org/spreadsheetml/2006/main" count="1634" uniqueCount="126">
  <si>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</si>
  <si>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</si>
  <si>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</si>
  <si>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</si>
  <si>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</si>
  <si>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</si>
  <si>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</si>
  <si>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</si>
  <si>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</si>
  <si>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</si>
  <si>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</si>
  <si>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</si>
  <si>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</si>
  <si>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</si>
  <si>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</si>
  <si>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</si>
  <si>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</si>
  <si>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</si>
  <si>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</si>
  <si>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</si>
  <si>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</si>
  <si>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</si>
  <si>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</si>
  <si>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</si>
  <si>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</si>
  <si>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</si>
  <si>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</si>
  <si>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</si>
  <si>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</si>
  <si>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</si>
  <si>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</si>
  <si>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</si>
  <si>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</si>
  <si>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</si>
  <si>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</si>
  <si>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</si>
  <si>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</si>
  <si>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</si>
  <si>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</si>
  <si>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</si>
  <si>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</si>
  <si>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</si>
  <si>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</si>
  <si>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</si>
  <si>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</si>
  <si>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</si>
  <si>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</si>
  <si>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</si>
  <si>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</si>
  <si>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</si>
  <si>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</si>
  <si>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</si>
  <si>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</si>
  <si>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</si>
  <si>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</si>
  <si>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</si>
  <si>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</si>
  <si>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</si>
  <si>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</si>
  <si>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</si>
  <si>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</si>
  <si>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</si>
  <si>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</si>
  <si>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</si>
  <si>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</si>
  <si>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</si>
  <si>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</si>
  <si>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</si>
  <si>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</si>
  <si>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</si>
  <si>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</si>
  <si>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</si>
  <si>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</si>
  <si>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</si>
  <si>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</si>
  <si>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</si>
  <si>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</si>
  <si>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</si>
  <si>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</si>
  <si>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</si>
  <si>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</si>
  <si>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</si>
  <si>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</si>
  <si>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</si>
  <si>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</si>
  <si>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</si>
  <si>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</si>
  <si>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</si>
  <si>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</si>
  <si>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</si>
  <si>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</si>
  <si>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</si>
  <si>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</si>
  <si>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</si>
  <si>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</si>
  <si>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</si>
  <si>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</si>
  <si>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</si>
  <si>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</si>
  <si>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</si>
  <si>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</si>
  <si>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</si>
  <si>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</si>
  <si>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</si>
  <si>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</si>
  <si>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</si>
  <si>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</si>
  <si>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</si>
  <si>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</si>
  <si>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</si>
  <si>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</si>
  <si>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</si>
  <si>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</si>
  <si>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</si>
  <si>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</si>
  <si>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</si>
  <si>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</si>
  <si>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</si>
  <si>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</si>
  <si>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</si>
  <si>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</si>
  <si>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</si>
  <si>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Customer Name : NAGINA Food Store</t>
  </si>
  <si>
    <t>Address: AL Noor Town</t>
  </si>
  <si>
    <t>7919235-0</t>
  </si>
  <si>
    <t>Asif 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</si>
</sst>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8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165" fontId="0" fillId="0" borderId="0" xfId="0" applyNumberForma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7" sqref="B1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106</v>
      </c>
    </row>
    <row r="15" spans="1:2" x14ac:dyDescent="0.35">
      <c r="A15">
        <v>10</v>
      </c>
      <c r="B15" t="s">
        <v>107</v>
      </c>
    </row>
    <row r="16" spans="1:2" x14ac:dyDescent="0.35">
      <c r="A16">
        <v>11</v>
      </c>
      <c r="B16" t="s">
        <v>125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7" sqref="K17"/>
      <selection pane="topRight" activeCell="K17" sqref="K17"/>
      <selection pane="bottomLeft" activeCell="K17" sqref="K17"/>
      <selection pane="bottomRight" activeCell="K17" sqref="K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4"/>
      <c r="B3" s="194"/>
      <c r="C3" s="194"/>
      <c r="D3" s="194"/>
      <c r="E3" s="194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</row>
    <row r="4" spans="1:29" x14ac:dyDescent="0.35">
      <c r="A4" s="196" t="s">
        <v>6</v>
      </c>
      <c r="B4" s="5" t="s">
        <v>7</v>
      </c>
      <c r="C4" s="5"/>
      <c r="D4" s="198" t="s">
        <v>8</v>
      </c>
      <c r="E4" s="200" t="s">
        <v>9</v>
      </c>
      <c r="F4" s="202" t="s">
        <v>3</v>
      </c>
      <c r="G4" s="202"/>
      <c r="H4" s="203" t="s">
        <v>10</v>
      </c>
      <c r="I4" s="203"/>
      <c r="J4" s="204" t="s">
        <v>11</v>
      </c>
      <c r="K4" s="205"/>
      <c r="L4" s="204" t="s">
        <v>12</v>
      </c>
      <c r="M4" s="205"/>
      <c r="N4" s="206" t="s">
        <v>13</v>
      </c>
      <c r="O4" s="206"/>
      <c r="P4" s="204" t="s">
        <v>4</v>
      </c>
      <c r="Q4" s="205"/>
      <c r="R4" s="204" t="s">
        <v>14</v>
      </c>
      <c r="S4" s="205"/>
      <c r="T4" s="207" t="s">
        <v>15</v>
      </c>
      <c r="U4" s="207"/>
      <c r="V4" s="208" t="s">
        <v>16</v>
      </c>
      <c r="W4" s="209"/>
      <c r="X4" s="208" t="s">
        <v>17</v>
      </c>
      <c r="Y4" s="209"/>
    </row>
    <row r="5" spans="1:29" ht="26.25" customHeight="1" thickBot="1" x14ac:dyDescent="0.4">
      <c r="A5" s="197"/>
      <c r="B5" s="7" t="s">
        <v>18</v>
      </c>
      <c r="C5" s="7" t="s">
        <v>8</v>
      </c>
      <c r="D5" s="199"/>
      <c r="E5" s="20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25" zoomScale="70" zoomScaleNormal="70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10" t="s">
        <v>45</v>
      </c>
      <c r="B2" s="210"/>
      <c r="C2" s="210"/>
    </row>
    <row r="3" spans="1:21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46220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5" t="s">
        <v>104</v>
      </c>
      <c r="B5" s="215"/>
      <c r="C5" s="215"/>
      <c r="F5" s="70"/>
      <c r="G5" s="71"/>
      <c r="K5" s="212" t="s">
        <v>51</v>
      </c>
      <c r="L5" s="212"/>
      <c r="M5" s="212"/>
      <c r="N5" s="213">
        <f ca="1">N4-1</f>
        <v>46219</v>
      </c>
      <c r="O5" s="211"/>
      <c r="P5" s="211"/>
      <c r="R5" s="70"/>
      <c r="S5" s="71"/>
    </row>
    <row r="6" spans="1:21 16383:16384" ht="15" customHeight="1" x14ac:dyDescent="0.35">
      <c r="A6" s="215"/>
      <c r="B6" s="215"/>
      <c r="C6" s="215"/>
      <c r="F6" s="70"/>
      <c r="G6" s="74"/>
      <c r="K6" s="212" t="s">
        <v>52</v>
      </c>
      <c r="L6" s="212"/>
      <c r="M6" s="212"/>
      <c r="N6" s="214" t="s">
        <v>42</v>
      </c>
      <c r="O6" s="214"/>
      <c r="P6" s="21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21 16383:16384" hidden="1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21 16383:16384" x14ac:dyDescent="0.35">
      <c r="A10" s="217"/>
      <c r="B10" s="75"/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21 16383:16384" ht="15" thickBot="1" x14ac:dyDescent="0.4">
      <c r="A11" s="217"/>
      <c r="B11" s="76"/>
      <c r="C11" s="77"/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21 16383:16384" ht="14.65" customHeight="1" x14ac:dyDescent="0.35">
      <c r="A12" s="217"/>
      <c r="B12" s="76"/>
      <c r="C12" s="77"/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T12" s="226" t="s">
        <v>105</v>
      </c>
      <c r="U12" s="227"/>
      <c r="XFD12" t="s">
        <v>62</v>
      </c>
    </row>
    <row r="13" spans="1:21 16383:16384" ht="15" thickBot="1" x14ac:dyDescent="0.4">
      <c r="A13" s="254"/>
      <c r="J13" s="78"/>
      <c r="K13" s="78"/>
      <c r="L13" s="79">
        <v>0.05</v>
      </c>
      <c r="T13" s="228"/>
      <c r="U13" s="229"/>
      <c r="XFD13" t="s">
        <v>63</v>
      </c>
    </row>
    <row r="14" spans="1:21 16383:16384" ht="29.25" customHeight="1" x14ac:dyDescent="0.6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20" t="s">
        <v>68</v>
      </c>
      <c r="H14" s="221"/>
      <c r="I14" s="221" t="s">
        <v>69</v>
      </c>
      <c r="J14" s="221" t="s">
        <v>70</v>
      </c>
      <c r="K14" s="221"/>
      <c r="L14" s="223"/>
      <c r="M14" s="224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NAGINA Food Store</v>
      </c>
      <c r="U14" s="164">
        <f>+'1'!P35</f>
        <v>79088.856900000013</v>
      </c>
      <c r="XFD14" t="s">
        <v>75</v>
      </c>
    </row>
    <row r="15" spans="1:21 16383:16384" ht="29.25" customHeight="1" thickBot="1" x14ac:dyDescent="0.65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2"/>
      <c r="J15" s="171" t="s">
        <v>78</v>
      </c>
      <c r="K15" s="171" t="s">
        <v>79</v>
      </c>
      <c r="L15" s="174" t="s">
        <v>80</v>
      </c>
      <c r="M15" s="22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0</v>
      </c>
      <c r="I19" s="1">
        <f t="shared" si="1"/>
        <v>0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0</v>
      </c>
      <c r="M19" s="118">
        <f t="shared" si="2"/>
        <v>0</v>
      </c>
      <c r="N19" s="101">
        <f>+'1'!N19+'2'!N19+'4'!N19+'3'!N19+'5'!N19+'6'!N19+'7'!N19+'8'!N19+'9'!N19+'10'!N19</f>
        <v>0</v>
      </c>
      <c r="O19" s="101">
        <f>+'1'!O19+'2'!O19+'4'!O19+'3'!O19+'5'!O19+'6'!O19+'7'!O19+'8'!O19+'9'!O19+'10'!O19</f>
        <v>0</v>
      </c>
      <c r="P19" s="120">
        <f t="shared" si="0"/>
        <v>0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0</v>
      </c>
      <c r="I21" s="1">
        <f t="shared" si="1"/>
        <v>0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6747.56</v>
      </c>
      <c r="L22" s="175">
        <f>+'1'!L22+'2'!L22+'4'!L22+'3'!L22+'5'!L22+'6'!L22+'7'!L22+'8'!L22+'9'!L22+'10'!L22</f>
        <v>5021.4400000000014</v>
      </c>
      <c r="M22" s="118">
        <f t="shared" si="2"/>
        <v>-11769.000000000002</v>
      </c>
      <c r="N22" s="101">
        <f>+'1'!N22+'2'!N22+'4'!N22+'3'!N22+'5'!N22+'6'!N22+'7'!N22+'8'!N22+'9'!N22+'10'!N22</f>
        <v>12004.380000000003</v>
      </c>
      <c r="O22" s="101">
        <f>+'1'!O22+'2'!O22+'4'!O22+'3'!O22+'5'!O22+'6'!O22+'7'!O22+'8'!O22+'9'!O22+'10'!O22</f>
        <v>393.47690000000011</v>
      </c>
      <c r="P22" s="120">
        <f t="shared" si="0"/>
        <v>628.85690000000113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6" t="s">
        <v>84</v>
      </c>
      <c r="B25" s="237"/>
      <c r="C25" s="238">
        <f>H25/40</f>
        <v>0</v>
      </c>
      <c r="D25" s="232"/>
      <c r="E25" s="232"/>
      <c r="F25" s="232"/>
      <c r="G25" s="176">
        <f t="shared" ref="G25:M25" si="3">SUM(G16:G24)</f>
        <v>0</v>
      </c>
      <c r="H25" s="177">
        <f t="shared" si="3"/>
        <v>0</v>
      </c>
      <c r="I25" s="178">
        <f t="shared" si="3"/>
        <v>0</v>
      </c>
      <c r="J25" s="177">
        <f t="shared" si="3"/>
        <v>0</v>
      </c>
      <c r="K25" s="178">
        <f t="shared" si="3"/>
        <v>6747.56</v>
      </c>
      <c r="L25" s="179">
        <f t="shared" si="3"/>
        <v>5021.4400000000014</v>
      </c>
      <c r="M25" s="141">
        <f t="shared" si="3"/>
        <v>-11769.000000000002</v>
      </c>
      <c r="N25" s="142">
        <f>SUM(N16:N24)</f>
        <v>12004.380000000003</v>
      </c>
      <c r="O25" s="143">
        <f>SUM(O16:O24)</f>
        <v>393.47690000000011</v>
      </c>
      <c r="P25" s="144">
        <f>SUM(P16:P24)</f>
        <v>628.85690000000113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79088.856900000013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9" t="s">
        <v>85</v>
      </c>
      <c r="C36" s="240"/>
      <c r="D36" s="240"/>
      <c r="E36" s="240"/>
      <c r="F36" s="240"/>
      <c r="G36" s="240"/>
      <c r="H36" s="240"/>
      <c r="I36" s="240"/>
      <c r="J36" s="240"/>
      <c r="K36" s="240"/>
      <c r="L36" s="241"/>
      <c r="N36" s="248" t="s">
        <v>86</v>
      </c>
      <c r="O36" s="249"/>
      <c r="P36" s="152">
        <f>I25</f>
        <v>0</v>
      </c>
    </row>
    <row r="37" spans="1:21" ht="15" customHeight="1" x14ac:dyDescent="0.35">
      <c r="B37" s="242"/>
      <c r="C37" s="243"/>
      <c r="D37" s="243"/>
      <c r="E37" s="243"/>
      <c r="F37" s="243"/>
      <c r="G37" s="243"/>
      <c r="H37" s="243"/>
      <c r="I37" s="243"/>
      <c r="J37" s="243"/>
      <c r="K37" s="243"/>
      <c r="L37" s="244"/>
      <c r="N37" s="250" t="s">
        <v>87</v>
      </c>
      <c r="O37" s="251"/>
      <c r="P37" s="153">
        <f>L25</f>
        <v>5021.4400000000014</v>
      </c>
    </row>
    <row r="38" spans="1:21" ht="15" customHeight="1" x14ac:dyDescent="0.35">
      <c r="B38" s="242"/>
      <c r="C38" s="243"/>
      <c r="D38" s="243"/>
      <c r="E38" s="243"/>
      <c r="F38" s="243"/>
      <c r="G38" s="243"/>
      <c r="H38" s="243"/>
      <c r="I38" s="243"/>
      <c r="J38" s="243"/>
      <c r="K38" s="243"/>
      <c r="L38" s="244"/>
      <c r="N38" s="250" t="s">
        <v>4</v>
      </c>
      <c r="O38" s="251"/>
      <c r="P38" s="154">
        <f>K25</f>
        <v>6747.56</v>
      </c>
    </row>
    <row r="39" spans="1:21" ht="15" customHeight="1" x14ac:dyDescent="0.35">
      <c r="B39" s="242"/>
      <c r="C39" s="243"/>
      <c r="D39" s="243"/>
      <c r="E39" s="243"/>
      <c r="F39" s="243"/>
      <c r="G39" s="243"/>
      <c r="H39" s="243"/>
      <c r="I39" s="243"/>
      <c r="J39" s="243"/>
      <c r="K39" s="243"/>
      <c r="L39" s="244"/>
      <c r="M39" s="2"/>
      <c r="N39" s="250" t="s">
        <v>88</v>
      </c>
      <c r="O39" s="251"/>
      <c r="P39" s="153">
        <f>P36-P37-P38</f>
        <v>-11769.000000000002</v>
      </c>
    </row>
    <row r="40" spans="1:21" ht="15" customHeight="1" x14ac:dyDescent="0.35">
      <c r="B40" s="242"/>
      <c r="C40" s="243"/>
      <c r="D40" s="243"/>
      <c r="E40" s="243"/>
      <c r="F40" s="243"/>
      <c r="G40" s="243"/>
      <c r="H40" s="243"/>
      <c r="I40" s="243"/>
      <c r="J40" s="243"/>
      <c r="K40" s="243"/>
      <c r="L40" s="244"/>
      <c r="M40" s="2"/>
      <c r="N40" s="155" t="s">
        <v>89</v>
      </c>
      <c r="O40" s="156">
        <f>IF(B12="Registered",18%,22%)</f>
        <v>0.22</v>
      </c>
      <c r="P40" s="153">
        <f>N25</f>
        <v>12004.380000000003</v>
      </c>
    </row>
    <row r="41" spans="1:21" ht="15" customHeight="1" x14ac:dyDescent="0.35">
      <c r="B41" s="242"/>
      <c r="C41" s="243"/>
      <c r="D41" s="243"/>
      <c r="E41" s="243"/>
      <c r="F41" s="243"/>
      <c r="G41" s="243"/>
      <c r="H41" s="243"/>
      <c r="I41" s="243"/>
      <c r="J41" s="243"/>
      <c r="K41" s="243"/>
      <c r="L41" s="244"/>
      <c r="M41" s="2"/>
      <c r="N41" s="252" t="s">
        <v>90</v>
      </c>
      <c r="O41" s="253"/>
      <c r="P41" s="153">
        <f>P39+P40</f>
        <v>235.38000000000102</v>
      </c>
    </row>
    <row r="42" spans="1:21" ht="15" customHeight="1" thickBot="1" x14ac:dyDescent="0.4">
      <c r="B42" s="245"/>
      <c r="C42" s="246"/>
      <c r="D42" s="246"/>
      <c r="E42" s="246"/>
      <c r="F42" s="246"/>
      <c r="G42" s="246"/>
      <c r="H42" s="246"/>
      <c r="I42" s="246"/>
      <c r="J42" s="246"/>
      <c r="K42" s="246"/>
      <c r="L42" s="247"/>
      <c r="M42" s="157"/>
      <c r="N42" s="158" t="s">
        <v>91</v>
      </c>
      <c r="O42" s="159">
        <f>IF(B11="Filer",0.5%,2.5%)</f>
        <v>2.5000000000000001E-2</v>
      </c>
      <c r="P42" s="153">
        <f>O42*P41</f>
        <v>5.8845000000000258</v>
      </c>
    </row>
    <row r="43" spans="1:21" ht="15.75" customHeight="1" thickBot="1" x14ac:dyDescent="0.4">
      <c r="N43" s="230" t="s">
        <v>92</v>
      </c>
      <c r="O43" s="231"/>
      <c r="P43" s="160">
        <f>P41+P42</f>
        <v>241.26450000000105</v>
      </c>
    </row>
    <row r="44" spans="1:21" ht="15" thickBot="1" x14ac:dyDescent="0.4">
      <c r="B44" s="161" t="s">
        <v>93</v>
      </c>
      <c r="C44" s="232"/>
      <c r="D44" s="232"/>
      <c r="E44" s="232"/>
      <c r="F44" s="232"/>
      <c r="G44" s="232"/>
      <c r="H44" s="232"/>
      <c r="I44" s="233"/>
      <c r="J44" s="234"/>
      <c r="K44" s="235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F8" sqref="F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10" t="s">
        <v>45</v>
      </c>
      <c r="B2" s="210"/>
      <c r="C2" s="210"/>
    </row>
    <row r="3" spans="1:26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1002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46220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7" t="s">
        <v>122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46219</v>
      </c>
      <c r="O5" s="211"/>
      <c r="P5" s="211"/>
      <c r="R5" s="70"/>
      <c r="S5" s="71"/>
    </row>
    <row r="6" spans="1:26 16383:16384" ht="15" customHeight="1" x14ac:dyDescent="0.35">
      <c r="A6" s="212" t="s">
        <v>123</v>
      </c>
      <c r="B6" s="212"/>
      <c r="C6" s="212"/>
      <c r="F6" s="70"/>
      <c r="G6" s="74"/>
      <c r="K6" s="212" t="s">
        <v>52</v>
      </c>
      <c r="L6" s="212"/>
      <c r="M6" s="212"/>
      <c r="N6" s="214" t="s">
        <v>125</v>
      </c>
      <c r="O6" s="214"/>
      <c r="P6" s="214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26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26 16383:16384" x14ac:dyDescent="0.35">
      <c r="A10" s="217" t="s">
        <v>95</v>
      </c>
      <c r="B10" s="75" t="s">
        <v>124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26 16383:16384" x14ac:dyDescent="0.35">
      <c r="A11" s="217"/>
      <c r="B11" s="76" t="s">
        <v>48</v>
      </c>
      <c r="C11" s="77" t="str">
        <f>IF($O34&gt;2.49%,"No","Yes")</f>
        <v>Yes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26 16383:16384" ht="14.65" customHeight="1" x14ac:dyDescent="0.35">
      <c r="A12" s="21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26 16383:16384" ht="15" thickBot="1" x14ac:dyDescent="0.4">
      <c r="A13" s="254"/>
      <c r="B13" s="168">
        <v>3520101378507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S14" s="264" t="s">
        <v>119</v>
      </c>
      <c r="T14" s="264"/>
      <c r="U14" s="264"/>
      <c r="V14" s="264"/>
      <c r="W14" s="265" t="s">
        <v>121</v>
      </c>
      <c r="X14" s="265"/>
      <c r="Y14" s="265"/>
      <c r="Z14" s="265"/>
      <c r="XFD14" t="s">
        <v>75</v>
      </c>
    </row>
    <row r="15" spans="1:26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5" t="s">
        <v>111</v>
      </c>
      <c r="T15" s="185" t="s">
        <v>112</v>
      </c>
      <c r="U15" s="185" t="s">
        <v>116</v>
      </c>
      <c r="V15" s="185" t="s">
        <v>117</v>
      </c>
      <c r="W15" s="186" t="s">
        <v>111</v>
      </c>
      <c r="X15" s="186" t="s">
        <v>112</v>
      </c>
      <c r="Y15" s="186" t="s">
        <v>116</v>
      </c>
      <c r="Z15" s="186" t="s">
        <v>117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108</v>
      </c>
      <c r="T16" s="183">
        <v>1697</v>
      </c>
      <c r="U16" s="183" t="s">
        <v>113</v>
      </c>
      <c r="V16" s="183">
        <f>T16/40</f>
        <v>42.424999999999997</v>
      </c>
      <c r="W16" s="187" t="s">
        <v>108</v>
      </c>
      <c r="X16" s="187">
        <v>1664</v>
      </c>
      <c r="Y16" s="187" t="s">
        <v>113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110</v>
      </c>
      <c r="T17" s="183">
        <v>2322</v>
      </c>
      <c r="U17" s="183" t="s">
        <v>114</v>
      </c>
      <c r="V17" s="183">
        <f t="shared" ref="V17:V18" si="7">T17/40</f>
        <v>58.05</v>
      </c>
      <c r="W17" s="188" t="s">
        <v>110</v>
      </c>
      <c r="X17" s="187">
        <v>2277</v>
      </c>
      <c r="Y17" s="187" t="s">
        <v>114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109</v>
      </c>
      <c r="T18" s="183">
        <v>3216</v>
      </c>
      <c r="U18" s="183" t="s">
        <v>115</v>
      </c>
      <c r="V18" s="183">
        <f t="shared" si="7"/>
        <v>80.400000000000006</v>
      </c>
      <c r="W18" s="187" t="s">
        <v>109</v>
      </c>
      <c r="X18" s="187">
        <v>3153</v>
      </c>
      <c r="Y18" s="187" t="s">
        <v>115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6" t="s">
        <v>120</v>
      </c>
      <c r="T19" s="266"/>
      <c r="U19" s="266"/>
      <c r="V19" s="266"/>
      <c r="W19" s="267" t="s">
        <v>118</v>
      </c>
      <c r="X19" s="267"/>
      <c r="Y19" s="267"/>
      <c r="Z19" s="267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111</v>
      </c>
      <c r="T20" s="185" t="s">
        <v>112</v>
      </c>
      <c r="U20" s="185" t="s">
        <v>116</v>
      </c>
      <c r="V20" s="185" t="s">
        <v>117</v>
      </c>
      <c r="W20" s="185" t="s">
        <v>111</v>
      </c>
      <c r="X20" s="185" t="s">
        <v>112</v>
      </c>
      <c r="Y20" s="185" t="s">
        <v>116</v>
      </c>
      <c r="Z20" s="185" t="s">
        <v>117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108</v>
      </c>
      <c r="T21" s="189">
        <v>1610</v>
      </c>
      <c r="U21" s="189" t="s">
        <v>113</v>
      </c>
      <c r="V21" s="189">
        <f>T21/40</f>
        <v>40.25</v>
      </c>
      <c r="W21" s="191" t="s">
        <v>108</v>
      </c>
      <c r="X21" s="191">
        <v>1642</v>
      </c>
      <c r="Y21" s="191" t="s">
        <v>113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>
        <v>50</v>
      </c>
      <c r="H22" s="115"/>
      <c r="I22" s="116">
        <f t="shared" si="3"/>
        <v>78460.000000000015</v>
      </c>
      <c r="J22" s="117"/>
      <c r="K22" s="104">
        <f>I22*8.6%</f>
        <v>6747.56</v>
      </c>
      <c r="L22" s="120">
        <f>I22*6.4%</f>
        <v>5021.4400000000014</v>
      </c>
      <c r="M22" s="118">
        <f t="shared" si="6"/>
        <v>66691.000000000015</v>
      </c>
      <c r="N22" s="118">
        <f t="shared" si="0"/>
        <v>12004.380000000003</v>
      </c>
      <c r="O22" s="119">
        <f t="shared" si="1"/>
        <v>393.47690000000011</v>
      </c>
      <c r="P22" s="120">
        <f t="shared" si="2"/>
        <v>79088.856900000013</v>
      </c>
      <c r="S22" s="190" t="s">
        <v>110</v>
      </c>
      <c r="T22" s="189">
        <v>2202</v>
      </c>
      <c r="U22" s="189" t="s">
        <v>114</v>
      </c>
      <c r="V22" s="189">
        <f t="shared" ref="V22:V25" si="9">T22/40</f>
        <v>55.05</v>
      </c>
      <c r="W22" s="192" t="s">
        <v>110</v>
      </c>
      <c r="X22" s="191">
        <v>2246</v>
      </c>
      <c r="Y22" s="191" t="s">
        <v>114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109</v>
      </c>
      <c r="T23" s="189">
        <v>3216</v>
      </c>
      <c r="U23" s="189" t="s">
        <v>115</v>
      </c>
      <c r="V23" s="189">
        <f t="shared" si="9"/>
        <v>80.400000000000006</v>
      </c>
      <c r="W23" s="191" t="s">
        <v>109</v>
      </c>
      <c r="X23" s="191">
        <v>3216</v>
      </c>
      <c r="Y23" s="191" t="s">
        <v>114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109</v>
      </c>
      <c r="T24" s="189">
        <v>3216</v>
      </c>
      <c r="U24" s="189" t="s">
        <v>115</v>
      </c>
      <c r="V24" s="189">
        <f t="shared" si="9"/>
        <v>80.400000000000006</v>
      </c>
      <c r="W24" s="191"/>
      <c r="X24" s="191"/>
      <c r="Y24" s="191" t="s">
        <v>114</v>
      </c>
      <c r="Z24" s="191">
        <f t="shared" si="10"/>
        <v>0</v>
      </c>
    </row>
    <row r="25" spans="1:26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13">SUM(G16:G24)</f>
        <v>50</v>
      </c>
      <c r="H25" s="136">
        <f t="shared" si="13"/>
        <v>0</v>
      </c>
      <c r="I25" s="137">
        <f t="shared" si="13"/>
        <v>78460.000000000015</v>
      </c>
      <c r="J25" s="138"/>
      <c r="K25" s="139">
        <f t="shared" si="13"/>
        <v>6747.56</v>
      </c>
      <c r="L25" s="140">
        <f t="shared" si="13"/>
        <v>5021.4400000000014</v>
      </c>
      <c r="M25" s="141">
        <f t="shared" si="13"/>
        <v>66691.000000000015</v>
      </c>
      <c r="N25" s="142">
        <f>SUM(N16:N24)</f>
        <v>12004.380000000003</v>
      </c>
      <c r="O25" s="143">
        <f>SUM(O16:O24)</f>
        <v>393.47690000000011</v>
      </c>
      <c r="P25" s="144">
        <f>SUM(P16:P24)</f>
        <v>79088.856900000013</v>
      </c>
      <c r="S25" s="189" t="s">
        <v>109</v>
      </c>
      <c r="T25" s="189">
        <v>3216</v>
      </c>
      <c r="U25" s="189" t="s">
        <v>115</v>
      </c>
      <c r="V25" s="189">
        <f t="shared" si="9"/>
        <v>80.400000000000006</v>
      </c>
      <c r="W25" s="191" t="s">
        <v>109</v>
      </c>
      <c r="X25" s="191">
        <v>3110</v>
      </c>
      <c r="Y25" s="191" t="s">
        <v>115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J26" s="193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78460.000000000015</v>
      </c>
    </row>
    <row r="29" spans="1:26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5021.4400000000014</v>
      </c>
    </row>
    <row r="30" spans="1:26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6747.56</v>
      </c>
    </row>
    <row r="31" spans="1:26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66691.000000000015</v>
      </c>
    </row>
    <row r="32" spans="1:26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0.18</v>
      </c>
      <c r="P32" s="153">
        <f>N25</f>
        <v>12004.380000000003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78695.380000000019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5.0000000000000001E-3</v>
      </c>
      <c r="P34" s="153">
        <f>O34*P33</f>
        <v>393.47690000000011</v>
      </c>
    </row>
    <row r="35" spans="2:16" ht="15.75" customHeight="1" thickBot="1" x14ac:dyDescent="0.4">
      <c r="N35" s="230" t="s">
        <v>92</v>
      </c>
      <c r="O35" s="231"/>
      <c r="P35" s="160">
        <f>P33+P34</f>
        <v>79088.856900000013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Sheet2!$B$6:$B$16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2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46220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102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46219</v>
      </c>
      <c r="O5" s="211"/>
      <c r="P5" s="211"/>
      <c r="R5" s="70"/>
      <c r="S5" s="71"/>
    </row>
    <row r="6" spans="1:19 16383:16384" ht="15" customHeight="1" x14ac:dyDescent="0.35">
      <c r="A6" s="212" t="s">
        <v>103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>
        <v>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48</v>
      </c>
      <c r="C11" s="77" t="str">
        <f>IF($O34&gt;2.49%,"No","Yes")</f>
        <v>Yes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4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46220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102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46219</v>
      </c>
      <c r="O5" s="211"/>
      <c r="P5" s="211"/>
      <c r="R5" s="70"/>
      <c r="S5" s="71"/>
    </row>
    <row r="6" spans="1:19 16383:16384" ht="15" customHeight="1" x14ac:dyDescent="0.35">
      <c r="A6" s="212" t="s">
        <v>103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169">
        <v>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48</v>
      </c>
      <c r="C11" s="77" t="str">
        <f>IF($O34&gt;2.49%,"No","Yes")</f>
        <v>Yes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3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46220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102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46219</v>
      </c>
      <c r="O5" s="211"/>
      <c r="P5" s="211"/>
      <c r="R5" s="70"/>
      <c r="S5" s="71"/>
    </row>
    <row r="6" spans="1:19 16383:16384" ht="15" customHeight="1" x14ac:dyDescent="0.35">
      <c r="A6" s="212" t="s">
        <v>103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>
        <v>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5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46220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102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46219</v>
      </c>
      <c r="O5" s="211"/>
      <c r="P5" s="211"/>
      <c r="R5" s="70"/>
      <c r="S5" s="71"/>
    </row>
    <row r="6" spans="1:19 16383:16384" ht="15" customHeight="1" x14ac:dyDescent="0.35">
      <c r="A6" s="212" t="s">
        <v>103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169">
        <v>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6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46220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102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46219</v>
      </c>
      <c r="O5" s="211"/>
      <c r="P5" s="211"/>
      <c r="R5" s="70"/>
      <c r="S5" s="71"/>
    </row>
    <row r="6" spans="1:19 16383:16384" ht="15" customHeight="1" x14ac:dyDescent="0.35">
      <c r="A6" s="212" t="s">
        <v>103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>
        <v>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7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46220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102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46219</v>
      </c>
      <c r="O5" s="211"/>
      <c r="P5" s="211"/>
      <c r="R5" s="70"/>
      <c r="S5" s="71"/>
    </row>
    <row r="6" spans="1:19 16383:16384" ht="15" customHeight="1" x14ac:dyDescent="0.35">
      <c r="A6" s="212" t="s">
        <v>103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169">
        <v>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8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46220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102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46219</v>
      </c>
      <c r="O5" s="211"/>
      <c r="P5" s="211"/>
      <c r="R5" s="70"/>
      <c r="S5" s="71"/>
    </row>
    <row r="6" spans="1:19 16383:16384" ht="15" customHeight="1" x14ac:dyDescent="0.35">
      <c r="A6" s="212" t="s">
        <v>103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>
        <v>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9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46220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102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46219</v>
      </c>
      <c r="O5" s="211"/>
      <c r="P5" s="211"/>
      <c r="R5" s="70"/>
      <c r="S5" s="71"/>
    </row>
    <row r="6" spans="1:19 16383:16384" ht="15" customHeight="1" x14ac:dyDescent="0.35">
      <c r="A6" s="212" t="s">
        <v>103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167">
        <v>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46220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102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46219</v>
      </c>
      <c r="O5" s="211"/>
      <c r="P5" s="211"/>
      <c r="R5" s="70"/>
      <c r="S5" s="71"/>
    </row>
    <row r="6" spans="1:19 16383:16384" ht="15" customHeight="1" x14ac:dyDescent="0.35">
      <c r="A6" s="212" t="s">
        <v>103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>
        <v>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46220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102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46219</v>
      </c>
      <c r="O5" s="211"/>
      <c r="P5" s="211"/>
      <c r="R5" s="70"/>
      <c r="S5" s="71"/>
    </row>
    <row r="6" spans="1:19 16383:16384" ht="15" customHeight="1" x14ac:dyDescent="0.35">
      <c r="A6" s="212" t="s">
        <v>103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>
        <v>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46220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102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46219</v>
      </c>
      <c r="O5" s="211"/>
      <c r="P5" s="211"/>
      <c r="R5" s="70"/>
      <c r="S5" s="71"/>
    </row>
    <row r="6" spans="1:19 16383:16384" ht="15" customHeight="1" x14ac:dyDescent="0.35">
      <c r="A6" s="212" t="s">
        <v>103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>
        <v>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46220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102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46219</v>
      </c>
      <c r="O5" s="211"/>
      <c r="P5" s="211"/>
      <c r="R5" s="70"/>
      <c r="S5" s="71"/>
    </row>
    <row r="6" spans="1:19 16383:16384" ht="15" customHeight="1" x14ac:dyDescent="0.35">
      <c r="A6" s="212" t="s">
        <v>103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>
        <v>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46220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102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46219</v>
      </c>
      <c r="O5" s="211"/>
      <c r="P5" s="211"/>
      <c r="R5" s="70"/>
      <c r="S5" s="71"/>
    </row>
    <row r="6" spans="1:19 16383:16384" ht="15" customHeight="1" x14ac:dyDescent="0.35">
      <c r="A6" s="212" t="s">
        <v>103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>
        <v>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46220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102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46219</v>
      </c>
      <c r="O5" s="211"/>
      <c r="P5" s="211"/>
      <c r="R5" s="70"/>
      <c r="S5" s="71"/>
    </row>
    <row r="6" spans="1:19 16383:16384" ht="15" customHeight="1" x14ac:dyDescent="0.35">
      <c r="A6" s="212" t="s">
        <v>103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180">
        <v>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46220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102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46219</v>
      </c>
      <c r="O5" s="211"/>
      <c r="P5" s="211"/>
      <c r="R5" s="70"/>
      <c r="S5" s="71"/>
    </row>
    <row r="6" spans="1:19 16383:16384" ht="15" customHeight="1" x14ac:dyDescent="0.35">
      <c r="A6" s="212" t="s">
        <v>103</v>
      </c>
      <c r="B6" s="212"/>
      <c r="C6" s="212"/>
      <c r="F6" s="70"/>
      <c r="G6" s="74"/>
      <c r="K6" s="212" t="s">
        <v>52</v>
      </c>
      <c r="L6" s="212"/>
      <c r="M6" s="212"/>
      <c r="N6" s="214" t="s">
        <v>97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>
        <v>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46220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102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46219</v>
      </c>
      <c r="O5" s="211"/>
      <c r="P5" s="211"/>
      <c r="R5" s="70"/>
      <c r="S5" s="71"/>
    </row>
    <row r="6" spans="1:19 16383:16384" ht="15" customHeight="1" x14ac:dyDescent="0.35">
      <c r="A6" s="212" t="s">
        <v>103</v>
      </c>
      <c r="B6" s="212"/>
      <c r="C6" s="212"/>
      <c r="F6" s="70"/>
      <c r="G6" s="74"/>
      <c r="K6" s="212" t="s">
        <v>52</v>
      </c>
      <c r="L6" s="212"/>
      <c r="M6" s="212"/>
      <c r="N6" s="214" t="s">
        <v>97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>
        <v>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46220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102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46219</v>
      </c>
      <c r="O5" s="211"/>
      <c r="P5" s="211"/>
      <c r="R5" s="70"/>
      <c r="S5" s="71"/>
    </row>
    <row r="6" spans="1:19 16383:16384" ht="15" customHeight="1" x14ac:dyDescent="0.35">
      <c r="A6" s="212" t="s">
        <v>103</v>
      </c>
      <c r="B6" s="212"/>
      <c r="C6" s="212"/>
      <c r="F6" s="70"/>
      <c r="G6" s="74"/>
      <c r="K6" s="212" t="s">
        <v>52</v>
      </c>
      <c r="L6" s="212"/>
      <c r="M6" s="212"/>
      <c r="N6" s="214" t="s">
        <v>97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>
        <v>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46220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102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46219</v>
      </c>
      <c r="O5" s="211"/>
      <c r="P5" s="211"/>
      <c r="R5" s="70"/>
      <c r="S5" s="71"/>
    </row>
    <row r="6" spans="1:19 16383:16384" ht="15" customHeight="1" x14ac:dyDescent="0.35">
      <c r="A6" s="212" t="s">
        <v>103</v>
      </c>
      <c r="B6" s="212"/>
      <c r="C6" s="212"/>
      <c r="F6" s="70"/>
      <c r="G6" s="74"/>
      <c r="K6" s="212" t="s">
        <v>52</v>
      </c>
      <c r="L6" s="212"/>
      <c r="M6" s="212"/>
      <c r="N6" s="214" t="s">
        <v>97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>
        <v>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46220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102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46219</v>
      </c>
      <c r="O5" s="211"/>
      <c r="P5" s="211"/>
      <c r="R5" s="70"/>
      <c r="S5" s="71"/>
    </row>
    <row r="6" spans="1:19 16383:16384" ht="15" customHeight="1" x14ac:dyDescent="0.35">
      <c r="A6" s="212" t="s">
        <v>103</v>
      </c>
      <c r="B6" s="212"/>
      <c r="C6" s="212"/>
      <c r="F6" s="70"/>
      <c r="G6" s="74"/>
      <c r="K6" s="212" t="s">
        <v>52</v>
      </c>
      <c r="L6" s="212"/>
      <c r="M6" s="212"/>
      <c r="N6" s="214" t="s">
        <v>97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>
        <v>0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2026-07-17T06:59:55Z</dcterms:modified>
</cp:coreProperties>
</file>