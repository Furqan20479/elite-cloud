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810DE6D7-5AD5-426B-AE0B-2E6D31664CAF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4" i="33" l="1"/>
  <c r="L24" i="33" s="1"/>
  <c r="I16" i="35"/>
  <c r="K16" i="35" s="1"/>
  <c r="I17" i="35"/>
  <c r="K17" i="35" s="1"/>
  <c r="I18" i="35"/>
  <c r="K18" i="35" s="1"/>
  <c r="I19" i="35"/>
  <c r="K19" i="35" s="1"/>
  <c r="I20" i="35"/>
  <c r="K20" i="35" s="1"/>
  <c r="I21" i="35"/>
  <c r="K21" i="35" s="1"/>
  <c r="I22" i="35"/>
  <c r="I23" i="35"/>
  <c r="K23" i="35" s="1"/>
  <c r="I24" i="35"/>
  <c r="I21" i="33"/>
  <c r="K21" i="33" s="1"/>
  <c r="K22" i="35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L24" i="28" s="1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I24" i="30"/>
  <c r="K24" i="30" s="1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K24" i="31" s="1"/>
  <c r="I23" i="32"/>
  <c r="L23" i="32" s="1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K24" i="29" s="1"/>
  <c r="I24" i="32"/>
  <c r="L24" i="32" s="1"/>
  <c r="I19" i="33"/>
  <c r="I23" i="33"/>
  <c r="L23" i="33" s="1"/>
  <c r="L17" i="33"/>
  <c r="M17" i="33" s="1"/>
  <c r="I25" i="35"/>
  <c r="P28" i="35" s="1"/>
  <c r="L16" i="35"/>
  <c r="L17" i="35"/>
  <c r="M17" i="35" s="1"/>
  <c r="L18" i="35"/>
  <c r="M18" i="35" s="1"/>
  <c r="L19" i="35"/>
  <c r="L20" i="35"/>
  <c r="L21" i="35"/>
  <c r="L23" i="35"/>
  <c r="K24" i="35"/>
  <c r="L24" i="35"/>
  <c r="L18" i="34"/>
  <c r="K23" i="34"/>
  <c r="L21" i="33"/>
  <c r="K24" i="33"/>
  <c r="K24" i="32"/>
  <c r="L16" i="32"/>
  <c r="L17" i="32"/>
  <c r="L20" i="32"/>
  <c r="L21" i="32"/>
  <c r="K23" i="32"/>
  <c r="L17" i="31"/>
  <c r="M17" i="31" s="1"/>
  <c r="L20" i="31"/>
  <c r="L21" i="30"/>
  <c r="M21" i="30" s="1"/>
  <c r="L17" i="30"/>
  <c r="L24" i="30"/>
  <c r="L21" i="29"/>
  <c r="L24" i="29"/>
  <c r="L17" i="29"/>
  <c r="L19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17" i="28" l="1"/>
  <c r="M17" i="28" s="1"/>
  <c r="L23" i="31"/>
  <c r="L21" i="28"/>
  <c r="L23" i="30"/>
  <c r="M23" i="30" s="1"/>
  <c r="N23" i="30" s="1"/>
  <c r="O23" i="30" s="1"/>
  <c r="L21" i="31"/>
  <c r="L20" i="33"/>
  <c r="L16" i="34"/>
  <c r="M24" i="29"/>
  <c r="N24" i="29" s="1"/>
  <c r="O24" i="29" s="1"/>
  <c r="P24" i="29" s="1"/>
  <c r="L16" i="28"/>
  <c r="L16" i="31"/>
  <c r="L21" i="34"/>
  <c r="L16" i="33"/>
  <c r="M16" i="33" s="1"/>
  <c r="K16" i="33"/>
  <c r="I16" i="27"/>
  <c r="K16" i="27" s="1"/>
  <c r="I17" i="27"/>
  <c r="K17" i="27" s="1"/>
  <c r="I18" i="27"/>
  <c r="K18" i="27" s="1"/>
  <c r="I19" i="27"/>
  <c r="K19" i="27" s="1"/>
  <c r="I20" i="27"/>
  <c r="K20" i="27" s="1"/>
  <c r="I22" i="27"/>
  <c r="K22" i="27" s="1"/>
  <c r="I23" i="27"/>
  <c r="I24" i="27"/>
  <c r="L20" i="28"/>
  <c r="L20" i="29"/>
  <c r="M20" i="29" s="1"/>
  <c r="N20" i="29" s="1"/>
  <c r="O20" i="29" s="1"/>
  <c r="L20" i="30"/>
  <c r="L24" i="31"/>
  <c r="M23" i="32"/>
  <c r="L19" i="32"/>
  <c r="M19" i="32" s="1"/>
  <c r="N19" i="32" s="1"/>
  <c r="O19" i="32" s="1"/>
  <c r="L19" i="33"/>
  <c r="K19" i="33"/>
  <c r="L18" i="31"/>
  <c r="K18" i="31"/>
  <c r="K25" i="31" s="1"/>
  <c r="P30" i="31" s="1"/>
  <c r="I25" i="28"/>
  <c r="P28" i="28" s="1"/>
  <c r="L16" i="29"/>
  <c r="L16" i="30"/>
  <c r="L17" i="34"/>
  <c r="M17" i="34" s="1"/>
  <c r="N17" i="34" s="1"/>
  <c r="O17" i="34" s="1"/>
  <c r="I25" i="32"/>
  <c r="P28" i="32" s="1"/>
  <c r="M22" i="35"/>
  <c r="K22" i="34"/>
  <c r="L22" i="34"/>
  <c r="L22" i="32"/>
  <c r="K22" i="32"/>
  <c r="K25" i="32" s="1"/>
  <c r="P30" i="32" s="1"/>
  <c r="K22" i="29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M23" i="29" s="1"/>
  <c r="N23" i="29" s="1"/>
  <c r="O23" i="29" s="1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N21" i="35" s="1"/>
  <c r="O21" i="35" s="1"/>
  <c r="I25" i="34"/>
  <c r="P28" i="34" s="1"/>
  <c r="M24" i="28"/>
  <c r="L18" i="28"/>
  <c r="M18" i="28" s="1"/>
  <c r="N18" i="28" s="1"/>
  <c r="O18" i="28" s="1"/>
  <c r="P18" i="28" s="1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19" i="34" s="1"/>
  <c r="N19" i="34" s="1"/>
  <c r="O19" i="34" s="1"/>
  <c r="M24" i="35"/>
  <c r="N24" i="35" s="1"/>
  <c r="O24" i="35" s="1"/>
  <c r="P24" i="35" s="1"/>
  <c r="L18" i="33"/>
  <c r="M18" i="33" s="1"/>
  <c r="I25" i="30"/>
  <c r="P28" i="30" s="1"/>
  <c r="M24" i="31"/>
  <c r="P24" i="31" s="1"/>
  <c r="K25" i="33"/>
  <c r="P30" i="33" s="1"/>
  <c r="M24" i="33"/>
  <c r="M23" i="35"/>
  <c r="M23" i="33"/>
  <c r="N23" i="33" s="1"/>
  <c r="O23" i="33" s="1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K23" i="26" s="1"/>
  <c r="I24" i="26"/>
  <c r="L24" i="26" s="1"/>
  <c r="I21" i="27"/>
  <c r="K21" i="27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1" i="33"/>
  <c r="N21" i="33" s="1"/>
  <c r="O21" i="33" s="1"/>
  <c r="M19" i="33"/>
  <c r="N19" i="33" s="1"/>
  <c r="O19" i="33" s="1"/>
  <c r="M19" i="28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1" i="28"/>
  <c r="M20" i="32"/>
  <c r="N20" i="32" s="1"/>
  <c r="O20" i="32" s="1"/>
  <c r="M19" i="29"/>
  <c r="N19" i="29" s="1"/>
  <c r="O19" i="29" s="1"/>
  <c r="M18" i="30"/>
  <c r="N18" i="30" s="1"/>
  <c r="O18" i="30" s="1"/>
  <c r="P18" i="30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17" i="35"/>
  <c r="O17" i="35" s="1"/>
  <c r="K25" i="35"/>
  <c r="P30" i="35" s="1"/>
  <c r="N23" i="35"/>
  <c r="O23" i="35" s="1"/>
  <c r="L25" i="35"/>
  <c r="P29" i="35" s="1"/>
  <c r="M16" i="35"/>
  <c r="N24" i="33"/>
  <c r="O24" i="33" s="1"/>
  <c r="N18" i="33"/>
  <c r="O18" i="33" s="1"/>
  <c r="N17" i="33"/>
  <c r="O17" i="33" s="1"/>
  <c r="N17" i="32"/>
  <c r="O17" i="32" s="1"/>
  <c r="N23" i="32"/>
  <c r="O23" i="32" s="1"/>
  <c r="N24" i="31"/>
  <c r="O24" i="31" s="1"/>
  <c r="N17" i="31"/>
  <c r="O17" i="31" s="1"/>
  <c r="M16" i="31"/>
  <c r="N19" i="31"/>
  <c r="O19" i="31" s="1"/>
  <c r="N21" i="30"/>
  <c r="O21" i="30" s="1"/>
  <c r="N24" i="30"/>
  <c r="O24" i="30" s="1"/>
  <c r="P24" i="30" s="1"/>
  <c r="N24" i="28"/>
  <c r="O24" i="28" s="1"/>
  <c r="P24" i="28" s="1"/>
  <c r="N23" i="28"/>
  <c r="O23" i="28" s="1"/>
  <c r="P23" i="28" s="1"/>
  <c r="N19" i="28"/>
  <c r="O19" i="28" s="1"/>
  <c r="M16" i="28"/>
  <c r="N21" i="28"/>
  <c r="O21" i="28" s="1"/>
  <c r="N17" i="28"/>
  <c r="O17" i="28" s="1"/>
  <c r="J25" i="15"/>
  <c r="L16" i="27"/>
  <c r="L21" i="27"/>
  <c r="K23" i="27"/>
  <c r="L23" i="27"/>
  <c r="K24" i="27"/>
  <c r="L24" i="27"/>
  <c r="L19" i="27"/>
  <c r="L18" i="27"/>
  <c r="L17" i="26"/>
  <c r="L19" i="26"/>
  <c r="L18" i="26"/>
  <c r="L21" i="26"/>
  <c r="T23" i="15"/>
  <c r="T22" i="15"/>
  <c r="T21" i="15"/>
  <c r="T20" i="15"/>
  <c r="T19" i="15"/>
  <c r="T18" i="15"/>
  <c r="T15" i="15"/>
  <c r="T14" i="15"/>
  <c r="L25" i="30" l="1"/>
  <c r="P29" i="30" s="1"/>
  <c r="M18" i="31"/>
  <c r="N18" i="31" s="1"/>
  <c r="O18" i="31" s="1"/>
  <c r="L25" i="32"/>
  <c r="P29" i="32" s="1"/>
  <c r="L22" i="27"/>
  <c r="L25" i="27" s="1"/>
  <c r="P29" i="27" s="1"/>
  <c r="L20" i="27"/>
  <c r="L25" i="33"/>
  <c r="P29" i="33" s="1"/>
  <c r="I25" i="27"/>
  <c r="P28" i="27" s="1"/>
  <c r="L25" i="34"/>
  <c r="P29" i="34" s="1"/>
  <c r="L16" i="26"/>
  <c r="L23" i="26"/>
  <c r="M23" i="26" s="1"/>
  <c r="N23" i="26" s="1"/>
  <c r="O23" i="26" s="1"/>
  <c r="P23" i="26" s="1"/>
  <c r="L17" i="27"/>
  <c r="M17" i="27" s="1"/>
  <c r="N17" i="27" s="1"/>
  <c r="O17" i="27" s="1"/>
  <c r="K24" i="26"/>
  <c r="M22" i="34"/>
  <c r="N22" i="34" s="1"/>
  <c r="O22" i="34" s="1"/>
  <c r="L25" i="28"/>
  <c r="P29" i="28" s="1"/>
  <c r="P31" i="28" s="1"/>
  <c r="L25" i="31"/>
  <c r="P29" i="31" s="1"/>
  <c r="M24" i="26"/>
  <c r="N24" i="26" s="1"/>
  <c r="O24" i="26" s="1"/>
  <c r="L20" i="26"/>
  <c r="K20" i="26"/>
  <c r="K25" i="29"/>
  <c r="P30" i="29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N16" i="33"/>
  <c r="P22" i="33"/>
  <c r="P21" i="33"/>
  <c r="P24" i="33"/>
  <c r="P23" i="33"/>
  <c r="N25" i="32"/>
  <c r="P32" i="32" s="1"/>
  <c r="O16" i="32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19" i="29"/>
  <c r="P20" i="29"/>
  <c r="N16" i="28"/>
  <c r="P17" i="28"/>
  <c r="P21" i="28"/>
  <c r="P19" i="28"/>
  <c r="M19" i="27"/>
  <c r="N19" i="27" s="1"/>
  <c r="O19" i="27" s="1"/>
  <c r="M20" i="26"/>
  <c r="N20" i="26" s="1"/>
  <c r="O20" i="26" s="1"/>
  <c r="M20" i="27"/>
  <c r="N20" i="27" s="1"/>
  <c r="O20" i="27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3" i="27"/>
  <c r="O23" i="27" s="1"/>
  <c r="N24" i="27"/>
  <c r="O24" i="27" s="1"/>
  <c r="K25" i="27"/>
  <c r="P30" i="27" s="1"/>
  <c r="M16" i="26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22" i="29" l="1"/>
  <c r="P31" i="34"/>
  <c r="O25" i="32"/>
  <c r="L25" i="26"/>
  <c r="P29" i="26" s="1"/>
  <c r="I16" i="22"/>
  <c r="K16" i="22" s="1"/>
  <c r="I17" i="22"/>
  <c r="K17" i="22" s="1"/>
  <c r="I18" i="22"/>
  <c r="K18" i="22" s="1"/>
  <c r="I19" i="22"/>
  <c r="K19" i="22" s="1"/>
  <c r="I20" i="22"/>
  <c r="K20" i="22" s="1"/>
  <c r="I21" i="22"/>
  <c r="K21" i="22" s="1"/>
  <c r="I22" i="22"/>
  <c r="L22" i="22" s="1"/>
  <c r="M25" i="33"/>
  <c r="P31" i="29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P33" i="32"/>
  <c r="N25" i="34"/>
  <c r="P32" i="34" s="1"/>
  <c r="P33" i="34" s="1"/>
  <c r="P34" i="34" s="1"/>
  <c r="P35" i="34" s="1"/>
  <c r="U32" i="15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20" i="25"/>
  <c r="L16" i="25"/>
  <c r="L17" i="25"/>
  <c r="L23" i="25"/>
  <c r="K23" i="25"/>
  <c r="L23" i="23"/>
  <c r="K23" i="23"/>
  <c r="L16" i="22"/>
  <c r="L18" i="22"/>
  <c r="L20" i="22"/>
  <c r="L17" i="22"/>
  <c r="L21" i="22"/>
  <c r="L24" i="20"/>
  <c r="L20" i="19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9" i="22" l="1"/>
  <c r="K23" i="20"/>
  <c r="L18" i="25"/>
  <c r="K24" i="25"/>
  <c r="M24" i="25" s="1"/>
  <c r="N24" i="25" s="1"/>
  <c r="O24" i="25" s="1"/>
  <c r="L20" i="20"/>
  <c r="K20" i="20"/>
  <c r="L17" i="23"/>
  <c r="K17" i="23"/>
  <c r="L18" i="19"/>
  <c r="K18" i="19"/>
  <c r="L17" i="21"/>
  <c r="K17" i="21"/>
  <c r="M17" i="21" s="1"/>
  <c r="N17" i="21" s="1"/>
  <c r="O17" i="21" s="1"/>
  <c r="P17" i="21" s="1"/>
  <c r="L21" i="24"/>
  <c r="K21" i="24"/>
  <c r="L17" i="24"/>
  <c r="K17" i="24"/>
  <c r="M17" i="24" s="1"/>
  <c r="N17" i="24" s="1"/>
  <c r="O17" i="24" s="1"/>
  <c r="L18" i="18"/>
  <c r="K18" i="18"/>
  <c r="L16" i="21"/>
  <c r="K16" i="21"/>
  <c r="M16" i="21" s="1"/>
  <c r="N16" i="21" s="1"/>
  <c r="L20" i="23"/>
  <c r="K20" i="23"/>
  <c r="L17" i="18"/>
  <c r="K17" i="18"/>
  <c r="M17" i="18" s="1"/>
  <c r="N17" i="18" s="1"/>
  <c r="O17" i="18" s="1"/>
  <c r="L17" i="19"/>
  <c r="K17" i="19"/>
  <c r="L21" i="25"/>
  <c r="K21" i="25"/>
  <c r="M21" i="25" s="1"/>
  <c r="N21" i="25" s="1"/>
  <c r="O21" i="25" s="1"/>
  <c r="P21" i="25" s="1"/>
  <c r="L16" i="24"/>
  <c r="K16" i="24"/>
  <c r="L21" i="20"/>
  <c r="K21" i="20"/>
  <c r="M21" i="20" s="1"/>
  <c r="N21" i="20" s="1"/>
  <c r="O21" i="20" s="1"/>
  <c r="L20" i="18"/>
  <c r="K20" i="18"/>
  <c r="L21" i="19"/>
  <c r="K21" i="19"/>
  <c r="M21" i="19" s="1"/>
  <c r="L16" i="20"/>
  <c r="K16" i="20"/>
  <c r="L18" i="23"/>
  <c r="K18" i="23"/>
  <c r="M18" i="23" s="1"/>
  <c r="N18" i="23" s="1"/>
  <c r="O18" i="23" s="1"/>
  <c r="L16" i="18"/>
  <c r="K16" i="18"/>
  <c r="L16" i="19"/>
  <c r="K16" i="19"/>
  <c r="L19" i="24"/>
  <c r="K19" i="24"/>
  <c r="L21" i="17"/>
  <c r="K21" i="17"/>
  <c r="L16" i="23"/>
  <c r="K16" i="23"/>
  <c r="L19" i="19"/>
  <c r="K19" i="19"/>
  <c r="M19" i="19" s="1"/>
  <c r="N19" i="19" s="1"/>
  <c r="O19" i="19" s="1"/>
  <c r="K22" i="23"/>
  <c r="L22" i="23"/>
  <c r="K22" i="17"/>
  <c r="L22" i="17"/>
  <c r="M22" i="17" s="1"/>
  <c r="N22" i="17" s="1"/>
  <c r="O22" i="17" s="1"/>
  <c r="K22" i="21"/>
  <c r="L22" i="21"/>
  <c r="K22" i="19"/>
  <c r="L22" i="19"/>
  <c r="L25" i="19" s="1"/>
  <c r="P29" i="19" s="1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M18" i="18"/>
  <c r="N18" i="18" s="1"/>
  <c r="O18" i="18" s="1"/>
  <c r="L21" i="21"/>
  <c r="M21" i="21" s="1"/>
  <c r="N21" i="21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20" i="24" s="1"/>
  <c r="N20" i="24" s="1"/>
  <c r="O20" i="24" s="1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N24" i="24" s="1"/>
  <c r="O24" i="24" s="1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L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K25" i="24"/>
  <c r="P30" i="24" s="1"/>
  <c r="M16" i="22"/>
  <c r="M17" i="19"/>
  <c r="N17" i="19" s="1"/>
  <c r="O17" i="19" s="1"/>
  <c r="N24" i="19"/>
  <c r="O24" i="19" s="1"/>
  <c r="N24" i="18"/>
  <c r="O24" i="18" s="1"/>
  <c r="I23" i="15"/>
  <c r="M22" i="21" l="1"/>
  <c r="N22" i="21" s="1"/>
  <c r="O22" i="21" s="1"/>
  <c r="M22" i="19"/>
  <c r="N22" i="19" s="1"/>
  <c r="O22" i="19" s="1"/>
  <c r="P22" i="19" s="1"/>
  <c r="L25" i="18"/>
  <c r="P29" i="18" s="1"/>
  <c r="L22" i="15"/>
  <c r="K22" i="16"/>
  <c r="L25" i="25"/>
  <c r="P29" i="25" s="1"/>
  <c r="L17" i="16"/>
  <c r="M23" i="22"/>
  <c r="N23" i="22" s="1"/>
  <c r="O23" i="22" s="1"/>
  <c r="L21" i="16"/>
  <c r="L21" i="15" s="1"/>
  <c r="K25" i="19"/>
  <c r="P30" i="19" s="1"/>
  <c r="P31" i="19" s="1"/>
  <c r="L19" i="16"/>
  <c r="L19" i="15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M21" i="15" s="1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22" l="1"/>
  <c r="P23" i="22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7"/>
  <c r="O25" i="17" s="1"/>
  <c r="N25" i="17"/>
  <c r="P32" i="17" s="1"/>
  <c r="N16" i="15" l="1"/>
  <c r="N18" i="15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<sst xmlns="http://schemas.openxmlformats.org/spreadsheetml/2006/main" count="1634" uniqueCount="126">
  <si>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</si>
  <si>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</si>
  <si>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</si>
  <si>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</si>
  <si>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</si>
  <si>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</si>
  <si>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</si>
  <si>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</si>
  <si>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</si>
  <si>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</si>
  <si>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</si>
  <si>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</si>
  <si>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</si>
  <si>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</si>
  <si>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</si>
  <si>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</si>
  <si>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</si>
  <si>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</si>
  <si>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</si>
  <si>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</si>
  <si>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</si>
  <si>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</si>
  <si>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</si>
  <si>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</si>
  <si>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</si>
  <si>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</si>
  <si>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</si>
  <si>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</si>
  <si>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</si>
  <si>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</si>
  <si>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</si>
  <si>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</si>
  <si>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</si>
  <si>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</si>
  <si>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</si>
  <si>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</si>
  <si>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</si>
  <si>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</si>
  <si>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</si>
  <si>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</si>
  <si>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</si>
  <si>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</si>
  <si>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</si>
  <si>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</si>
  <si>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</si>
  <si>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</si>
  <si>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</si>
  <si>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</si>
  <si>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</si>
  <si>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</si>
  <si>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</si>
  <si>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</si>
  <si>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</si>
  <si>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</si>
  <si>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</si>
  <si>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</si>
  <si>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</si>
  <si>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</si>
  <si>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</si>
  <si>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</si>
  <si>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</si>
  <si>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</si>
  <si>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</si>
  <si>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</si>
  <si>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</si>
  <si>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</si>
  <si>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</si>
  <si>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</si>
  <si>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</si>
  <si>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</si>
  <si>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</si>
  <si>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</si>
  <si>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</si>
  <si>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</si>
  <si>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</si>
  <si>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</si>
  <si>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</si>
  <si>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</si>
  <si>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</si>
  <si>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</si>
  <si>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</si>
  <si>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</si>
  <si>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</si>
  <si>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</si>
  <si>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</si>
  <si>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</si>
  <si>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</si>
  <si>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</si>
  <si>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</si>
  <si>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</si>
  <si>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</si>
  <si>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</si>
  <si>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</si>
  <si>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</si>
  <si>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</si>
  <si>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</si>
  <si>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</si>
  <si>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</si>
  <si>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</si>
  <si>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</si>
  <si>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</si>
  <si>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</si>
  <si>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</si>
  <si>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</si>
  <si>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</si>
  <si>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>Shop Bill Summary (Vacant_01)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</si>
  <si>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</si>
  <si>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</si>
  <si>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</si>
  <si>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</si>
  <si>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</si>
  <si>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</si>
  <si>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</si>
  <si>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</si>
  <si>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</si>
  <si>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</si>
  <si>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</si>
  <si>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</si>
  <si>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</si>
  <si>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</si>
  <si>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</si>
  <si>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</si>
  <si>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Customer Name : NAGINA Food Store</t>
  </si>
  <si>
    <t>Address: AL Noor Town</t>
  </si>
  <si>
    <t>7919235-0</t>
  </si>
  <si>
    <t>Asif 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</si>
</sst>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8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165" fontId="0" fillId="0" borderId="0" xfId="0" applyNumberFormat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7" sqref="B1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106</v>
      </c>
    </row>
    <row r="15" spans="1:2" x14ac:dyDescent="0.35">
      <c r="A15">
        <v>10</v>
      </c>
      <c r="B15" t="s">
        <v>107</v>
      </c>
    </row>
    <row r="16" spans="1:2" x14ac:dyDescent="0.35">
      <c r="A16">
        <v>11</v>
      </c>
      <c r="B16" t="s">
        <v>125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K17" sqref="K17"/>
      <selection pane="topRight" activeCell="K17" sqref="K17"/>
      <selection pane="bottomLeft" activeCell="K17" sqref="K17"/>
      <selection pane="bottomRight" activeCell="K17" sqref="K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opLeftCell="A25" zoomScale="70" zoomScaleNormal="70" workbookViewId="0">
      <selection activeCell="K17" sqref="K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104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105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NAGINA Food Store</v>
      </c>
      <c r="U14" s="164">
        <f>+'1'!P35</f>
        <v>79088.856900000013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9"/>
      <c r="J15" s="171" t="s">
        <v>78</v>
      </c>
      <c r="K15" s="171" t="s">
        <v>79</v>
      </c>
      <c r="L15" s="174" t="s">
        <v>80</v>
      </c>
      <c r="M15" s="24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 xml:space="preserve">Customer Name : 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0</v>
      </c>
      <c r="M21" s="118">
        <f t="shared" si="2"/>
        <v>0</v>
      </c>
      <c r="N21" s="101">
        <f>+'1'!N21+'2'!N21+'4'!N21+'3'!N21+'5'!N21+'6'!N21+'7'!N21+'8'!N21+'9'!N21+'10'!N21</f>
        <v>0</v>
      </c>
      <c r="O21" s="101">
        <f>+'1'!O21+'2'!O21+'4'!O21+'3'!O21+'5'!O21+'6'!O21+'7'!O21+'8'!O21+'9'!O21+'10'!O21</f>
        <v>0</v>
      </c>
      <c r="P21" s="120">
        <f t="shared" si="0"/>
        <v>0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6747.56</v>
      </c>
      <c r="L22" s="175">
        <f>+'1'!L22+'2'!L22+'4'!L22+'3'!L22+'5'!L22+'6'!L22+'7'!L22+'8'!L22+'9'!L22+'10'!L22</f>
        <v>5021.4400000000014</v>
      </c>
      <c r="M22" s="118">
        <f t="shared" si="2"/>
        <v>-11769.000000000002</v>
      </c>
      <c r="N22" s="101">
        <f>+'1'!N22+'2'!N22+'4'!N22+'3'!N22+'5'!N22+'6'!N22+'7'!N22+'8'!N22+'9'!N22+'10'!N22</f>
        <v>12004.380000000003</v>
      </c>
      <c r="O22" s="101">
        <f>+'1'!O22+'2'!O22+'4'!O22+'3'!O22+'5'!O22+'6'!O22+'7'!O22+'8'!O22+'9'!O22+'10'!O22</f>
        <v>393.47690000000011</v>
      </c>
      <c r="P22" s="120">
        <f t="shared" si="0"/>
        <v>628.85690000000113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9" t="s">
        <v>84</v>
      </c>
      <c r="B25" s="220"/>
      <c r="C25" s="221">
        <f>H25/40</f>
        <v>0</v>
      </c>
      <c r="D25" s="215"/>
      <c r="E25" s="215"/>
      <c r="F25" s="215"/>
      <c r="G25" s="176">
        <f t="shared" ref="G25:M25" si="3">SUM(G16:G24)</f>
        <v>0</v>
      </c>
      <c r="H25" s="177">
        <f t="shared" si="3"/>
        <v>0</v>
      </c>
      <c r="I25" s="178">
        <f t="shared" si="3"/>
        <v>0</v>
      </c>
      <c r="J25" s="177">
        <f t="shared" si="3"/>
        <v>0</v>
      </c>
      <c r="K25" s="178">
        <f t="shared" si="3"/>
        <v>6747.56</v>
      </c>
      <c r="L25" s="179">
        <f t="shared" si="3"/>
        <v>5021.4400000000014</v>
      </c>
      <c r="M25" s="141">
        <f t="shared" si="3"/>
        <v>-11769.000000000002</v>
      </c>
      <c r="N25" s="142">
        <f>SUM(N16:N24)</f>
        <v>12004.380000000003</v>
      </c>
      <c r="O25" s="143">
        <f>SUM(O16:O24)</f>
        <v>393.47690000000011</v>
      </c>
      <c r="P25" s="144">
        <f>SUM(P16:P24)</f>
        <v>628.85690000000113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79088.856900000013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2">
        <f>I25</f>
        <v>0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3">
        <f>L25</f>
        <v>5021.4400000000014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4">
        <f>K25</f>
        <v>6747.56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3">
        <f>P36-P37-P38</f>
        <v>-11769.000000000002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5" t="s">
        <v>89</v>
      </c>
      <c r="O40" s="156">
        <f>IF(B12="Registered",18%,22%)</f>
        <v>0.22</v>
      </c>
      <c r="P40" s="153">
        <f>N25</f>
        <v>12004.380000000003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3">
        <f>P39+P40</f>
        <v>235.38000000000102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7"/>
      <c r="N42" s="158" t="s">
        <v>91</v>
      </c>
      <c r="O42" s="159">
        <f>IF(B11="Filer",0.5%,2.5%)</f>
        <v>2.5000000000000001E-2</v>
      </c>
      <c r="P42" s="153">
        <f>O42*P41</f>
        <v>5.8845000000000258</v>
      </c>
    </row>
    <row r="43" spans="1:21" ht="15.75" customHeight="1" thickBot="1" x14ac:dyDescent="0.4">
      <c r="N43" s="213" t="s">
        <v>92</v>
      </c>
      <c r="O43" s="214"/>
      <c r="P43" s="160">
        <f>P41+P42</f>
        <v>241.26450000000105</v>
      </c>
    </row>
    <row r="44" spans="1:21" ht="15" thickBot="1" x14ac:dyDescent="0.4">
      <c r="B44" s="161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F8" sqref="F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1002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122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26 16383:16384" ht="15" customHeight="1" x14ac:dyDescent="0.35">
      <c r="A6" s="239" t="s">
        <v>123</v>
      </c>
      <c r="B6" s="239"/>
      <c r="C6" s="239"/>
      <c r="F6" s="70"/>
      <c r="G6" s="74"/>
      <c r="K6" s="239" t="s">
        <v>52</v>
      </c>
      <c r="L6" s="239"/>
      <c r="M6" s="239"/>
      <c r="N6" s="252" t="s">
        <v>125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 t="s">
        <v>124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8">
        <v>3520101378507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119</v>
      </c>
      <c r="T14" s="256"/>
      <c r="U14" s="256"/>
      <c r="V14" s="256"/>
      <c r="W14" s="257" t="s">
        <v>121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111</v>
      </c>
      <c r="T15" s="185" t="s">
        <v>112</v>
      </c>
      <c r="U15" s="185" t="s">
        <v>116</v>
      </c>
      <c r="V15" s="185" t="s">
        <v>117</v>
      </c>
      <c r="W15" s="186" t="s">
        <v>111</v>
      </c>
      <c r="X15" s="186" t="s">
        <v>112</v>
      </c>
      <c r="Y15" s="186" t="s">
        <v>116</v>
      </c>
      <c r="Z15" s="186" t="s">
        <v>117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108</v>
      </c>
      <c r="T16" s="183">
        <v>1697</v>
      </c>
      <c r="U16" s="183" t="s">
        <v>113</v>
      </c>
      <c r="V16" s="183">
        <f>T16/40</f>
        <v>42.424999999999997</v>
      </c>
      <c r="W16" s="187" t="s">
        <v>108</v>
      </c>
      <c r="X16" s="187">
        <v>1664</v>
      </c>
      <c r="Y16" s="187" t="s">
        <v>113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110</v>
      </c>
      <c r="T17" s="183">
        <v>2322</v>
      </c>
      <c r="U17" s="183" t="s">
        <v>114</v>
      </c>
      <c r="V17" s="183">
        <f t="shared" ref="V17:V18" si="7">T17/40</f>
        <v>58.05</v>
      </c>
      <c r="W17" s="188" t="s">
        <v>110</v>
      </c>
      <c r="X17" s="187">
        <v>2277</v>
      </c>
      <c r="Y17" s="187" t="s">
        <v>114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109</v>
      </c>
      <c r="T18" s="183">
        <v>3216</v>
      </c>
      <c r="U18" s="183" t="s">
        <v>115</v>
      </c>
      <c r="V18" s="183">
        <f t="shared" si="7"/>
        <v>80.400000000000006</v>
      </c>
      <c r="W18" s="187" t="s">
        <v>109</v>
      </c>
      <c r="X18" s="187">
        <v>3153</v>
      </c>
      <c r="Y18" s="187" t="s">
        <v>115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58" t="s">
        <v>120</v>
      </c>
      <c r="T19" s="258"/>
      <c r="U19" s="258"/>
      <c r="V19" s="258"/>
      <c r="W19" s="259" t="s">
        <v>118</v>
      </c>
      <c r="X19" s="259"/>
      <c r="Y19" s="259"/>
      <c r="Z19" s="259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111</v>
      </c>
      <c r="T20" s="185" t="s">
        <v>112</v>
      </c>
      <c r="U20" s="185" t="s">
        <v>116</v>
      </c>
      <c r="V20" s="185" t="s">
        <v>117</v>
      </c>
      <c r="W20" s="185" t="s">
        <v>111</v>
      </c>
      <c r="X20" s="185" t="s">
        <v>112</v>
      </c>
      <c r="Y20" s="185" t="s">
        <v>116</v>
      </c>
      <c r="Z20" s="185" t="s">
        <v>117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9" t="s">
        <v>108</v>
      </c>
      <c r="T21" s="189">
        <v>1610</v>
      </c>
      <c r="U21" s="189" t="s">
        <v>113</v>
      </c>
      <c r="V21" s="189">
        <f>T21/40</f>
        <v>40.25</v>
      </c>
      <c r="W21" s="191" t="s">
        <v>108</v>
      </c>
      <c r="X21" s="191">
        <v>1642</v>
      </c>
      <c r="Y21" s="191" t="s">
        <v>113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>
        <v>50</v>
      </c>
      <c r="H22" s="115"/>
      <c r="I22" s="116">
        <f t="shared" si="3"/>
        <v>78460.000000000015</v>
      </c>
      <c r="J22" s="117"/>
      <c r="K22" s="104">
        <f>I22*8.6%</f>
        <v>6747.56</v>
      </c>
      <c r="L22" s="120">
        <f>I22*6.4%</f>
        <v>5021.4400000000014</v>
      </c>
      <c r="M22" s="118">
        <f t="shared" si="6"/>
        <v>66691.000000000015</v>
      </c>
      <c r="N22" s="118">
        <f t="shared" si="0"/>
        <v>12004.380000000003</v>
      </c>
      <c r="O22" s="119">
        <f t="shared" si="1"/>
        <v>393.47690000000011</v>
      </c>
      <c r="P22" s="120">
        <f t="shared" si="2"/>
        <v>79088.856900000013</v>
      </c>
      <c r="S22" s="190" t="s">
        <v>110</v>
      </c>
      <c r="T22" s="189">
        <v>2202</v>
      </c>
      <c r="U22" s="189" t="s">
        <v>114</v>
      </c>
      <c r="V22" s="189">
        <f t="shared" ref="V22:V25" si="9">T22/40</f>
        <v>55.05</v>
      </c>
      <c r="W22" s="192" t="s">
        <v>110</v>
      </c>
      <c r="X22" s="191">
        <v>2246</v>
      </c>
      <c r="Y22" s="191" t="s">
        <v>114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109</v>
      </c>
      <c r="T23" s="189">
        <v>3216</v>
      </c>
      <c r="U23" s="189" t="s">
        <v>115</v>
      </c>
      <c r="V23" s="189">
        <f t="shared" si="9"/>
        <v>80.400000000000006</v>
      </c>
      <c r="W23" s="191" t="s">
        <v>109</v>
      </c>
      <c r="X23" s="191">
        <v>3216</v>
      </c>
      <c r="Y23" s="191" t="s">
        <v>114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109</v>
      </c>
      <c r="T24" s="189">
        <v>3216</v>
      </c>
      <c r="U24" s="189" t="s">
        <v>115</v>
      </c>
      <c r="V24" s="189">
        <f t="shared" si="9"/>
        <v>80.400000000000006</v>
      </c>
      <c r="W24" s="191"/>
      <c r="X24" s="191"/>
      <c r="Y24" s="191" t="s">
        <v>114</v>
      </c>
      <c r="Z24" s="191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13">SUM(G16:G24)</f>
        <v>50</v>
      </c>
      <c r="H25" s="136">
        <f t="shared" si="13"/>
        <v>0</v>
      </c>
      <c r="I25" s="137">
        <f t="shared" si="13"/>
        <v>78460.000000000015</v>
      </c>
      <c r="J25" s="138"/>
      <c r="K25" s="139">
        <f t="shared" si="13"/>
        <v>6747.56</v>
      </c>
      <c r="L25" s="140">
        <f t="shared" si="13"/>
        <v>5021.4400000000014</v>
      </c>
      <c r="M25" s="141">
        <f t="shared" si="13"/>
        <v>66691.000000000015</v>
      </c>
      <c r="N25" s="142">
        <f>SUM(N16:N24)</f>
        <v>12004.380000000003</v>
      </c>
      <c r="O25" s="143">
        <f>SUM(O16:O24)</f>
        <v>393.47690000000011</v>
      </c>
      <c r="P25" s="144">
        <f>SUM(P16:P24)</f>
        <v>79088.856900000013</v>
      </c>
      <c r="S25" s="189" t="s">
        <v>109</v>
      </c>
      <c r="T25" s="189">
        <v>3216</v>
      </c>
      <c r="U25" s="189" t="s">
        <v>115</v>
      </c>
      <c r="V25" s="189">
        <f t="shared" si="9"/>
        <v>80.400000000000006</v>
      </c>
      <c r="W25" s="191" t="s">
        <v>109</v>
      </c>
      <c r="X25" s="191">
        <v>3110</v>
      </c>
      <c r="Y25" s="191" t="s">
        <v>115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J26" s="26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78460.000000000015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5021.4400000000014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6747.56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66691.000000000015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12004.380000000003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78695.380000000019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393.47690000000011</v>
      </c>
    </row>
    <row r="35" spans="2:16" ht="15.75" customHeight="1" thickBot="1" x14ac:dyDescent="0.4">
      <c r="N35" s="213" t="s">
        <v>92</v>
      </c>
      <c r="O35" s="214"/>
      <c r="P35" s="160">
        <f>P33+P34</f>
        <v>79088.856900000013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Sheet2!$B$6:$B$16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7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80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topLeftCell="A7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J22" sqref="J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2026-07-11T07:46:28Z</dcterms:modified>
</cp:coreProperties>
</file>