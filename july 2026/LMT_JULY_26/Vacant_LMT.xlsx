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28466336-7F66-42E5-83B1-F97C8C32ED70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K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I16" i="34"/>
  <c r="I17" i="34"/>
  <c r="L17" i="34" s="1"/>
  <c r="I18" i="34"/>
  <c r="I19" i="34"/>
  <c r="L19" i="34" s="1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L22" i="29" s="1"/>
  <c r="I23" i="29"/>
  <c r="L23" i="29" s="1"/>
  <c r="I24" i="29"/>
  <c r="I24" i="32"/>
  <c r="I19" i="33"/>
  <c r="L19" i="33" s="1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K18" i="34"/>
  <c r="L18" i="34"/>
  <c r="K21" i="34"/>
  <c r="L21" i="34"/>
  <c r="K22" i="34"/>
  <c r="L22" i="34"/>
  <c r="K23" i="34"/>
  <c r="M23" i="34"/>
  <c r="L23" i="34"/>
  <c r="K24" i="34"/>
  <c r="K21" i="33"/>
  <c r="L21" i="33"/>
  <c r="K22" i="33"/>
  <c r="L22" i="33"/>
  <c r="K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L19" i="31"/>
  <c r="K21" i="31"/>
  <c r="L21" i="31"/>
  <c r="K24" i="31"/>
  <c r="L24" i="31"/>
  <c r="M24" i="31" s="1"/>
  <c r="K16" i="31"/>
  <c r="L16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L20" i="34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K16" i="26" s="1"/>
  <c r="I17" i="26"/>
  <c r="I18" i="26"/>
  <c r="K18" i="26" s="1"/>
  <c r="I19" i="26"/>
  <c r="I20" i="26"/>
  <c r="L20" i="26" s="1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K23" i="26"/>
  <c r="L23" i="26"/>
  <c r="K20" i="26"/>
  <c r="K21" i="26"/>
  <c r="L21" i="26"/>
  <c r="K24" i="26"/>
  <c r="L24" i="26"/>
  <c r="M24" i="26" s="1"/>
  <c r="L16" i="26"/>
  <c r="T23" i="15"/>
  <c r="T22" i="15"/>
  <c r="T21" i="15"/>
  <c r="T20" i="15"/>
  <c r="T19" i="15"/>
  <c r="T18" i="15"/>
  <c r="T17" i="15"/>
  <c r="T16" i="15"/>
  <c r="T15" i="15"/>
  <c r="T14" i="15"/>
  <c r="L18" i="26" l="1"/>
  <c r="K25" i="34"/>
  <c r="P30" i="34" s="1"/>
  <c r="L22" i="26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L17" i="25" s="1"/>
  <c r="I18" i="25"/>
  <c r="K18" i="25" s="1"/>
  <c r="I19" i="25"/>
  <c r="I20" i="25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L20" i="25"/>
  <c r="K16" i="25"/>
  <c r="L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I25" i="25"/>
  <c r="P28" i="25" s="1"/>
  <c r="L18" i="25"/>
  <c r="K17" i="24"/>
  <c r="K22" i="18"/>
  <c r="M22" i="18" s="1"/>
  <c r="L22" i="19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L21" i="21"/>
  <c r="M21" i="21" s="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N18" i="22"/>
  <c r="O18" i="22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5" i="19" l="1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2" i="15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<sst xmlns="http://schemas.openxmlformats.org/spreadsheetml/2006/main" count="1579" uniqueCount="106">
  <si>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</si>
  <si>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</si>
  <si>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</si>
  <si>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</si>
  <si>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</si>
  <si>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</si>
  <si>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</si>
  <si>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</si>
  <si>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</si>
  <si>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</si>
  <si>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</si>
  <si>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</si>
  <si>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</si>
  <si>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</si>
  <si>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</si>
  <si>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</si>
  <si>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</si>
  <si>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</si>
  <si>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</si>
  <si>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</si>
  <si>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</si>
  <si>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</si>
  <si>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</si>
  <si>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</si>
  <si>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</si>
  <si>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</si>
  <si>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</si>
  <si>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</si>
  <si>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</si>
  <si>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</si>
  <si>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</si>
  <si>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</si>
  <si>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</si>
  <si>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</si>
  <si>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</si>
  <si>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</si>
  <si>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</si>
  <si>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</si>
  <si>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</si>
  <si>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</si>
  <si>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</si>
  <si>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</si>
  <si>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</si>
  <si>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</si>
  <si>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</si>
  <si>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</si>
  <si>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</si>
  <si>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</si>
  <si>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</si>
  <si>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</si>
  <si>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</si>
  <si>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</si>
  <si>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</si>
  <si>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</si>
  <si>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</si>
  <si>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</si>
  <si>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</si>
  <si>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</si>
  <si>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</si>
  <si>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</si>
  <si>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</si>
  <si>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</si>
  <si>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</si>
  <si>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</si>
  <si>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</si>
  <si>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</si>
  <si>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</si>
  <si>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</si>
  <si>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</si>
  <si>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</si>
  <si>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</si>
  <si>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</si>
  <si>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</si>
  <si>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</si>
  <si>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</si>
  <si>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</si>
  <si>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</si>
  <si>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</si>
  <si>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</si>
  <si>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</si>
  <si>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</si>
  <si>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</si>
  <si>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</si>
  <si>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</si>
  <si>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</si>
  <si>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</si>
  <si>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</si>
  <si>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</si>
  <si>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</si>
  <si>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</si>
  <si>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</si>
  <si>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</si>
  <si>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</si>
  <si>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</si>
  <si>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</si>
  <si>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</si>
  <si>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</si>
  <si>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</si>
  <si>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</si>
  <si>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</si>
  <si>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</si>
  <si>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</si>
  <si>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</si>
  <si>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</si>
  <si>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Vacant__LMT</t>
  </si>
  <si>
    <t>Shop Bill Summary (LMT)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</si>
</sst>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I13" sqref="I13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I13" sqref="I13"/>
      <selection pane="topRight" activeCell="I13" sqref="I13"/>
      <selection pane="bottomLeft" activeCell="I13" sqref="I13"/>
      <selection pane="bottomRight" activeCell="I13" sqref="I13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abSelected="1" topLeftCell="C1" zoomScale="70" zoomScaleNormal="70" workbookViewId="0">
      <selection activeCell="U14" sqref="U1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104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105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0"/>
      <c r="J15" s="171" t="s">
        <v>78</v>
      </c>
      <c r="K15" s="171" t="s">
        <v>79</v>
      </c>
      <c r="L15" s="174" t="s">
        <v>80</v>
      </c>
      <c r="M15" s="23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+'4'!A5</f>
        <v xml:space="preserve">Customer Name : 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+'3'!A5</f>
        <v xml:space="preserve">Customer Name : 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</f>
        <v>0</v>
      </c>
      <c r="I19" s="1">
        <f t="shared" si="1"/>
        <v>0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0</v>
      </c>
      <c r="M19" s="118">
        <f t="shared" si="2"/>
        <v>0</v>
      </c>
      <c r="N19" s="101">
        <f>+'1'!N19+'2'!N19+'4'!N19+'3'!N19+'5'!N19+'6'!N19+'7'!N19+'8'!N19+'9'!N19+'10'!N19</f>
        <v>0</v>
      </c>
      <c r="O19" s="101">
        <f>+'1'!O19+'2'!O19+'4'!O19+'3'!O19+'5'!O19+'6'!O19+'7'!O19+'8'!O19+'9'!O19+'10'!O19</f>
        <v>0</v>
      </c>
      <c r="P19" s="120">
        <f t="shared" si="0"/>
        <v>0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</f>
        <v>0</v>
      </c>
      <c r="I20" s="1">
        <f t="shared" si="1"/>
        <v>0</v>
      </c>
      <c r="J20" s="172">
        <f>+'1'!J20+'2'!J20+'4'!J20+'3'!J20+'5'!J20+'6'!J20+'7'!J20+'8'!J20+'9'!J20+'10'!J20+'11'!J20+'12'!J20+'13'!J20+'14'!J20+'15'!J20+'16'!J20+'17'!J20+'18'!J20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</f>
        <v>0</v>
      </c>
      <c r="I21" s="1">
        <f t="shared" si="1"/>
        <v>0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0</v>
      </c>
      <c r="M21" s="118">
        <f t="shared" si="2"/>
        <v>0</v>
      </c>
      <c r="N21" s="101">
        <f>+'1'!N21+'2'!N21+'4'!N21+'3'!N21+'5'!N21+'6'!N21+'7'!N21+'8'!N21+'9'!N21+'10'!N21</f>
        <v>0</v>
      </c>
      <c r="O21" s="101">
        <f>+'1'!O21+'2'!O21+'4'!O21+'3'!O21+'5'!O21+'6'!O21+'7'!O21+'8'!O21+'9'!O21+'10'!O21</f>
        <v>0</v>
      </c>
      <c r="P21" s="120">
        <f t="shared" si="0"/>
        <v>0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0</v>
      </c>
      <c r="D25" s="206"/>
      <c r="E25" s="206"/>
      <c r="F25" s="206"/>
      <c r="G25" s="176">
        <f t="shared" ref="G25:M25" si="3">SUM(G16:G24)</f>
        <v>0</v>
      </c>
      <c r="H25" s="177">
        <f t="shared" si="3"/>
        <v>0</v>
      </c>
      <c r="I25" s="178">
        <f t="shared" si="3"/>
        <v>0</v>
      </c>
      <c r="J25" s="177">
        <f t="shared" si="3"/>
        <v>0</v>
      </c>
      <c r="K25" s="178">
        <f t="shared" si="3"/>
        <v>0</v>
      </c>
      <c r="L25" s="179">
        <f t="shared" si="3"/>
        <v>0</v>
      </c>
      <c r="M25" s="141">
        <f t="shared" si="3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/>
      <c r="U32" s="182"/>
    </row>
    <row r="33" spans="1:21" ht="26.5" thickBot="1" x14ac:dyDescent="0.65">
      <c r="A33" s="145"/>
      <c r="B33" s="145"/>
      <c r="C33" s="145"/>
      <c r="D33" s="145"/>
      <c r="E33" s="145"/>
      <c r="F33" s="145"/>
      <c r="G33" s="146"/>
      <c r="H33" s="146"/>
      <c r="I33" s="147"/>
      <c r="K33" s="148"/>
      <c r="L33" s="148"/>
      <c r="M33" s="148"/>
      <c r="N33" s="148"/>
      <c r="O33" s="149"/>
      <c r="P33" s="148"/>
      <c r="T33" s="166" t="s">
        <v>84</v>
      </c>
      <c r="U33" s="165">
        <f>SUM(U14:U28)</f>
        <v>0</v>
      </c>
    </row>
    <row r="34" spans="1:21" ht="15" thickBot="1" x14ac:dyDescent="0.4">
      <c r="A34" s="69"/>
      <c r="B34" s="69"/>
      <c r="C34" s="150"/>
      <c r="D34" s="150"/>
      <c r="E34" s="150"/>
      <c r="F34" s="150"/>
      <c r="G34" s="151"/>
      <c r="H34" s="151"/>
    </row>
    <row r="35" spans="1:21" x14ac:dyDescent="0.35">
      <c r="B35" s="213" t="s">
        <v>85</v>
      </c>
      <c r="C35" s="214"/>
      <c r="D35" s="214"/>
      <c r="E35" s="214"/>
      <c r="F35" s="214"/>
      <c r="G35" s="214"/>
      <c r="H35" s="214"/>
      <c r="I35" s="214"/>
      <c r="J35" s="214"/>
      <c r="K35" s="214"/>
      <c r="L35" s="215"/>
      <c r="N35" s="222" t="s">
        <v>86</v>
      </c>
      <c r="O35" s="223"/>
      <c r="P35" s="152">
        <f>I25</f>
        <v>0</v>
      </c>
    </row>
    <row r="36" spans="1:21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N36" s="224" t="s">
        <v>87</v>
      </c>
      <c r="O36" s="225"/>
      <c r="P36" s="153">
        <f>L25</f>
        <v>0</v>
      </c>
    </row>
    <row r="37" spans="1:21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N37" s="224" t="s">
        <v>4</v>
      </c>
      <c r="O37" s="225"/>
      <c r="P37" s="154">
        <f>K25</f>
        <v>0</v>
      </c>
    </row>
    <row r="38" spans="1:21" ht="15" customHeight="1" x14ac:dyDescent="0.35">
      <c r="B38" s="216"/>
      <c r="C38" s="217"/>
      <c r="D38" s="217"/>
      <c r="E38" s="217"/>
      <c r="F38" s="217"/>
      <c r="G38" s="217"/>
      <c r="H38" s="217"/>
      <c r="I38" s="217"/>
      <c r="J38" s="217"/>
      <c r="K38" s="217"/>
      <c r="L38" s="218"/>
      <c r="M38" s="2"/>
      <c r="N38" s="224" t="s">
        <v>88</v>
      </c>
      <c r="O38" s="225"/>
      <c r="P38" s="153">
        <f>P35-P36-P37</f>
        <v>0</v>
      </c>
    </row>
    <row r="39" spans="1:21" ht="15" customHeight="1" x14ac:dyDescent="0.35">
      <c r="B39" s="216"/>
      <c r="C39" s="217"/>
      <c r="D39" s="217"/>
      <c r="E39" s="217"/>
      <c r="F39" s="217"/>
      <c r="G39" s="217"/>
      <c r="H39" s="217"/>
      <c r="I39" s="217"/>
      <c r="J39" s="217"/>
      <c r="K39" s="217"/>
      <c r="L39" s="218"/>
      <c r="M39" s="2"/>
      <c r="N39" s="155" t="s">
        <v>89</v>
      </c>
      <c r="O39" s="156">
        <f>IF(B12="Registered",18%,22%)</f>
        <v>0.22</v>
      </c>
      <c r="P39" s="153">
        <f>N25</f>
        <v>0</v>
      </c>
    </row>
    <row r="40" spans="1:21" ht="15" customHeight="1" x14ac:dyDescent="0.35">
      <c r="B40" s="216"/>
      <c r="C40" s="217"/>
      <c r="D40" s="217"/>
      <c r="E40" s="217"/>
      <c r="F40" s="217"/>
      <c r="G40" s="217"/>
      <c r="H40" s="217"/>
      <c r="I40" s="217"/>
      <c r="J40" s="217"/>
      <c r="K40" s="217"/>
      <c r="L40" s="218"/>
      <c r="M40" s="2"/>
      <c r="N40" s="226" t="s">
        <v>90</v>
      </c>
      <c r="O40" s="227"/>
      <c r="P40" s="153">
        <f>P38+P39</f>
        <v>0</v>
      </c>
    </row>
    <row r="41" spans="1:21" ht="15" customHeight="1" thickBot="1" x14ac:dyDescent="0.4">
      <c r="B41" s="219"/>
      <c r="C41" s="220"/>
      <c r="D41" s="220"/>
      <c r="E41" s="220"/>
      <c r="F41" s="220"/>
      <c r="G41" s="220"/>
      <c r="H41" s="220"/>
      <c r="I41" s="220"/>
      <c r="J41" s="220"/>
      <c r="K41" s="220"/>
      <c r="L41" s="221"/>
      <c r="M41" s="157"/>
      <c r="N41" s="158" t="s">
        <v>91</v>
      </c>
      <c r="O41" s="159">
        <f>IF(B11="Filer",0.5%,2.5%)</f>
        <v>2.5000000000000001E-2</v>
      </c>
      <c r="P41" s="153">
        <f>O41*P40</f>
        <v>0</v>
      </c>
    </row>
    <row r="42" spans="1:21" ht="15.75" customHeight="1" thickBot="1" x14ac:dyDescent="0.4">
      <c r="N42" s="204" t="s">
        <v>92</v>
      </c>
      <c r="O42" s="205"/>
      <c r="P42" s="160">
        <f>P40+P41</f>
        <v>0</v>
      </c>
    </row>
    <row r="43" spans="1:21" ht="15" thickBot="1" x14ac:dyDescent="0.4">
      <c r="B43" s="161" t="s">
        <v>93</v>
      </c>
      <c r="C43" s="206"/>
      <c r="D43" s="206"/>
      <c r="E43" s="206"/>
      <c r="F43" s="206"/>
      <c r="G43" s="206"/>
      <c r="H43" s="206"/>
      <c r="I43" s="207"/>
      <c r="J43" s="208"/>
      <c r="K43" s="209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3">(G17*D17)*F17+H17*F17</f>
        <v>0</v>
      </c>
      <c r="J17" s="117">
        <v>0</v>
      </c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3"/>
        <v>0</v>
      </c>
      <c r="J18" s="117">
        <v>0</v>
      </c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3"/>
        <v>0</v>
      </c>
      <c r="J19" s="117">
        <v>0</v>
      </c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3"/>
        <v>0</v>
      </c>
      <c r="J20" s="117">
        <v>0</v>
      </c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3"/>
        <v>0</v>
      </c>
      <c r="J21" s="117">
        <v>0</v>
      </c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83">
        <f>SUM(J16:J21)</f>
        <v>0</v>
      </c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7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80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102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46189</v>
      </c>
      <c r="O5" s="231"/>
      <c r="P5" s="231"/>
      <c r="R5" s="70"/>
      <c r="S5" s="71"/>
    </row>
    <row r="6" spans="1:19 16383:16384" ht="15" customHeight="1" x14ac:dyDescent="0.35">
      <c r="A6" s="230" t="s">
        <v>103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0</v>
      </c>
      <c r="I16" s="102">
        <f>(G16*D16)*F16+H16*F16</f>
        <v>0</v>
      </c>
      <c r="J16" s="103">
        <v>0</v>
      </c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0</v>
      </c>
      <c r="I17" s="116">
        <f t="shared" ref="I17:I23" si="2">(G17*D17)*F17+H17*F17</f>
        <v>0</v>
      </c>
      <c r="J17" s="117">
        <v>0</v>
      </c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0</v>
      </c>
      <c r="I18" s="116">
        <f t="shared" si="2"/>
        <v>0</v>
      </c>
      <c r="J18" s="117">
        <v>0</v>
      </c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0</v>
      </c>
      <c r="I19" s="116">
        <f t="shared" si="2"/>
        <v>0</v>
      </c>
      <c r="J19" s="117">
        <v>0</v>
      </c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0</v>
      </c>
      <c r="I20" s="116">
        <f t="shared" si="2"/>
        <v>0</v>
      </c>
      <c r="J20" s="117">
        <v>0</v>
      </c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0</v>
      </c>
      <c r="I21" s="116">
        <f t="shared" si="2"/>
        <v>0</v>
      </c>
      <c r="J21" s="117">
        <v>0</v>
      </c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0</v>
      </c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2026-06-17T12:30:17Z</dcterms:modified>
</cp:coreProperties>
</file>