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7CB5793-8808-4644-A03E-FCEBDB62BB3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L22" i="35"/>
  <c r="M22" i="35"/>
  <c r="K23" i="35"/>
  <c r="L23" i="35"/>
  <c r="M23" i="35" s="1"/>
  <c r="K24" i="35"/>
  <c r="M24" i="35" s="1"/>
  <c r="L24" i="35"/>
  <c r="L22" i="34"/>
  <c r="K23" i="34"/>
  <c r="M23" i="34"/>
  <c r="L23" i="34"/>
  <c r="K24" i="34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L22" i="32"/>
  <c r="K24" i="31"/>
  <c r="L24" i="31"/>
  <c r="M24" i="31" s="1"/>
  <c r="L23" i="31"/>
  <c r="M21" i="30"/>
  <c r="K23" i="30"/>
  <c r="M23" i="30" s="1"/>
  <c r="L23" i="30"/>
  <c r="I25" i="30"/>
  <c r="P28" i="30" s="1"/>
  <c r="L22" i="30"/>
  <c r="K24" i="30"/>
  <c r="M24" i="30" s="1"/>
  <c r="L24" i="30"/>
  <c r="K24" i="29"/>
  <c r="M24" i="29"/>
  <c r="L24" i="29"/>
  <c r="K23" i="29"/>
  <c r="I25" i="28"/>
  <c r="P28" i="28" s="1"/>
  <c r="M17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M22" i="18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M22" i="17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19" i="16" l="1"/>
  <c r="K19" i="16"/>
  <c r="L17" i="16"/>
  <c r="K17" i="16"/>
  <c r="K17" i="15" s="1"/>
  <c r="L21" i="16"/>
  <c r="L21" i="15" s="1"/>
  <c r="L20" i="16"/>
  <c r="K16" i="15"/>
  <c r="L16" i="16"/>
  <c r="L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P23" i="22"/>
  <c r="I25" i="15"/>
  <c r="P35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16" i="16"/>
  <c r="N16" i="16" s="1"/>
  <c r="O16" i="16" s="1"/>
  <c r="M21" i="15"/>
  <c r="M25" i="18"/>
  <c r="M16" i="15"/>
  <c r="M18" i="15"/>
  <c r="P22" i="20"/>
  <c r="M22" i="15"/>
  <c r="N16" i="18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N16" i="15" l="1"/>
  <c r="O16" i="18"/>
  <c r="P16" i="18" s="1"/>
  <c r="P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O25" i="18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<sst xmlns="http://schemas.openxmlformats.org/spreadsheetml/2006/main" count="1579" uniqueCount="107">
  <si>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</si>
  <si>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</si>
  <si>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</si>
  <si>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</si>
  <si>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</si>
  <si>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</si>
  <si>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</si>
  <si>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</si>
  <si>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</si>
  <si>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</si>
  <si>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</si>
  <si>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</si>
  <si>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</si>
  <si>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</si>
  <si>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</si>
  <si>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</si>
  <si>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</si>
  <si>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</si>
  <si>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</si>
  <si>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</si>
  <si>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</si>
  <si>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</si>
  <si>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</si>
  <si>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</si>
  <si>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</si>
  <si>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</si>
  <si>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</si>
  <si>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</si>
  <si>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</si>
  <si>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</si>
  <si>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</si>
  <si>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</si>
  <si>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</si>
  <si>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</si>
  <si>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</si>
  <si>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</si>
  <si>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</si>
  <si>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</si>
  <si>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</si>
  <si>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</si>
  <si>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</si>
  <si>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</si>
  <si>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</si>
  <si>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</si>
  <si>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</si>
  <si>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</si>
  <si>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</si>
  <si>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</si>
  <si>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</si>
  <si>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</si>
  <si>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</si>
  <si>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</si>
  <si>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</si>
  <si>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</si>
  <si>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</si>
  <si>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</si>
  <si>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</si>
  <si>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</si>
  <si>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</si>
  <si>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</si>
  <si>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</si>
  <si>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</si>
  <si>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</si>
  <si>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</si>
  <si>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</si>
  <si>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</si>
  <si>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</si>
  <si>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</si>
  <si>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</si>
  <si>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</si>
  <si>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</si>
  <si>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</si>
  <si>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</si>
  <si>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</si>
  <si>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</si>
  <si>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</si>
  <si>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</si>
  <si>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</si>
  <si>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</si>
  <si>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</si>
  <si>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</si>
  <si>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</si>
  <si>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</si>
  <si>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</si>
  <si>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</si>
  <si>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</si>
  <si>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</si>
  <si>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</si>
  <si>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</si>
  <si>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</si>
  <si>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</si>
  <si>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</si>
  <si>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</si>
  <si>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</si>
  <si>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</si>
  <si>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</si>
  <si>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</si>
  <si>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</si>
  <si>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</si>
  <si>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</si>
  <si>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</si>
  <si>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</si>
  <si>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040250-2</t>
  </si>
  <si>
    <t xml:space="preserve">Customer Name : Sana Cash &amp; Carry </t>
  </si>
  <si>
    <t>Sana Cash &amp; Carry</t>
  </si>
  <si>
    <t xml:space="preserve"> </t>
  </si>
  <si>
    <t>Address: Nespak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</si>
</sst>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104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/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Sana Cash &amp; Carry </v>
      </c>
      <c r="U14" s="163">
        <f>+'1'!P35</f>
        <v>10266.446588700001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Sana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Sana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3630.4049999999997</v>
      </c>
      <c r="N17" s="100">
        <f>+'1'!N17+'2'!N17+'4'!N17+'3'!N17+'5'!N17+'6'!N17+'7'!N17+'8'!N17+'9'!N17+'10'!N17</f>
        <v>653.47289999999998</v>
      </c>
      <c r="O17" s="100">
        <f>+'1'!O17+'2'!O17+'4'!O17+'3'!O17+'5'!O17+'6'!O17+'7'!O17+'8'!O17+'9'!O17+'10'!O17</f>
        <v>21.419389499999998</v>
      </c>
      <c r="P17" s="119">
        <f t="shared" si="0"/>
        <v>4305.2972894999994</v>
      </c>
      <c r="S17" s="64"/>
      <c r="T17" s="162" t="str">
        <f>+'3'!A5</f>
        <v xml:space="preserve">Customer Name : Sana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Sana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290.56</v>
      </c>
      <c r="M19" s="117">
        <f t="shared" si="2"/>
        <v>2513.3440000000001</v>
      </c>
      <c r="N19" s="100">
        <f>+'1'!N19+'2'!N19+'4'!N19+'3'!N19+'5'!N19+'6'!N19+'7'!N19+'8'!N19+'9'!N19+'10'!N19</f>
        <v>452.40192000000002</v>
      </c>
      <c r="O19" s="100">
        <f>+'1'!O19+'2'!O19+'4'!O19+'3'!O19+'5'!O19+'6'!O19+'7'!O19+'8'!O19+'9'!O19+'10'!O19</f>
        <v>14.828729600000003</v>
      </c>
      <c r="P19" s="119">
        <f t="shared" si="0"/>
        <v>2980.5746496000002</v>
      </c>
      <c r="T19" s="162" t="str">
        <f>+'6'!A5</f>
        <v xml:space="preserve">Customer Name : Sana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Sana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290.56</v>
      </c>
      <c r="M21" s="117">
        <f t="shared" si="2"/>
        <v>2513.3440000000001</v>
      </c>
      <c r="N21" s="100">
        <f>+'1'!N21+'2'!N21+'4'!N21+'3'!N21+'5'!N21+'6'!N21+'7'!N21+'8'!N21+'9'!N21+'10'!N21</f>
        <v>452.40192000000002</v>
      </c>
      <c r="O21" s="100">
        <f>+'1'!O21+'2'!O21+'4'!O21+'3'!O21+'5'!O21+'6'!O21+'7'!O21+'8'!O21+'9'!O21+'10'!O21</f>
        <v>14.828729600000003</v>
      </c>
      <c r="P21" s="119">
        <f t="shared" si="0"/>
        <v>2980.5746496000002</v>
      </c>
      <c r="T21" s="162" t="str">
        <f>+'8'!A5</f>
        <v xml:space="preserve">Customer Name : Sana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Sana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Sana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Sana Cash &amp; Carry 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4</v>
      </c>
      <c r="D25" s="206"/>
      <c r="E25" s="206"/>
      <c r="F25" s="206"/>
      <c r="G25" s="175">
        <f t="shared" ref="G25:M25" si="3">SUM(G16:G24)</f>
        <v>0</v>
      </c>
      <c r="H25" s="176">
        <f t="shared" si="3"/>
        <v>160</v>
      </c>
      <c r="I25" s="177">
        <f t="shared" si="3"/>
        <v>10008.200000000001</v>
      </c>
      <c r="J25" s="176">
        <f t="shared" si="3"/>
        <v>0</v>
      </c>
      <c r="K25" s="177">
        <f t="shared" si="3"/>
        <v>350.28700000000003</v>
      </c>
      <c r="L25" s="178">
        <f t="shared" si="3"/>
        <v>1000.8199999999999</v>
      </c>
      <c r="M25" s="140">
        <f t="shared" si="3"/>
        <v>8657.0930000000008</v>
      </c>
      <c r="N25" s="141">
        <f>SUM(N16:N24)</f>
        <v>1558.27674</v>
      </c>
      <c r="O25" s="142">
        <f>SUM(O16:O24)</f>
        <v>51.076848699999999</v>
      </c>
      <c r="P25" s="143">
        <f>SUM(P16:P24)</f>
        <v>10266.446588700001</v>
      </c>
      <c r="T25" s="162" t="str">
        <f>+'12'!A5</f>
        <v xml:space="preserve">Customer Name : Sana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Sana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Sana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Sana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Sana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Sana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Sana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10266.446588700001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10008.200000000001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1000.8199999999999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350.28700000000003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8657.0930000000008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1558.27674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10215.36974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255.38424350000003</v>
      </c>
    </row>
    <row r="42" spans="1:21" ht="15.75" customHeight="1" thickBot="1" x14ac:dyDescent="0.4">
      <c r="N42" s="204" t="s">
        <v>92</v>
      </c>
      <c r="O42" s="205"/>
      <c r="P42" s="159">
        <f>P40+P41</f>
        <v>10470.753983500001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 t="s">
        <v>105</v>
      </c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03">
        <f t="shared" ref="K17:K21" si="4">I17*3.5%</f>
        <v>146.89500000000001</v>
      </c>
      <c r="L17" s="104">
        <f t="shared" ref="L17:L21" si="5">I17*10%</f>
        <v>419.70000000000005</v>
      </c>
      <c r="M17" s="117">
        <f t="shared" ref="M17:M23" si="6">I17-K17-L17</f>
        <v>3630.4049999999997</v>
      </c>
      <c r="N17" s="117">
        <f t="shared" si="0"/>
        <v>653.47289999999998</v>
      </c>
      <c r="O17" s="118">
        <f t="shared" si="1"/>
        <v>21.419389499999998</v>
      </c>
      <c r="P17" s="119">
        <f t="shared" si="2"/>
        <v>4305.2972894999994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290.56</v>
      </c>
      <c r="M19" s="117">
        <f t="shared" si="6"/>
        <v>2513.3440000000001</v>
      </c>
      <c r="N19" s="117">
        <f t="shared" si="0"/>
        <v>452.40192000000002</v>
      </c>
      <c r="O19" s="118">
        <f t="shared" si="1"/>
        <v>14.828729600000003</v>
      </c>
      <c r="P19" s="119">
        <f t="shared" si="2"/>
        <v>2980.5746496000002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03">
        <f t="shared" si="4"/>
        <v>101.69600000000001</v>
      </c>
      <c r="L21" s="104">
        <f t="shared" si="5"/>
        <v>290.56</v>
      </c>
      <c r="M21" s="117">
        <f t="shared" si="6"/>
        <v>2513.3440000000001</v>
      </c>
      <c r="N21" s="117">
        <f t="shared" si="0"/>
        <v>452.40192000000002</v>
      </c>
      <c r="O21" s="118">
        <f t="shared" si="1"/>
        <v>14.828729600000003</v>
      </c>
      <c r="P21" s="119">
        <f t="shared" si="2"/>
        <v>2980.5746496000002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160</v>
      </c>
      <c r="I25" s="136">
        <f t="shared" si="9"/>
        <v>10008.200000000001</v>
      </c>
      <c r="J25" s="182">
        <f>SUM(J16:J21)</f>
        <v>0</v>
      </c>
      <c r="K25" s="138">
        <f t="shared" si="9"/>
        <v>350.28700000000003</v>
      </c>
      <c r="L25" s="139">
        <f t="shared" si="9"/>
        <v>1000.8199999999999</v>
      </c>
      <c r="M25" s="140">
        <f t="shared" si="9"/>
        <v>8657.0930000000008</v>
      </c>
      <c r="N25" s="141">
        <f>SUM(N16:N24)</f>
        <v>1558.27674</v>
      </c>
      <c r="O25" s="142">
        <f>SUM(O16:O24)</f>
        <v>51.076848699999999</v>
      </c>
      <c r="P25" s="143">
        <f>SUM(P16:P24)</f>
        <v>10266.446588700001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10008.200000000001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1000.8199999999999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350.28700000000003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8657.0930000000008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1558.27674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10215.36974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51.076848699999999</v>
      </c>
    </row>
    <row r="35" spans="2:16" ht="15.75" customHeight="1" thickBot="1" x14ac:dyDescent="0.4">
      <c r="N35" s="204" t="s">
        <v>92</v>
      </c>
      <c r="O35" s="205"/>
      <c r="P35" s="159">
        <f>P33+P34</f>
        <v>10266.446588700001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3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2026-07-13T12:43:16Z</dcterms:modified>
</cp:coreProperties>
</file>