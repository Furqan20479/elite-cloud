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B2B8394-9120-4061-8CEB-779655717DC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20" i="16" l="1"/>
  <c r="K16" i="15"/>
  <c r="L16" i="16"/>
  <c r="L16" i="15" s="1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16" i="16"/>
  <c r="N16" i="16" s="1"/>
  <c r="O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<sst xmlns="http://schemas.openxmlformats.org/spreadsheetml/2006/main" count="1580" uniqueCount="110">
  <si>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</si>
  <si>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</si>
  <si>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</si>
  <si>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</si>
  <si>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</si>
  <si>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</si>
  <si>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</si>
  <si>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</si>
  <si>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</si>
  <si>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</si>
  <si>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</si>
  <si>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</si>
  <si>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</si>
  <si>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</si>
  <si>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</si>
  <si>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</si>
  <si>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</si>
  <si>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</si>
  <si>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</si>
  <si>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</si>
  <si>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</si>
  <si>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</si>
  <si>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</si>
  <si>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</si>
  <si>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</si>
  <si>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</si>
  <si>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</si>
  <si>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</si>
  <si>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</si>
  <si>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</si>
  <si>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</si>
  <si>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</si>
  <si>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</si>
  <si>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</si>
  <si>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</si>
  <si>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</si>
  <si>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</si>
  <si>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</si>
  <si>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</si>
  <si>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</si>
  <si>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</si>
  <si>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</si>
  <si>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</si>
  <si>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</si>
  <si>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</si>
  <si>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</si>
  <si>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</si>
  <si>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</si>
  <si>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</si>
  <si>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</si>
  <si>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</si>
  <si>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</si>
  <si>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</si>
  <si>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</si>
  <si>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</si>
  <si>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</si>
  <si>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</si>
  <si>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</si>
  <si>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</si>
  <si>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</si>
  <si>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</si>
  <si>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</si>
  <si>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</si>
  <si>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</si>
  <si>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</si>
  <si>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</si>
  <si>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</si>
  <si>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</si>
  <si>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</si>
  <si>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</si>
  <si>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</si>
  <si>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</si>
  <si>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</si>
  <si>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</si>
  <si>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</si>
  <si>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</si>
  <si>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</si>
  <si>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</si>
  <si>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</si>
  <si>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</si>
  <si>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</si>
  <si>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</si>
  <si>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</si>
  <si>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</si>
  <si>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</si>
  <si>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</si>
  <si>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</si>
  <si>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</si>
  <si>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</si>
  <si>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</si>
  <si>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</si>
  <si>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</si>
  <si>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</si>
  <si>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</si>
  <si>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</si>
  <si>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</si>
  <si>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</si>
  <si>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</si>
  <si>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</si>
  <si>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</si>
  <si>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</si>
  <si>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</si>
  <si>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</si>
  <si>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Customer Name : Manawa (Risen)</t>
  </si>
  <si>
    <t>Address: Manawan</t>
  </si>
  <si>
    <t>Address: Shadbagh</t>
  </si>
  <si>
    <t>Shadbagh (Risen)</t>
  </si>
  <si>
    <t>Shop Bill Summary (Shadbagh (Risen))</t>
  </si>
  <si>
    <t>4655329-3</t>
  </si>
  <si>
    <t>Customer Name : SB Traders (Risen)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</si>
</sst>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SB Traders (Risen)</v>
      </c>
      <c r="U14" s="163">
        <f>+'1'!P35</f>
        <v>29375.092840499998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881.37000000000012</v>
      </c>
      <c r="M16" s="105">
        <f>I16-K16-L16</f>
        <v>5193.7875000000004</v>
      </c>
      <c r="N16" s="100">
        <f>+'1'!N16+'2'!N16+'4'!N16+'3'!N16+'5'!N16+'6'!N16+'7'!N16+'8'!N16+'9'!N16+'10'!N16</f>
        <v>934.88175000000001</v>
      </c>
      <c r="O16" s="100">
        <f>+'1'!O16+'2'!O16+'4'!O16+'3'!O16+'5'!O16+'6'!O16+'7'!O16+'8'!O16+'9'!O16+'10'!O16</f>
        <v>30.643346250000004</v>
      </c>
      <c r="P16" s="104">
        <f t="shared" ref="P16:P24" si="0">M16+N16+O16</f>
        <v>6159.3125962500008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1220.3520000000001</v>
      </c>
      <c r="M19" s="117">
        <f t="shared" si="2"/>
        <v>7191.36</v>
      </c>
      <c r="N19" s="100">
        <f>+'1'!N19+'2'!N19+'4'!N19+'3'!N19+'5'!N19+'6'!N19+'7'!N19+'8'!N19+'9'!N19+'10'!N19</f>
        <v>1294.4448</v>
      </c>
      <c r="O19" s="100">
        <f>+'1'!O19+'2'!O19+'4'!O19+'3'!O19+'5'!O19+'6'!O19+'7'!O19+'8'!O19+'9'!O19+'10'!O19</f>
        <v>42.429023999999998</v>
      </c>
      <c r="P19" s="119">
        <f t="shared" si="0"/>
        <v>8528.233823999999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1220.3520000000001</v>
      </c>
      <c r="M21" s="117">
        <f t="shared" si="2"/>
        <v>7191.36</v>
      </c>
      <c r="N21" s="100">
        <f>+'1'!N21+'2'!N21+'4'!N21+'3'!N21+'5'!N21+'6'!N21+'7'!N21+'8'!N21+'9'!N21+'10'!N21</f>
        <v>1294.4448</v>
      </c>
      <c r="O21" s="100">
        <f>+'1'!O21+'2'!O21+'4'!O21+'3'!O21+'5'!O21+'6'!O21+'7'!O21+'8'!O21+'9'!O21+'10'!O21</f>
        <v>42.429023999999998</v>
      </c>
      <c r="P21" s="119">
        <f t="shared" si="0"/>
        <v>8528.233823999999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12</v>
      </c>
      <c r="D25" s="205"/>
      <c r="E25" s="205"/>
      <c r="F25" s="205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</v>
      </c>
      <c r="J25" s="176">
        <f t="shared" si="3"/>
        <v>0</v>
      </c>
      <c r="K25" s="177">
        <f t="shared" si="3"/>
        <v>1050.8610000000001</v>
      </c>
      <c r="L25" s="178">
        <f t="shared" si="3"/>
        <v>4203.4440000000004</v>
      </c>
      <c r="M25" s="140">
        <f t="shared" si="3"/>
        <v>24770.295000000002</v>
      </c>
      <c r="N25" s="141">
        <f>SUM(N16:N24)</f>
        <v>4458.6531000000004</v>
      </c>
      <c r="O25" s="142">
        <f>SUM(O16:O24)</f>
        <v>146.14474050000001</v>
      </c>
      <c r="P25" s="143">
        <f>SUM(P16:P24)</f>
        <v>29375.092840499998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29375.092840499998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30024.6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4203.4440000000004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1050.8610000000001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24770.294999999998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4458.6531000000004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29228.948099999998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730.72370249999994</v>
      </c>
    </row>
    <row r="39" spans="2:16" ht="15.75" customHeight="1" thickBot="1" x14ac:dyDescent="0.4">
      <c r="N39" s="203" t="s">
        <v>92</v>
      </c>
      <c r="O39" s="204"/>
      <c r="P39" s="159">
        <f>P37+P38</f>
        <v>29959.671802499997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 t="shared" ref="O16:O24" si="1">(N16+M16)*$O$15</f>
        <v>30.643346250000004</v>
      </c>
      <c r="P16" s="104">
        <f t="shared" ref="P16:P24" si="2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3">(G17*D17)*F17+H17*F17</f>
        <v>6295.5</v>
      </c>
      <c r="J17" s="116"/>
      <c r="K17" s="103">
        <f t="shared" ref="K17:K21" si="4">I17*3.5%</f>
        <v>220.34250000000003</v>
      </c>
      <c r="L17" s="104">
        <f t="shared" ref="L17:L21" si="5">I17*14%</f>
        <v>881.37000000000012</v>
      </c>
      <c r="M17" s="117">
        <f t="shared" ref="M17:M23" si="6">I17-K17-L17</f>
        <v>5193.7875000000004</v>
      </c>
      <c r="N17" s="117">
        <f t="shared" si="0"/>
        <v>934.88175000000001</v>
      </c>
      <c r="O17" s="118">
        <f t="shared" si="1"/>
        <v>30.643346250000004</v>
      </c>
      <c r="P17" s="119">
        <f t="shared" si="2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1220.3520000000001</v>
      </c>
      <c r="M19" s="117">
        <f t="shared" si="6"/>
        <v>7191.36</v>
      </c>
      <c r="N19" s="117">
        <f t="shared" si="0"/>
        <v>1294.4448</v>
      </c>
      <c r="O19" s="118">
        <f t="shared" si="1"/>
        <v>42.429023999999998</v>
      </c>
      <c r="P19" s="119">
        <f t="shared" si="2"/>
        <v>8528.233823999999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1220.3520000000001</v>
      </c>
      <c r="M21" s="117">
        <f t="shared" si="6"/>
        <v>7191.36</v>
      </c>
      <c r="N21" s="117">
        <f t="shared" si="0"/>
        <v>1294.4448</v>
      </c>
      <c r="O21" s="118">
        <f t="shared" si="1"/>
        <v>42.429023999999998</v>
      </c>
      <c r="P21" s="119">
        <f t="shared" si="2"/>
        <v>8528.233823999999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</v>
      </c>
      <c r="J25" s="137"/>
      <c r="K25" s="138">
        <f t="shared" si="9"/>
        <v>1050.8610000000001</v>
      </c>
      <c r="L25" s="139">
        <f t="shared" si="9"/>
        <v>4203.4440000000004</v>
      </c>
      <c r="M25" s="140">
        <f t="shared" si="9"/>
        <v>24770.295000000002</v>
      </c>
      <c r="N25" s="141">
        <f>SUM(N16:N24)</f>
        <v>4458.6531000000004</v>
      </c>
      <c r="O25" s="142">
        <f>SUM(O16:O24)</f>
        <v>146.14474050000001</v>
      </c>
      <c r="P25" s="143">
        <f>SUM(P16:P24)</f>
        <v>29375.092840499998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30024.6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4203.4440000000004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1050.8610000000001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24770.294999999998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4458.6531000000004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29228.948099999998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146.14474049999998</v>
      </c>
    </row>
    <row r="35" spans="2:16" ht="15.75" customHeight="1" thickBot="1" x14ac:dyDescent="0.4">
      <c r="N35" s="203" t="s">
        <v>92</v>
      </c>
      <c r="O35" s="204"/>
      <c r="P35" s="159">
        <f>P33+P34</f>
        <v>29375.092840499998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46219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2026-07-17T05:45:56Z</dcterms:modified>
</cp:coreProperties>
</file>