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E462869-38F5-4547-BB16-6B087576674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K18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L17" i="33" l="1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M17" i="35"/>
  <c r="M18" i="35"/>
  <c r="M21" i="35"/>
  <c r="M22" i="35"/>
  <c r="L22" i="35"/>
  <c r="K23" i="35"/>
  <c r="L23" i="35"/>
  <c r="M23" i="35" s="1"/>
  <c r="K24" i="35"/>
  <c r="M24" i="35" s="1"/>
  <c r="L24" i="35"/>
  <c r="L22" i="34"/>
  <c r="K23" i="34"/>
  <c r="M23" i="34"/>
  <c r="L23" i="34"/>
  <c r="K24" i="34"/>
  <c r="L22" i="33"/>
  <c r="K23" i="33"/>
  <c r="K24" i="33"/>
  <c r="M24" i="33" s="1"/>
  <c r="L24" i="33"/>
  <c r="M17" i="33"/>
  <c r="K24" i="32"/>
  <c r="M24" i="32" s="1"/>
  <c r="L24" i="32"/>
  <c r="I25" i="32"/>
  <c r="P28" i="32" s="1"/>
  <c r="K23" i="32"/>
  <c r="L23" i="32"/>
  <c r="M23" i="32" s="1"/>
  <c r="L22" i="32"/>
  <c r="M17" i="31"/>
  <c r="L22" i="31"/>
  <c r="K24" i="31"/>
  <c r="L24" i="31"/>
  <c r="M24" i="31" s="1"/>
  <c r="L23" i="31"/>
  <c r="M21" i="30"/>
  <c r="K23" i="30"/>
  <c r="M23" i="30" s="1"/>
  <c r="L23" i="30"/>
  <c r="I25" i="30"/>
  <c r="P28" i="30" s="1"/>
  <c r="L22" i="30"/>
  <c r="K24" i="30"/>
  <c r="M24" i="30" s="1"/>
  <c r="L24" i="30"/>
  <c r="K24" i="29"/>
  <c r="M24" i="29"/>
  <c r="L24" i="29"/>
  <c r="L22" i="29"/>
  <c r="K23" i="29"/>
  <c r="I25" i="28"/>
  <c r="P28" i="28" s="1"/>
  <c r="M17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0" i="29" l="1"/>
  <c r="N20" i="29" s="1"/>
  <c r="O20" i="29" s="1"/>
  <c r="M22" i="33"/>
  <c r="N22" i="33" s="1"/>
  <c r="O22" i="33" s="1"/>
  <c r="M21" i="34"/>
  <c r="N21" i="34" s="1"/>
  <c r="O21" i="34" s="1"/>
  <c r="L19" i="29"/>
  <c r="L20" i="34"/>
  <c r="L25" i="34" s="1"/>
  <c r="P29" i="34" s="1"/>
  <c r="I25" i="34"/>
  <c r="P28" i="34" s="1"/>
  <c r="L16" i="34"/>
  <c r="K25" i="3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L22" i="27"/>
  <c r="K23" i="27"/>
  <c r="L23" i="27"/>
  <c r="K24" i="27"/>
  <c r="L24" i="27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M21" i="26"/>
  <c r="N21" i="26" s="1"/>
  <c r="O21" i="26" s="1"/>
  <c r="K25" i="27"/>
  <c r="P30" i="27" s="1"/>
  <c r="I25" i="27"/>
  <c r="P28" i="27" s="1"/>
  <c r="K25" i="29"/>
  <c r="P30" i="29" s="1"/>
  <c r="P31" i="29" s="1"/>
  <c r="L25" i="31"/>
  <c r="P29" i="31" s="1"/>
  <c r="P31" i="31" s="1"/>
  <c r="L18" i="26"/>
  <c r="L25" i="26" s="1"/>
  <c r="P29" i="26" s="1"/>
  <c r="M20" i="26"/>
  <c r="N20" i="26" s="1"/>
  <c r="O20" i="26" s="1"/>
  <c r="I25" i="26"/>
  <c r="P28" i="26" s="1"/>
  <c r="M23" i="27"/>
  <c r="P23" i="32"/>
  <c r="P23" i="31"/>
  <c r="M17" i="26"/>
  <c r="M25" i="34"/>
  <c r="P17" i="31"/>
  <c r="P18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9" l="1"/>
  <c r="K25" i="26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L22" i="22"/>
  <c r="L24" i="20"/>
  <c r="K23" i="20"/>
  <c r="K24" i="19"/>
  <c r="L24" i="19"/>
  <c r="L22" i="19"/>
  <c r="M22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7" l="1"/>
  <c r="K21" i="17"/>
  <c r="M21" i="19"/>
  <c r="M18" i="17"/>
  <c r="N18" i="17" s="1"/>
  <c r="O18" i="17" s="1"/>
  <c r="L18" i="17"/>
  <c r="L21" i="21"/>
  <c r="L21" i="23"/>
  <c r="I25" i="25"/>
  <c r="P28" i="25" s="1"/>
  <c r="L19" i="25"/>
  <c r="L25" i="25" s="1"/>
  <c r="P29" i="25" s="1"/>
  <c r="L19" i="18"/>
  <c r="L25" i="18" s="1"/>
  <c r="P29" i="18" s="1"/>
  <c r="L17" i="17"/>
  <c r="M17" i="17" s="1"/>
  <c r="N17" i="17" s="1"/>
  <c r="O17" i="17" s="1"/>
  <c r="L20" i="21"/>
  <c r="L19" i="23"/>
  <c r="M19" i="23" s="1"/>
  <c r="N19" i="23" s="1"/>
  <c r="O19" i="23" s="1"/>
  <c r="L19" i="21"/>
  <c r="L18" i="24"/>
  <c r="M18" i="24" s="1"/>
  <c r="N18" i="24" s="1"/>
  <c r="O18" i="24" s="1"/>
  <c r="L19" i="20"/>
  <c r="L20" i="17"/>
  <c r="L16" i="17"/>
  <c r="M16" i="17" s="1"/>
  <c r="L18" i="21"/>
  <c r="L17" i="20"/>
  <c r="L19" i="17"/>
  <c r="M19" i="17" s="1"/>
  <c r="N19" i="17" s="1"/>
  <c r="O19" i="17" s="1"/>
  <c r="P19" i="17" s="1"/>
  <c r="L18" i="20"/>
  <c r="L20" i="24"/>
  <c r="K23" i="19"/>
  <c r="M23" i="19" s="1"/>
  <c r="N23" i="19" s="1"/>
  <c r="O23" i="19" s="1"/>
  <c r="L23" i="22"/>
  <c r="L25" i="22" s="1"/>
  <c r="P29" i="22" s="1"/>
  <c r="M19" i="25"/>
  <c r="N19" i="25" s="1"/>
  <c r="O19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6" i="23"/>
  <c r="N16" i="23" s="1"/>
  <c r="L24" i="24"/>
  <c r="L22" i="21"/>
  <c r="M22" i="21" s="1"/>
  <c r="N22" i="21" s="1"/>
  <c r="O22" i="21" s="1"/>
  <c r="M16" i="20"/>
  <c r="N16" i="20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M17" i="18"/>
  <c r="N17" i="18" s="1"/>
  <c r="O17" i="18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I23" i="15"/>
  <c r="L19" i="16" l="1"/>
  <c r="K19" i="16"/>
  <c r="K19" i="15" s="1"/>
  <c r="M18" i="2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K25" i="25"/>
  <c r="P30" i="25" s="1"/>
  <c r="P31" i="25" s="1"/>
  <c r="K18" i="15"/>
  <c r="L18" i="16"/>
  <c r="L21" i="16"/>
  <c r="L21" i="15" s="1"/>
  <c r="K20" i="15"/>
  <c r="L20" i="16"/>
  <c r="L20" i="15" s="1"/>
  <c r="L16" i="16"/>
  <c r="K22" i="15"/>
  <c r="M19" i="18"/>
  <c r="N19" i="18" s="1"/>
  <c r="O19" i="18" s="1"/>
  <c r="L25" i="24"/>
  <c r="P29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4" l="1"/>
  <c r="N25" i="21"/>
  <c r="P32" i="21" s="1"/>
  <c r="P31" i="24"/>
  <c r="M22" i="15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18" i="15"/>
  <c r="P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<sst xmlns="http://schemas.openxmlformats.org/spreadsheetml/2006/main" count="1599" uniqueCount="112">
  <si>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</si>
  <si>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</si>
  <si>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</si>
  <si>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</si>
  <si>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</si>
  <si>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</si>
  <si>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</si>
  <si>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</si>
  <si>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</si>
  <si>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</si>
  <si>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</si>
  <si>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</si>
  <si>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</si>
  <si>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</si>
  <si>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</si>
  <si>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</si>
  <si>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</si>
  <si>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</si>
  <si>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</si>
  <si>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</si>
  <si>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</si>
  <si>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</si>
  <si>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</si>
  <si>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</si>
  <si>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</si>
  <si>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</si>
  <si>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</si>
  <si>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</si>
  <si>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</si>
  <si>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</si>
  <si>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</si>
  <si>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</si>
  <si>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</si>
  <si>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</si>
  <si>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</si>
  <si>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</si>
  <si>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</si>
  <si>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</si>
  <si>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</si>
  <si>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</si>
  <si>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</si>
  <si>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</si>
  <si>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</si>
  <si>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</si>
  <si>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</si>
  <si>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</si>
  <si>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</si>
  <si>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</si>
  <si>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</si>
  <si>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</si>
  <si>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</si>
  <si>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</si>
  <si>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</si>
  <si>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</si>
  <si>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</si>
  <si>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</si>
  <si>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</si>
  <si>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</si>
  <si>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</si>
  <si>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</si>
  <si>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</si>
  <si>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</si>
  <si>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</si>
  <si>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</si>
  <si>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</si>
  <si>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</si>
  <si>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</si>
  <si>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</si>
  <si>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</si>
  <si>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</si>
  <si>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</si>
  <si>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</si>
  <si>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</si>
  <si>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</si>
  <si>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</si>
  <si>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</si>
  <si>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</si>
  <si>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</si>
  <si>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</si>
  <si>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</si>
  <si>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</si>
  <si>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</si>
  <si>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</si>
  <si>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</si>
  <si>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</si>
  <si>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</si>
  <si>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</si>
  <si>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</si>
  <si>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</si>
  <si>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</si>
  <si>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</si>
  <si>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</si>
  <si>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</si>
  <si>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</si>
  <si>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</si>
  <si>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</si>
  <si>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</si>
  <si>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</si>
  <si>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</si>
  <si>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</si>
  <si>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</si>
  <si>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</si>
  <si>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</si>
  <si>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</si>
  <si>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</si>
  <si>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</si>
  <si>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</si>
  <si>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</si>
  <si>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</si>
  <si>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1010737-1</t>
  </si>
  <si>
    <t>Customer Name : Jalal Sons  (warehouse)</t>
  </si>
  <si>
    <t>Address: Chatri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</si>
</sst>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7" sqref="F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F7" sqref="F7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4" t="s">
        <v>45</v>
      </c>
      <c r="B2" s="244"/>
      <c r="C2" s="244"/>
    </row>
    <row r="3" spans="1:21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43" t="s">
        <v>108</v>
      </c>
      <c r="B5" s="243"/>
      <c r="C5" s="243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21 16383:16384" x14ac:dyDescent="0.35">
      <c r="A6" s="243"/>
      <c r="B6" s="243"/>
      <c r="C6" s="243"/>
      <c r="F6" s="70"/>
      <c r="G6" s="74"/>
      <c r="K6" s="228" t="s">
        <v>52</v>
      </c>
      <c r="L6" s="228"/>
      <c r="M6" s="228"/>
      <c r="N6" s="241" t="s">
        <v>42</v>
      </c>
      <c r="O6" s="241"/>
      <c r="P6" s="24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21 16383:16384" ht="16.5" customHeight="1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21 16383:16384" x14ac:dyDescent="0.35">
      <c r="A10" s="226"/>
      <c r="B10" s="75"/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21 16383:16384" ht="15" thickBot="1" x14ac:dyDescent="0.4">
      <c r="A11" s="226"/>
      <c r="B11" s="76"/>
      <c r="C11" s="77"/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21 16383:16384" ht="14.65" customHeight="1" x14ac:dyDescent="0.35">
      <c r="A12" s="226"/>
      <c r="B12" s="76"/>
      <c r="C12" s="77"/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T12" s="198" t="s">
        <v>102</v>
      </c>
      <c r="U12" s="199"/>
      <c r="XFD12" t="s">
        <v>62</v>
      </c>
    </row>
    <row r="13" spans="1:21 16383:16384" ht="15" thickBot="1" x14ac:dyDescent="0.4">
      <c r="A13" s="227"/>
      <c r="J13" s="78"/>
      <c r="K13" s="78"/>
      <c r="L13" s="79">
        <v>0.05</v>
      </c>
      <c r="T13" s="200"/>
      <c r="U13" s="201"/>
      <c r="XFD13" t="s">
        <v>63</v>
      </c>
    </row>
    <row r="14" spans="1:21 16383:16384" ht="29.25" customHeight="1" x14ac:dyDescent="0.6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3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11233.148390399998</v>
      </c>
      <c r="XFD14" t="s">
        <v>75</v>
      </c>
    </row>
    <row r="15" spans="1:21 16383:16384" ht="29.25" customHeight="1" thickBot="1" x14ac:dyDescent="0.65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38"/>
      <c r="J15" s="169" t="s">
        <v>78</v>
      </c>
      <c r="K15" s="169" t="s">
        <v>79</v>
      </c>
      <c r="L15" s="172" t="s">
        <v>80</v>
      </c>
      <c r="M15" s="23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(warehouse)</v>
      </c>
      <c r="U15" s="163">
        <f>+'2'!P35</f>
        <v>303607.57538970001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1836.1875000000002</v>
      </c>
      <c r="L16" s="173">
        <f>+'1'!L16+'2'!L16+'4'!L16+'3'!L16+'5'!L16+'6'!L16+'7'!L16+'8'!L16+'9'!L16+'10'!L16</f>
        <v>7869.375</v>
      </c>
      <c r="M16" s="105">
        <f>I16-K16-L16</f>
        <v>-9705.5625</v>
      </c>
      <c r="N16" s="100">
        <f>+'1'!N16+'2'!N16+'4'!N16+'3'!N16+'5'!N16+'6'!N16+'7'!N16+'8'!N16+'9'!N16+'10'!N16</f>
        <v>7696.2487499999997</v>
      </c>
      <c r="O16" s="100">
        <f>+'1'!O16+'2'!O16+'4'!O16+'3'!O16+'5'!O16+'6'!O16+'7'!O16+'8'!O16+'9'!O16+'10'!O16</f>
        <v>252.26593124999999</v>
      </c>
      <c r="P16" s="104">
        <f t="shared" ref="P16:P24" si="0">M16+N16+O16</f>
        <v>-1757.0478187500003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1836.1875000000002</v>
      </c>
      <c r="L17" s="173">
        <f>+'1'!L17+'2'!L17+'4'!L17+'3'!L17+'5'!L17+'6'!L17+'7'!L17+'8'!L17+'9'!L17+'10'!L17</f>
        <v>7869.375</v>
      </c>
      <c r="M17" s="117">
        <f t="shared" ref="M17:M23" si="2">I17-K17-L17</f>
        <v>-9705.5625</v>
      </c>
      <c r="N17" s="100">
        <f>+'1'!N17+'2'!N17+'4'!N17+'3'!N17+'5'!N17+'6'!N17+'7'!N17+'8'!N17+'9'!N17+'10'!N17</f>
        <v>7696.2487499999997</v>
      </c>
      <c r="O17" s="100">
        <f>+'1'!O17+'2'!O17+'4'!O17+'3'!O17+'5'!O17+'6'!O17+'7'!O17+'8'!O17+'9'!O17+'10'!O17</f>
        <v>252.26593124999999</v>
      </c>
      <c r="P17" s="119">
        <f t="shared" si="0"/>
        <v>-1757.0478187500003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2644.096</v>
      </c>
      <c r="L19" s="173">
        <f>+'1'!L19+'2'!L19+'4'!L19+'3'!L19+'5'!L19+'6'!L19+'7'!L19+'8'!L19+'9'!L19+'10'!L19</f>
        <v>11331.84</v>
      </c>
      <c r="M19" s="117">
        <f t="shared" si="2"/>
        <v>-11070.335999999999</v>
      </c>
      <c r="N19" s="100">
        <f>+'1'!N19+'2'!N19+'4'!N19+'3'!N19+'5'!N19+'6'!N19+'7'!N19+'8'!N19+'9'!N19+'10'!N19</f>
        <v>11082.53952</v>
      </c>
      <c r="O19" s="100">
        <f>+'1'!O19+'2'!O19+'4'!O19+'3'!O19+'5'!O19+'6'!O19+'7'!O19+'8'!O19+'9'!O19+'10'!O19</f>
        <v>363.2610176</v>
      </c>
      <c r="P19" s="119">
        <f t="shared" si="0"/>
        <v>375.46453760000094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2339.0079999999998</v>
      </c>
      <c r="L20" s="173">
        <f>+'1'!L20+'2'!L20+'4'!L20+'3'!L20+'5'!L20+'6'!L20+'7'!L20+'8'!L20+'9'!L20+'10'!L20</f>
        <v>10024.32</v>
      </c>
      <c r="M20" s="117">
        <f t="shared" si="2"/>
        <v>-9457.7279999999992</v>
      </c>
      <c r="N20" s="100">
        <f>+'1'!N20+'2'!N20+'4'!N20+'3'!N20+'5'!N20+'6'!N20+'7'!N20+'8'!N20+'9'!N20+'10'!N20</f>
        <v>9803.784959999999</v>
      </c>
      <c r="O20" s="100">
        <f>+'1'!O20+'2'!O20+'4'!O20+'3'!O20+'5'!O20+'6'!O20+'7'!O20+'8'!O20+'9'!O20+'10'!O20</f>
        <v>321.34628479999998</v>
      </c>
      <c r="P20" s="119">
        <f t="shared" si="0"/>
        <v>667.40324479999981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2745.7919999999999</v>
      </c>
      <c r="L21" s="173">
        <f>+'1'!L21+'2'!L21+'4'!L21+'3'!L21+'5'!L21+'6'!L21+'7'!L21+'8'!L21+'9'!L21+'10'!L21</f>
        <v>11767.68</v>
      </c>
      <c r="M21" s="117">
        <f t="shared" si="2"/>
        <v>-8702.2720000000008</v>
      </c>
      <c r="N21" s="100">
        <f>+'1'!N21+'2'!N21+'4'!N21+'3'!N21+'5'!N21+'6'!N21+'7'!N21+'8'!N21+'9'!N21+'10'!N21</f>
        <v>11508.79104</v>
      </c>
      <c r="O21" s="100">
        <f>+'1'!O21+'2'!O21+'4'!O21+'3'!O21+'5'!O21+'6'!O21+'7'!O21+'8'!O21+'9'!O21+'10'!O21</f>
        <v>377.23259519999999</v>
      </c>
      <c r="P21" s="119">
        <f t="shared" si="0"/>
        <v>3183.7516351999993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08" t="s">
        <v>84</v>
      </c>
      <c r="B25" s="209"/>
      <c r="C25" s="210">
        <f>H25/40</f>
        <v>4</v>
      </c>
      <c r="D25" s="204"/>
      <c r="E25" s="204"/>
      <c r="F25" s="204"/>
      <c r="G25" s="174">
        <f t="shared" ref="G25:M25" si="3">SUM(G16:G24)</f>
        <v>0</v>
      </c>
      <c r="H25" s="175">
        <f t="shared" si="3"/>
        <v>160</v>
      </c>
      <c r="I25" s="176">
        <f t="shared" si="3"/>
        <v>11622.4</v>
      </c>
      <c r="J25" s="175">
        <f t="shared" si="3"/>
        <v>0</v>
      </c>
      <c r="K25" s="176">
        <f t="shared" si="3"/>
        <v>11401.270999999999</v>
      </c>
      <c r="L25" s="177">
        <f t="shared" si="3"/>
        <v>48862.590000000004</v>
      </c>
      <c r="M25" s="140">
        <f t="shared" si="3"/>
        <v>-48641.460999999996</v>
      </c>
      <c r="N25" s="141">
        <f>SUM(N16:N24)</f>
        <v>47787.613020000004</v>
      </c>
      <c r="O25" s="142">
        <f>SUM(O16:O24)</f>
        <v>1566.3717600999998</v>
      </c>
      <c r="P25" s="143">
        <f>SUM(P16:P24)</f>
        <v>712.52378009999939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314840.7237801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1" t="s">
        <v>85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3"/>
      <c r="N32" s="220" t="s">
        <v>86</v>
      </c>
      <c r="O32" s="221"/>
      <c r="P32" s="151">
        <f>I25</f>
        <v>11622.4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N33" s="222" t="s">
        <v>87</v>
      </c>
      <c r="O33" s="223"/>
      <c r="P33" s="152">
        <f>L25</f>
        <v>48862.590000000004</v>
      </c>
    </row>
    <row r="34" spans="2:16" ht="15" customHeight="1" x14ac:dyDescent="0.3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6"/>
      <c r="N34" s="222" t="s">
        <v>4</v>
      </c>
      <c r="O34" s="223"/>
      <c r="P34" s="153">
        <f>K25</f>
        <v>11401.270999999999</v>
      </c>
    </row>
    <row r="35" spans="2:16" ht="15" customHeight="1" x14ac:dyDescent="0.35"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M35" s="2"/>
      <c r="N35" s="222" t="s">
        <v>88</v>
      </c>
      <c r="O35" s="223"/>
      <c r="P35" s="152">
        <f>P32-P33-P34</f>
        <v>-48641.461000000003</v>
      </c>
    </row>
    <row r="36" spans="2:16" ht="15" customHeight="1" x14ac:dyDescent="0.35">
      <c r="B36" s="214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2"/>
      <c r="N36" s="154" t="s">
        <v>89</v>
      </c>
      <c r="O36" s="155">
        <f>IF(B12="Registered",18%,22%)</f>
        <v>0.22</v>
      </c>
      <c r="P36" s="152">
        <f>N25</f>
        <v>47787.613020000004</v>
      </c>
    </row>
    <row r="37" spans="2:16" ht="15" customHeight="1" x14ac:dyDescent="0.35">
      <c r="B37" s="214"/>
      <c r="C37" s="215"/>
      <c r="D37" s="215"/>
      <c r="E37" s="215"/>
      <c r="F37" s="215"/>
      <c r="G37" s="215"/>
      <c r="H37" s="215"/>
      <c r="I37" s="215"/>
      <c r="J37" s="215"/>
      <c r="K37" s="215"/>
      <c r="L37" s="216"/>
      <c r="M37" s="2"/>
      <c r="N37" s="224" t="s">
        <v>90</v>
      </c>
      <c r="O37" s="225"/>
      <c r="P37" s="152">
        <f>P35+P36</f>
        <v>-853.84797999999864</v>
      </c>
    </row>
    <row r="38" spans="2:16" ht="15" customHeight="1" thickBot="1" x14ac:dyDescent="0.4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156"/>
      <c r="N38" s="157" t="s">
        <v>91</v>
      </c>
      <c r="O38" s="158">
        <f>IF(B11="Filer",0.5%,2.5%)</f>
        <v>2.5000000000000001E-2</v>
      </c>
      <c r="P38" s="152">
        <f>O38*P37</f>
        <v>-21.346199499999969</v>
      </c>
    </row>
    <row r="39" spans="2:16" ht="15.75" customHeight="1" thickBot="1" x14ac:dyDescent="0.4">
      <c r="N39" s="202" t="s">
        <v>92</v>
      </c>
      <c r="O39" s="203"/>
      <c r="P39" s="159">
        <f>P37+P38</f>
        <v>-875.19417949999865</v>
      </c>
    </row>
    <row r="40" spans="2:16" ht="15" thickBot="1" x14ac:dyDescent="0.4">
      <c r="B40" s="160" t="s">
        <v>93</v>
      </c>
      <c r="C40" s="204"/>
      <c r="D40" s="204"/>
      <c r="E40" s="204"/>
      <c r="F40" s="204"/>
      <c r="G40" s="204"/>
      <c r="H40" s="204"/>
      <c r="I40" s="205"/>
      <c r="J40" s="206"/>
      <c r="K40" s="207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v>46216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107</v>
      </c>
      <c r="B5" s="251"/>
      <c r="C5" s="251"/>
      <c r="F5" s="70"/>
      <c r="G5" s="71"/>
      <c r="K5" s="228" t="s">
        <v>51</v>
      </c>
      <c r="L5" s="228"/>
      <c r="M5" s="228"/>
      <c r="N5" s="242">
        <f>N4-1</f>
        <v>46215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109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435.84</v>
      </c>
      <c r="M19" s="117">
        <f t="shared" si="6"/>
        <v>2368.0639999999999</v>
      </c>
      <c r="N19" s="117">
        <f t="shared" si="0"/>
        <v>426.25151999999997</v>
      </c>
      <c r="O19" s="118">
        <f t="shared" si="1"/>
        <v>13.971577599999998</v>
      </c>
      <c r="P19" s="119">
        <f t="shared" si="2"/>
        <v>2808.2870975999995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101.69600000000001</v>
      </c>
      <c r="L20" s="104">
        <f t="shared" si="5"/>
        <v>435.84</v>
      </c>
      <c r="M20" s="117">
        <f t="shared" si="6"/>
        <v>2368.0639999999999</v>
      </c>
      <c r="N20" s="117">
        <f t="shared" si="0"/>
        <v>426.25151999999997</v>
      </c>
      <c r="O20" s="118">
        <f t="shared" si="1"/>
        <v>13.971577599999998</v>
      </c>
      <c r="P20" s="119">
        <f t="shared" si="2"/>
        <v>2808.2870975999995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871.68</v>
      </c>
      <c r="M21" s="117">
        <f t="shared" si="6"/>
        <v>4736.1279999999997</v>
      </c>
      <c r="N21" s="117">
        <f t="shared" si="0"/>
        <v>852.50303999999994</v>
      </c>
      <c r="O21" s="118">
        <f t="shared" si="1"/>
        <v>27.943155199999996</v>
      </c>
      <c r="P21" s="119">
        <f t="shared" si="2"/>
        <v>5616.5741951999989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160</v>
      </c>
      <c r="I25" s="136">
        <f t="shared" si="9"/>
        <v>11622.4</v>
      </c>
      <c r="J25" s="137"/>
      <c r="K25" s="138">
        <f t="shared" si="9"/>
        <v>406.78400000000005</v>
      </c>
      <c r="L25" s="139">
        <f t="shared" si="9"/>
        <v>1743.36</v>
      </c>
      <c r="M25" s="140">
        <f t="shared" si="9"/>
        <v>9472.2559999999994</v>
      </c>
      <c r="N25" s="141">
        <f>SUM(N16:N24)</f>
        <v>1705.0060799999999</v>
      </c>
      <c r="O25" s="142">
        <f>SUM(O16:O24)</f>
        <v>55.886310399999992</v>
      </c>
      <c r="P25" s="143">
        <f>SUM(P16:P24)</f>
        <v>11233.148390399998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11622.4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1743.36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406.78400000000005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9472.2559999999994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1705.0060799999999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11177.262079999999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55.886310399999992</v>
      </c>
    </row>
    <row r="35" spans="2:16" ht="15.75" customHeight="1" thickBot="1" x14ac:dyDescent="0.4">
      <c r="N35" s="202" t="s">
        <v>92</v>
      </c>
      <c r="O35" s="203"/>
      <c r="P35" s="159">
        <f>P33+P34</f>
        <v>11233.148390399998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6.81640625" bestFit="1" customWidth="1"/>
    <col min="14" max="14" width="5.81640625" style="69" bestFit="1" customWidth="1"/>
    <col min="15" max="15" width="7.36328125" bestFit="1" customWidth="1"/>
    <col min="16" max="16" width="9.90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110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111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>
        <v>25</v>
      </c>
      <c r="H16" s="100"/>
      <c r="I16" s="101">
        <f>(G16*D16)*F16+H16*F16</f>
        <v>52462.5</v>
      </c>
      <c r="J16" s="102"/>
      <c r="K16" s="103">
        <f>I16*3.5%</f>
        <v>1836.1875000000002</v>
      </c>
      <c r="L16" s="104">
        <f>I16*15%</f>
        <v>7869.375</v>
      </c>
      <c r="M16" s="105">
        <f>I16-K16-L16</f>
        <v>42756.9375</v>
      </c>
      <c r="N16" s="105">
        <f t="shared" ref="N16:N24" si="0">(M16*$N$15)+(J16*F16)*$N$15</f>
        <v>7696.2487499999997</v>
      </c>
      <c r="O16" s="106">
        <f>(N16+M16)*$O$15</f>
        <v>252.26593124999999</v>
      </c>
      <c r="P16" s="104">
        <f t="shared" ref="P16:P24" si="1">M16+N16+O16</f>
        <v>50705.452181250002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>
        <v>25</v>
      </c>
      <c r="H17" s="114"/>
      <c r="I17" s="115">
        <f t="shared" ref="I17:I23" si="2">(G17*D17)*F17+H17*F17</f>
        <v>52462.5</v>
      </c>
      <c r="J17" s="116"/>
      <c r="K17" s="103">
        <f t="shared" ref="K17:K21" si="3">I17*3.5%</f>
        <v>1836.1875000000002</v>
      </c>
      <c r="L17" s="104">
        <f t="shared" ref="L17:L21" si="4">I17*15%</f>
        <v>7869.375</v>
      </c>
      <c r="M17" s="117">
        <f t="shared" ref="M17:M23" si="5">I17-K17-L17</f>
        <v>42756.9375</v>
      </c>
      <c r="N17" s="117">
        <f t="shared" si="0"/>
        <v>7696.2487499999997</v>
      </c>
      <c r="O17" s="118">
        <f t="shared" ref="O17:O24" si="6">(N17+M17)*$O$15</f>
        <v>252.26593124999999</v>
      </c>
      <c r="P17" s="119">
        <f t="shared" si="1"/>
        <v>50705.452181250002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25</v>
      </c>
      <c r="H19" s="114"/>
      <c r="I19" s="115">
        <f t="shared" si="2"/>
        <v>72640</v>
      </c>
      <c r="J19" s="116"/>
      <c r="K19" s="103">
        <f t="shared" si="3"/>
        <v>2542.4</v>
      </c>
      <c r="L19" s="104">
        <f t="shared" si="4"/>
        <v>10896</v>
      </c>
      <c r="M19" s="117">
        <f t="shared" si="5"/>
        <v>59201.600000000006</v>
      </c>
      <c r="N19" s="117">
        <f t="shared" si="0"/>
        <v>10656.288</v>
      </c>
      <c r="O19" s="118">
        <f t="shared" si="6"/>
        <v>349.28944000000001</v>
      </c>
      <c r="P19" s="119">
        <f t="shared" si="1"/>
        <v>70207.177439999999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22</v>
      </c>
      <c r="H20" s="114"/>
      <c r="I20" s="115">
        <f t="shared" si="2"/>
        <v>63923.199999999997</v>
      </c>
      <c r="J20" s="116"/>
      <c r="K20" s="103">
        <f t="shared" si="3"/>
        <v>2237.3119999999999</v>
      </c>
      <c r="L20" s="104">
        <f t="shared" si="4"/>
        <v>9588.48</v>
      </c>
      <c r="M20" s="117">
        <f t="shared" si="5"/>
        <v>52097.407999999996</v>
      </c>
      <c r="N20" s="117">
        <f t="shared" si="0"/>
        <v>9377.5334399999992</v>
      </c>
      <c r="O20" s="118">
        <f t="shared" si="6"/>
        <v>307.37470719999999</v>
      </c>
      <c r="P20" s="119">
        <f t="shared" si="1"/>
        <v>61782.316147199992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25</v>
      </c>
      <c r="H21" s="114"/>
      <c r="I21" s="115">
        <f t="shared" si="2"/>
        <v>72640</v>
      </c>
      <c r="J21" s="116"/>
      <c r="K21" s="103">
        <f t="shared" si="3"/>
        <v>2542.4</v>
      </c>
      <c r="L21" s="104">
        <f t="shared" si="4"/>
        <v>10896</v>
      </c>
      <c r="M21" s="117">
        <f t="shared" si="5"/>
        <v>59201.600000000006</v>
      </c>
      <c r="N21" s="117">
        <f t="shared" si="0"/>
        <v>10656.288</v>
      </c>
      <c r="O21" s="118">
        <f t="shared" si="6"/>
        <v>349.28944000000001</v>
      </c>
      <c r="P21" s="119">
        <f t="shared" si="1"/>
        <v>70207.177439999999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122</v>
      </c>
      <c r="H25" s="135">
        <f t="shared" si="9"/>
        <v>0</v>
      </c>
      <c r="I25" s="136">
        <f t="shared" si="9"/>
        <v>314128.2</v>
      </c>
      <c r="J25" s="137"/>
      <c r="K25" s="138">
        <f t="shared" si="9"/>
        <v>10994.486999999999</v>
      </c>
      <c r="L25" s="139">
        <f t="shared" si="9"/>
        <v>47119.229999999996</v>
      </c>
      <c r="M25" s="140">
        <f t="shared" si="9"/>
        <v>256014.48300000001</v>
      </c>
      <c r="N25" s="141">
        <f>SUM(N16:N24)</f>
        <v>46082.606939999998</v>
      </c>
      <c r="O25" s="142">
        <f>SUM(O16:O24)</f>
        <v>1510.4854497000001</v>
      </c>
      <c r="P25" s="143">
        <f>SUM(P16:P24)</f>
        <v>303607.57538970001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314128.2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47119.229999999996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10994.486999999999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256014.48300000004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46082.606939999998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302097.08994000003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1510.4854497000001</v>
      </c>
    </row>
    <row r="35" spans="2:16" ht="15.75" customHeight="1" thickBot="1" x14ac:dyDescent="0.4">
      <c r="N35" s="202" t="s">
        <v>92</v>
      </c>
      <c r="O35" s="203"/>
      <c r="P35" s="159">
        <f>P33+P34</f>
        <v>303607.57538970001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6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78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46234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46233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2026-07-31T06:29:05Z</dcterms:modified>
</cp:coreProperties>
</file>