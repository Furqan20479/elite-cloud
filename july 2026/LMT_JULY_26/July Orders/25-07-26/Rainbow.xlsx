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BEA4D8-AFC5-4E69-903E-13B843975C0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16" i="44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<sst xmlns="http://schemas.openxmlformats.org/spreadsheetml/2006/main" count="3913" uniqueCount="518">
  <si>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</si>
  <si>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</si>
  <si>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</si>
  <si>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</si>
  <si>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</si>
  <si>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</si>
  <si>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</si>
  <si>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</si>
  <si>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</si>
  <si>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</si>
  <si>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</si>
  <si>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</si>
  <si>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</si>
  <si>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</si>
  <si>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</si>
  <si>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</si>
  <si>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</si>
  <si>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</si>
  <si>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</si>
  <si>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</si>
  <si>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</si>
  <si>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</si>
  <si>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</si>
  <si>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</si>
  <si>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</si>
  <si>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</si>
  <si>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</si>
  <si>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</si>
  <si>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</si>
  <si>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</si>
  <si>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</si>
  <si>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</si>
  <si>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</si>
  <si>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</si>
  <si>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</si>
  <si>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</si>
  <si>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</si>
  <si>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</si>
  <si>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</si>
  <si>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</si>
  <si>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</si>
  <si>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</si>
  <si>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</si>
  <si>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</si>
  <si>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</si>
  <si>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</si>
  <si>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</si>
  <si>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</si>
  <si>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</si>
  <si>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</si>
  <si>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</si>
  <si>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</si>
  <si>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</si>
  <si>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</si>
  <si>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</si>
  <si>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</si>
  <si>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</si>
  <si>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</si>
  <si>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</si>
  <si>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</si>
  <si>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</si>
  <si>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</si>
  <si>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</si>
  <si>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</si>
  <si>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</si>
  <si>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</si>
  <si>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</si>
  <si>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</si>
  <si>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</si>
  <si>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</si>
  <si>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</si>
  <si>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</si>
  <si>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</si>
  <si>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</si>
  <si>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</si>
  <si>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</si>
  <si>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</si>
  <si>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</si>
  <si>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</si>
  <si>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</si>
  <si>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</si>
  <si>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</si>
  <si>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</si>
  <si>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</si>
  <si>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</si>
  <si>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</si>
  <si>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</si>
  <si>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</si>
  <si>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</si>
  <si>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</si>
  <si>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</si>
  <si>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</si>
  <si>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</si>
  <si>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</si>
  <si>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</si>
  <si>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</si>
  <si>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</si>
  <si>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</si>
  <si>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</si>
  <si>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</si>
  <si>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</si>
  <si>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</si>
  <si>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</si>
  <si>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</si>
  <si>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</si>
  <si>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</si>
  <si>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</si>
  <si>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</si>
  <si>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</si>
  <si>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</si>
  <si>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</si>
  <si>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</si>
  <si>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</si>
  <si>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</si>
  <si>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</si>
  <si>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</si>
  <si>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</si>
  <si>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</si>
  <si>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</si>
  <si>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</si>
  <si>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</si>
  <si>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</si>
  <si>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</si>
  <si>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</si>
  <si>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</si>
  <si>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</si>
  <si>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</si>
  <si>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</si>
  <si>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</si>
  <si>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</si>
  <si>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</si>
  <si>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</si>
  <si>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</si>
  <si>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</si>
  <si>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</si>
  <si>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</si>
  <si>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</si>
  <si>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</si>
  <si>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</si>
  <si>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</si>
  <si>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</si>
  <si>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</si>
  <si>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</si>
  <si>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</si>
  <si>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</si>
  <si>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</si>
  <si>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</si>
  <si>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</si>
  <si>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</si>
  <si>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</si>
  <si>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</si>
  <si>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</si>
  <si>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</si>
  <si>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</si>
  <si>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</si>
  <si>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</si>
  <si>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</si>
  <si>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</si>
  <si>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</si>
  <si>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</si>
  <si>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</si>
  <si>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</si>
  <si>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</si>
  <si>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</si>
  <si>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</si>
  <si>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</si>
  <si>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</si>
  <si>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</si>
  <si>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</si>
  <si>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</si>
  <si>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</si>
  <si>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</si>
  <si>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</si>
  <si>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</si>
  <si>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</si>
  <si>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</si>
  <si>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</si>
  <si>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</si>
  <si>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</si>
  <si>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</si>
  <si>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</si>
  <si>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</si>
  <si>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</si>
  <si>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</si>
  <si>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</si>
  <si>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</si>
  <si>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</si>
  <si>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</si>
  <si>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</si>
  <si>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</si>
  <si>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</si>
  <si>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</si>
  <si>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</si>
  <si>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</si>
  <si>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</si>
  <si>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</si>
  <si>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</si>
  <si>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</si>
  <si>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</si>
  <si>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</si>
  <si>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</si>
  <si>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</si>
  <si>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</si>
  <si>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</si>
  <si>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</si>
  <si>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</si>
  <si>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</si>
  <si>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</si>
  <si>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</si>
  <si>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</si>
  <si>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</si>
  <si>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</si>
  <si>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</si>
  <si>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</si>
  <si>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</si>
  <si>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</si>
  <si>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</si>
  <si>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</si>
  <si>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</si>
  <si>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</si>
  <si>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</si>
  <si>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</si>
  <si>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</si>
  <si>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</si>
  <si>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</si>
  <si>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</si>
  <si>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</si>
  <si>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</si>
  <si>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</si>
  <si>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</si>
  <si>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</si>
  <si>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</si>
  <si>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</si>
  <si>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</si>
  <si>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</si>
  <si>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</si>
  <si>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</si>
  <si>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</si>
  <si>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</si>
  <si>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</si>
  <si>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</si>
  <si>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</si>
  <si>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</si>
  <si>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</si>
  <si>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</si>
  <si>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</si>
  <si>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</si>
  <si>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</si>
  <si>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</si>
  <si>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</si>
  <si>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</si>
  <si>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</si>
  <si>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</si>
  <si>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</si>
  <si>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</si>
  <si>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</si>
  <si>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</si>
  <si>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</si>
  <si>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</si>
  <si>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</si>
  <si>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</si>
  <si>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</si>
  <si>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</si>
  <si>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</si>
  <si>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</si>
  <si>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</si>
  <si>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</si>
  <si>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</si>
  <si>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</si>
  <si>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</si>
  <si>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</si>
  <si>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</si>
  <si>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</si>
  <si>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</si>
  <si>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</si>
  <si>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</si>
  <si>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</si>
  <si>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</si>
  <si>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</si>
  <si>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</si>
  <si>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</si>
  <si>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</si>
  <si>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</si>
  <si>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</si>
  <si>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</si>
  <si>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</si>
  <si>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</si>
  <si>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</si>
  <si>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</si>
  <si>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</si>
  <si>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</si>
  <si>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</si>
  <si>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</si>
  <si>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</si>
  <si>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</si>
  <si>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</si>
  <si>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</si>
  <si>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</si>
  <si>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</si>
  <si>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</si>
  <si>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</si>
  <si>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</si>
  <si>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</si>
  <si>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</si>
  <si>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</si>
  <si>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</si>
  <si>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</si>
  <si>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</si>
  <si>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</si>
  <si>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</si>
  <si>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</si>
  <si>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</si>
  <si>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</si>
  <si>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</si>
  <si>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</si>
  <si>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</si>
  <si>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</si>
  <si>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</si>
  <si>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</si>
  <si>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</si>
  <si>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</si>
  <si>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</si>
  <si>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</si>
  <si>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</si>
  <si>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</si>
  <si>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</si>
  <si>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</si>
  <si>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</si>
  <si>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</si>
  <si>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</si>
  <si>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</si>
  <si>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</si>
  <si>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</si>
  <si>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</si>
  <si>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</si>
  <si>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</si>
  <si>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</si>
  <si>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</si>
  <si>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</si>
  <si>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</si>
  <si>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</si>
  <si>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</si>
  <si>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</si>
  <si>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</si>
  <si>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</si>
  <si>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</si>
  <si>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</si>
  <si>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</si>
  <si>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</si>
  <si>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</si>
  <si>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</si>
  <si>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</si>
  <si>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</si>
  <si>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</si>
  <si>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</si>
  <si>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</si>
  <si>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</si>
  <si>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</si>
  <si>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</si>
  <si>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</si>
  <si>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</si>
  <si>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</si>
  <si>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</si>
  <si>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</si>
  <si>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</si>
  <si>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</si>
  <si>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</si>
  <si>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</si>
  <si>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</si>
  <si>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</si>
  <si>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</si>
  <si>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</si>
  <si>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</si>
  <si>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</si>
  <si>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</si>
  <si>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</si>
  <si>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</si>
  <si>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</si>
  <si>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</si>
  <si>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</si>
  <si>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</si>
  <si>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</si>
  <si>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</si>
  <si>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</si>
  <si>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</si>
  <si>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</si>
  <si>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</si>
  <si>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</si>
  <si>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</si>
  <si>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</si>
  <si>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</si>
  <si>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</si>
  <si>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</si>
  <si>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</si>
  <si>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</si>
  <si>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</si>
  <si>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</si>
  <si>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</si>
  <si>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</si>
  <si>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</si>
  <si>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</si>
  <si>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</si>
  <si>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</si>
  <si>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</si>
  <si>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</si>
  <si>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</si>
  <si>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</si>
  <si>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</si>
  <si>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</si>
  <si>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</si>
  <si>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</si>
  <si>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</si>
  <si>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</si>
  <si>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</si>
  <si>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</si>
  <si>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</si>
  <si>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</si>
  <si>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</si>
  <si>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</si>
  <si>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</si>
  <si>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</si>
  <si>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</si>
  <si>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</si>
  <si>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</si>
  <si>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</si>
  <si>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</si>
  <si>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</si>
  <si>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</si>
  <si>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</si>
  <si>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</si>
  <si>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</si>
  <si>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</si>
  <si>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</si>
  <si>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</si>
  <si>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</si>
  <si>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</si>
  <si>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</si>
  <si>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</si>
  <si>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</si>
  <si>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</si>
  <si>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</si>
  <si>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</si>
  <si>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</si>
  <si>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</si>
  <si>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</si>
  <si>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</si>
  <si>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</si>
  <si>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</si>
  <si>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</si>
  <si>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</si>
  <si>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</si>
  <si>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</si>
  <si>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</si>
  <si>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</si>
  <si>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</si>
  <si>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</si>
  <si>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</si>
  <si>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</si>
  <si>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</si>
  <si>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</si>
  <si>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</si>
  <si>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</si>
  <si>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</si>
  <si>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</si>
  <si>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</si>
  <si>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</si>
  <si>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</si>
  <si>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</si>
  <si>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</si>
  <si>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</si>
  <si>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</si>
  <si>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</si>
  <si>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</si>
  <si>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</si>
  <si>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</si>
  <si>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</si>
  <si>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</si>
  <si>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</si>
  <si>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</si>
  <si>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</si>
  <si>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</si>
  <si>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</si>
  <si>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</si>
  <si>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</si>
  <si>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</si>
  <si>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</si>
  <si>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</si>
  <si>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</si>
  <si>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</si>
  <si>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</si>
  <si>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</si>
  <si>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</si>
  <si>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</si>
  <si>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</si>
  <si>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</si>
  <si>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</si>
  <si>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</si>
  <si>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</si>
  <si>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</si>
  <si>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</si>
  <si>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</si>
  <si>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</si>
  <si>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</si>
  <si>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</si>
  <si>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</si>
  <si>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</si>
  <si>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</si>
  <si>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Rainbow Ms/Sm</t>
  </si>
  <si>
    <t xml:space="preserve">Address:Shadra </t>
  </si>
  <si>
    <t xml:space="preserve">Address:Gujranwala </t>
  </si>
  <si>
    <t xml:space="preserve">Address:Shakhupura </t>
  </si>
  <si>
    <t xml:space="preserve">Address:Wapda Town </t>
  </si>
  <si>
    <t>Address:Deffence Road</t>
  </si>
  <si>
    <t>Address:EME</t>
  </si>
  <si>
    <t xml:space="preserve">Address:Behria Town </t>
  </si>
  <si>
    <t xml:space="preserve">Address:Faisal Town </t>
  </si>
  <si>
    <t>Address:Barki Road</t>
  </si>
  <si>
    <t>Shahzad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</si>
</sst>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498</v>
      </c>
      <c r="F2" s="346"/>
      <c r="G2" s="346"/>
      <c r="H2" s="343" t="s">
        <v>517</v>
      </c>
      <c r="I2" s="343"/>
      <c r="J2" s="344"/>
      <c r="R2" s="340" t="s">
        <v>497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499</v>
      </c>
      <c r="F3" s="350"/>
      <c r="G3" s="350"/>
      <c r="H3" s="347">
        <f>+'1'!N4:N4</f>
        <v>46230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Rainbow Ms/Sm</v>
      </c>
      <c r="T3" s="301">
        <f>+'1'!P35</f>
        <v>30926.059211440672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Ms/Sm</v>
      </c>
      <c r="T4" s="301">
        <f>+'2'!P35</f>
        <v>16943.531558262712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Ms/Sm</v>
      </c>
      <c r="T5" s="301">
        <f>+'3'!P35</f>
        <v>33229.135948728814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Ms/Sm</v>
      </c>
      <c r="T6" s="301">
        <f>+'4'!P35</f>
        <v>5099.5159379237284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360</v>
      </c>
      <c r="I7" s="235">
        <f>(G7*D7)*F7+H7*F7</f>
        <v>18886.5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2644.11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661.02750000000003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15581.362499999999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3569.4915254237267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95.754270127118659</v>
      </c>
      <c r="P7" s="118">
        <f>M7+N7+O7</f>
        <v>19246.608295550846</v>
      </c>
      <c r="Q7" s="142"/>
      <c r="R7" s="299">
        <v>5</v>
      </c>
      <c r="S7" s="300" t="str">
        <f>+'5'!A6:A6</f>
        <v>Rainbow Ms/Sm</v>
      </c>
      <c r="T7" s="301">
        <f>+'5'!P35</f>
        <v>2138.512032838983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360</v>
      </c>
      <c r="I8" s="236">
        <f t="shared" ref="I8:I14" si="0">(G8*D8)*F8+H8*F8</f>
        <v>18886.5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2644.11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661.02750000000003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15581.362499999999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3569.4915254237271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95.754270127118659</v>
      </c>
      <c r="P8" s="119">
        <f t="shared" ref="P8:P15" si="2">M8+N8+O8</f>
        <v>19246.608295550846</v>
      </c>
      <c r="R8" s="299">
        <v>6</v>
      </c>
      <c r="S8" s="300" t="str">
        <f>+'6'!A6:A6</f>
        <v>Rainbow Ms/Sm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Ms/Sm</v>
      </c>
      <c r="T9" s="301">
        <f>+'7'!P35</f>
        <v>16121.039686016951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Rainbow Ms/Sm</v>
      </c>
      <c r="T10" s="301">
        <f>+'8'!P35</f>
        <v>11021.523748093221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4067.8400000000006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23971.199999999997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5491.5254237288145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147.31362711864404</v>
      </c>
      <c r="P11" s="119">
        <f t="shared" si="2"/>
        <v>29610.039050847456</v>
      </c>
      <c r="R11" s="299">
        <v>9</v>
      </c>
      <c r="S11" s="300" t="str">
        <f>+'9'!A6:A6</f>
        <v>Rainbow Ms/Sm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117.85090169491524</v>
      </c>
      <c r="P12" s="119">
        <f t="shared" si="2"/>
        <v>23688.031240677963</v>
      </c>
      <c r="R12" s="299">
        <v>10</v>
      </c>
      <c r="S12" s="300" t="str">
        <f>+'10'!A6:A6</f>
        <v>Rainbow Ms/Sm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Ms/Sm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Ms/Sm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Ms/Sm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1760</v>
      </c>
      <c r="I16" s="114">
        <f t="shared" si="3"/>
        <v>113318.6</v>
      </c>
      <c r="J16" s="274">
        <f>SUM(J7:J15)</f>
        <v>15864.604000000001</v>
      </c>
      <c r="K16" s="275">
        <f t="shared" si="3"/>
        <v>3966.1510000000003</v>
      </c>
      <c r="L16" s="276">
        <f t="shared" si="3"/>
        <v>0</v>
      </c>
      <c r="M16" s="232">
        <f t="shared" si="3"/>
        <v>93487.845000000001</v>
      </c>
      <c r="N16" s="233">
        <f>SUM(N7:N15)</f>
        <v>21416.949152542369</v>
      </c>
      <c r="O16" s="101">
        <f>SUM(O7:O15)</f>
        <v>574.52397076271188</v>
      </c>
      <c r="P16" s="234">
        <f>SUM(P7:P15)</f>
        <v>115479.31812330507</v>
      </c>
      <c r="R16" s="299">
        <v>14</v>
      </c>
      <c r="S16" s="300" t="str">
        <f>+'14'!A6:A6</f>
        <v>Rainbow Ms/Sm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Ms/Sm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Ms/Sm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113318.6</v>
      </c>
      <c r="R19" s="299">
        <v>17</v>
      </c>
      <c r="S19" s="300" t="str">
        <f>+'17'!A6:A6</f>
        <v>Rainbow Ms/Sm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15864.604000000001</v>
      </c>
      <c r="R20" s="299">
        <v>18</v>
      </c>
      <c r="S20" s="300" t="str">
        <f>+'18'!A6:A6</f>
        <v>Rainbow Ms/Sm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3966.1510000000003</v>
      </c>
      <c r="R21" s="299">
        <v>19</v>
      </c>
      <c r="S21" s="300" t="str">
        <f>+'19'!A6:A6</f>
        <v>Rainbow Ms/Sm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93487.845000000001</v>
      </c>
      <c r="R22" s="299">
        <v>20</v>
      </c>
      <c r="S22" s="300" t="str">
        <f>+'20'!A6:A6</f>
        <v>Rainbow Ms/Sm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21416.949152542369</v>
      </c>
      <c r="R23" s="299">
        <v>21</v>
      </c>
      <c r="S23" s="300" t="str">
        <f>+'21'!A6:A6</f>
        <v>Rainbow Ms/Sm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114904.79415254237</v>
      </c>
      <c r="R24" s="299">
        <v>22</v>
      </c>
      <c r="S24" s="300" t="str">
        <f>+'22'!A6:A6</f>
        <v>Rainbow Ms/Sm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574.52397076271188</v>
      </c>
      <c r="R25" s="299">
        <v>23</v>
      </c>
      <c r="S25" s="300" t="str">
        <f>+'23'!A6:A6</f>
        <v>Rainbow Ms/Sm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115479.31812330509</v>
      </c>
      <c r="R26" s="299">
        <v>24</v>
      </c>
      <c r="S26" s="300" t="str">
        <f>+'24'!A6:A6</f>
        <v>Rainbow Ms/Sm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Rainbow Ms/Sm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Ms/Sm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Ms/Sm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Ms/Sm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Ms/Sm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Ms/Sm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115479.3181233051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7.2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508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R20">
        <f>P20/21</f>
        <v>705.00092978208227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30347.399999999998</v>
      </c>
      <c r="J25" s="274">
        <f>SUM(J16:J24)</f>
        <v>4248.6360000000004</v>
      </c>
      <c r="K25" s="275">
        <f t="shared" si="10"/>
        <v>1062.1590000000001</v>
      </c>
      <c r="L25" s="276">
        <f t="shared" si="10"/>
        <v>0</v>
      </c>
      <c r="M25" s="232">
        <f t="shared" si="10"/>
        <v>25036.604999999996</v>
      </c>
      <c r="N25" s="233">
        <f>SUM(N16:N24)</f>
        <v>5735.593220338983</v>
      </c>
      <c r="O25" s="101">
        <f>SUM(O16:O24)</f>
        <v>153.86099110169491</v>
      </c>
      <c r="P25" s="234">
        <f>SUM(P16:P24)</f>
        <v>30926.059211440675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30347.399999999998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4248.6360000000004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1062.1590000000001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25036.604999999996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5735.593220338983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30772.198220338978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153.86099110169491</v>
      </c>
    </row>
    <row r="35" spans="2:16" ht="15.75" customHeight="1" thickBot="1" x14ac:dyDescent="0.4">
      <c r="N35" s="334" t="s">
        <v>88</v>
      </c>
      <c r="O35" s="335"/>
      <c r="P35" s="297">
        <f>+P33+P34</f>
        <v>30926.059211440672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240</v>
      </c>
      <c r="I25" s="114">
        <f t="shared" si="7"/>
        <v>16626.5</v>
      </c>
      <c r="J25" s="274">
        <f>SUM(J16:J24)</f>
        <v>2327.7100000000005</v>
      </c>
      <c r="K25" s="275">
        <f t="shared" si="7"/>
        <v>581.92750000000012</v>
      </c>
      <c r="L25" s="276">
        <f t="shared" si="7"/>
        <v>0</v>
      </c>
      <c r="M25" s="232">
        <f t="shared" si="7"/>
        <v>13716.862499999999</v>
      </c>
      <c r="N25" s="233">
        <f>SUM(N16:N24)</f>
        <v>3142.3728813559323</v>
      </c>
      <c r="O25" s="101">
        <f>SUM(O16:O24)</f>
        <v>84.29617690677965</v>
      </c>
      <c r="P25" s="234">
        <f>SUM(P16:P24)</f>
        <v>16943.531558262708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16626.5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2327.7100000000005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581.92750000000012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13716.862499999999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3142.3728813559323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16859.235381355931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84.296176906779664</v>
      </c>
    </row>
    <row r="35" spans="2:16" ht="15.75" customHeight="1" thickBot="1" x14ac:dyDescent="0.4">
      <c r="N35" s="334" t="s">
        <v>88</v>
      </c>
      <c r="O35" s="335"/>
      <c r="P35" s="297">
        <f>+P33+P34</f>
        <v>16943.531558262712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8.7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510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119">
        <f t="shared" ref="P17:P24" si="5">M17+N17+O17</f>
        <v>10692.560164194916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560</v>
      </c>
      <c r="I25" s="114">
        <f t="shared" si="7"/>
        <v>32607.399999999998</v>
      </c>
      <c r="J25" s="274">
        <f>SUM(J16:J24)</f>
        <v>4565.0360000000001</v>
      </c>
      <c r="K25" s="275">
        <f t="shared" si="7"/>
        <v>1141.259</v>
      </c>
      <c r="L25" s="276">
        <f t="shared" si="7"/>
        <v>0</v>
      </c>
      <c r="M25" s="232">
        <f t="shared" si="7"/>
        <v>26901.105</v>
      </c>
      <c r="N25" s="233">
        <f>SUM(N16:N24)</f>
        <v>6162.7118644067787</v>
      </c>
      <c r="O25" s="101">
        <f>SUM(O16:O24)</f>
        <v>165.31908432203392</v>
      </c>
      <c r="P25" s="234">
        <f>SUM(P16:P24)</f>
        <v>33229.135948728814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32607.399999999998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4565.0360000000001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1141.259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26901.104999999996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6162.7118644067787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33063.816864406777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165.31908432203389</v>
      </c>
    </row>
    <row r="35" spans="2:16" ht="15.75" customHeight="1" thickBot="1" x14ac:dyDescent="0.4">
      <c r="N35" s="334" t="s">
        <v>88</v>
      </c>
      <c r="O35" s="335"/>
      <c r="P35" s="297">
        <f>+P33+P34</f>
        <v>33229.135948728814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511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700.57400000000007</v>
      </c>
      <c r="K25" s="275">
        <f t="shared" si="7"/>
        <v>175.14350000000002</v>
      </c>
      <c r="L25" s="276">
        <f t="shared" si="7"/>
        <v>0</v>
      </c>
      <c r="M25" s="232">
        <f t="shared" si="7"/>
        <v>4128.3824999999997</v>
      </c>
      <c r="N25" s="233">
        <f>SUM(N16:N24)</f>
        <v>945.76271186440658</v>
      </c>
      <c r="O25" s="101">
        <f>SUM(O16:O24)</f>
        <v>25.370726059322031</v>
      </c>
      <c r="P25" s="234">
        <f>SUM(P16:P24)</f>
        <v>5099.5159379237284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700.57400000000007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4128.3824999999997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5074.1452118644065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25.370726059322035</v>
      </c>
    </row>
    <row r="35" spans="2:16" ht="15.75" customHeight="1" thickBot="1" x14ac:dyDescent="0.4">
      <c r="N35" s="334" t="s">
        <v>88</v>
      </c>
      <c r="O35" s="335"/>
      <c r="P35" s="297">
        <f>+P33+P34</f>
        <v>5099.5159379237284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293.79000000000002</v>
      </c>
      <c r="K25" s="275">
        <f t="shared" si="7"/>
        <v>73.447500000000005</v>
      </c>
      <c r="L25" s="276">
        <f t="shared" si="7"/>
        <v>0</v>
      </c>
      <c r="M25" s="232">
        <f t="shared" si="7"/>
        <v>1731.2625</v>
      </c>
      <c r="N25" s="233">
        <f>SUM(N16:N24)</f>
        <v>396.61016949152526</v>
      </c>
      <c r="O25" s="101">
        <f>SUM(O16:O24)</f>
        <v>10.639363347457627</v>
      </c>
      <c r="P25" s="234">
        <f>SUM(P16:P24)</f>
        <v>2138.512032838983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2098.5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293.79000000000002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73.447500000000005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1731.2625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2127.8726694915254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10.639363347457627</v>
      </c>
    </row>
    <row r="35" spans="2:16" ht="15.75" customHeight="1" thickBot="1" x14ac:dyDescent="0.4">
      <c r="N35" s="334" t="s">
        <v>88</v>
      </c>
      <c r="O35" s="335"/>
      <c r="P35" s="297">
        <f>+P33+P34</f>
        <v>2138.512032838983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3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2214.7160000000003</v>
      </c>
      <c r="K25" s="275">
        <f t="shared" si="7"/>
        <v>553.67900000000009</v>
      </c>
      <c r="L25" s="276">
        <f t="shared" si="7"/>
        <v>0</v>
      </c>
      <c r="M25" s="232">
        <f t="shared" si="7"/>
        <v>13051.004999999999</v>
      </c>
      <c r="N25" s="233">
        <f>SUM(N16:N24)</f>
        <v>2989.8305084745762</v>
      </c>
      <c r="O25" s="101">
        <f>SUM(O16:O24)</f>
        <v>80.204177542372875</v>
      </c>
      <c r="P25" s="234">
        <f>SUM(P16:P24)</f>
        <v>16121.039686016948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15819.400000000001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2214.7160000000003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553.67900000000009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13051.005000000001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16040.835508474578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80.204177542372889</v>
      </c>
    </row>
    <row r="35" spans="2:16" ht="15.75" customHeight="1" thickBot="1" x14ac:dyDescent="0.4">
      <c r="N35" s="334" t="s">
        <v>88</v>
      </c>
      <c r="O35" s="335"/>
      <c r="P35" s="297">
        <f>+P33+P34</f>
        <v>16121.039686016951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v>46230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46229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1514.1420000000003</v>
      </c>
      <c r="K25" s="275">
        <f t="shared" si="7"/>
        <v>378.53550000000007</v>
      </c>
      <c r="L25" s="276">
        <f t="shared" si="7"/>
        <v>0</v>
      </c>
      <c r="M25" s="232">
        <f t="shared" si="7"/>
        <v>8922.6224999999995</v>
      </c>
      <c r="N25" s="233">
        <f>SUM(N16:N24)</f>
        <v>2044.0677966101694</v>
      </c>
      <c r="O25" s="101">
        <f>SUM(O16:O24)</f>
        <v>54.833451483050844</v>
      </c>
      <c r="P25" s="234">
        <f>SUM(P16:P24)</f>
        <v>11021.523748093219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10815.300000000001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1514.1420000000003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378.53550000000007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8922.6225000000013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10966.69029661017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54.833451483050851</v>
      </c>
    </row>
    <row r="35" spans="2:16" ht="15.75" customHeight="1" thickBot="1" x14ac:dyDescent="0.4">
      <c r="N35" s="334" t="s">
        <v>88</v>
      </c>
      <c r="O35" s="335"/>
      <c r="P35" s="297">
        <f>+P33+P34</f>
        <v>11021.523748093221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501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500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507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506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2026-07-27T04:39:00Z</dcterms:modified>
</cp:coreProperties>
</file>