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F7C5471-3051-45FF-B5EB-E920ED2FF2D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I18" i="33"/>
  <c r="F18" i="33"/>
  <c r="E18" i="33"/>
  <c r="D18" i="33"/>
  <c r="C18" i="33"/>
  <c r="B18" i="33"/>
  <c r="I17" i="33"/>
  <c r="F17" i="33"/>
  <c r="E17" i="33"/>
  <c r="D17" i="33"/>
  <c r="C17" i="33"/>
  <c r="B17" i="33"/>
  <c r="L16" i="33"/>
  <c r="I16" i="33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3" l="1"/>
  <c r="P28" i="33" s="1"/>
  <c r="L17" i="33"/>
  <c r="L18" i="33"/>
  <c r="I25" i="35"/>
  <c r="P28" i="35" s="1"/>
  <c r="L16" i="35"/>
  <c r="M17" i="35"/>
  <c r="L17" i="35"/>
  <c r="L18" i="35"/>
  <c r="M18" i="35" s="1"/>
  <c r="M19" i="35"/>
  <c r="L19" i="35"/>
  <c r="L20" i="35"/>
  <c r="L21" i="35"/>
  <c r="M21" i="35" s="1"/>
  <c r="L22" i="35"/>
  <c r="M22" i="35"/>
  <c r="K23" i="35"/>
  <c r="L23" i="35"/>
  <c r="M23" i="35"/>
  <c r="K24" i="35"/>
  <c r="M24" i="35" s="1"/>
  <c r="L24" i="35"/>
  <c r="I25" i="34"/>
  <c r="P28" i="34" s="1"/>
  <c r="L16" i="34"/>
  <c r="M16" i="34"/>
  <c r="M17" i="34"/>
  <c r="L17" i="34"/>
  <c r="L18" i="34"/>
  <c r="M19" i="34"/>
  <c r="L19" i="34"/>
  <c r="L20" i="34"/>
  <c r="M20" i="34" s="1"/>
  <c r="L21" i="34"/>
  <c r="M21" i="34"/>
  <c r="M22" i="34"/>
  <c r="L22" i="34"/>
  <c r="K23" i="34"/>
  <c r="M23" i="34"/>
  <c r="L23" i="34"/>
  <c r="K24" i="34"/>
  <c r="L24" i="34"/>
  <c r="M24" i="34" s="1"/>
  <c r="M21" i="33"/>
  <c r="L21" i="33"/>
  <c r="L22" i="33"/>
  <c r="M22" i="33"/>
  <c r="L19" i="33"/>
  <c r="K23" i="33"/>
  <c r="M23" i="33" s="1"/>
  <c r="L23" i="33"/>
  <c r="L20" i="33"/>
  <c r="M20" i="33" s="1"/>
  <c r="K24" i="33"/>
  <c r="L24" i="33"/>
  <c r="M24" i="33"/>
  <c r="M17" i="33"/>
  <c r="M18" i="33"/>
  <c r="K25" i="33"/>
  <c r="P30" i="33" s="1"/>
  <c r="K24" i="32"/>
  <c r="M24" i="32" s="1"/>
  <c r="L24" i="32"/>
  <c r="I25" i="32"/>
  <c r="P28" i="32" s="1"/>
  <c r="M16" i="32"/>
  <c r="L16" i="32"/>
  <c r="L17" i="32"/>
  <c r="L18" i="32"/>
  <c r="L19" i="32"/>
  <c r="M20" i="32"/>
  <c r="L20" i="32"/>
  <c r="L21" i="32"/>
  <c r="K23" i="32"/>
  <c r="L23" i="32"/>
  <c r="M23" i="32" s="1"/>
  <c r="L22" i="32"/>
  <c r="M22" i="32"/>
  <c r="L17" i="31"/>
  <c r="M17" i="31"/>
  <c r="M19" i="31"/>
  <c r="L19" i="31"/>
  <c r="L21" i="31"/>
  <c r="M22" i="31"/>
  <c r="L22" i="31"/>
  <c r="K24" i="31"/>
  <c r="L24" i="31"/>
  <c r="M24" i="31" s="1"/>
  <c r="I25" i="31"/>
  <c r="P28" i="31" s="1"/>
  <c r="L16" i="31"/>
  <c r="L25" i="31" s="1"/>
  <c r="P29" i="31" s="1"/>
  <c r="L18" i="31"/>
  <c r="M18" i="31" s="1"/>
  <c r="L20" i="31"/>
  <c r="K23" i="31"/>
  <c r="M23" i="31"/>
  <c r="L23" i="31"/>
  <c r="M18" i="30"/>
  <c r="L18" i="30"/>
  <c r="L20" i="30"/>
  <c r="L21" i="30"/>
  <c r="K23" i="30"/>
  <c r="L23" i="30"/>
  <c r="M23" i="30"/>
  <c r="I25" i="30"/>
  <c r="P28" i="30" s="1"/>
  <c r="L16" i="30"/>
  <c r="L25" i="30" s="1"/>
  <c r="P29" i="30" s="1"/>
  <c r="M17" i="30"/>
  <c r="L17" i="30"/>
  <c r="L19" i="30"/>
  <c r="M22" i="30"/>
  <c r="L22" i="30"/>
  <c r="K24" i="30"/>
  <c r="L24" i="30"/>
  <c r="M24" i="30"/>
  <c r="I25" i="29"/>
  <c r="P28" i="29" s="1"/>
  <c r="L16" i="29"/>
  <c r="M16" i="29" s="1"/>
  <c r="L19" i="29"/>
  <c r="M19" i="29" s="1"/>
  <c r="L21" i="29"/>
  <c r="K24" i="29"/>
  <c r="M24" i="29"/>
  <c r="L24" i="29"/>
  <c r="M17" i="29"/>
  <c r="L17" i="29"/>
  <c r="L20" i="29"/>
  <c r="M20" i="29" s="1"/>
  <c r="M22" i="29"/>
  <c r="L22" i="29"/>
  <c r="L18" i="29"/>
  <c r="K23" i="29"/>
  <c r="M23" i="29" s="1"/>
  <c r="L23" i="29"/>
  <c r="I25" i="28"/>
  <c r="P28" i="28" s="1"/>
  <c r="L16" i="28"/>
  <c r="L17" i="28"/>
  <c r="M17" i="28" s="1"/>
  <c r="M18" i="28"/>
  <c r="L18" i="28"/>
  <c r="M19" i="28"/>
  <c r="L19" i="28"/>
  <c r="L20" i="28"/>
  <c r="M21" i="28"/>
  <c r="L21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21" i="29" l="1"/>
  <c r="M21" i="31"/>
  <c r="M20" i="35"/>
  <c r="N20" i="35" s="1"/>
  <c r="O20" i="35" s="1"/>
  <c r="P20" i="35" s="1"/>
  <c r="M20" i="28"/>
  <c r="M18" i="29"/>
  <c r="M19" i="30"/>
  <c r="M16" i="30"/>
  <c r="N16" i="30" s="1"/>
  <c r="M20" i="30"/>
  <c r="N20" i="30" s="1"/>
  <c r="O20" i="30" s="1"/>
  <c r="M21" i="32"/>
  <c r="M19" i="32"/>
  <c r="M17" i="32"/>
  <c r="L25" i="33"/>
  <c r="P29" i="33" s="1"/>
  <c r="P31" i="33" s="1"/>
  <c r="M18" i="34"/>
  <c r="M20" i="31"/>
  <c r="M21" i="30"/>
  <c r="N21" i="30" s="1"/>
  <c r="O21" i="30" s="1"/>
  <c r="M18" i="32"/>
  <c r="N18" i="32" s="1"/>
  <c r="O18" i="32" s="1"/>
  <c r="M19" i="33"/>
  <c r="N24" i="35"/>
  <c r="O24" i="35" s="1"/>
  <c r="P24" i="35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N23" i="32"/>
  <c r="O23" i="32" s="1"/>
  <c r="P23" i="32"/>
  <c r="N24" i="32"/>
  <c r="O24" i="32" s="1"/>
  <c r="P24" i="32"/>
  <c r="N20" i="32"/>
  <c r="O20" i="32" s="1"/>
  <c r="N16" i="32"/>
  <c r="L25" i="32"/>
  <c r="P29" i="32" s="1"/>
  <c r="N22" i="32"/>
  <c r="O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P23" i="31"/>
  <c r="N17" i="31"/>
  <c r="O17" i="31" s="1"/>
  <c r="M16" i="31"/>
  <c r="N19" i="31"/>
  <c r="O19" i="31" s="1"/>
  <c r="K25" i="31"/>
  <c r="P30" i="31" s="1"/>
  <c r="P31" i="31" s="1"/>
  <c r="N22" i="31"/>
  <c r="O22" i="31" s="1"/>
  <c r="N19" i="30"/>
  <c r="O19" i="30" s="1"/>
  <c r="P19" i="30" s="1"/>
  <c r="N17" i="30"/>
  <c r="O17" i="30" s="1"/>
  <c r="N18" i="30"/>
  <c r="O18" i="30" s="1"/>
  <c r="K25" i="30"/>
  <c r="P30" i="30" s="1"/>
  <c r="P31" i="30" s="1"/>
  <c r="N24" i="30"/>
  <c r="O24" i="30" s="1"/>
  <c r="P24" i="30"/>
  <c r="N22" i="30"/>
  <c r="O22" i="30" s="1"/>
  <c r="N23" i="30"/>
  <c r="O23" i="30" s="1"/>
  <c r="N22" i="29"/>
  <c r="O22" i="29" s="1"/>
  <c r="N21" i="29"/>
  <c r="O21" i="29" s="1"/>
  <c r="N23" i="29"/>
  <c r="O23" i="29" s="1"/>
  <c r="N17" i="29"/>
  <c r="O17" i="29" s="1"/>
  <c r="P17" i="29"/>
  <c r="M25" i="29"/>
  <c r="N16" i="29"/>
  <c r="N20" i="29"/>
  <c r="O20" i="29" s="1"/>
  <c r="N18" i="29"/>
  <c r="O18" i="29" s="1"/>
  <c r="N19" i="29"/>
  <c r="O19" i="29" s="1"/>
  <c r="N24" i="29"/>
  <c r="O24" i="29" s="1"/>
  <c r="P24" i="29"/>
  <c r="L25" i="29"/>
  <c r="P29" i="29" s="1"/>
  <c r="K25" i="29"/>
  <c r="P30" i="29" s="1"/>
  <c r="N24" i="28"/>
  <c r="O24" i="28" s="1"/>
  <c r="P24" i="28"/>
  <c r="N22" i="28"/>
  <c r="O22" i="28" s="1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J25" i="15"/>
  <c r="I25" i="27"/>
  <c r="P28" i="27" s="1"/>
  <c r="L16" i="27"/>
  <c r="L17" i="27"/>
  <c r="L20" i="27"/>
  <c r="L21" i="27"/>
  <c r="L22" i="27"/>
  <c r="K23" i="27"/>
  <c r="M23" i="27" s="1"/>
  <c r="L23" i="27"/>
  <c r="K24" i="27"/>
  <c r="L24" i="27"/>
  <c r="L19" i="27"/>
  <c r="L18" i="27"/>
  <c r="L17" i="26"/>
  <c r="L19" i="26"/>
  <c r="L22" i="26"/>
  <c r="K23" i="26"/>
  <c r="L23" i="26"/>
  <c r="L18" i="26"/>
  <c r="L20" i="26"/>
  <c r="L21" i="26"/>
  <c r="K24" i="26"/>
  <c r="L24" i="26"/>
  <c r="M24" i="26" s="1"/>
  <c r="I25" i="26"/>
  <c r="P28" i="26" s="1"/>
  <c r="L16" i="26"/>
  <c r="T23" i="15"/>
  <c r="T22" i="15"/>
  <c r="T21" i="15"/>
  <c r="T20" i="15"/>
  <c r="T19" i="15"/>
  <c r="T18" i="15"/>
  <c r="T17" i="15"/>
  <c r="T16" i="15"/>
  <c r="T15" i="15"/>
  <c r="T14" i="15"/>
  <c r="P22" i="30" l="1"/>
  <c r="P22" i="31"/>
  <c r="P22" i="28"/>
  <c r="P22" i="35"/>
  <c r="P31" i="29"/>
  <c r="P22" i="32"/>
  <c r="P31" i="34"/>
  <c r="M25" i="32"/>
  <c r="P17" i="32"/>
  <c r="P21" i="31"/>
  <c r="N20" i="28"/>
  <c r="O20" i="28" s="1"/>
  <c r="P18" i="29"/>
  <c r="P21" i="29"/>
  <c r="M25" i="30"/>
  <c r="P20" i="31"/>
  <c r="P31" i="28"/>
  <c r="P31" i="32"/>
  <c r="M17" i="26"/>
  <c r="P21" i="30"/>
  <c r="P18" i="30"/>
  <c r="P17" i="31"/>
  <c r="P18" i="31"/>
  <c r="P17" i="33"/>
  <c r="P20" i="34"/>
  <c r="P31" i="35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P20" i="28"/>
  <c r="P16" i="32"/>
  <c r="P25" i="32" s="1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I25" i="25"/>
  <c r="P28" i="25" s="1"/>
  <c r="L16" i="25"/>
  <c r="K24" i="25"/>
  <c r="L24" i="25"/>
  <c r="L22" i="25"/>
  <c r="L17" i="25"/>
  <c r="L19" i="25"/>
  <c r="L23" i="25"/>
  <c r="K23" i="25"/>
  <c r="L17" i="24"/>
  <c r="L23" i="24"/>
  <c r="K23" i="24"/>
  <c r="L23" i="23"/>
  <c r="K23" i="23"/>
  <c r="L16" i="22"/>
  <c r="L18" i="22"/>
  <c r="L20" i="22"/>
  <c r="L22" i="22"/>
  <c r="L17" i="22"/>
  <c r="L19" i="22"/>
  <c r="L21" i="22"/>
  <c r="L23" i="22"/>
  <c r="K24" i="20"/>
  <c r="L24" i="20"/>
  <c r="K23" i="20"/>
  <c r="L20" i="19"/>
  <c r="K24" i="19"/>
  <c r="L24" i="19"/>
  <c r="L22" i="19"/>
  <c r="L19" i="19"/>
  <c r="L21" i="19"/>
  <c r="L23" i="19"/>
  <c r="K23" i="19"/>
  <c r="L21" i="18"/>
  <c r="M22" i="18"/>
  <c r="K24" i="18"/>
  <c r="M24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M16" i="24"/>
  <c r="N16" i="24" s="1"/>
  <c r="K25" i="25"/>
  <c r="P30" i="25" s="1"/>
  <c r="M18" i="18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L24" i="21"/>
  <c r="L17" i="20"/>
  <c r="L16" i="17"/>
  <c r="M16" i="17" s="1"/>
  <c r="M20" i="18"/>
  <c r="N20" i="18" s="1"/>
  <c r="O20" i="18" s="1"/>
  <c r="L17" i="17"/>
  <c r="L19" i="20"/>
  <c r="M16" i="23"/>
  <c r="N16" i="23" s="1"/>
  <c r="L24" i="24"/>
  <c r="L25" i="24" s="1"/>
  <c r="P29" i="24" s="1"/>
  <c r="L18" i="24"/>
  <c r="L22" i="21"/>
  <c r="L18" i="21"/>
  <c r="M16" i="20"/>
  <c r="N16" i="20" s="1"/>
  <c r="K25" i="19"/>
  <c r="P30" i="19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M21" i="24"/>
  <c r="N21" i="24" s="1"/>
  <c r="O21" i="24" s="1"/>
  <c r="K24" i="23"/>
  <c r="M24" i="23" s="1"/>
  <c r="N24" i="23" s="1"/>
  <c r="O24" i="23" s="1"/>
  <c r="K24" i="22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16" i="2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L25" i="25"/>
  <c r="P29" i="25" s="1"/>
  <c r="N24" i="25"/>
  <c r="O24" i="25" s="1"/>
  <c r="M16" i="25"/>
  <c r="N23" i="25"/>
  <c r="O23" i="25" s="1"/>
  <c r="P23" i="25" s="1"/>
  <c r="N20" i="24"/>
  <c r="O20" i="24" s="1"/>
  <c r="N23" i="24"/>
  <c r="O23" i="24" s="1"/>
  <c r="N24" i="24"/>
  <c r="O24" i="24" s="1"/>
  <c r="N18" i="24"/>
  <c r="O18" i="24" s="1"/>
  <c r="K25" i="24"/>
  <c r="P30" i="24" s="1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I23" i="15"/>
  <c r="K22" i="16" l="1"/>
  <c r="K22" i="15" s="1"/>
  <c r="L22" i="16"/>
  <c r="L17" i="16"/>
  <c r="L17" i="15" s="1"/>
  <c r="K17" i="16"/>
  <c r="L19" i="16"/>
  <c r="K19" i="16"/>
  <c r="K19" i="15" s="1"/>
  <c r="K18" i="15"/>
  <c r="L18" i="16"/>
  <c r="M21" i="25"/>
  <c r="N21" i="25" s="1"/>
  <c r="O21" i="25" s="1"/>
  <c r="P21" i="25" s="1"/>
  <c r="L21" i="16"/>
  <c r="L21" i="15" s="1"/>
  <c r="L20" i="16"/>
  <c r="L20" i="15" s="1"/>
  <c r="L16" i="16"/>
  <c r="L16" i="15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P31" i="21" s="1"/>
  <c r="K16" i="15"/>
  <c r="L22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28" i="15" s="1"/>
  <c r="M24" i="16"/>
  <c r="N24" i="16" s="1"/>
  <c r="K23" i="16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M22" i="15" l="1"/>
  <c r="M17" i="15"/>
  <c r="M18" i="15"/>
  <c r="M25" i="20"/>
  <c r="P22" i="20"/>
  <c r="N16" i="18"/>
  <c r="O16" i="18" s="1"/>
  <c r="M21" i="15"/>
  <c r="P31" i="17"/>
  <c r="M25" i="25"/>
  <c r="M16" i="15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P33" i="17" s="1"/>
  <c r="O16" i="16"/>
  <c r="P25" i="23" l="1"/>
  <c r="O18" i="16"/>
  <c r="O18" i="15" s="1"/>
  <c r="P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<sst xmlns="http://schemas.openxmlformats.org/spreadsheetml/2006/main" count="1598" uniqueCount="107">
  <si>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</si>
  <si>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</si>
  <si>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</si>
  <si>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</si>
  <si>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</si>
  <si>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</si>
  <si>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</si>
  <si>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</si>
  <si>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</si>
  <si>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</si>
  <si>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</si>
  <si>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</si>
  <si>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</si>
  <si>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</si>
  <si>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</si>
  <si>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</si>
  <si>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</si>
  <si>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</si>
  <si>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</si>
  <si>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</si>
  <si>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</si>
  <si>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</si>
  <si>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</si>
  <si>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</si>
  <si>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</si>
  <si>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</si>
  <si>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</si>
  <si>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</si>
  <si>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</si>
  <si>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</si>
  <si>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</si>
  <si>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</si>
  <si>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</si>
  <si>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</si>
  <si>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</si>
  <si>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</si>
  <si>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</si>
  <si>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</si>
  <si>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</si>
  <si>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</si>
  <si>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</si>
  <si>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</si>
  <si>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</si>
  <si>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</si>
  <si>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</si>
  <si>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</si>
  <si>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</si>
  <si>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</si>
  <si>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</si>
  <si>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</si>
  <si>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</si>
  <si>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</si>
  <si>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</si>
  <si>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</si>
  <si>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</si>
  <si>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</si>
  <si>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</si>
  <si>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</si>
  <si>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</si>
  <si>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</si>
  <si>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</si>
  <si>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</si>
  <si>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</si>
  <si>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</si>
  <si>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</si>
  <si>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</si>
  <si>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</si>
  <si>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</si>
  <si>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</si>
  <si>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</si>
  <si>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</si>
  <si>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</si>
  <si>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</si>
  <si>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</si>
  <si>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</si>
  <si>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</si>
  <si>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</si>
  <si>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</si>
  <si>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</si>
  <si>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</si>
  <si>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</si>
  <si>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</si>
  <si>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</si>
  <si>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</si>
  <si>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</si>
  <si>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</si>
  <si>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</si>
  <si>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</si>
  <si>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</si>
  <si>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</si>
  <si>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</si>
  <si>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</si>
  <si>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</si>
  <si>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</si>
  <si>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</si>
  <si>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</si>
  <si>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</si>
  <si>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</si>
  <si>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</si>
  <si>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</si>
  <si>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</si>
  <si>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</si>
  <si>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</si>
  <si>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</si>
  <si>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</si>
  <si>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Address: Askari 10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</si>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</sst>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6" sqref="L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7" t="s">
        <v>45</v>
      </c>
      <c r="B2" s="197"/>
      <c r="C2" s="197"/>
    </row>
    <row r="3" spans="1:21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2" t="s">
        <v>103</v>
      </c>
      <c r="B5" s="202"/>
      <c r="C5" s="202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21 16383:16384" ht="15" customHeight="1" x14ac:dyDescent="0.35">
      <c r="A6" s="202"/>
      <c r="B6" s="202"/>
      <c r="C6" s="202"/>
      <c r="F6" s="70"/>
      <c r="G6" s="74"/>
      <c r="K6" s="199" t="s">
        <v>52</v>
      </c>
      <c r="L6" s="199"/>
      <c r="M6" s="199"/>
      <c r="N6" s="201" t="s">
        <v>42</v>
      </c>
      <c r="O6" s="201"/>
      <c r="P6" s="20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21 16383:16384" hidden="1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21 16383:16384" x14ac:dyDescent="0.35">
      <c r="A10" s="204"/>
      <c r="B10" s="75"/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21 16383:16384" ht="15" thickBot="1" x14ac:dyDescent="0.4">
      <c r="A11" s="204"/>
      <c r="B11" s="76"/>
      <c r="C11" s="77"/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21 16383:16384" ht="14.65" customHeight="1" x14ac:dyDescent="0.35">
      <c r="A12" s="204"/>
      <c r="B12" s="76"/>
      <c r="C12" s="77"/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T12" s="213" t="s">
        <v>99</v>
      </c>
      <c r="U12" s="214"/>
      <c r="XFD12" t="s">
        <v>62</v>
      </c>
    </row>
    <row r="13" spans="1:21 16383:16384" ht="15" thickBot="1" x14ac:dyDescent="0.4">
      <c r="A13" s="241"/>
      <c r="J13" s="78"/>
      <c r="K13" s="78"/>
      <c r="L13" s="79">
        <v>0.05</v>
      </c>
      <c r="T13" s="215"/>
      <c r="U13" s="216"/>
      <c r="XFD13" t="s">
        <v>63</v>
      </c>
    </row>
    <row r="14" spans="1:21 16383:16384" ht="29.25" customHeight="1" x14ac:dyDescent="0.6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07" t="s">
        <v>68</v>
      </c>
      <c r="H14" s="208"/>
      <c r="I14" s="208" t="s">
        <v>69</v>
      </c>
      <c r="J14" s="208" t="s">
        <v>70</v>
      </c>
      <c r="K14" s="208"/>
      <c r="L14" s="210"/>
      <c r="M14" s="21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10029.072101099999</v>
      </c>
      <c r="XFD14" t="s">
        <v>75</v>
      </c>
    </row>
    <row r="15" spans="1:21 16383:16384" ht="29.25" customHeight="1" thickBot="1" x14ac:dyDescent="0.65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9"/>
      <c r="J15" s="171" t="s">
        <v>78</v>
      </c>
      <c r="K15" s="171" t="s">
        <v>79</v>
      </c>
      <c r="L15" s="174" t="s">
        <v>80</v>
      </c>
      <c r="M15" s="21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</v>
      </c>
      <c r="I16" s="1">
        <f>(G16*D16)*F16+H16*F16</f>
        <v>2098.5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251.82</v>
      </c>
      <c r="M16" s="106">
        <f>I16-K16-L16</f>
        <v>1773.2325000000001</v>
      </c>
      <c r="N16" s="101">
        <f>+'1'!N16+'2'!N16+'4'!N16+'3'!N16+'5'!N16+'6'!N16+'7'!N16+'8'!N16+'9'!N16+'10'!N16</f>
        <v>319.18185</v>
      </c>
      <c r="O16" s="101">
        <f>+'1'!O16+'2'!O16+'4'!O16+'3'!O16+'5'!O16+'6'!O16+'7'!O16+'8'!O16+'9'!O16+'10'!O16</f>
        <v>10.46207175</v>
      </c>
      <c r="P16" s="105">
        <f t="shared" ref="P16:P24" si="0">M16+N16+O16</f>
        <v>2102.8764217500002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251.82</v>
      </c>
      <c r="M17" s="118">
        <f t="shared" ref="M17:M23" si="2">I17-K17-L17</f>
        <v>1773.2325000000001</v>
      </c>
      <c r="N17" s="101">
        <f>+'1'!N17+'2'!N17+'4'!N17+'3'!N17+'5'!N17+'6'!N17+'7'!N17+'8'!N17+'9'!N17+'10'!N17</f>
        <v>319.18185</v>
      </c>
      <c r="O17" s="101">
        <f>+'1'!O17+'2'!O17+'4'!O17+'3'!O17+'5'!O17+'6'!O17+'7'!O17+'8'!O17+'9'!O17+'10'!O17</f>
        <v>10.46207175</v>
      </c>
      <c r="P17" s="120">
        <f t="shared" si="0"/>
        <v>2102.8764217500002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</v>
      </c>
      <c r="I19" s="1">
        <f t="shared" si="1"/>
        <v>2905.6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348.67199999999997</v>
      </c>
      <c r="M19" s="118">
        <f t="shared" si="2"/>
        <v>2455.232</v>
      </c>
      <c r="N19" s="101">
        <f>+'1'!N19+'2'!N19+'4'!N19+'3'!N19+'5'!N19+'6'!N19+'7'!N19+'8'!N19+'9'!N19+'10'!N19</f>
        <v>441.94175999999999</v>
      </c>
      <c r="O19" s="101">
        <f>+'1'!O19+'2'!O19+'4'!O19+'3'!O19+'5'!O19+'6'!O19+'7'!O19+'8'!O19+'9'!O19+'10'!O19</f>
        <v>14.4858688</v>
      </c>
      <c r="P19" s="120">
        <f t="shared" si="0"/>
        <v>2911.6596288000001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0</v>
      </c>
      <c r="I20" s="1">
        <f t="shared" si="1"/>
        <v>0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348.67199999999997</v>
      </c>
      <c r="M21" s="118">
        <f t="shared" si="2"/>
        <v>2455.232</v>
      </c>
      <c r="N21" s="101">
        <f>+'1'!N21+'2'!N21+'4'!N21+'3'!N21+'5'!N21+'6'!N21+'7'!N21+'8'!N21+'9'!N21+'10'!N21</f>
        <v>441.94175999999999</v>
      </c>
      <c r="O21" s="101">
        <f>+'1'!O21+'2'!O21+'4'!O21+'3'!O21+'5'!O21+'6'!O21+'7'!O21+'8'!O21+'9'!O21+'10'!O21</f>
        <v>14.4858688</v>
      </c>
      <c r="P21" s="120">
        <f t="shared" si="0"/>
        <v>2911.6596288000001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23" t="s">
        <v>84</v>
      </c>
      <c r="B25" s="224"/>
      <c r="C25" s="225"/>
      <c r="D25" s="219"/>
      <c r="E25" s="219"/>
      <c r="F25" s="219"/>
      <c r="G25" s="176">
        <f t="shared" ref="G25:M25" si="3">SUM(G16:G24)</f>
        <v>0</v>
      </c>
      <c r="H25" s="177">
        <f t="shared" si="3"/>
        <v>160</v>
      </c>
      <c r="I25" s="178">
        <f t="shared" si="3"/>
        <v>10008.200000000001</v>
      </c>
      <c r="J25" s="177">
        <f t="shared" si="3"/>
        <v>0</v>
      </c>
      <c r="K25" s="178">
        <f t="shared" si="3"/>
        <v>350.28700000000003</v>
      </c>
      <c r="L25" s="179">
        <f t="shared" si="3"/>
        <v>1200.9839999999999</v>
      </c>
      <c r="M25" s="141">
        <f t="shared" si="3"/>
        <v>8456.9290000000001</v>
      </c>
      <c r="N25" s="142">
        <f>SUM(N16:N24)</f>
        <v>1522.24722</v>
      </c>
      <c r="O25" s="143">
        <f>SUM(O16:O24)</f>
        <v>49.895881099999997</v>
      </c>
      <c r="P25" s="144">
        <f>SUM(P16:P24)</f>
        <v>10029.072101100001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10029.072101099999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10008.200000000001</v>
      </c>
    </row>
    <row r="29" spans="1:21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1200.9839999999999</v>
      </c>
    </row>
    <row r="30" spans="1:21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350.28700000000003</v>
      </c>
    </row>
    <row r="31" spans="1:21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8456.9290000000001</v>
      </c>
    </row>
    <row r="32" spans="1:21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1522.24722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9979.1762199999994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249.47940549999998</v>
      </c>
    </row>
    <row r="35" spans="2:16" ht="15.75" customHeight="1" thickBot="1" x14ac:dyDescent="0.4">
      <c r="N35" s="217" t="s">
        <v>92</v>
      </c>
      <c r="O35" s="218"/>
      <c r="P35" s="160">
        <f>P33+P34</f>
        <v>10228.6556255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3" zoomScale="85" zoomScaleNormal="85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102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180">
        <v>0.12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I16*12%</f>
        <v>251.82</v>
      </c>
      <c r="M16" s="106">
        <f>I16-K16-L16</f>
        <v>1773.2325000000001</v>
      </c>
      <c r="N16" s="106">
        <f t="shared" ref="N16:N24" si="0">(M16*$N$15)+(J16*F16)*$N$15</f>
        <v>319.18185</v>
      </c>
      <c r="O16" s="107">
        <f t="shared" ref="O16:O24" si="1">(N16+M16)*$O$15</f>
        <v>10.46207175</v>
      </c>
      <c r="P16" s="105">
        <f t="shared" ref="P16:P24" si="2">M16+N16+O16</f>
        <v>2102.8764217500002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2" si="5">I17*12%</f>
        <v>251.82</v>
      </c>
      <c r="M17" s="118">
        <f t="shared" ref="M17:M23" si="6">I17-K17-L17</f>
        <v>1773.2325000000001</v>
      </c>
      <c r="N17" s="118">
        <f t="shared" si="0"/>
        <v>319.18185</v>
      </c>
      <c r="O17" s="119">
        <f t="shared" si="1"/>
        <v>10.46207175</v>
      </c>
      <c r="P17" s="120">
        <f t="shared" si="2"/>
        <v>2102.8764217500002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348.67199999999997</v>
      </c>
      <c r="M19" s="118">
        <f t="shared" si="6"/>
        <v>2455.232</v>
      </c>
      <c r="N19" s="118">
        <f t="shared" si="0"/>
        <v>441.94175999999999</v>
      </c>
      <c r="O19" s="119">
        <f t="shared" si="1"/>
        <v>14.4858688</v>
      </c>
      <c r="P19" s="120">
        <f t="shared" si="2"/>
        <v>2911.6596288000001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348.67199999999997</v>
      </c>
      <c r="M21" s="118">
        <f t="shared" si="6"/>
        <v>2455.232</v>
      </c>
      <c r="N21" s="118">
        <f t="shared" si="0"/>
        <v>441.94175999999999</v>
      </c>
      <c r="O21" s="119">
        <f t="shared" si="1"/>
        <v>14.4858688</v>
      </c>
      <c r="P21" s="120">
        <f t="shared" si="2"/>
        <v>2911.6596288000001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I22*8.6%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160</v>
      </c>
      <c r="I25" s="137">
        <f t="shared" si="9"/>
        <v>10008.200000000001</v>
      </c>
      <c r="J25" s="138"/>
      <c r="K25" s="139">
        <f t="shared" si="9"/>
        <v>350.28700000000003</v>
      </c>
      <c r="L25" s="140">
        <f t="shared" si="9"/>
        <v>1200.9839999999999</v>
      </c>
      <c r="M25" s="141">
        <f t="shared" si="9"/>
        <v>8456.9290000000001</v>
      </c>
      <c r="N25" s="142">
        <f>SUM(N16:N24)</f>
        <v>1522.24722</v>
      </c>
      <c r="O25" s="143">
        <f>SUM(O16:O24)</f>
        <v>49.895881099999997</v>
      </c>
      <c r="P25" s="144">
        <f>SUM(P16:P24)</f>
        <v>10029.072101100001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10008.200000000001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1200.9839999999999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350.28700000000003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8456.9290000000001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1522.24722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9979.1762199999994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49.895881099999997</v>
      </c>
    </row>
    <row r="35" spans="2:16" ht="15.75" customHeight="1" thickBot="1" x14ac:dyDescent="0.4">
      <c r="N35" s="217" t="s">
        <v>92</v>
      </c>
      <c r="O35" s="218"/>
      <c r="P35" s="160">
        <f>P33+P34</f>
        <v>10029.072101099999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2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4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3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5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6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7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9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8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9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7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44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46220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104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46219</v>
      </c>
      <c r="O5" s="198"/>
      <c r="P5" s="198"/>
      <c r="R5" s="70"/>
      <c r="S5" s="71"/>
    </row>
    <row r="6" spans="1:19 16383:16384" ht="15" customHeight="1" x14ac:dyDescent="0.35">
      <c r="A6" s="199" t="s">
        <v>105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106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2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3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4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3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3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7" t="s">
        <v>92</v>
      </c>
      <c r="O35" s="218"/>
      <c r="P35" s="160">
        <f>P33+P34</f>
        <v>0</v>
      </c>
    </row>
    <row r="36" spans="2:16" ht="15" thickBot="1" x14ac:dyDescent="0.4">
      <c r="B36" s="161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2026-07-17T04:47:55Z</dcterms:modified>
</cp:coreProperties>
</file>