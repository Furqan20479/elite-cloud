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1469E75-069B-4152-8C29-1C0A3B7BB667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J17" i="17"/>
  <c r="J18" i="17"/>
  <c r="J19" i="17"/>
  <c r="J20" i="17"/>
  <c r="J21" i="17"/>
  <c r="J17" i="19"/>
  <c r="J18" i="19"/>
  <c r="J19" i="19"/>
  <c r="J20" i="19"/>
  <c r="J21" i="19"/>
  <c r="J17" i="18"/>
  <c r="J18" i="18"/>
  <c r="J19" i="18"/>
  <c r="J20" i="18"/>
  <c r="J21" i="18"/>
  <c r="J17" i="20"/>
  <c r="J18" i="20"/>
  <c r="J19" i="20"/>
  <c r="J20" i="20"/>
  <c r="J21" i="20"/>
  <c r="J17" i="21"/>
  <c r="J18" i="21"/>
  <c r="J19" i="21"/>
  <c r="J20" i="21"/>
  <c r="J21" i="21"/>
  <c r="J17" i="22"/>
  <c r="J18" i="22"/>
  <c r="J19" i="22"/>
  <c r="J20" i="22"/>
  <c r="J21" i="22"/>
  <c r="J17" i="23"/>
  <c r="J18" i="23"/>
  <c r="J19" i="23"/>
  <c r="J20" i="23"/>
  <c r="J21" i="23"/>
  <c r="J17" i="24"/>
  <c r="J18" i="24"/>
  <c r="J19" i="24"/>
  <c r="J20" i="24"/>
  <c r="J21" i="24"/>
  <c r="J17" i="25"/>
  <c r="J18" i="25"/>
  <c r="J19" i="25"/>
  <c r="J20" i="25"/>
  <c r="J21" i="25"/>
  <c r="J17" i="26"/>
  <c r="J18" i="26"/>
  <c r="J19" i="26"/>
  <c r="J20" i="26"/>
  <c r="J21" i="26"/>
  <c r="J17" i="27"/>
  <c r="J18" i="27"/>
  <c r="J19" i="27"/>
  <c r="J20" i="27"/>
  <c r="J21" i="27"/>
  <c r="J17" i="28"/>
  <c r="J18" i="28"/>
  <c r="J19" i="28"/>
  <c r="J20" i="28"/>
  <c r="J21" i="28"/>
  <c r="J17" i="29"/>
  <c r="J18" i="29"/>
  <c r="J19" i="29"/>
  <c r="J20" i="29"/>
  <c r="J21" i="29"/>
  <c r="J17" i="30"/>
  <c r="J18" i="30"/>
  <c r="J19" i="30"/>
  <c r="J20" i="30"/>
  <c r="J20" i="15" s="1"/>
  <c r="J21" i="30"/>
  <c r="J17" i="31"/>
  <c r="J18" i="31"/>
  <c r="J19" i="31"/>
  <c r="J20" i="31"/>
  <c r="J21" i="31"/>
  <c r="J17" i="32"/>
  <c r="J18" i="32"/>
  <c r="J19" i="32"/>
  <c r="J20" i="32"/>
  <c r="J21" i="32"/>
  <c r="J17" i="33"/>
  <c r="J18" i="33"/>
  <c r="J19" i="33"/>
  <c r="J20" i="33"/>
  <c r="J21" i="33"/>
  <c r="J17" i="34"/>
  <c r="J18" i="34"/>
  <c r="J19" i="34"/>
  <c r="J20" i="34"/>
  <c r="J21" i="34"/>
  <c r="J17" i="35"/>
  <c r="J18" i="35"/>
  <c r="J19" i="35"/>
  <c r="J20" i="35"/>
  <c r="J21" i="35"/>
  <c r="J19" i="15"/>
  <c r="J21" i="15"/>
  <c r="J16" i="17"/>
  <c r="J16" i="19"/>
  <c r="J16" i="18"/>
  <c r="J16" i="20"/>
  <c r="J16" i="21"/>
  <c r="J16" i="22"/>
  <c r="J16" i="23"/>
  <c r="J16" i="24"/>
  <c r="J16" i="25"/>
  <c r="J16" i="26"/>
  <c r="J16" i="27"/>
  <c r="J16" i="28"/>
  <c r="J16" i="29"/>
  <c r="J16" i="30"/>
  <c r="J16" i="31"/>
  <c r="J16" i="32"/>
  <c r="J16" i="33"/>
  <c r="J16" i="34"/>
  <c r="J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22" i="15"/>
  <c r="J23" i="15"/>
  <c r="J24" i="15"/>
  <c r="J25" i="16" l="1"/>
  <c r="J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34" l="1"/>
  <c r="K18" i="28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K17" i="29"/>
  <c r="K25" i="29" s="1"/>
  <c r="P30" i="29" s="1"/>
  <c r="K21" i="29"/>
  <c r="K20" i="32"/>
  <c r="M20" i="32" s="1"/>
  <c r="N20" i="32" s="1"/>
  <c r="O20" i="32" s="1"/>
  <c r="K16" i="32"/>
  <c r="K19" i="29"/>
  <c r="M19" i="29" s="1"/>
  <c r="N19" i="29" s="1"/>
  <c r="O19" i="29" s="1"/>
  <c r="L19" i="29"/>
  <c r="L25" i="29" s="1"/>
  <c r="P29" i="29" s="1"/>
  <c r="M24" i="34"/>
  <c r="N24" i="34" s="1"/>
  <c r="K20" i="34"/>
  <c r="L20" i="34"/>
  <c r="M20" i="34" s="1"/>
  <c r="N20" i="34" s="1"/>
  <c r="O20" i="34" s="1"/>
  <c r="K19" i="31"/>
  <c r="L19" i="31"/>
  <c r="K17" i="28"/>
  <c r="M17" i="28" s="1"/>
  <c r="N17" i="28" s="1"/>
  <c r="O17" i="28" s="1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L18" i="31"/>
  <c r="K18" i="33"/>
  <c r="L18" i="33"/>
  <c r="L25" i="33" s="1"/>
  <c r="P29" i="33" s="1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28"/>
  <c r="N19" i="28" s="1"/>
  <c r="O19" i="28" s="1"/>
  <c r="M16" i="29"/>
  <c r="M17" i="30"/>
  <c r="N17" i="30" s="1"/>
  <c r="O17" i="30" s="1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1"/>
  <c r="P29" i="31" s="1"/>
  <c r="K25" i="33"/>
  <c r="P30" i="33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4" i="33"/>
  <c r="O24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K16" i="27"/>
  <c r="K20" i="27"/>
  <c r="K21" i="27"/>
  <c r="K22" i="27"/>
  <c r="K23" i="27"/>
  <c r="L23" i="27"/>
  <c r="K24" i="27"/>
  <c r="K19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7" l="1"/>
  <c r="I25" i="27"/>
  <c r="P28" i="27" s="1"/>
  <c r="L25" i="34"/>
  <c r="P29" i="34" s="1"/>
  <c r="M17" i="29"/>
  <c r="N17" i="29" s="1"/>
  <c r="O17" i="29" s="1"/>
  <c r="P17" i="29" s="1"/>
  <c r="K25" i="31"/>
  <c r="P30" i="31" s="1"/>
  <c r="O24" i="34"/>
  <c r="P24" i="34"/>
  <c r="K18" i="26"/>
  <c r="K25" i="26" s="1"/>
  <c r="P30" i="26" s="1"/>
  <c r="L18" i="26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9" i="33"/>
  <c r="P20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8" i="33" l="1"/>
  <c r="M25" i="33"/>
  <c r="N25" i="29"/>
  <c r="P32" i="29" s="1"/>
  <c r="P33" i="29" s="1"/>
  <c r="P34" i="29" s="1"/>
  <c r="P35" i="29" s="1"/>
  <c r="U27" i="15" s="1"/>
  <c r="M25" i="29"/>
  <c r="L25" i="26"/>
  <c r="P29" i="26" s="1"/>
  <c r="M18" i="26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23" i="25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18" i="26" l="1"/>
  <c r="K17" i="25"/>
  <c r="K17" i="23"/>
  <c r="K21" i="19"/>
  <c r="K19" i="18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M20" i="24" s="1"/>
  <c r="N20" i="24" s="1"/>
  <c r="O20" i="24" s="1"/>
  <c r="L20" i="24"/>
  <c r="K19" i="20"/>
  <c r="L19" i="20"/>
  <c r="K18" i="25"/>
  <c r="M18" i="25" s="1"/>
  <c r="N18" i="25" s="1"/>
  <c r="O18" i="25" s="1"/>
  <c r="L18" i="25"/>
  <c r="K16" i="17"/>
  <c r="L16" i="17"/>
  <c r="K21" i="24"/>
  <c r="M21" i="24" s="1"/>
  <c r="N21" i="24" s="1"/>
  <c r="O21" i="24" s="1"/>
  <c r="K18" i="17"/>
  <c r="L18" i="17"/>
  <c r="K21" i="2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M21" i="21" l="1"/>
  <c r="N21" i="21" s="1"/>
  <c r="K25" i="24"/>
  <c r="P30" i="24" s="1"/>
  <c r="K25" i="25"/>
  <c r="P30" i="25" s="1"/>
  <c r="K20" i="15"/>
  <c r="L20" i="16"/>
  <c r="L20" i="15" s="1"/>
  <c r="L21" i="16"/>
  <c r="L21" i="15" s="1"/>
  <c r="L18" i="16"/>
  <c r="L18" i="15" s="1"/>
  <c r="K16" i="15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<sst xmlns="http://schemas.openxmlformats.org/spreadsheetml/2006/main" count="1581" uniqueCount="108">
  <si>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</si>
  <si>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</si>
  <si>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</si>
  <si>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</si>
  <si>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</si>
  <si>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</si>
  <si>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</si>
  <si>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</si>
  <si>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</si>
  <si>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</si>
  <si>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</si>
  <si>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</si>
  <si>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</si>
  <si>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</si>
  <si>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</si>
  <si>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</si>
  <si>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</si>
  <si>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</si>
  <si>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</si>
  <si>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</si>
  <si>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</si>
  <si>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</si>
  <si>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</si>
  <si>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</si>
  <si>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</si>
  <si>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</si>
  <si>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</si>
  <si>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</si>
  <si>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</si>
  <si>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</si>
  <si>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</si>
  <si>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</si>
  <si>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</si>
  <si>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</si>
  <si>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</si>
  <si>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</si>
  <si>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</si>
  <si>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</si>
  <si>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</si>
  <si>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</si>
  <si>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</si>
  <si>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</si>
  <si>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</si>
  <si>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</si>
  <si>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</si>
  <si>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</si>
  <si>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</si>
  <si>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</si>
  <si>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</si>
  <si>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</si>
  <si>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</si>
  <si>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</si>
  <si>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</si>
  <si>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</si>
  <si>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</si>
  <si>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</si>
  <si>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</si>
  <si>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</si>
  <si>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</si>
  <si>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</si>
  <si>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</si>
  <si>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</si>
  <si>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</si>
  <si>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</si>
  <si>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</si>
  <si>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</si>
  <si>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</si>
  <si>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</si>
  <si>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</si>
  <si>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</si>
  <si>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</si>
  <si>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</si>
  <si>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</si>
  <si>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</si>
  <si>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</si>
  <si>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</si>
  <si>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</si>
  <si>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</si>
  <si>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</si>
  <si>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</si>
  <si>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</si>
  <si>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</si>
  <si>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</si>
  <si>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</si>
  <si>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</si>
  <si>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</si>
  <si>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</si>
  <si>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</si>
  <si>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</si>
  <si>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</si>
  <si>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</si>
  <si>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</si>
  <si>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</si>
  <si>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</si>
  <si>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</si>
  <si>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</si>
  <si>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</si>
  <si>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</si>
  <si>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</si>
  <si>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</si>
  <si>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</si>
  <si>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</si>
  <si>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3344916-3</t>
  </si>
  <si>
    <t>Customer Name : Rainbow Cash &amp; Carry</t>
  </si>
  <si>
    <t>Shop Bill Summary (Shahdra (Rainbow)</t>
  </si>
  <si>
    <t>Rainbow Shahdra</t>
  </si>
  <si>
    <t>\</t>
  </si>
  <si>
    <t xml:space="preserve">Address: Shadra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</si>
</sst>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 t="s">
        <v>106</v>
      </c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104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44378.456289749993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587.58000000000004</v>
      </c>
      <c r="M16" s="105">
        <f>I16-K16-L16</f>
        <v>3462.5250000000001</v>
      </c>
      <c r="N16" s="100">
        <f>+'1'!N16+'2'!N16+'4'!N16+'3'!N16+'5'!N16+'6'!N16+'7'!N16+'8'!N16+'9'!N16+'10'!N16</f>
        <v>623.25450000000001</v>
      </c>
      <c r="O16" s="100">
        <f>+'1'!O16+'2'!O16+'4'!O16+'3'!O16+'5'!O16+'6'!O16+'7'!O16+'8'!O16+'9'!O16+'10'!O16</f>
        <v>20.428897500000001</v>
      </c>
      <c r="P16" s="104">
        <f t="shared" ref="P16:P24" si="0">M16+N16+O16</f>
        <v>4106.2083975000005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5193.7875000000004</v>
      </c>
      <c r="N17" s="100">
        <f>+'1'!N17+'2'!N17+'4'!N17+'3'!N17+'5'!N17+'6'!N17+'7'!N17+'8'!N17+'9'!N17+'10'!N17</f>
        <v>934.88175000000001</v>
      </c>
      <c r="O17" s="100">
        <f>+'1'!O17+'2'!O17+'4'!O17+'3'!O17+'5'!O17+'6'!O17+'7'!O17+'8'!O17+'9'!O17+'10'!O17</f>
        <v>30.643346250000004</v>
      </c>
      <c r="P17" s="119">
        <f t="shared" si="0"/>
        <v>6159.3125962500008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160</v>
      </c>
      <c r="I19" s="1">
        <f t="shared" si="1"/>
        <v>11622.4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406.78400000000005</v>
      </c>
      <c r="L19" s="174">
        <f>+'1'!L19+'2'!L19+'4'!L19+'3'!L19+'5'!L19+'6'!L19+'7'!L19+'8'!L19+'9'!L19+'10'!L19</f>
        <v>1627.1360000000002</v>
      </c>
      <c r="M19" s="117">
        <f t="shared" si="2"/>
        <v>9588.48</v>
      </c>
      <c r="N19" s="100">
        <f>+'1'!N19+'2'!N19+'4'!N19+'3'!N19+'5'!N19+'6'!N19+'7'!N19+'8'!N19+'9'!N19+'10'!N19</f>
        <v>1725.9263999999998</v>
      </c>
      <c r="O19" s="100">
        <f>+'1'!O19+'2'!O19+'4'!O19+'3'!O19+'5'!O19+'6'!O19+'7'!O19+'8'!O19+'9'!O19+'10'!O19</f>
        <v>56.572032</v>
      </c>
      <c r="P19" s="119">
        <f t="shared" si="0"/>
        <v>11370.978432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320</v>
      </c>
      <c r="I21" s="1">
        <f t="shared" si="1"/>
        <v>23244.799999999999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813.5680000000001</v>
      </c>
      <c r="L21" s="174">
        <f>+'1'!L21+'2'!L21+'4'!L21+'3'!L21+'5'!L21+'6'!L21+'7'!L21+'8'!L21+'9'!L21+'10'!L21</f>
        <v>3254.2720000000004</v>
      </c>
      <c r="M21" s="117">
        <f t="shared" si="2"/>
        <v>19176.96</v>
      </c>
      <c r="N21" s="100">
        <f>+'1'!N21+'2'!N21+'4'!N21+'3'!N21+'5'!N21+'6'!N21+'7'!N21+'8'!N21+'9'!N21+'10'!N21</f>
        <v>3451.8527999999997</v>
      </c>
      <c r="O21" s="100">
        <f>+'1'!O21+'2'!O21+'4'!O21+'3'!O21+'5'!O21+'6'!O21+'7'!O21+'8'!O21+'9'!O21+'10'!O21</f>
        <v>113.144064</v>
      </c>
      <c r="P21" s="119">
        <f t="shared" si="0"/>
        <v>22741.956864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17</v>
      </c>
      <c r="D25" s="222"/>
      <c r="E25" s="222"/>
      <c r="F25" s="222"/>
      <c r="G25" s="175">
        <f t="shared" ref="G25:M25" si="3">SUM(G16:G24)</f>
        <v>0</v>
      </c>
      <c r="H25" s="176">
        <f t="shared" si="3"/>
        <v>680</v>
      </c>
      <c r="I25" s="177">
        <f t="shared" si="3"/>
        <v>45359.7</v>
      </c>
      <c r="J25" s="176">
        <f t="shared" si="3"/>
        <v>0</v>
      </c>
      <c r="K25" s="177">
        <f t="shared" si="3"/>
        <v>1587.5895</v>
      </c>
      <c r="L25" s="178">
        <f t="shared" si="3"/>
        <v>6350.3580000000002</v>
      </c>
      <c r="M25" s="140">
        <f t="shared" si="3"/>
        <v>37421.752500000002</v>
      </c>
      <c r="N25" s="141">
        <f>SUM(N16:N24)</f>
        <v>6735.9154499999995</v>
      </c>
      <c r="O25" s="142">
        <f>SUM(O16:O24)</f>
        <v>220.78833975000001</v>
      </c>
      <c r="P25" s="143">
        <f>SUM(P16:P24)</f>
        <v>44378.45628975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44378.456289749993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45359.7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6350.3580000000002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1587.5895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37421.752499999995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6735.9154499999995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44157.667949999995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1103.9416987499999</v>
      </c>
    </row>
    <row r="42" spans="1:21" ht="15.75" customHeight="1" thickBot="1" x14ac:dyDescent="0.4">
      <c r="N42" s="220" t="s">
        <v>92</v>
      </c>
      <c r="O42" s="221"/>
      <c r="P42" s="159">
        <f>P40+P41</f>
        <v>45261.609648749996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 t="shared" ref="O16:O24" si="1">(N16+M16)*$O$15</f>
        <v>20.428897500000001</v>
      </c>
      <c r="P16" s="104">
        <f t="shared" ref="P16:P24" si="2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3">(G17*D17)*F17+H17*F17</f>
        <v>6295.5</v>
      </c>
      <c r="J17" s="102"/>
      <c r="K17" s="103">
        <f t="shared" ref="K17:K21" si="4">I17*3.5%</f>
        <v>220.34250000000003</v>
      </c>
      <c r="L17" s="104">
        <f t="shared" ref="L17:L21" si="5">I17*14%</f>
        <v>881.37000000000012</v>
      </c>
      <c r="M17" s="117">
        <f t="shared" ref="M17:M23" si="6">I17-K17-L17</f>
        <v>5193.7875000000004</v>
      </c>
      <c r="N17" s="117">
        <f t="shared" si="0"/>
        <v>934.88175000000001</v>
      </c>
      <c r="O17" s="118">
        <f t="shared" si="1"/>
        <v>30.643346250000004</v>
      </c>
      <c r="P17" s="119">
        <f t="shared" si="2"/>
        <v>6159.3125962500008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3"/>
        <v>11622.4</v>
      </c>
      <c r="J19" s="102"/>
      <c r="K19" s="103">
        <f t="shared" si="4"/>
        <v>406.78400000000005</v>
      </c>
      <c r="L19" s="104">
        <f t="shared" si="5"/>
        <v>1627.1360000000002</v>
      </c>
      <c r="M19" s="117">
        <f t="shared" si="6"/>
        <v>9588.48</v>
      </c>
      <c r="N19" s="117">
        <f t="shared" si="0"/>
        <v>1725.9263999999998</v>
      </c>
      <c r="O19" s="118">
        <f t="shared" si="1"/>
        <v>56.572032</v>
      </c>
      <c r="P19" s="119">
        <f t="shared" si="2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320</v>
      </c>
      <c r="I21" s="115">
        <f t="shared" si="3"/>
        <v>23244.799999999999</v>
      </c>
      <c r="J21" s="102"/>
      <c r="K21" s="103">
        <f t="shared" si="4"/>
        <v>813.5680000000001</v>
      </c>
      <c r="L21" s="104">
        <f t="shared" si="5"/>
        <v>3254.2720000000004</v>
      </c>
      <c r="M21" s="117">
        <f t="shared" si="6"/>
        <v>19176.96</v>
      </c>
      <c r="N21" s="117">
        <f t="shared" si="0"/>
        <v>3451.8527999999997</v>
      </c>
      <c r="O21" s="118">
        <f t="shared" si="1"/>
        <v>113.144064</v>
      </c>
      <c r="P21" s="119">
        <f t="shared" si="2"/>
        <v>22741.956864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680</v>
      </c>
      <c r="I25" s="136">
        <f t="shared" si="9"/>
        <v>45359.7</v>
      </c>
      <c r="J25" s="182">
        <f>SUM(J16:J21)</f>
        <v>0</v>
      </c>
      <c r="K25" s="138">
        <f t="shared" si="9"/>
        <v>1587.5895</v>
      </c>
      <c r="L25" s="139">
        <f t="shared" si="9"/>
        <v>6350.3580000000002</v>
      </c>
      <c r="M25" s="140">
        <f t="shared" si="9"/>
        <v>37421.752500000002</v>
      </c>
      <c r="N25" s="141">
        <f>SUM(N16:N24)</f>
        <v>6735.9154499999995</v>
      </c>
      <c r="O25" s="142">
        <f>SUM(O16:O24)</f>
        <v>220.78833975000001</v>
      </c>
      <c r="P25" s="143">
        <f>SUM(P16:P24)</f>
        <v>44378.45628975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45359.7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6350.3580000000002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1587.5895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37421.752499999995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6735.9154499999995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44157.667949999995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220.78833974999998</v>
      </c>
    </row>
    <row r="35" spans="2:16" ht="15.75" customHeight="1" thickBot="1" x14ac:dyDescent="0.4">
      <c r="N35" s="220" t="s">
        <v>92</v>
      </c>
      <c r="O35" s="221"/>
      <c r="P35" s="159">
        <f>P33+P34</f>
        <v>44378.456289749993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2026-07-17T04:40:38Z</dcterms:modified>
</cp:coreProperties>
</file>