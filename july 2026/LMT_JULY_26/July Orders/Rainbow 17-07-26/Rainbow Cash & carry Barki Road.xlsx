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CB509F2B-6AEC-429A-A3A7-A0529A192370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6" l="1"/>
  <c r="J18" i="16"/>
  <c r="J19" i="16"/>
  <c r="J19" i="15" s="1"/>
  <c r="J20" i="16"/>
  <c r="J25" i="16" s="1"/>
  <c r="J21" i="16"/>
  <c r="J16" i="16"/>
  <c r="J16" i="15" s="1"/>
  <c r="K17" i="35"/>
  <c r="K18" i="35"/>
  <c r="K19" i="35"/>
  <c r="K20" i="35"/>
  <c r="K21" i="35"/>
  <c r="K17" i="34"/>
  <c r="K18" i="34"/>
  <c r="K19" i="34"/>
  <c r="K20" i="34"/>
  <c r="K21" i="34"/>
  <c r="K17" i="33"/>
  <c r="K18" i="33"/>
  <c r="K19" i="33"/>
  <c r="K20" i="33"/>
  <c r="K21" i="33"/>
  <c r="K17" i="32"/>
  <c r="K18" i="32"/>
  <c r="K19" i="32"/>
  <c r="K20" i="32"/>
  <c r="K21" i="32"/>
  <c r="K17" i="31"/>
  <c r="K18" i="31"/>
  <c r="K19" i="31"/>
  <c r="K20" i="31"/>
  <c r="K21" i="31"/>
  <c r="K17" i="30"/>
  <c r="K18" i="30"/>
  <c r="K19" i="30"/>
  <c r="K20" i="30"/>
  <c r="K21" i="30"/>
  <c r="K17" i="29"/>
  <c r="K18" i="29"/>
  <c r="K19" i="29"/>
  <c r="K20" i="29"/>
  <c r="K21" i="29"/>
  <c r="K17" i="28"/>
  <c r="K18" i="28"/>
  <c r="K19" i="28"/>
  <c r="K20" i="28"/>
  <c r="K21" i="28"/>
  <c r="K17" i="27"/>
  <c r="K18" i="27"/>
  <c r="K19" i="27"/>
  <c r="K20" i="27"/>
  <c r="K21" i="27"/>
  <c r="K17" i="26"/>
  <c r="K18" i="26"/>
  <c r="K19" i="26"/>
  <c r="K20" i="26"/>
  <c r="K21" i="26"/>
  <c r="K17" i="25"/>
  <c r="K18" i="25"/>
  <c r="K19" i="25"/>
  <c r="K20" i="25"/>
  <c r="K21" i="25"/>
  <c r="K17" i="24"/>
  <c r="K18" i="24"/>
  <c r="K19" i="24"/>
  <c r="K20" i="24"/>
  <c r="K21" i="24"/>
  <c r="K17" i="23"/>
  <c r="K18" i="23"/>
  <c r="K19" i="23"/>
  <c r="K20" i="23"/>
  <c r="K21" i="23"/>
  <c r="K17" i="22"/>
  <c r="K18" i="22"/>
  <c r="K19" i="22"/>
  <c r="K20" i="22"/>
  <c r="K21" i="22"/>
  <c r="K17" i="21"/>
  <c r="K18" i="21"/>
  <c r="K19" i="21"/>
  <c r="K20" i="21"/>
  <c r="K21" i="21"/>
  <c r="K17" i="20"/>
  <c r="K18" i="20"/>
  <c r="K19" i="20"/>
  <c r="K20" i="20"/>
  <c r="K21" i="20"/>
  <c r="K17" i="18"/>
  <c r="K18" i="18"/>
  <c r="K19" i="18"/>
  <c r="K20" i="18"/>
  <c r="K21" i="18"/>
  <c r="K17" i="19"/>
  <c r="K18" i="19"/>
  <c r="K19" i="19"/>
  <c r="K20" i="19"/>
  <c r="K21" i="19"/>
  <c r="K17" i="17"/>
  <c r="K18" i="17"/>
  <c r="K19" i="17"/>
  <c r="K20" i="17"/>
  <c r="K21" i="17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L17" i="17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17" i="15"/>
  <c r="J18" i="15"/>
  <c r="J21" i="15"/>
  <c r="J22" i="15"/>
  <c r="J23" i="15"/>
  <c r="J24" i="15"/>
  <c r="J20" i="15" l="1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M24" i="34" s="1"/>
  <c r="I16" i="29"/>
  <c r="I17" i="29"/>
  <c r="I18" i="29"/>
  <c r="I19" i="29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M17" i="35"/>
  <c r="M18" i="35"/>
  <c r="K22" i="35"/>
  <c r="L22" i="35"/>
  <c r="M22" i="35"/>
  <c r="K23" i="35"/>
  <c r="L23" i="35"/>
  <c r="M23" i="35" s="1"/>
  <c r="K24" i="35"/>
  <c r="M24" i="35" s="1"/>
  <c r="L24" i="35"/>
  <c r="K22" i="34"/>
  <c r="L22" i="34"/>
  <c r="K23" i="34"/>
  <c r="M23" i="34"/>
  <c r="L23" i="34"/>
  <c r="K24" i="34"/>
  <c r="K22" i="33"/>
  <c r="L22" i="33"/>
  <c r="K23" i="33"/>
  <c r="K24" i="33"/>
  <c r="M24" i="33" s="1"/>
  <c r="L24" i="33"/>
  <c r="M17" i="33"/>
  <c r="M18" i="33"/>
  <c r="K24" i="32"/>
  <c r="M24" i="32" s="1"/>
  <c r="L24" i="32"/>
  <c r="I25" i="32"/>
  <c r="P28" i="32" s="1"/>
  <c r="K23" i="32"/>
  <c r="L23" i="32"/>
  <c r="M23" i="32" s="1"/>
  <c r="K22" i="32"/>
  <c r="L22" i="32"/>
  <c r="K24" i="31"/>
  <c r="L24" i="31"/>
  <c r="M24" i="31" s="1"/>
  <c r="L23" i="31"/>
  <c r="M21" i="30"/>
  <c r="K23" i="30"/>
  <c r="M23" i="30" s="1"/>
  <c r="L23" i="30"/>
  <c r="I25" i="30"/>
  <c r="P28" i="30" s="1"/>
  <c r="K22" i="30"/>
  <c r="L22" i="30"/>
  <c r="K24" i="30"/>
  <c r="M24" i="30" s="1"/>
  <c r="L24" i="30"/>
  <c r="K24" i="29"/>
  <c r="M24" i="29"/>
  <c r="L24" i="29"/>
  <c r="K22" i="29"/>
  <c r="K23" i="29"/>
  <c r="I25" i="28"/>
  <c r="P28" i="28" s="1"/>
  <c r="M17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M19" i="34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I17" i="26"/>
  <c r="I18" i="26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M16" i="34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22" i="27"/>
  <c r="L22" i="27"/>
  <c r="K23" i="27"/>
  <c r="L23" i="27"/>
  <c r="K24" i="27"/>
  <c r="L24" i="27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P31" i="26"/>
  <c r="I16" i="24"/>
  <c r="I17" i="24"/>
  <c r="I18" i="24"/>
  <c r="I19" i="24"/>
  <c r="I20" i="24"/>
  <c r="I21" i="24"/>
  <c r="I22" i="24"/>
  <c r="K22" i="24" s="1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I20" i="20"/>
  <c r="I22" i="20"/>
  <c r="K22" i="20" s="1"/>
  <c r="I24" i="20"/>
  <c r="K24" i="20" s="1"/>
  <c r="I16" i="2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I22" i="17"/>
  <c r="L22" i="17" s="1"/>
  <c r="I23" i="17"/>
  <c r="K23" i="17" s="1"/>
  <c r="I24" i="17"/>
  <c r="K24" i="17" s="1"/>
  <c r="I19" i="18"/>
  <c r="I23" i="18"/>
  <c r="L23" i="18" s="1"/>
  <c r="K24" i="25"/>
  <c r="L22" i="25"/>
  <c r="L23" i="25"/>
  <c r="K23" i="25"/>
  <c r="L23" i="24"/>
  <c r="K23" i="24"/>
  <c r="L23" i="23"/>
  <c r="K23" i="23"/>
  <c r="K22" i="22"/>
  <c r="L22" i="22"/>
  <c r="L24" i="20"/>
  <c r="K23" i="20"/>
  <c r="K24" i="19"/>
  <c r="L24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I25" i="25" l="1"/>
  <c r="P28" i="25" s="1"/>
  <c r="K22" i="18"/>
  <c r="M22" i="18" s="1"/>
  <c r="L22" i="19"/>
  <c r="K23" i="19"/>
  <c r="M23" i="19" s="1"/>
  <c r="N23" i="19" s="1"/>
  <c r="O23" i="19" s="1"/>
  <c r="L23" i="22"/>
  <c r="L25" i="22" s="1"/>
  <c r="P29" i="22" s="1"/>
  <c r="L25" i="25"/>
  <c r="P29" i="25" s="1"/>
  <c r="K25" i="25"/>
  <c r="P30" i="25" s="1"/>
  <c r="M18" i="18"/>
  <c r="N18" i="18" s="1"/>
  <c r="O18" i="18" s="1"/>
  <c r="M21" i="20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M19" i="24"/>
  <c r="N19" i="24" s="1"/>
  <c r="O19" i="24" s="1"/>
  <c r="P19" i="24" s="1"/>
  <c r="L24" i="21"/>
  <c r="M17" i="20"/>
  <c r="N17" i="20" s="1"/>
  <c r="O17" i="20" s="1"/>
  <c r="M20" i="18"/>
  <c r="N20" i="18" s="1"/>
  <c r="O20" i="18" s="1"/>
  <c r="M17" i="17"/>
  <c r="N17" i="17" s="1"/>
  <c r="O17" i="17" s="1"/>
  <c r="M19" i="20"/>
  <c r="N19" i="20" s="1"/>
  <c r="O19" i="20" s="1"/>
  <c r="M16" i="23"/>
  <c r="N16" i="23" s="1"/>
  <c r="L24" i="24"/>
  <c r="L22" i="21"/>
  <c r="M22" i="21" s="1"/>
  <c r="N22" i="21" s="1"/>
  <c r="O22" i="21" s="1"/>
  <c r="M18" i="21"/>
  <c r="N18" i="21" s="1"/>
  <c r="O18" i="21" s="1"/>
  <c r="M16" i="20"/>
  <c r="N16" i="20" s="1"/>
  <c r="K22" i="17"/>
  <c r="M22" i="17" s="1"/>
  <c r="N22" i="17" s="1"/>
  <c r="O22" i="17" s="1"/>
  <c r="M19" i="21"/>
  <c r="N19" i="21" s="1"/>
  <c r="O19" i="21" s="1"/>
  <c r="M17" i="21"/>
  <c r="N17" i="21" s="1"/>
  <c r="O17" i="21" s="1"/>
  <c r="P17" i="21" s="1"/>
  <c r="M18" i="23"/>
  <c r="N18" i="23" s="1"/>
  <c r="O18" i="23" s="1"/>
  <c r="M19" i="17"/>
  <c r="N19" i="17" s="1"/>
  <c r="O19" i="17" s="1"/>
  <c r="P19" i="17" s="1"/>
  <c r="M20" i="17"/>
  <c r="N20" i="17" s="1"/>
  <c r="O20" i="17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M16" i="17"/>
  <c r="I23" i="15"/>
  <c r="L17" i="16" l="1"/>
  <c r="L17" i="15" s="1"/>
  <c r="L19" i="16"/>
  <c r="L19" i="15" s="1"/>
  <c r="K19" i="15"/>
  <c r="L20" i="16"/>
  <c r="L20" i="15" s="1"/>
  <c r="L21" i="16"/>
  <c r="L21" i="15" s="1"/>
  <c r="K18" i="15"/>
  <c r="L18" i="16"/>
  <c r="L18" i="15" s="1"/>
  <c r="K16" i="15"/>
  <c r="L16" i="16"/>
  <c r="L16" i="15" s="1"/>
  <c r="K25" i="19"/>
  <c r="P30" i="19" s="1"/>
  <c r="K22" i="15"/>
  <c r="M19" i="18"/>
  <c r="N19" i="18" s="1"/>
  <c r="O19" i="18" s="1"/>
  <c r="L25" i="24"/>
  <c r="P29" i="24" s="1"/>
  <c r="P31" i="24" s="1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5" i="15" s="1"/>
  <c r="M24" i="16"/>
  <c r="N24" i="16" s="1"/>
  <c r="K23" i="16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18" l="1"/>
  <c r="M16" i="16"/>
  <c r="N16" i="16" s="1"/>
  <c r="O16" i="16" s="1"/>
  <c r="M18" i="15"/>
  <c r="M21" i="15"/>
  <c r="M25" i="18"/>
  <c r="M16" i="15"/>
  <c r="P22" i="20"/>
  <c r="M22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N16" i="15" l="1"/>
  <c r="N18" i="15"/>
  <c r="P18" i="15" s="1"/>
  <c r="O22" i="16"/>
  <c r="O22" i="15" s="1"/>
  <c r="P22" i="15" s="1"/>
  <c r="N25" i="18"/>
  <c r="P32" i="18" s="1"/>
  <c r="P33" i="18" s="1"/>
  <c r="P34" i="18" s="1"/>
  <c r="P35" i="18" s="1"/>
  <c r="U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<sst xmlns="http://schemas.openxmlformats.org/spreadsheetml/2006/main" count="1560" uniqueCount="107">
  <si>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</si>
  <si>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</si>
  <si>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</si>
  <si>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</si>
  <si>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</si>
  <si>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</si>
  <si>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</si>
  <si>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</si>
  <si>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</si>
  <si>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</si>
  <si>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</si>
  <si>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</si>
  <si>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</si>
  <si>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</si>
  <si>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</si>
  <si>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</si>
  <si>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</si>
  <si>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</si>
  <si>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</si>
  <si>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</si>
  <si>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</si>
  <si>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</si>
  <si>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</si>
  <si>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</si>
  <si>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</si>
  <si>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</si>
  <si>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</si>
  <si>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</si>
  <si>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</si>
  <si>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</si>
  <si>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</si>
  <si>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</si>
  <si>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</si>
  <si>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</si>
  <si>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</si>
  <si>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</si>
  <si>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</si>
  <si>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</si>
  <si>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</si>
  <si>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</si>
  <si>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</si>
  <si>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</si>
  <si>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</si>
  <si>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</si>
  <si>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</si>
  <si>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</si>
  <si>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</si>
  <si>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</si>
  <si>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</si>
  <si>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</si>
  <si>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</si>
  <si>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</si>
  <si>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</si>
  <si>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</si>
  <si>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</si>
  <si>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</si>
  <si>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</si>
  <si>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</si>
  <si>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</si>
  <si>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</si>
  <si>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</si>
  <si>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</si>
  <si>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</si>
  <si>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</si>
  <si>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</si>
  <si>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</si>
  <si>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</si>
  <si>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</si>
  <si>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</si>
  <si>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</si>
  <si>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</si>
  <si>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</si>
  <si>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</si>
  <si>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</si>
  <si>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</si>
  <si>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</si>
  <si>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</si>
  <si>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</si>
  <si>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</si>
  <si>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</si>
  <si>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</si>
  <si>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</si>
  <si>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</si>
  <si>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</si>
  <si>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</si>
  <si>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</si>
  <si>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</si>
  <si>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</si>
  <si>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</si>
  <si>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</si>
  <si>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</si>
  <si>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</si>
  <si>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</si>
  <si>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</si>
  <si>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</si>
  <si>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</si>
  <si>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</si>
  <si>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</si>
  <si>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</si>
  <si>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</si>
  <si>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</si>
  <si>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</si>
  <si>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</si>
  <si>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</si>
  <si>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3344916-3</t>
  </si>
  <si>
    <t xml:space="preserve">Customer Name : Rainbow Cash &amp; Carry </t>
  </si>
  <si>
    <t>Address: Barki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</si>
</sst>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E1" sqref="E1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E1" sqref="E1"/>
      <selection pane="topRight" activeCell="E1" sqref="E1"/>
      <selection pane="bottomLeft" activeCell="E1" sqref="E1"/>
      <selection pane="bottomRight" activeCell="E1" sqref="E1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10" zoomScale="70" zoomScaleNormal="70" workbookViewId="0">
      <selection activeCell="E1" sqref="E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102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103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Rainbow Cash &amp; Carry </v>
      </c>
      <c r="U14" s="163">
        <f>+'1'!P35</f>
        <v>14948.135232000001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Rainbow Cash &amp; Carry 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+'4'!A5</f>
        <v xml:space="preserve">Customer Name : Rainbow Cash &amp; Carry 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+'3'!A5</f>
        <v xml:space="preserve">Customer Name : Rainbow Cash &amp; Carry 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Rainbow Cash &amp; Carry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0</v>
      </c>
      <c r="I19" s="1">
        <f t="shared" si="1"/>
        <v>0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0</v>
      </c>
      <c r="M19" s="117">
        <f t="shared" si="2"/>
        <v>0</v>
      </c>
      <c r="N19" s="100">
        <f>+'1'!N19+'2'!N19+'4'!N19+'3'!N19+'5'!N19+'6'!N19+'7'!N19+'8'!N19+'9'!N19+'10'!N19</f>
        <v>0</v>
      </c>
      <c r="O19" s="100">
        <f>+'1'!O19+'2'!O19+'4'!O19+'3'!O19+'5'!O19+'6'!O19+'7'!O19+'8'!O19+'9'!O19+'10'!O19</f>
        <v>0</v>
      </c>
      <c r="P19" s="119">
        <f t="shared" si="0"/>
        <v>0</v>
      </c>
      <c r="T19" s="162" t="str">
        <f>+'6'!A5</f>
        <v xml:space="preserve">Customer Name : Rainbow Cash &amp; Carry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 xml:space="preserve">Customer Name : Rainbow Cash &amp; Carry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200</v>
      </c>
      <c r="I21" s="1">
        <f t="shared" si="1"/>
        <v>14528</v>
      </c>
      <c r="J21" s="171">
        <f>+'1'!J21+'2'!J21+'4'!J21+'3'!J21+'5'!J21+'6'!J21+'7'!J21+'8'!J21+'9'!J21+'10'!J21+'11'!J21+'12'!J21+'13'!J21+'14'!J21+'15'!J21+'16'!J21+'17'!J21+'18'!J21</f>
        <v>10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2033.9200000000003</v>
      </c>
      <c r="M21" s="117">
        <f t="shared" si="2"/>
        <v>12494.08</v>
      </c>
      <c r="N21" s="100">
        <f>+'1'!N21+'2'!N21+'4'!N21+'3'!N21+'5'!N21+'6'!N21+'7'!N21+'8'!N21+'9'!N21+'10'!N21</f>
        <v>2379.6864</v>
      </c>
      <c r="O21" s="100">
        <f>+'1'!O21+'2'!O21+'4'!O21+'3'!O21+'5'!O21+'6'!O21+'7'!O21+'8'!O21+'9'!O21+'10'!O21</f>
        <v>74.368831999999998</v>
      </c>
      <c r="P21" s="119">
        <f t="shared" si="0"/>
        <v>14948.135232000001</v>
      </c>
      <c r="T21" s="162" t="str">
        <f>+'8'!A5</f>
        <v xml:space="preserve">Customer Name : Rainbow Cash &amp; Carry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Rainbow Cash &amp; Carry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Rainbow Cash &amp; Carry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Rainbow Cash &amp; Carry 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5</v>
      </c>
      <c r="D25" s="222"/>
      <c r="E25" s="222"/>
      <c r="F25" s="222"/>
      <c r="G25" s="175">
        <f t="shared" ref="G25:M25" si="3">SUM(G16:G24)</f>
        <v>0</v>
      </c>
      <c r="H25" s="176">
        <f t="shared" si="3"/>
        <v>200</v>
      </c>
      <c r="I25" s="177">
        <f t="shared" si="3"/>
        <v>14528</v>
      </c>
      <c r="J25" s="176">
        <f t="shared" si="3"/>
        <v>10</v>
      </c>
      <c r="K25" s="177">
        <f t="shared" si="3"/>
        <v>0</v>
      </c>
      <c r="L25" s="178">
        <f t="shared" si="3"/>
        <v>2033.9200000000003</v>
      </c>
      <c r="M25" s="140">
        <f t="shared" si="3"/>
        <v>12494.08</v>
      </c>
      <c r="N25" s="141">
        <f>SUM(N16:N24)</f>
        <v>2379.6864</v>
      </c>
      <c r="O25" s="142">
        <f>SUM(O16:O24)</f>
        <v>74.368831999999998</v>
      </c>
      <c r="P25" s="143">
        <f>SUM(P16:P24)</f>
        <v>14948.135232000001</v>
      </c>
      <c r="T25" s="162" t="str">
        <f>+'12'!A5</f>
        <v xml:space="preserve">Customer Name : Rainbow Cash &amp; Carry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Rainbow Cash &amp; Carry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Rainbow Cash &amp; Carry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Rainbow Cash &amp; Carry 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 xml:space="preserve">Customer Name : Rainbow Cash &amp; Carry 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 xml:space="preserve">Customer Name : Rainbow Cash &amp; Carry 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 xml:space="preserve">Customer Name : Rainbow Cash &amp; Carry 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14948.135232000001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1">
        <f>I25</f>
        <v>14528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2">
        <f>L25</f>
        <v>2033.9200000000003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3">
        <f>K25</f>
        <v>0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2">
        <f>P35-P36-P37</f>
        <v>12494.08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4" t="s">
        <v>89</v>
      </c>
      <c r="O39" s="155">
        <f>IF(B12="Registered",18%,22%)</f>
        <v>0.22</v>
      </c>
      <c r="P39" s="152">
        <f>N25</f>
        <v>2379.6864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2">
        <f>P38+P39</f>
        <v>14873.7664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6"/>
      <c r="N41" s="157" t="s">
        <v>91</v>
      </c>
      <c r="O41" s="158">
        <f>IF(B11="Filer",0.5%,2.5%)</f>
        <v>2.5000000000000001E-2</v>
      </c>
      <c r="P41" s="152">
        <f>O41*P40</f>
        <v>371.84416000000004</v>
      </c>
    </row>
    <row r="42" spans="1:21" ht="15.75" customHeight="1" thickBot="1" x14ac:dyDescent="0.4">
      <c r="N42" s="220" t="s">
        <v>92</v>
      </c>
      <c r="O42" s="221"/>
      <c r="P42" s="159">
        <f>P40+P41</f>
        <v>15245.610560000001</v>
      </c>
    </row>
    <row r="43" spans="1:21" ht="15" thickBot="1" x14ac:dyDescent="0.4">
      <c r="B43" s="160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L19" sqref="L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02">
        <f t="shared" ref="J17:J21" si="4">H17/20</f>
        <v>0</v>
      </c>
      <c r="K17" s="1">
        <f t="shared" ref="K17:K21" si="5">I17*$K$13</f>
        <v>0</v>
      </c>
      <c r="L17" s="104">
        <f t="shared" ref="L17:L21" si="6">I17*14%</f>
        <v>0</v>
      </c>
      <c r="M17" s="117">
        <f t="shared" ref="M17:M23" si="7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02">
        <f t="shared" si="4"/>
        <v>0</v>
      </c>
      <c r="K18" s="1">
        <f t="shared" si="5"/>
        <v>0</v>
      </c>
      <c r="L18" s="104">
        <f t="shared" si="6"/>
        <v>0</v>
      </c>
      <c r="M18" s="117">
        <f t="shared" si="7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3"/>
        <v>0</v>
      </c>
      <c r="J19" s="102">
        <f t="shared" si="4"/>
        <v>0</v>
      </c>
      <c r="K19" s="1">
        <f t="shared" si="5"/>
        <v>0</v>
      </c>
      <c r="L19" s="104">
        <f t="shared" si="6"/>
        <v>0</v>
      </c>
      <c r="M19" s="117">
        <f t="shared" si="7"/>
        <v>0</v>
      </c>
      <c r="N19" s="117">
        <f t="shared" si="0"/>
        <v>0</v>
      </c>
      <c r="O19" s="118">
        <f t="shared" si="1"/>
        <v>0</v>
      </c>
      <c r="P19" s="119">
        <f t="shared" si="2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3"/>
        <v>0</v>
      </c>
      <c r="J20" s="102">
        <f t="shared" si="4"/>
        <v>0</v>
      </c>
      <c r="K20" s="1">
        <f t="shared" si="5"/>
        <v>0</v>
      </c>
      <c r="L20" s="104">
        <f t="shared" si="6"/>
        <v>0</v>
      </c>
      <c r="M20" s="117">
        <f t="shared" si="7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200</v>
      </c>
      <c r="I21" s="115">
        <f t="shared" si="3"/>
        <v>14528</v>
      </c>
      <c r="J21" s="102">
        <f t="shared" si="4"/>
        <v>10</v>
      </c>
      <c r="K21" s="1">
        <f t="shared" si="5"/>
        <v>0</v>
      </c>
      <c r="L21" s="104">
        <f t="shared" si="6"/>
        <v>2033.9200000000003</v>
      </c>
      <c r="M21" s="117">
        <f t="shared" si="7"/>
        <v>12494.08</v>
      </c>
      <c r="N21" s="117">
        <f t="shared" si="0"/>
        <v>2379.6864</v>
      </c>
      <c r="O21" s="118">
        <f t="shared" si="1"/>
        <v>74.368831999999998</v>
      </c>
      <c r="P21" s="119">
        <f t="shared" si="2"/>
        <v>14948.135232000001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7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7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10">SUM(G16:G24)</f>
        <v>0</v>
      </c>
      <c r="H25" s="135">
        <f t="shared" si="10"/>
        <v>200</v>
      </c>
      <c r="I25" s="136">
        <f t="shared" si="10"/>
        <v>14528</v>
      </c>
      <c r="J25" s="182">
        <f>SUM(J16:J21)</f>
        <v>10</v>
      </c>
      <c r="K25" s="138">
        <f t="shared" si="10"/>
        <v>0</v>
      </c>
      <c r="L25" s="139">
        <f t="shared" si="10"/>
        <v>2033.9200000000003</v>
      </c>
      <c r="M25" s="140">
        <f t="shared" si="10"/>
        <v>12494.08</v>
      </c>
      <c r="N25" s="141">
        <f>SUM(N16:N24)</f>
        <v>2379.6864</v>
      </c>
      <c r="O25" s="142">
        <f>SUM(O16:O24)</f>
        <v>74.368831999999998</v>
      </c>
      <c r="P25" s="143">
        <f>SUM(P16:P24)</f>
        <v>14948.135232000001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14528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2033.9200000000003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12494.08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2379.6864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14873.7664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74.368831999999998</v>
      </c>
    </row>
    <row r="35" spans="2:16" ht="15.75" customHeight="1" thickBot="1" x14ac:dyDescent="0.4">
      <c r="N35" s="220" t="s">
        <v>92</v>
      </c>
      <c r="O35" s="221"/>
      <c r="P35" s="159">
        <f>P33+P34</f>
        <v>14948.135232000001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79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2026-07-17T04:16:36Z</dcterms:modified>
</cp:coreProperties>
</file>