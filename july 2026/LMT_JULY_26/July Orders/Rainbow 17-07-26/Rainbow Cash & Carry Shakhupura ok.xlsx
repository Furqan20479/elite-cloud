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72995CB-AA14-4D6F-9B1A-B0F194F8C80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K22" i="17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1" i="33" l="1"/>
  <c r="K21" i="33"/>
  <c r="L16" i="35"/>
  <c r="K16" i="35"/>
  <c r="L17" i="35"/>
  <c r="K17" i="35"/>
  <c r="L18" i="35"/>
  <c r="K18" i="35"/>
  <c r="M18" i="35" s="1"/>
  <c r="L19" i="35"/>
  <c r="K19" i="35"/>
  <c r="L20" i="35"/>
  <c r="K20" i="35"/>
  <c r="L21" i="35"/>
  <c r="K21" i="35"/>
  <c r="L17" i="33"/>
  <c r="I16" i="28"/>
  <c r="I17" i="28"/>
  <c r="I18" i="28"/>
  <c r="I19" i="28"/>
  <c r="I20" i="28"/>
  <c r="I21" i="28"/>
  <c r="I22" i="28"/>
  <c r="I23" i="28"/>
  <c r="L23" i="28" s="1"/>
  <c r="I24" i="28"/>
  <c r="I22" i="32"/>
  <c r="I18" i="33"/>
  <c r="K18" i="33" s="1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K18" i="31" s="1"/>
  <c r="I19" i="31"/>
  <c r="K19" i="31" s="1"/>
  <c r="I20" i="31"/>
  <c r="I21" i="31"/>
  <c r="I22" i="31"/>
  <c r="I23" i="31"/>
  <c r="K23" i="31" s="1"/>
  <c r="I24" i="31"/>
  <c r="I23" i="32"/>
  <c r="L23" i="32" s="1"/>
  <c r="M23" i="32" s="1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K24" i="32" s="1"/>
  <c r="M24" i="32" s="1"/>
  <c r="I19" i="33"/>
  <c r="I23" i="33"/>
  <c r="L23" i="33" s="1"/>
  <c r="I25" i="35"/>
  <c r="P28" i="35" s="1"/>
  <c r="M17" i="35"/>
  <c r="M22" i="35"/>
  <c r="L22" i="35"/>
  <c r="K23" i="35"/>
  <c r="L23" i="35"/>
  <c r="M23" i="35" s="1"/>
  <c r="K24" i="35"/>
  <c r="L24" i="35"/>
  <c r="K23" i="34"/>
  <c r="M23" i="34" s="1"/>
  <c r="L23" i="34"/>
  <c r="L22" i="33"/>
  <c r="K23" i="33"/>
  <c r="K24" i="33"/>
  <c r="M24" i="33" s="1"/>
  <c r="L24" i="33"/>
  <c r="M17" i="33"/>
  <c r="L24" i="32"/>
  <c r="K23" i="32"/>
  <c r="K24" i="31"/>
  <c r="L24" i="31"/>
  <c r="L23" i="31"/>
  <c r="L23" i="30"/>
  <c r="L22" i="30"/>
  <c r="K24" i="30"/>
  <c r="L24" i="30"/>
  <c r="K24" i="29"/>
  <c r="M24" i="29"/>
  <c r="L24" i="29"/>
  <c r="K23" i="29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0" i="29" l="1"/>
  <c r="K20" i="29"/>
  <c r="L21" i="34"/>
  <c r="K21" i="34"/>
  <c r="M21" i="34" s="1"/>
  <c r="N21" i="34" s="1"/>
  <c r="O21" i="34" s="1"/>
  <c r="L20" i="31"/>
  <c r="K20" i="31"/>
  <c r="L19" i="32"/>
  <c r="K19" i="32"/>
  <c r="L16" i="30"/>
  <c r="K16" i="30"/>
  <c r="L16" i="28"/>
  <c r="K16" i="28"/>
  <c r="L18" i="32"/>
  <c r="K18" i="32"/>
  <c r="L20" i="33"/>
  <c r="K20" i="33"/>
  <c r="L19" i="33"/>
  <c r="K19" i="33"/>
  <c r="M19" i="33" s="1"/>
  <c r="N19" i="33" s="1"/>
  <c r="O19" i="33" s="1"/>
  <c r="L18" i="29"/>
  <c r="K18" i="29"/>
  <c r="M18" i="29" s="1"/>
  <c r="N18" i="29" s="1"/>
  <c r="O18" i="29" s="1"/>
  <c r="L19" i="34"/>
  <c r="K19" i="34"/>
  <c r="M19" i="34" s="1"/>
  <c r="N19" i="34" s="1"/>
  <c r="O19" i="34" s="1"/>
  <c r="L21" i="32"/>
  <c r="K21" i="32"/>
  <c r="M21" i="32" s="1"/>
  <c r="N21" i="32" s="1"/>
  <c r="O21" i="32" s="1"/>
  <c r="L17" i="32"/>
  <c r="K17" i="32"/>
  <c r="L18" i="30"/>
  <c r="K18" i="30"/>
  <c r="M18" i="30" s="1"/>
  <c r="N18" i="30" s="1"/>
  <c r="O18" i="30" s="1"/>
  <c r="P18" i="30" s="1"/>
  <c r="L18" i="28"/>
  <c r="K18" i="28"/>
  <c r="L16" i="29"/>
  <c r="K16" i="29"/>
  <c r="L17" i="34"/>
  <c r="K17" i="34"/>
  <c r="L16" i="31"/>
  <c r="K16" i="31"/>
  <c r="L20" i="30"/>
  <c r="K20" i="30"/>
  <c r="L20" i="28"/>
  <c r="K20" i="28"/>
  <c r="M20" i="28" s="1"/>
  <c r="N20" i="28" s="1"/>
  <c r="O20" i="28" s="1"/>
  <c r="P20" i="28" s="1"/>
  <c r="L16" i="34"/>
  <c r="K16" i="34"/>
  <c r="M16" i="34" s="1"/>
  <c r="N16" i="34" s="1"/>
  <c r="L16" i="33"/>
  <c r="K16" i="33"/>
  <c r="L19" i="30"/>
  <c r="K19" i="30"/>
  <c r="M19" i="30" s="1"/>
  <c r="N19" i="30" s="1"/>
  <c r="O19" i="30" s="1"/>
  <c r="P19" i="30" s="1"/>
  <c r="L19" i="28"/>
  <c r="K19" i="28"/>
  <c r="M19" i="28" s="1"/>
  <c r="N19" i="28" s="1"/>
  <c r="O19" i="28" s="1"/>
  <c r="L21" i="29"/>
  <c r="K21" i="29"/>
  <c r="L17" i="29"/>
  <c r="K17" i="29"/>
  <c r="M17" i="29" s="1"/>
  <c r="N17" i="29" s="1"/>
  <c r="O17" i="29" s="1"/>
  <c r="P17" i="29" s="1"/>
  <c r="L18" i="34"/>
  <c r="K18" i="34"/>
  <c r="L21" i="31"/>
  <c r="K21" i="31"/>
  <c r="M21" i="31" s="1"/>
  <c r="N21" i="31" s="1"/>
  <c r="O21" i="31" s="1"/>
  <c r="L17" i="31"/>
  <c r="K17" i="31"/>
  <c r="L20" i="32"/>
  <c r="K20" i="32"/>
  <c r="M20" i="32" s="1"/>
  <c r="N20" i="32" s="1"/>
  <c r="O20" i="32" s="1"/>
  <c r="L16" i="32"/>
  <c r="K16" i="32"/>
  <c r="M16" i="32" s="1"/>
  <c r="N16" i="32" s="1"/>
  <c r="L21" i="30"/>
  <c r="K21" i="30"/>
  <c r="M21" i="30" s="1"/>
  <c r="N21" i="30" s="1"/>
  <c r="O21" i="30" s="1"/>
  <c r="L17" i="30"/>
  <c r="K17" i="30"/>
  <c r="L21" i="28"/>
  <c r="K21" i="28"/>
  <c r="M21" i="28" s="1"/>
  <c r="N21" i="28" s="1"/>
  <c r="O21" i="28" s="1"/>
  <c r="L17" i="28"/>
  <c r="K17" i="28"/>
  <c r="M17" i="28" s="1"/>
  <c r="N17" i="28" s="1"/>
  <c r="O17" i="28" s="1"/>
  <c r="I25" i="28"/>
  <c r="P28" i="28" s="1"/>
  <c r="M24" i="30"/>
  <c r="M24" i="31"/>
  <c r="P24" i="31" s="1"/>
  <c r="L22" i="32"/>
  <c r="K24" i="34"/>
  <c r="L22" i="34"/>
  <c r="I16" i="27"/>
  <c r="I17" i="27"/>
  <c r="I18" i="27"/>
  <c r="I19" i="27"/>
  <c r="I20" i="27"/>
  <c r="I22" i="27"/>
  <c r="L22" i="27" s="1"/>
  <c r="I23" i="27"/>
  <c r="I24" i="27"/>
  <c r="L24" i="27" s="1"/>
  <c r="L19" i="29"/>
  <c r="L25" i="29" s="1"/>
  <c r="P29" i="29" s="1"/>
  <c r="M24" i="34"/>
  <c r="N24" i="34" s="1"/>
  <c r="L20" i="34"/>
  <c r="M20" i="34" s="1"/>
  <c r="N20" i="34" s="1"/>
  <c r="O20" i="34" s="1"/>
  <c r="L19" i="31"/>
  <c r="M19" i="31" s="1"/>
  <c r="N19" i="31" s="1"/>
  <c r="O19" i="31" s="1"/>
  <c r="I25" i="30"/>
  <c r="P28" i="30" s="1"/>
  <c r="I25" i="32"/>
  <c r="P28" i="32" s="1"/>
  <c r="M24" i="35"/>
  <c r="L18" i="31"/>
  <c r="L18" i="33"/>
  <c r="M22" i="33"/>
  <c r="N22" i="33" s="1"/>
  <c r="O22" i="33" s="1"/>
  <c r="L22" i="31"/>
  <c r="M22" i="31" s="1"/>
  <c r="N22" i="31" s="1"/>
  <c r="O22" i="31" s="1"/>
  <c r="P22" i="31" s="1"/>
  <c r="M21" i="35"/>
  <c r="N21" i="35" s="1"/>
  <c r="O21" i="35" s="1"/>
  <c r="I25" i="34"/>
  <c r="P28" i="34" s="1"/>
  <c r="M17" i="31"/>
  <c r="N17" i="31" s="1"/>
  <c r="O17" i="31" s="1"/>
  <c r="M22" i="29"/>
  <c r="M23" i="33"/>
  <c r="N23" i="33" s="1"/>
  <c r="O23" i="33" s="1"/>
  <c r="I16" i="26"/>
  <c r="K16" i="26" s="1"/>
  <c r="I17" i="26"/>
  <c r="I18" i="26"/>
  <c r="K18" i="26" s="1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7" i="30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2" i="34"/>
  <c r="N22" i="34" s="1"/>
  <c r="O22" i="34" s="1"/>
  <c r="L25" i="33"/>
  <c r="P29" i="33" s="1"/>
  <c r="L25" i="31"/>
  <c r="P29" i="31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3" i="34"/>
  <c r="O23" i="34" s="1"/>
  <c r="P23" i="34" s="1"/>
  <c r="N24" i="33"/>
  <c r="O24" i="33" s="1"/>
  <c r="N21" i="33"/>
  <c r="O21" i="33" s="1"/>
  <c r="N17" i="33"/>
  <c r="O17" i="33" s="1"/>
  <c r="N23" i="32"/>
  <c r="O23" i="32" s="1"/>
  <c r="N24" i="32"/>
  <c r="O24" i="32" s="1"/>
  <c r="P24" i="32" s="1"/>
  <c r="N24" i="31"/>
  <c r="O24" i="31" s="1"/>
  <c r="N23" i="31"/>
  <c r="O23" i="31" s="1"/>
  <c r="N17" i="30"/>
  <c r="O17" i="30" s="1"/>
  <c r="N24" i="30"/>
  <c r="O24" i="30" s="1"/>
  <c r="P24" i="30" s="1"/>
  <c r="N23" i="30"/>
  <c r="O23" i="30" s="1"/>
  <c r="N22" i="29"/>
  <c r="O22" i="29" s="1"/>
  <c r="N20" i="29"/>
  <c r="O20" i="29" s="1"/>
  <c r="N24" i="29"/>
  <c r="O24" i="29" s="1"/>
  <c r="P24" i="29" s="1"/>
  <c r="N24" i="28"/>
  <c r="O24" i="28" s="1"/>
  <c r="P24" i="28" s="1"/>
  <c r="N23" i="28"/>
  <c r="O23" i="28" s="1"/>
  <c r="P23" i="28" s="1"/>
  <c r="L25" i="28"/>
  <c r="P29" i="28" s="1"/>
  <c r="M16" i="28"/>
  <c r="J25" i="15"/>
  <c r="K23" i="27"/>
  <c r="L23" i="27"/>
  <c r="K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1" l="1"/>
  <c r="P30" i="31" s="1"/>
  <c r="K25" i="33"/>
  <c r="P30" i="33" s="1"/>
  <c r="K25" i="28"/>
  <c r="P30" i="28" s="1"/>
  <c r="K25" i="29"/>
  <c r="P30" i="29" s="1"/>
  <c r="P31" i="29" s="1"/>
  <c r="L25" i="30"/>
  <c r="P29" i="30" s="1"/>
  <c r="K25" i="32"/>
  <c r="P30" i="32" s="1"/>
  <c r="L25" i="32"/>
  <c r="P29" i="32" s="1"/>
  <c r="P31" i="32" s="1"/>
  <c r="M16" i="29"/>
  <c r="N16" i="29" s="1"/>
  <c r="L21" i="26"/>
  <c r="K21" i="26"/>
  <c r="M21" i="26" s="1"/>
  <c r="N21" i="26" s="1"/>
  <c r="O21" i="26" s="1"/>
  <c r="L20" i="27"/>
  <c r="K20" i="27"/>
  <c r="L25" i="34"/>
  <c r="P29" i="34" s="1"/>
  <c r="M19" i="29"/>
  <c r="N19" i="29" s="1"/>
  <c r="O19" i="29" s="1"/>
  <c r="L20" i="26"/>
  <c r="M20" i="26" s="1"/>
  <c r="N20" i="26" s="1"/>
  <c r="O20" i="26" s="1"/>
  <c r="K20" i="26"/>
  <c r="L19" i="27"/>
  <c r="K19" i="27"/>
  <c r="L17" i="27"/>
  <c r="M17" i="27" s="1"/>
  <c r="N17" i="27" s="1"/>
  <c r="O17" i="27" s="1"/>
  <c r="K17" i="27"/>
  <c r="I25" i="27"/>
  <c r="P28" i="27" s="1"/>
  <c r="M16" i="31"/>
  <c r="M16" i="33"/>
  <c r="L21" i="27"/>
  <c r="M21" i="27" s="1"/>
  <c r="N21" i="27" s="1"/>
  <c r="K21" i="27"/>
  <c r="L17" i="26"/>
  <c r="K17" i="26"/>
  <c r="K25" i="26" s="1"/>
  <c r="P30" i="26" s="1"/>
  <c r="L16" i="27"/>
  <c r="K16" i="27"/>
  <c r="K25" i="30"/>
  <c r="P30" i="30" s="1"/>
  <c r="L19" i="26"/>
  <c r="M19" i="26" s="1"/>
  <c r="N19" i="26" s="1"/>
  <c r="O19" i="26" s="1"/>
  <c r="K19" i="26"/>
  <c r="L18" i="27"/>
  <c r="K18" i="27"/>
  <c r="K25" i="27" s="1"/>
  <c r="P30" i="27" s="1"/>
  <c r="O24" i="34"/>
  <c r="P24" i="34"/>
  <c r="L18" i="26"/>
  <c r="M18" i="33"/>
  <c r="N18" i="33" s="1"/>
  <c r="O18" i="33" s="1"/>
  <c r="M16" i="26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18" i="31"/>
  <c r="P31" i="35"/>
  <c r="P21" i="30"/>
  <c r="M25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P31" i="34"/>
  <c r="P31" i="30"/>
  <c r="P33" i="30" s="1"/>
  <c r="P34" i="30" s="1"/>
  <c r="P35" i="30" s="1"/>
  <c r="U28" i="15" s="1"/>
  <c r="M19" i="27"/>
  <c r="N19" i="27" s="1"/>
  <c r="O19" i="27" s="1"/>
  <c r="P19" i="29"/>
  <c r="N25" i="29"/>
  <c r="P32" i="29" s="1"/>
  <c r="P33" i="29" s="1"/>
  <c r="P34" i="29" s="1"/>
  <c r="P35" i="29" s="1"/>
  <c r="U27" i="15" s="1"/>
  <c r="L16" i="22"/>
  <c r="K16" i="22"/>
  <c r="L17" i="22"/>
  <c r="K17" i="22"/>
  <c r="L18" i="22"/>
  <c r="K18" i="22"/>
  <c r="L19" i="22"/>
  <c r="K19" i="22"/>
  <c r="L20" i="22"/>
  <c r="K20" i="22"/>
  <c r="L21" i="22"/>
  <c r="K21" i="22"/>
  <c r="P33" i="32"/>
  <c r="P18" i="33"/>
  <c r="M25" i="33"/>
  <c r="L25" i="26"/>
  <c r="P29" i="26" s="1"/>
  <c r="P31" i="26" s="1"/>
  <c r="M18" i="26"/>
  <c r="N18" i="26" s="1"/>
  <c r="O18" i="26" s="1"/>
  <c r="I16" i="25"/>
  <c r="I17" i="25"/>
  <c r="I18" i="25"/>
  <c r="K18" i="25" s="1"/>
  <c r="I19" i="25"/>
  <c r="I20" i="25"/>
  <c r="I22" i="25"/>
  <c r="I23" i="25"/>
  <c r="L23" i="25" s="1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4" i="25"/>
  <c r="L22" i="25"/>
  <c r="K23" i="25"/>
  <c r="K23" i="24"/>
  <c r="L23" i="23"/>
  <c r="K23" i="23"/>
  <c r="L22" i="22"/>
  <c r="L24" i="20"/>
  <c r="K23" i="20"/>
  <c r="K24" i="19"/>
  <c r="L24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9" i="27" l="1"/>
  <c r="L18" i="18"/>
  <c r="K18" i="18"/>
  <c r="L21" i="18"/>
  <c r="K21" i="18"/>
  <c r="L16" i="21"/>
  <c r="K16" i="21"/>
  <c r="M16" i="21" s="1"/>
  <c r="N16" i="21" s="1"/>
  <c r="L20" i="23"/>
  <c r="K20" i="23"/>
  <c r="M20" i="23" s="1"/>
  <c r="N20" i="23" s="1"/>
  <c r="O20" i="23" s="1"/>
  <c r="L17" i="18"/>
  <c r="K17" i="18"/>
  <c r="L16" i="19"/>
  <c r="K16" i="19"/>
  <c r="L19" i="24"/>
  <c r="M19" i="24" s="1"/>
  <c r="N19" i="24" s="1"/>
  <c r="O19" i="24" s="1"/>
  <c r="P19" i="24" s="1"/>
  <c r="K19" i="24"/>
  <c r="L21" i="20"/>
  <c r="K21" i="20"/>
  <c r="L20" i="18"/>
  <c r="K20" i="18"/>
  <c r="L19" i="19"/>
  <c r="K19" i="19"/>
  <c r="M19" i="19" s="1"/>
  <c r="N19" i="19" s="1"/>
  <c r="O19" i="19" s="1"/>
  <c r="L19" i="25"/>
  <c r="M19" i="25" s="1"/>
  <c r="N19" i="25" s="1"/>
  <c r="O19" i="25" s="1"/>
  <c r="K19" i="25"/>
  <c r="L17" i="23"/>
  <c r="K17" i="23"/>
  <c r="M17" i="23" s="1"/>
  <c r="N17" i="23" s="1"/>
  <c r="O17" i="23" s="1"/>
  <c r="L21" i="25"/>
  <c r="K21" i="25"/>
  <c r="L16" i="24"/>
  <c r="K16" i="24"/>
  <c r="M16" i="24" s="1"/>
  <c r="N16" i="24" s="1"/>
  <c r="L20" i="19"/>
  <c r="K20" i="19"/>
  <c r="L16" i="25"/>
  <c r="K16" i="25"/>
  <c r="L16" i="20"/>
  <c r="K16" i="20"/>
  <c r="L18" i="23"/>
  <c r="K18" i="23"/>
  <c r="L16" i="18"/>
  <c r="K16" i="18"/>
  <c r="L20" i="20"/>
  <c r="K20" i="20"/>
  <c r="M20" i="20" s="1"/>
  <c r="N20" i="20" s="1"/>
  <c r="O20" i="20" s="1"/>
  <c r="L17" i="19"/>
  <c r="K17" i="19"/>
  <c r="L20" i="25"/>
  <c r="K20" i="25"/>
  <c r="M20" i="25" s="1"/>
  <c r="N20" i="25" s="1"/>
  <c r="O20" i="25" s="1"/>
  <c r="L21" i="17"/>
  <c r="K21" i="17"/>
  <c r="L16" i="23"/>
  <c r="K16" i="23"/>
  <c r="M16" i="23" s="1"/>
  <c r="N16" i="23" s="1"/>
  <c r="L18" i="19"/>
  <c r="K18" i="19"/>
  <c r="L17" i="21"/>
  <c r="K17" i="21"/>
  <c r="M17" i="21" s="1"/>
  <c r="N17" i="21" s="1"/>
  <c r="O17" i="21" s="1"/>
  <c r="P17" i="21" s="1"/>
  <c r="L21" i="24"/>
  <c r="K21" i="24"/>
  <c r="L17" i="24"/>
  <c r="K17" i="24"/>
  <c r="M17" i="24" s="1"/>
  <c r="N17" i="24" s="1"/>
  <c r="O17" i="24" s="1"/>
  <c r="L21" i="19"/>
  <c r="K21" i="19"/>
  <c r="L17" i="25"/>
  <c r="K17" i="25"/>
  <c r="M17" i="25" s="1"/>
  <c r="N17" i="25" s="1"/>
  <c r="O17" i="25" s="1"/>
  <c r="M25" i="26"/>
  <c r="L19" i="18"/>
  <c r="L20" i="21"/>
  <c r="M20" i="21" s="1"/>
  <c r="N20" i="21" s="1"/>
  <c r="O20" i="21" s="1"/>
  <c r="L18" i="24"/>
  <c r="L17" i="17"/>
  <c r="M17" i="17" s="1"/>
  <c r="N17" i="17" s="1"/>
  <c r="O17" i="17" s="1"/>
  <c r="L19" i="23"/>
  <c r="L19" i="21"/>
  <c r="M19" i="21" s="1"/>
  <c r="N19" i="21" s="1"/>
  <c r="O19" i="21" s="1"/>
  <c r="L20" i="17"/>
  <c r="L18" i="21"/>
  <c r="M18" i="21" s="1"/>
  <c r="N18" i="21" s="1"/>
  <c r="O18" i="21" s="1"/>
  <c r="L17" i="20"/>
  <c r="K24" i="18"/>
  <c r="M24" i="18" s="1"/>
  <c r="L19" i="17"/>
  <c r="L18" i="20"/>
  <c r="M18" i="20" s="1"/>
  <c r="N18" i="20" s="1"/>
  <c r="O18" i="20" s="1"/>
  <c r="L20" i="24"/>
  <c r="L19" i="20"/>
  <c r="M19" i="20" s="1"/>
  <c r="N19" i="20" s="1"/>
  <c r="O19" i="20" s="1"/>
  <c r="L18" i="25"/>
  <c r="L16" i="17"/>
  <c r="M21" i="24"/>
  <c r="N21" i="24" s="1"/>
  <c r="O21" i="24" s="1"/>
  <c r="L18" i="17"/>
  <c r="L21" i="21"/>
  <c r="M21" i="21" s="1"/>
  <c r="N21" i="21" s="1"/>
  <c r="L21" i="23"/>
  <c r="I25" i="25"/>
  <c r="P28" i="25" s="1"/>
  <c r="M22" i="18"/>
  <c r="L22" i="19"/>
  <c r="M22" i="19" s="1"/>
  <c r="N22" i="19" s="1"/>
  <c r="O22" i="19" s="1"/>
  <c r="P22" i="19" s="1"/>
  <c r="K23" i="19"/>
  <c r="M23" i="19" s="1"/>
  <c r="N23" i="19" s="1"/>
  <c r="O23" i="19" s="1"/>
  <c r="L23" i="22"/>
  <c r="L25" i="22" s="1"/>
  <c r="P29" i="22" s="1"/>
  <c r="M18" i="18"/>
  <c r="N18" i="18" s="1"/>
  <c r="O18" i="18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19"/>
  <c r="N17" i="19" s="1"/>
  <c r="O17" i="19" s="1"/>
  <c r="M20" i="18"/>
  <c r="N20" i="18" s="1"/>
  <c r="O20" i="18" s="1"/>
  <c r="L24" i="24"/>
  <c r="L22" i="21"/>
  <c r="M22" i="21" s="1"/>
  <c r="N22" i="21" s="1"/>
  <c r="O22" i="21" s="1"/>
  <c r="M16" i="20"/>
  <c r="N16" i="20" s="1"/>
  <c r="M22" i="17"/>
  <c r="N22" i="17" s="1"/>
  <c r="O22" i="17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22" i="25"/>
  <c r="N22" i="25" s="1"/>
  <c r="O22" i="25" s="1"/>
  <c r="M24" i="24"/>
  <c r="N24" i="24" s="1"/>
  <c r="O24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25" i="18" l="1"/>
  <c r="P29" i="18" s="1"/>
  <c r="M21" i="20"/>
  <c r="N21" i="20" s="1"/>
  <c r="O21" i="20" s="1"/>
  <c r="M21" i="18"/>
  <c r="N21" i="18" s="1"/>
  <c r="O21" i="18" s="1"/>
  <c r="L25" i="25"/>
  <c r="P29" i="25" s="1"/>
  <c r="L17" i="16"/>
  <c r="K17" i="15"/>
  <c r="L19" i="16"/>
  <c r="K19" i="15"/>
  <c r="M18" i="25"/>
  <c r="N18" i="25" s="1"/>
  <c r="O18" i="25" s="1"/>
  <c r="K25" i="24"/>
  <c r="P30" i="24" s="1"/>
  <c r="M19" i="17"/>
  <c r="N19" i="17" s="1"/>
  <c r="O19" i="17" s="1"/>
  <c r="P19" i="17" s="1"/>
  <c r="M17" i="20"/>
  <c r="N17" i="20" s="1"/>
  <c r="O17" i="20" s="1"/>
  <c r="M20" i="17"/>
  <c r="N20" i="17" s="1"/>
  <c r="O20" i="17" s="1"/>
  <c r="M19" i="23"/>
  <c r="N19" i="23" s="1"/>
  <c r="O19" i="23" s="1"/>
  <c r="M18" i="24"/>
  <c r="N18" i="24" s="1"/>
  <c r="O18" i="24" s="1"/>
  <c r="K25" i="25"/>
  <c r="P30" i="25" s="1"/>
  <c r="P31" i="25" s="1"/>
  <c r="L20" i="16"/>
  <c r="L21" i="16"/>
  <c r="L21" i="15" s="1"/>
  <c r="K18" i="15"/>
  <c r="L18" i="16"/>
  <c r="L18" i="15" s="1"/>
  <c r="L16" i="16"/>
  <c r="M16" i="16" s="1"/>
  <c r="N16" i="16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P33" i="24" s="1"/>
  <c r="P34" i="24" s="1"/>
  <c r="P35" i="24" s="1"/>
  <c r="U22" i="15" s="1"/>
  <c r="P19" i="18"/>
  <c r="M25" i="19"/>
  <c r="P17" i="20"/>
  <c r="M25" i="20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O16" i="16"/>
  <c r="P25" i="20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<sst xmlns="http://schemas.openxmlformats.org/spreadsheetml/2006/main" count="1599" uniqueCount="108">
  <si>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</si>
  <si>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</si>
  <si>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</si>
  <si>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</si>
  <si>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</si>
  <si>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</si>
  <si>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</si>
  <si>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</si>
  <si>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</si>
  <si>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</si>
  <si>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</si>
  <si>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</si>
  <si>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</si>
  <si>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</si>
  <si>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</si>
  <si>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</si>
  <si>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</si>
  <si>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</si>
  <si>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</si>
  <si>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</si>
  <si>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</si>
  <si>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</si>
  <si>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</si>
  <si>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</si>
  <si>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</si>
  <si>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</si>
  <si>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</si>
  <si>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</si>
  <si>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</si>
  <si>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</si>
  <si>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</si>
  <si>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</si>
  <si>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</si>
  <si>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</si>
  <si>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</si>
  <si>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</si>
  <si>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</si>
  <si>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</si>
  <si>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</si>
  <si>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</si>
  <si>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</si>
  <si>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</si>
  <si>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</si>
  <si>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</si>
  <si>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</si>
  <si>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</si>
  <si>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</si>
  <si>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</si>
  <si>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</si>
  <si>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</si>
  <si>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</si>
  <si>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</si>
  <si>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</si>
  <si>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</si>
  <si>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</si>
  <si>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</si>
  <si>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</si>
  <si>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</si>
  <si>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</si>
  <si>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</si>
  <si>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</si>
  <si>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</si>
  <si>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</si>
  <si>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</si>
  <si>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</si>
  <si>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</si>
  <si>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</si>
  <si>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</si>
  <si>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</si>
  <si>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</si>
  <si>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</si>
  <si>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</si>
  <si>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</si>
  <si>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</si>
  <si>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</si>
  <si>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</si>
  <si>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</si>
  <si>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</si>
  <si>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</si>
  <si>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</si>
  <si>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</si>
  <si>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</si>
  <si>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</si>
  <si>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</si>
  <si>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</si>
  <si>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</si>
  <si>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</si>
  <si>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</si>
  <si>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</si>
  <si>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</si>
  <si>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</si>
  <si>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</si>
  <si>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</si>
  <si>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</si>
  <si>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</si>
  <si>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</si>
  <si>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</si>
  <si>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</si>
  <si>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</si>
  <si>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</si>
  <si>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</si>
  <si>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</si>
  <si>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</si>
  <si>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</si>
  <si>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</si>
  <si>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</si>
  <si>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Shekhupura</t>
  </si>
  <si>
    <t>Address: Shadra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</si>
</sst>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33481.301238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9"/>
      <c r="J15" s="169" t="s">
        <v>78</v>
      </c>
      <c r="K15" s="169" t="s">
        <v>79</v>
      </c>
      <c r="L15" s="172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-112976.45251199999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+'1'!H16+'2'!H16+'4'!H16+'3'!H16+'5'!H16+'6'!H16+'7'!H16+'8'!H16+'9'!H16+'10'!H16+'11'!H16+'12'!H16+'13'!H16+'14'!H16+'15'!H16+'16'!H16+'17'!H16+'18'!H16</f>
        <v>2880</v>
      </c>
      <c r="I16" s="1">
        <f>(G16*D16)*F16+H16*F16</f>
        <v>151092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264704.79000000004</v>
      </c>
      <c r="L16" s="173">
        <f>+'1'!L16+'2'!L16+'4'!L16+'3'!L16+'5'!L16+'6'!L16+'7'!L16+'8'!L16+'9'!L16+'10'!L16</f>
        <v>11751.6</v>
      </c>
      <c r="M16" s="105">
        <f>I16-K16-L16</f>
        <v>-125364.39000000004</v>
      </c>
      <c r="N16" s="100">
        <f>+'1'!N16+'2'!N16+'4'!N16+'3'!N16+'5'!N16+'6'!N16+'7'!N16+'8'!N16+'9'!N16+'10'!N16</f>
        <v>-39084.982199999999</v>
      </c>
      <c r="O16" s="100">
        <f>+'1'!O16+'2'!O16+'4'!O16+'3'!O16+'5'!O16+'6'!O16+'7'!O16+'8'!O16+'9'!O16+'10'!O16</f>
        <v>-3861.5463810000006</v>
      </c>
      <c r="P16" s="104">
        <f t="shared" ref="P16:P24" si="0">M16+N16+O16</f>
        <v>-168310.91858100003</v>
      </c>
      <c r="Q16" s="107"/>
      <c r="T16" s="162" t="str">
        <f>+'4'!A5</f>
        <v>Customer Name : Rainbow Cash &amp; Carry</v>
      </c>
      <c r="U16" s="163">
        <f>+'4'!P35</f>
        <v>-112976.45251199999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+'1'!H17+'2'!H17+'4'!H17+'3'!H17+'5'!H17+'6'!H17+'7'!H17+'8'!H17+'9'!H17+'10'!H17+'11'!H17+'12'!H17+'13'!H17+'14'!H17+'15'!H17+'16'!H17+'17'!H17+'18'!H17</f>
        <v>2880</v>
      </c>
      <c r="I17" s="1">
        <f t="shared" ref="I17:I23" si="1">(G17*D17)*F17+H17*F17</f>
        <v>151092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264704.79000000004</v>
      </c>
      <c r="L17" s="173">
        <f>+'1'!L17+'2'!L17+'4'!L17+'3'!L17+'5'!L17+'6'!L17+'7'!L17+'8'!L17+'9'!L17+'10'!L17</f>
        <v>11751.6</v>
      </c>
      <c r="M17" s="117">
        <f t="shared" ref="M17:M23" si="2">I17-K17-L17</f>
        <v>-125364.39000000004</v>
      </c>
      <c r="N17" s="100">
        <f>+'1'!N17+'2'!N17+'4'!N17+'3'!N17+'5'!N17+'6'!N17+'7'!N17+'8'!N17+'9'!N17+'10'!N17</f>
        <v>-39084.982199999999</v>
      </c>
      <c r="O17" s="100">
        <f>+'1'!O17+'2'!O17+'4'!O17+'3'!O17+'5'!O17+'6'!O17+'7'!O17+'8'!O17+'9'!O17+'10'!O17</f>
        <v>-3861.5463810000006</v>
      </c>
      <c r="P17" s="119">
        <f t="shared" si="0"/>
        <v>-168310.91858100003</v>
      </c>
      <c r="S17" s="64"/>
      <c r="T17" s="162" t="str">
        <f>+'3'!A5</f>
        <v>Customer Name : Rainbow Cash &amp; Carry</v>
      </c>
      <c r="U17" s="163">
        <f>+'3'!P35</f>
        <v>-112976.45251199999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-112976.45251199999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+'1'!H19+'2'!H19+'4'!H19+'3'!H19+'5'!H19+'6'!H19+'7'!H19+'8'!H19+'9'!H19+'10'!H19+'11'!H19+'12'!H19+'13'!H19+'14'!H19+'15'!H19+'16'!H19+'17'!H19+'18'!H19</f>
        <v>2160</v>
      </c>
      <c r="I19" s="1">
        <f t="shared" si="1"/>
        <v>156902.39999999999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274884.28799999994</v>
      </c>
      <c r="L19" s="173">
        <f>+'1'!L19+'2'!L19+'4'!L19+'3'!L19+'5'!L19+'6'!L19+'7'!L19+'8'!L19+'9'!L19+'10'!L19</f>
        <v>12203.520000000002</v>
      </c>
      <c r="M19" s="117">
        <f t="shared" si="2"/>
        <v>-130185.40799999995</v>
      </c>
      <c r="N19" s="100">
        <f>+'1'!N19+'2'!N19+'4'!N19+'3'!N19+'5'!N19+'6'!N19+'7'!N19+'8'!N19+'9'!N19+'10'!N19</f>
        <v>-40588.035839999997</v>
      </c>
      <c r="O19" s="100">
        <f>+'1'!O19+'2'!O19+'4'!O19+'3'!O19+'5'!O19+'6'!O19+'7'!O19+'8'!O19+'9'!O19+'10'!O19</f>
        <v>-4010.0461632000006</v>
      </c>
      <c r="P19" s="119">
        <f t="shared" si="0"/>
        <v>-174783.49000319996</v>
      </c>
      <c r="T19" s="162" t="str">
        <f>+'6'!A5</f>
        <v>Customer Name : Rainbow Cash &amp; Carry</v>
      </c>
      <c r="U19" s="163">
        <f>+'6'!P35</f>
        <v>-107140.16396159997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-107140.16396159997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+'1'!H21+'2'!H21+'4'!H21+'3'!H21+'5'!H21+'6'!H21+'7'!H21+'8'!H21+'9'!H21+'10'!H21+'11'!H21+'12'!H21+'13'!H21+'14'!H21+'15'!H21+'16'!H21+'17'!H21+'18'!H21</f>
        <v>2160</v>
      </c>
      <c r="I21" s="1">
        <f t="shared" si="1"/>
        <v>156902.39999999999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274884.28799999994</v>
      </c>
      <c r="L21" s="173">
        <f>+'1'!L21+'2'!L21+'4'!L21+'3'!L21+'5'!L21+'6'!L21+'7'!L21+'8'!L21+'9'!L21+'10'!L21</f>
        <v>12203.520000000002</v>
      </c>
      <c r="M21" s="117">
        <f t="shared" si="2"/>
        <v>-130185.40799999995</v>
      </c>
      <c r="N21" s="100">
        <f>+'1'!N21+'2'!N21+'4'!N21+'3'!N21+'5'!N21+'6'!N21+'7'!N21+'8'!N21+'9'!N21+'10'!N21</f>
        <v>-40588.035839999997</v>
      </c>
      <c r="O21" s="100">
        <f>+'1'!O21+'2'!O21+'4'!O21+'3'!O21+'5'!O21+'6'!O21+'7'!O21+'8'!O21+'9'!O21+'10'!O21</f>
        <v>-4010.0461632000006</v>
      </c>
      <c r="P21" s="119">
        <f t="shared" si="0"/>
        <v>-174783.49000319996</v>
      </c>
      <c r="T21" s="162" t="str">
        <f>+'8'!A5</f>
        <v>Customer Name : Rainbow Cash &amp; Carry</v>
      </c>
      <c r="U21" s="163">
        <f>+'8'!P35</f>
        <v>-107140.16396159997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-107140.16396159997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-112976.45251199999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-112976.45251199999</v>
      </c>
    </row>
    <row r="25" spans="1:21 16384:16384" ht="26.5" thickBot="1" x14ac:dyDescent="0.65">
      <c r="A25" s="209" t="s">
        <v>84</v>
      </c>
      <c r="B25" s="210"/>
      <c r="C25" s="211">
        <f>H25/40</f>
        <v>252</v>
      </c>
      <c r="D25" s="205"/>
      <c r="E25" s="205"/>
      <c r="F25" s="205"/>
      <c r="G25" s="174">
        <f t="shared" ref="G25:M25" si="3">SUM(G16:G24)</f>
        <v>0</v>
      </c>
      <c r="H25" s="175">
        <f t="shared" si="3"/>
        <v>10080</v>
      </c>
      <c r="I25" s="176">
        <f t="shared" si="3"/>
        <v>615988.80000000005</v>
      </c>
      <c r="J25" s="175">
        <f t="shared" si="3"/>
        <v>0</v>
      </c>
      <c r="K25" s="176">
        <f t="shared" si="3"/>
        <v>1079178.156</v>
      </c>
      <c r="L25" s="177">
        <f t="shared" si="3"/>
        <v>47910.240000000005</v>
      </c>
      <c r="M25" s="140">
        <f t="shared" si="3"/>
        <v>-511099.59599999996</v>
      </c>
      <c r="N25" s="141">
        <f>SUM(N16:N24)</f>
        <v>-159346.03607999999</v>
      </c>
      <c r="O25" s="142">
        <f>SUM(O16:O24)</f>
        <v>-15743.185088400001</v>
      </c>
      <c r="P25" s="143">
        <f>SUM(P16:P24)</f>
        <v>-686188.81716839992</v>
      </c>
      <c r="T25" s="162" t="str">
        <f>+'12'!A5</f>
        <v>Customer Name : Rainbow Cash &amp; Carry</v>
      </c>
      <c r="U25" s="163">
        <f>+'12'!P35</f>
        <v>-112976.45251199999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-112976.45251199999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-112976.45251199999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0">
        <f>+'15'!P35</f>
        <v>-112976.45251199999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 t="str">
        <f>+'16'!A5</f>
        <v>Customer Name : Rainbow Cash &amp; Carry</v>
      </c>
      <c r="U29" s="180">
        <f>+'16'!P35</f>
        <v>-112976.45251199999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79" t="str">
        <f>+'17'!A5</f>
        <v>Customer Name : Rainbow Cash &amp; Carry</v>
      </c>
      <c r="U30" s="180">
        <f>+'17'!P35</f>
        <v>-112976.45251199999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79" t="str">
        <f>+'18'!A5</f>
        <v>Customer Name : Rainbow Cash &amp; Carry</v>
      </c>
      <c r="U31" s="180">
        <f>+'18'!P35</f>
        <v>-112976.45251199999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79"/>
      <c r="U32" s="180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-1524843.8797283997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2" t="s">
        <v>85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4"/>
      <c r="N35" s="221" t="s">
        <v>86</v>
      </c>
      <c r="O35" s="222"/>
      <c r="P35" s="151">
        <f>I25</f>
        <v>615988.80000000005</v>
      </c>
    </row>
    <row r="36" spans="1:21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N36" s="223" t="s">
        <v>87</v>
      </c>
      <c r="O36" s="224"/>
      <c r="P36" s="152">
        <f>L25</f>
        <v>47910.240000000005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4</v>
      </c>
      <c r="O37" s="224"/>
      <c r="P37" s="153">
        <f>K25</f>
        <v>1079178.156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M38" s="2"/>
      <c r="N38" s="223" t="s">
        <v>88</v>
      </c>
      <c r="O38" s="224"/>
      <c r="P38" s="152">
        <f>P35-P36-P37</f>
        <v>-511099.5959999999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154" t="s">
        <v>89</v>
      </c>
      <c r="O39" s="155">
        <f>IF(B12="Registered",18%,22%)</f>
        <v>0.22</v>
      </c>
      <c r="P39" s="152">
        <f>N25</f>
        <v>-159346.03607999999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225" t="s">
        <v>90</v>
      </c>
      <c r="O40" s="226"/>
      <c r="P40" s="152">
        <f>P38+P39</f>
        <v>-670445.63207999989</v>
      </c>
    </row>
    <row r="41" spans="1:21" ht="15" customHeight="1" thickBot="1" x14ac:dyDescent="0.4">
      <c r="B41" s="218"/>
      <c r="C41" s="219"/>
      <c r="D41" s="219"/>
      <c r="E41" s="219"/>
      <c r="F41" s="219"/>
      <c r="G41" s="219"/>
      <c r="H41" s="219"/>
      <c r="I41" s="219"/>
      <c r="J41" s="219"/>
      <c r="K41" s="219"/>
      <c r="L41" s="220"/>
      <c r="M41" s="156"/>
      <c r="N41" s="157" t="s">
        <v>91</v>
      </c>
      <c r="O41" s="158">
        <f>IF(B11="Filer",0.5%,2.5%)</f>
        <v>2.5000000000000001E-2</v>
      </c>
      <c r="P41" s="152">
        <f>O41*P40</f>
        <v>-16761.140801999998</v>
      </c>
    </row>
    <row r="42" spans="1:21" ht="15.75" customHeight="1" thickBot="1" x14ac:dyDescent="0.4">
      <c r="N42" s="203" t="s">
        <v>92</v>
      </c>
      <c r="O42" s="204"/>
      <c r="P42" s="159">
        <f>P40+P41</f>
        <v>-687206.77288199984</v>
      </c>
    </row>
    <row r="43" spans="1:21" ht="15" thickBot="1" x14ac:dyDescent="0.4">
      <c r="B43" s="160" t="s">
        <v>93</v>
      </c>
      <c r="C43" s="205"/>
      <c r="D43" s="205"/>
      <c r="E43" s="205"/>
      <c r="F43" s="205"/>
      <c r="G43" s="205"/>
      <c r="H43" s="205"/>
      <c r="I43" s="206"/>
      <c r="J43" s="207"/>
      <c r="K43" s="208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K9" sqref="K9:M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1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I16*14%</f>
        <v>1175.1600000000001</v>
      </c>
      <c r="M16" s="105">
        <f>I16-K16-L16</f>
        <v>6925.05</v>
      </c>
      <c r="N16" s="105">
        <f t="shared" ref="N16:N24" si="0">(M16*$N$15)+(J16*F16)*$N$15</f>
        <v>1246.509</v>
      </c>
      <c r="O16" s="106">
        <f t="shared" ref="O16:O24" si="1">(N16+M16)*$O$15</f>
        <v>40.857795000000003</v>
      </c>
      <c r="P16" s="104">
        <f t="shared" ref="P16:P24" si="2">M16+N16+O16</f>
        <v>8212.416795000001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3">(G17*D17)*F17+H17*F17</f>
        <v>8394</v>
      </c>
      <c r="J17" s="116"/>
      <c r="K17" s="103">
        <f t="shared" ref="K17:K21" si="4">I17*3.5%</f>
        <v>293.79000000000002</v>
      </c>
      <c r="L17" s="104">
        <f t="shared" ref="L17:L21" si="5">I17*14%</f>
        <v>1175.1600000000001</v>
      </c>
      <c r="M17" s="117">
        <f t="shared" ref="M17:M23" si="6">I17-K17-L17</f>
        <v>6925.05</v>
      </c>
      <c r="N17" s="117">
        <f t="shared" si="0"/>
        <v>1246.509</v>
      </c>
      <c r="O17" s="118">
        <f t="shared" si="1"/>
        <v>40.857795000000003</v>
      </c>
      <c r="P17" s="119">
        <f t="shared" si="2"/>
        <v>8212.416795000001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1220.3520000000001</v>
      </c>
      <c r="M19" s="117">
        <f t="shared" si="6"/>
        <v>7191.36</v>
      </c>
      <c r="N19" s="117">
        <f t="shared" si="0"/>
        <v>1294.4448</v>
      </c>
      <c r="O19" s="118">
        <f t="shared" si="1"/>
        <v>42.429023999999998</v>
      </c>
      <c r="P19" s="119">
        <f t="shared" si="2"/>
        <v>8528.233823999999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1220.3520000000001</v>
      </c>
      <c r="M21" s="117">
        <f t="shared" si="6"/>
        <v>7191.36</v>
      </c>
      <c r="N21" s="117">
        <f t="shared" si="0"/>
        <v>1294.4448</v>
      </c>
      <c r="O21" s="118">
        <f t="shared" si="1"/>
        <v>42.429023999999998</v>
      </c>
      <c r="P21" s="119">
        <f t="shared" si="2"/>
        <v>8528.233823999999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ref="K17:K22" si="7">I22*3.5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10">SUM(G16:G24)</f>
        <v>0</v>
      </c>
      <c r="H25" s="135">
        <f t="shared" si="10"/>
        <v>560</v>
      </c>
      <c r="I25" s="136">
        <f t="shared" si="10"/>
        <v>34221.599999999999</v>
      </c>
      <c r="J25" s="181">
        <f>SUM(J16:J21)</f>
        <v>0</v>
      </c>
      <c r="K25" s="138">
        <f t="shared" si="10"/>
        <v>1197.7560000000001</v>
      </c>
      <c r="L25" s="139">
        <f t="shared" si="10"/>
        <v>4791.0240000000003</v>
      </c>
      <c r="M25" s="140">
        <f t="shared" si="10"/>
        <v>28232.82</v>
      </c>
      <c r="N25" s="141">
        <f>SUM(N16:N24)</f>
        <v>5081.9076000000005</v>
      </c>
      <c r="O25" s="142">
        <f>SUM(O16:O24)</f>
        <v>166.57363800000002</v>
      </c>
      <c r="P25" s="143">
        <f>SUM(P16:P24)</f>
        <v>33481.301238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1197.7560000000001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28232.819999999996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5081.9076000000005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33314.727599999998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166.57363799999999</v>
      </c>
    </row>
    <row r="35" spans="2:16" ht="15.75" customHeight="1" thickBot="1" x14ac:dyDescent="0.4">
      <c r="N35" s="203" t="s">
        <v>92</v>
      </c>
      <c r="O35" s="204"/>
      <c r="P35" s="159">
        <f>P33+P34</f>
        <v>33481.301238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-106607.12831999997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03" t="s">
        <v>92</v>
      </c>
      <c r="O35" s="204"/>
      <c r="P35" s="159">
        <f>P33+P34</f>
        <v>-107140.16396159997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-106607.12831999997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03" t="s">
        <v>92</v>
      </c>
      <c r="O35" s="204"/>
      <c r="P35" s="159">
        <f>P33+P34</f>
        <v>-107140.16396159997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-106607.12831999997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03" t="s">
        <v>92</v>
      </c>
      <c r="O35" s="204"/>
      <c r="P35" s="159">
        <f>P33+P34</f>
        <v>-107140.16396159997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-3988.8287999999998</v>
      </c>
      <c r="O16" s="106">
        <f>(N16+M16)*$O$15</f>
        <v>-130.744944</v>
      </c>
      <c r="P16" s="104">
        <f t="shared" ref="P16:P24" si="1">M16+N16+O16</f>
        <v>-26279.733743999997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-3988.8287999999998</v>
      </c>
      <c r="O17" s="118">
        <f t="shared" ref="O17:O24" si="6">(N17+M17)*$O$15</f>
        <v>-130.744944</v>
      </c>
      <c r="P17" s="119">
        <f t="shared" si="1"/>
        <v>-26279.733743999997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-4142.223359999999</v>
      </c>
      <c r="O19" s="118">
        <f t="shared" si="6"/>
        <v>-135.77287679999998</v>
      </c>
      <c r="P19" s="119">
        <f t="shared" si="1"/>
        <v>-27290.348236799997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-4142.223359999999</v>
      </c>
      <c r="O21" s="118">
        <f t="shared" si="6"/>
        <v>-135.77287679999998</v>
      </c>
      <c r="P21" s="119">
        <f t="shared" si="1"/>
        <v>-27290.348236799997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-16262.104319999999</v>
      </c>
      <c r="O25" s="142">
        <f>SUM(O16:O24)</f>
        <v>-533.03564159999996</v>
      </c>
      <c r="P25" s="143">
        <f>SUM(P16:P24)</f>
        <v>-107140.16396159999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-16262.104319999999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-106607.12831999997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-533.03564159999985</v>
      </c>
    </row>
    <row r="35" spans="2:16" ht="15.75" customHeight="1" thickBot="1" x14ac:dyDescent="0.4">
      <c r="N35" s="203" t="s">
        <v>92</v>
      </c>
      <c r="O35" s="204"/>
      <c r="P35" s="159">
        <f>P33+P34</f>
        <v>-107140.16396159997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8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78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</f>
        <v>29379</v>
      </c>
      <c r="L16" s="104">
        <f>I16*14%</f>
        <v>1175.1600000000001</v>
      </c>
      <c r="M16" s="105">
        <f>I16-K16-L16</f>
        <v>-22160.16</v>
      </c>
      <c r="N16" s="105">
        <f t="shared" ref="N16:N24" si="0">(M16*$N$15)+(J16*F16)*$N$15</f>
        <v>-4875.2352000000001</v>
      </c>
      <c r="O16" s="106">
        <f>(N16+M16)*$O$15</f>
        <v>-675.88488000000007</v>
      </c>
      <c r="P16" s="104">
        <f t="shared" ref="P16:P24" si="1">M16+N16+O16</f>
        <v>-27711.28008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2" si="3">I17*3.5</f>
        <v>29379</v>
      </c>
      <c r="L17" s="104">
        <f t="shared" ref="L17:L21" si="4">I17*14%</f>
        <v>1175.1600000000001</v>
      </c>
      <c r="M17" s="117">
        <f t="shared" ref="M17:M23" si="5">I17-K17-L17</f>
        <v>-22160.16</v>
      </c>
      <c r="N17" s="117">
        <f t="shared" si="0"/>
        <v>-4875.2352000000001</v>
      </c>
      <c r="O17" s="118">
        <f t="shared" ref="O17:O24" si="6">(N17+M17)*$O$15</f>
        <v>-675.88488000000007</v>
      </c>
      <c r="P17" s="119">
        <f t="shared" si="1"/>
        <v>-27711.28008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30508.799999999996</v>
      </c>
      <c r="L19" s="104">
        <f t="shared" si="4"/>
        <v>1220.3520000000001</v>
      </c>
      <c r="M19" s="117">
        <f t="shared" si="5"/>
        <v>-23012.351999999995</v>
      </c>
      <c r="N19" s="117">
        <f t="shared" si="0"/>
        <v>-5062.7174399999994</v>
      </c>
      <c r="O19" s="118">
        <f t="shared" si="6"/>
        <v>-701.87673599999994</v>
      </c>
      <c r="P19" s="119">
        <f t="shared" si="1"/>
        <v>-28776.946175999994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30508.799999999996</v>
      </c>
      <c r="L21" s="104">
        <f t="shared" si="4"/>
        <v>1220.3520000000001</v>
      </c>
      <c r="M21" s="117">
        <f t="shared" si="5"/>
        <v>-23012.351999999995</v>
      </c>
      <c r="N21" s="117">
        <f t="shared" si="0"/>
        <v>-5062.7174399999994</v>
      </c>
      <c r="O21" s="118">
        <f t="shared" si="6"/>
        <v>-701.87673599999994</v>
      </c>
      <c r="P21" s="119">
        <f t="shared" si="1"/>
        <v>-28776.946175999994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560</v>
      </c>
      <c r="I25" s="136">
        <f t="shared" si="9"/>
        <v>34221.599999999999</v>
      </c>
      <c r="J25" s="137"/>
      <c r="K25" s="138">
        <f t="shared" si="9"/>
        <v>119775.59999999998</v>
      </c>
      <c r="L25" s="139">
        <f t="shared" si="9"/>
        <v>4791.0240000000003</v>
      </c>
      <c r="M25" s="140">
        <f t="shared" si="9"/>
        <v>-90345.02399999999</v>
      </c>
      <c r="N25" s="141">
        <f>SUM(N16:N24)</f>
        <v>-19875.905279999999</v>
      </c>
      <c r="O25" s="142">
        <f>SUM(O16:O24)</f>
        <v>-2755.5232320000005</v>
      </c>
      <c r="P25" s="143">
        <f>SUM(P16:P24)</f>
        <v>-112976.45251199999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34221.599999999999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4791.0240000000003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119775.59999999998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-90345.023999999976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-19875.905279999999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-110220.92927999998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-2755.5232319999996</v>
      </c>
    </row>
    <row r="35" spans="2:16" ht="15.75" customHeight="1" thickBot="1" x14ac:dyDescent="0.4">
      <c r="N35" s="203" t="s">
        <v>92</v>
      </c>
      <c r="O35" s="204"/>
      <c r="P35" s="159">
        <f>P33+P34</f>
        <v>-112976.45251199999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2026-07-17T04:35:50Z</dcterms:modified>
</cp:coreProperties>
</file>