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705C08E8-18D9-41C9-ACDB-21C378A0D6A5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6" l="1"/>
  <c r="J18" i="16"/>
  <c r="J19" i="16"/>
  <c r="J20" i="16"/>
  <c r="J21" i="16"/>
  <c r="J16" i="16"/>
  <c r="L17" i="17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17" i="15"/>
  <c r="J18" i="15"/>
  <c r="J19" i="15"/>
  <c r="J20" i="15"/>
  <c r="J21" i="15"/>
  <c r="J22" i="15"/>
  <c r="J23" i="15"/>
  <c r="J24" i="15"/>
  <c r="J16" i="15"/>
  <c r="J25" i="16" l="1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0" i="15" s="1"/>
  <c r="L21" i="16"/>
  <c r="L21" i="15" s="1"/>
  <c r="K18" i="16"/>
  <c r="K18" i="15" s="1"/>
  <c r="L18" i="16"/>
  <c r="L18" i="15" s="1"/>
  <c r="K16" i="16"/>
  <c r="K16" i="15" s="1"/>
  <c r="L16" i="16"/>
  <c r="L16" i="15" s="1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<sst xmlns="http://schemas.openxmlformats.org/spreadsheetml/2006/main" count="1560" uniqueCount="108">
  <si>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</si>
  <si>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</si>
  <si>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</si>
  <si>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</si>
  <si>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</si>
  <si>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</si>
  <si>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</si>
  <si>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</si>
  <si>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</si>
  <si>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</si>
  <si>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</si>
  <si>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</si>
  <si>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</si>
  <si>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</si>
  <si>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</si>
  <si>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</si>
  <si>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</si>
  <si>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</si>
  <si>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</si>
  <si>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</si>
  <si>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</si>
  <si>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</si>
  <si>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</si>
  <si>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</si>
  <si>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</si>
  <si>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</si>
  <si>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</si>
  <si>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</si>
  <si>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</si>
  <si>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</si>
  <si>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</si>
  <si>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</si>
  <si>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</si>
  <si>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</si>
  <si>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</si>
  <si>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</si>
  <si>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</si>
  <si>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</si>
  <si>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</si>
  <si>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</si>
  <si>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</si>
  <si>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</si>
  <si>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</si>
  <si>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</si>
  <si>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</si>
  <si>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</si>
  <si>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</si>
  <si>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</si>
  <si>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</si>
  <si>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</si>
  <si>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</si>
  <si>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</si>
  <si>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</si>
  <si>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</si>
  <si>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</si>
  <si>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</si>
  <si>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</si>
  <si>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</si>
  <si>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</si>
  <si>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</si>
  <si>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</si>
  <si>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</si>
  <si>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</si>
  <si>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</si>
  <si>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</si>
  <si>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</si>
  <si>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</si>
  <si>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</si>
  <si>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</si>
  <si>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</si>
  <si>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</si>
  <si>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</si>
  <si>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</si>
  <si>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</si>
  <si>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</si>
  <si>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</si>
  <si>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</si>
  <si>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</si>
  <si>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</si>
  <si>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</si>
  <si>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</si>
  <si>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</si>
  <si>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</si>
  <si>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</si>
  <si>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</si>
  <si>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</si>
  <si>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</si>
  <si>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</si>
  <si>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</si>
  <si>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</si>
  <si>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</si>
  <si>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</si>
  <si>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</si>
  <si>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</si>
  <si>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</si>
  <si>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</si>
  <si>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</si>
  <si>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</si>
  <si>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</si>
  <si>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</si>
  <si>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</si>
  <si>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</si>
  <si>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</si>
  <si>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</si>
  <si>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</t>
  </si>
  <si>
    <t>3344916-3</t>
  </si>
  <si>
    <t>Address: Behria Town</t>
  </si>
  <si>
    <t>Customer Name : Rainbow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</si>
</sst>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S22" sqref="S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BT</v>
      </c>
      <c r="U14" s="163">
        <f>+'1'!P35</f>
        <v>13287.254182199998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BT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40</v>
      </c>
      <c r="I16" s="1">
        <f>(G16*D16)*F16+H16*F16</f>
        <v>2098.5</v>
      </c>
      <c r="J16" s="171">
        <f>+'1'!J16+'2'!J16+'4'!J16+'3'!J16+'5'!J16+'6'!J16+'7'!J16+'8'!J16+'9'!J16+'10'!J16+'11'!J16+'12'!J16+'13'!J16+'14'!J16+'15'!J16+'16'!J16+'17'!J16+'18'!J16</f>
        <v>2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293.79000000000002</v>
      </c>
      <c r="M16" s="105">
        <f>I16-K16-L16</f>
        <v>1804.71</v>
      </c>
      <c r="N16" s="100">
        <f>+'1'!N16+'2'!N16+'4'!N16+'3'!N16+'5'!N16+'6'!N16+'7'!N16+'8'!N16+'9'!N16+'10'!N16</f>
        <v>343.73430000000002</v>
      </c>
      <c r="O16" s="100">
        <f>+'1'!O16+'2'!O16+'4'!O16+'3'!O16+'5'!O16+'6'!O16+'7'!O16+'8'!O16+'9'!O16+'10'!O16</f>
        <v>10.742221500000001</v>
      </c>
      <c r="P16" s="104">
        <f t="shared" ref="P16:P24" si="0">M16+N16+O16</f>
        <v>2159.1865215000003</v>
      </c>
      <c r="Q16" s="107"/>
      <c r="T16" s="162" t="str">
        <f>+'4'!A5</f>
        <v>Customer Name : Rainbow BT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40</v>
      </c>
      <c r="I17" s="1">
        <f t="shared" ref="I17:I23" si="1">(G17*D17)*F17+H17*F17</f>
        <v>2098.5</v>
      </c>
      <c r="J17" s="171">
        <f>+'1'!J17+'2'!J17+'4'!J17+'3'!J17+'5'!J17+'6'!J17+'7'!J17+'8'!J17+'9'!J17+'10'!J17+'11'!J17+'12'!J17+'13'!J17+'14'!J17+'15'!J17+'16'!J17+'17'!J17+'18'!J17</f>
        <v>2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293.79000000000002</v>
      </c>
      <c r="M17" s="117">
        <f t="shared" ref="M17:M23" si="2">I17-K17-L17</f>
        <v>1804.71</v>
      </c>
      <c r="N17" s="100">
        <f>+'1'!N17+'2'!N17+'4'!N17+'3'!N17+'5'!N17+'6'!N17+'7'!N17+'8'!N17+'9'!N17+'10'!N17</f>
        <v>343.73430000000002</v>
      </c>
      <c r="O17" s="100">
        <f>+'1'!O17+'2'!O17+'4'!O17+'3'!O17+'5'!O17+'6'!O17+'7'!O17+'8'!O17+'9'!O17+'10'!O17</f>
        <v>10.742221500000001</v>
      </c>
      <c r="P17" s="119">
        <f t="shared" si="0"/>
        <v>2159.1865215000003</v>
      </c>
      <c r="S17" s="64"/>
      <c r="T17" s="162" t="str">
        <f>+'3'!A5</f>
        <v>Customer Name : Rainbow BT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BT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40</v>
      </c>
      <c r="I19" s="1">
        <f t="shared" si="1"/>
        <v>2905.6</v>
      </c>
      <c r="J19" s="171">
        <f>+'1'!J19+'2'!J19+'4'!J19+'3'!J19+'5'!J19+'6'!J19+'7'!J19+'8'!J19+'9'!J19+'10'!J19+'11'!J19+'12'!J19+'13'!J19+'14'!J19+'15'!J19+'16'!J19+'17'!J19+'18'!J19</f>
        <v>2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406.78400000000005</v>
      </c>
      <c r="M19" s="117">
        <f t="shared" si="2"/>
        <v>2498.8159999999998</v>
      </c>
      <c r="N19" s="100">
        <f>+'1'!N19+'2'!N19+'4'!N19+'3'!N19+'5'!N19+'6'!N19+'7'!N19+'8'!N19+'9'!N19+'10'!N19</f>
        <v>475.93727999999993</v>
      </c>
      <c r="O19" s="100">
        <f>+'1'!O19+'2'!O19+'4'!O19+'3'!O19+'5'!O19+'6'!O19+'7'!O19+'8'!O19+'9'!O19+'10'!O19</f>
        <v>14.873766399999999</v>
      </c>
      <c r="P19" s="119">
        <f t="shared" si="0"/>
        <v>2989.6270463999999</v>
      </c>
      <c r="T19" s="162" t="str">
        <f>+'6'!A5</f>
        <v>Customer Name : Rainbow BT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0</v>
      </c>
      <c r="I20" s="1">
        <f t="shared" si="1"/>
        <v>0</v>
      </c>
      <c r="J20" s="171">
        <f>+'1'!J20+'2'!J20+'4'!J20+'3'!J20+'5'!J20+'6'!J20+'7'!J20+'8'!J20+'9'!J20+'10'!J20+'11'!J20+'12'!J20+'13'!J20+'14'!J20+'15'!J20+'16'!J20+'17'!J20+'18'!J20</f>
        <v>0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0</v>
      </c>
      <c r="M20" s="117">
        <f t="shared" si="2"/>
        <v>0</v>
      </c>
      <c r="N20" s="100">
        <f>+'1'!N20+'2'!N20+'4'!N20+'3'!N20+'5'!N20+'6'!N20+'7'!N20+'8'!N20+'9'!N20+'10'!N20</f>
        <v>0</v>
      </c>
      <c r="O20" s="100">
        <f>+'1'!O20+'2'!O20+'4'!O20+'3'!O20+'5'!O20+'6'!O20+'7'!O20+'8'!O20+'9'!O20+'10'!O20</f>
        <v>0</v>
      </c>
      <c r="P20" s="119">
        <f t="shared" si="0"/>
        <v>0</v>
      </c>
      <c r="T20" s="162" t="str">
        <f>+'7'!A5</f>
        <v>Customer Name : Rainbow BT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80</v>
      </c>
      <c r="I21" s="1">
        <f t="shared" si="1"/>
        <v>5811.2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813.5680000000001</v>
      </c>
      <c r="M21" s="117">
        <f t="shared" si="2"/>
        <v>4997.6319999999996</v>
      </c>
      <c r="N21" s="100">
        <f>+'1'!N21+'2'!N21+'4'!N21+'3'!N21+'5'!N21+'6'!N21+'7'!N21+'8'!N21+'9'!N21+'10'!N21</f>
        <v>951.87455999999986</v>
      </c>
      <c r="O21" s="100">
        <f>+'1'!O21+'2'!O21+'4'!O21+'3'!O21+'5'!O21+'6'!O21+'7'!O21+'8'!O21+'9'!O21+'10'!O21</f>
        <v>29.747532799999998</v>
      </c>
      <c r="P21" s="119">
        <f t="shared" si="0"/>
        <v>5979.2540927999999</v>
      </c>
      <c r="T21" s="162" t="str">
        <f>+'8'!A5</f>
        <v>Customer Name : Rainbow BT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BT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BT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BT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200</v>
      </c>
      <c r="I25" s="177">
        <f t="shared" si="3"/>
        <v>12913.8</v>
      </c>
      <c r="J25" s="176">
        <f t="shared" si="3"/>
        <v>10</v>
      </c>
      <c r="K25" s="177">
        <f t="shared" si="3"/>
        <v>0</v>
      </c>
      <c r="L25" s="178">
        <f t="shared" si="3"/>
        <v>1807.9320000000002</v>
      </c>
      <c r="M25" s="140">
        <f t="shared" si="3"/>
        <v>11105.867999999999</v>
      </c>
      <c r="N25" s="141">
        <f>SUM(N16:N24)</f>
        <v>2115.28044</v>
      </c>
      <c r="O25" s="142">
        <f>SUM(O16:O24)</f>
        <v>66.105742199999995</v>
      </c>
      <c r="P25" s="143">
        <f>SUM(P16:P24)</f>
        <v>13287.2541822</v>
      </c>
      <c r="T25" s="162" t="str">
        <f>+'12'!A5</f>
        <v>Customer Name : Rainbow BT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BT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BT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BT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BT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BT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BT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13287.254182199998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12913.8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1807.9320000000002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11105.867999999999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2115.28044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13221.148439999999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330.52871099999999</v>
      </c>
    </row>
    <row r="42" spans="1:21" ht="15.75" customHeight="1" thickBot="1" x14ac:dyDescent="0.4">
      <c r="N42" s="204" t="s">
        <v>92</v>
      </c>
      <c r="O42" s="205"/>
      <c r="P42" s="159">
        <f>P40+P41</f>
        <v>13551.677151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H8" sqref="H8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40</v>
      </c>
      <c r="I16" s="101">
        <f>(G16*D16)*F16+H16*F16</f>
        <v>2098.5</v>
      </c>
      <c r="J16" s="102">
        <f>H16/20</f>
        <v>2</v>
      </c>
      <c r="K16" s="103">
        <f>I16*$K$13</f>
        <v>0</v>
      </c>
      <c r="L16" s="104">
        <f>I16*14%</f>
        <v>293.79000000000002</v>
      </c>
      <c r="M16" s="105">
        <f>I16-K16-L16</f>
        <v>1804.71</v>
      </c>
      <c r="N16" s="105">
        <f t="shared" ref="N16:N24" si="0">(M16*$N$15)+(J16*F16)*$N$15</f>
        <v>343.73430000000002</v>
      </c>
      <c r="O16" s="106">
        <f t="shared" ref="O16:O24" si="1">(N16+M16)*$O$15</f>
        <v>10.742221500000001</v>
      </c>
      <c r="P16" s="104">
        <f t="shared" ref="P16:P24" si="2">M16+N16+O16</f>
        <v>2159.1865215000003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02">
        <f t="shared" ref="J17:J21" si="4">H17/20</f>
        <v>2</v>
      </c>
      <c r="K17" s="1">
        <f t="shared" ref="K17:K21" si="5">I17*$K$13</f>
        <v>0</v>
      </c>
      <c r="L17" s="104">
        <f t="shared" ref="L17:L21" si="6">I17*14%</f>
        <v>293.79000000000002</v>
      </c>
      <c r="M17" s="117">
        <f t="shared" ref="M17:M23" si="7">I17-K17-L17</f>
        <v>1804.71</v>
      </c>
      <c r="N17" s="117">
        <f t="shared" si="0"/>
        <v>343.73430000000002</v>
      </c>
      <c r="O17" s="118">
        <f t="shared" si="1"/>
        <v>10.742221500000001</v>
      </c>
      <c r="P17" s="119">
        <f t="shared" si="2"/>
        <v>2159.1865215000003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02">
        <f t="shared" si="4"/>
        <v>0</v>
      </c>
      <c r="K18" s="1">
        <f t="shared" si="5"/>
        <v>0</v>
      </c>
      <c r="L18" s="104">
        <f t="shared" si="6"/>
        <v>0</v>
      </c>
      <c r="M18" s="117">
        <f t="shared" si="7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40</v>
      </c>
      <c r="I19" s="115">
        <f t="shared" si="3"/>
        <v>2905.6</v>
      </c>
      <c r="J19" s="102">
        <f t="shared" si="4"/>
        <v>2</v>
      </c>
      <c r="K19" s="1">
        <f t="shared" si="5"/>
        <v>0</v>
      </c>
      <c r="L19" s="104">
        <f t="shared" si="6"/>
        <v>406.78400000000005</v>
      </c>
      <c r="M19" s="117">
        <f t="shared" si="7"/>
        <v>2498.8159999999998</v>
      </c>
      <c r="N19" s="117">
        <f t="shared" si="0"/>
        <v>475.93727999999993</v>
      </c>
      <c r="O19" s="118">
        <f t="shared" si="1"/>
        <v>14.873766399999999</v>
      </c>
      <c r="P19" s="119">
        <f t="shared" si="2"/>
        <v>2989.6270463999999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3"/>
        <v>0</v>
      </c>
      <c r="J20" s="102">
        <f t="shared" si="4"/>
        <v>0</v>
      </c>
      <c r="K20" s="1">
        <f t="shared" si="5"/>
        <v>0</v>
      </c>
      <c r="L20" s="104">
        <f t="shared" si="6"/>
        <v>0</v>
      </c>
      <c r="M20" s="117">
        <f t="shared" si="7"/>
        <v>0</v>
      </c>
      <c r="N20" s="117">
        <f t="shared" si="0"/>
        <v>0</v>
      </c>
      <c r="O20" s="118">
        <f t="shared" si="1"/>
        <v>0</v>
      </c>
      <c r="P20" s="119">
        <f t="shared" si="2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02">
        <f t="shared" si="4"/>
        <v>4</v>
      </c>
      <c r="K21" s="1">
        <f t="shared" si="5"/>
        <v>0</v>
      </c>
      <c r="L21" s="104">
        <f t="shared" si="6"/>
        <v>813.5680000000001</v>
      </c>
      <c r="M21" s="117">
        <f t="shared" si="7"/>
        <v>4997.6319999999996</v>
      </c>
      <c r="N21" s="117">
        <f t="shared" si="0"/>
        <v>951.87455999999986</v>
      </c>
      <c r="O21" s="118">
        <f t="shared" si="1"/>
        <v>29.747532799999998</v>
      </c>
      <c r="P21" s="119">
        <f t="shared" si="2"/>
        <v>5979.2540927999999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7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8">I23*3.5%</f>
        <v>0</v>
      </c>
      <c r="L23" s="119">
        <f t="shared" ref="L23:L24" si="9">I23*$L$13</f>
        <v>0</v>
      </c>
      <c r="M23" s="117">
        <f t="shared" si="7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8"/>
        <v>0</v>
      </c>
      <c r="L24" s="131">
        <f t="shared" si="9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10">SUM(G16:G24)</f>
        <v>0</v>
      </c>
      <c r="H25" s="135">
        <f t="shared" si="10"/>
        <v>200</v>
      </c>
      <c r="I25" s="136">
        <f t="shared" si="10"/>
        <v>12913.8</v>
      </c>
      <c r="J25" s="182">
        <f>SUM(J16:J21)</f>
        <v>10</v>
      </c>
      <c r="K25" s="138">
        <f t="shared" si="10"/>
        <v>0</v>
      </c>
      <c r="L25" s="139">
        <f t="shared" si="10"/>
        <v>1807.9320000000002</v>
      </c>
      <c r="M25" s="140">
        <f t="shared" si="10"/>
        <v>11105.867999999999</v>
      </c>
      <c r="N25" s="141">
        <f>SUM(N16:N24)</f>
        <v>2115.28044</v>
      </c>
      <c r="O25" s="142">
        <f>SUM(O16:O24)</f>
        <v>66.105742199999995</v>
      </c>
      <c r="P25" s="143">
        <f>SUM(P16:P24)</f>
        <v>13287.2541822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12913.8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1807.9320000000002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11105.867999999999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2115.28044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13221.148439999999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66.105742199999995</v>
      </c>
    </row>
    <row r="35" spans="2:16" ht="15.75" customHeight="1" thickBot="1" x14ac:dyDescent="0.4">
      <c r="N35" s="204" t="s">
        <v>92</v>
      </c>
      <c r="O35" s="205"/>
      <c r="P35" s="159">
        <f>P33+P34</f>
        <v>13287.254182199998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46220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46219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2026-07-17T04:17:00Z</dcterms:modified>
</cp:coreProperties>
</file>