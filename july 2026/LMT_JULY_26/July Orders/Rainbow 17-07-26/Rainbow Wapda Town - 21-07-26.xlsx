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CC6AF7A-A93D-4473-AB9D-11DE0E385CB2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35" l="1"/>
  <c r="K18" i="35"/>
  <c r="K19" i="35"/>
  <c r="K20" i="35"/>
  <c r="K21" i="35"/>
  <c r="K17" i="34"/>
  <c r="K18" i="34"/>
  <c r="K19" i="34"/>
  <c r="K20" i="34"/>
  <c r="K21" i="34"/>
  <c r="K17" i="33"/>
  <c r="K18" i="33"/>
  <c r="K19" i="33"/>
  <c r="K20" i="33"/>
  <c r="K21" i="33"/>
  <c r="K17" i="32"/>
  <c r="K18" i="32"/>
  <c r="K19" i="32"/>
  <c r="K20" i="32"/>
  <c r="K21" i="32"/>
  <c r="K17" i="31"/>
  <c r="K18" i="31"/>
  <c r="K19" i="31"/>
  <c r="K20" i="31"/>
  <c r="K21" i="31"/>
  <c r="K17" i="30"/>
  <c r="K18" i="30"/>
  <c r="K19" i="30"/>
  <c r="K20" i="30"/>
  <c r="K21" i="30"/>
  <c r="K17" i="29"/>
  <c r="K18" i="29"/>
  <c r="K19" i="29"/>
  <c r="K20" i="29"/>
  <c r="K21" i="29"/>
  <c r="K17" i="28"/>
  <c r="K18" i="28"/>
  <c r="K19" i="28"/>
  <c r="K20" i="28"/>
  <c r="K21" i="28"/>
  <c r="K17" i="27"/>
  <c r="K18" i="27"/>
  <c r="K19" i="27"/>
  <c r="K20" i="27"/>
  <c r="K21" i="27"/>
  <c r="K17" i="26"/>
  <c r="K18" i="26"/>
  <c r="K19" i="26"/>
  <c r="K20" i="26"/>
  <c r="K21" i="26"/>
  <c r="K17" i="25"/>
  <c r="K18" i="25"/>
  <c r="K19" i="25"/>
  <c r="K20" i="25"/>
  <c r="K21" i="25"/>
  <c r="K17" i="24"/>
  <c r="K18" i="24"/>
  <c r="K19" i="24"/>
  <c r="K20" i="24"/>
  <c r="K21" i="24"/>
  <c r="K17" i="23"/>
  <c r="K18" i="23"/>
  <c r="K19" i="23"/>
  <c r="K20" i="23"/>
  <c r="K21" i="23"/>
  <c r="K17" i="22"/>
  <c r="K18" i="22"/>
  <c r="K19" i="22"/>
  <c r="K20" i="22"/>
  <c r="K21" i="22"/>
  <c r="K17" i="21"/>
  <c r="K18" i="21"/>
  <c r="K19" i="21"/>
  <c r="K20" i="21"/>
  <c r="K21" i="21"/>
  <c r="K17" i="20"/>
  <c r="K18" i="20"/>
  <c r="K19" i="20"/>
  <c r="K20" i="20"/>
  <c r="K21" i="20"/>
  <c r="K17" i="18"/>
  <c r="K18" i="18"/>
  <c r="K19" i="18"/>
  <c r="K20" i="18"/>
  <c r="K21" i="18"/>
  <c r="K17" i="19"/>
  <c r="K18" i="19"/>
  <c r="K19" i="19"/>
  <c r="K20" i="19"/>
  <c r="K21" i="19"/>
  <c r="K17" i="17"/>
  <c r="K18" i="17"/>
  <c r="K19" i="17"/>
  <c r="K20" i="17"/>
  <c r="K21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M21" i="30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<sst xmlns="http://schemas.openxmlformats.org/spreadsheetml/2006/main" count="1560" uniqueCount="107">
  <si>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</si>
  <si>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</si>
  <si>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</si>
  <si>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</si>
  <si>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</si>
  <si>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</si>
  <si>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</si>
  <si>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</si>
  <si>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</si>
  <si>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</si>
  <si>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</si>
  <si>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</si>
  <si>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</si>
  <si>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</si>
  <si>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</si>
  <si>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</si>
  <si>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</si>
  <si>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</si>
  <si>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</si>
  <si>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</si>
  <si>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</si>
  <si>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</si>
  <si>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</si>
  <si>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</si>
  <si>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</si>
  <si>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</si>
  <si>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</si>
  <si>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</si>
  <si>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</si>
  <si>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</si>
  <si>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</si>
  <si>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</si>
  <si>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</si>
  <si>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</si>
  <si>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</si>
  <si>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</si>
  <si>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</si>
  <si>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</si>
  <si>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</si>
  <si>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</si>
  <si>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</si>
  <si>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</si>
  <si>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</si>
  <si>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</si>
  <si>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</si>
  <si>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</si>
  <si>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</si>
  <si>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</si>
  <si>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</si>
  <si>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</si>
  <si>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</si>
  <si>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</si>
  <si>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</si>
  <si>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</si>
  <si>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</si>
  <si>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</si>
  <si>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</si>
  <si>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</si>
  <si>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</si>
  <si>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</si>
  <si>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</si>
  <si>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</si>
  <si>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</si>
  <si>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</si>
  <si>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</si>
  <si>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</si>
  <si>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</si>
  <si>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</si>
  <si>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</si>
  <si>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</si>
  <si>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</si>
  <si>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</si>
  <si>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</si>
  <si>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</si>
  <si>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</si>
  <si>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</si>
  <si>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</si>
  <si>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</si>
  <si>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</si>
  <si>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</si>
  <si>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</si>
  <si>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</si>
  <si>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</si>
  <si>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</si>
  <si>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</si>
  <si>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</si>
  <si>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</si>
  <si>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</si>
  <si>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</si>
  <si>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</si>
  <si>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</si>
  <si>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</si>
  <si>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</si>
  <si>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</si>
  <si>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</si>
  <si>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</si>
  <si>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</si>
  <si>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</si>
  <si>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</si>
  <si>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</si>
  <si>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</si>
  <si>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</si>
  <si>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</si>
  <si>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</si>
  <si>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</si>
  <si>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 xml:space="preserve">Customer Name : Rainbow Wapda </t>
  </si>
  <si>
    <t>Address: Wapda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</si>
</sst>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" sqref="E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Rainbow Wapda </v>
      </c>
      <c r="U14" s="163">
        <f>+'1'!P35</f>
        <v>70910.804522250008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Rainbow Wapda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293.79000000000002</v>
      </c>
      <c r="M16" s="105">
        <f>I16-K16-L16</f>
        <v>1731.2625</v>
      </c>
      <c r="N16" s="100">
        <f>+'1'!N16+'2'!N16+'4'!N16+'3'!N16+'5'!N16+'6'!N16+'7'!N16+'8'!N16+'9'!N16+'10'!N16</f>
        <v>311.62725</v>
      </c>
      <c r="O16" s="100">
        <f>+'1'!O16+'2'!O16+'4'!O16+'3'!O16+'5'!O16+'6'!O16+'7'!O16+'8'!O16+'9'!O16+'10'!O16</f>
        <v>10.214448750000001</v>
      </c>
      <c r="P16" s="104">
        <f t="shared" ref="P16:P24" si="0">M16+N16+O16</f>
        <v>2053.1041987500003</v>
      </c>
      <c r="Q16" s="107"/>
      <c r="T16" s="162" t="str">
        <f>+'4'!A5</f>
        <v xml:space="preserve">Customer Name : Rainbow Wapda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400</v>
      </c>
      <c r="I17" s="1">
        <f t="shared" ref="I17:I23" si="1">(G17*D17)*F17+H17*F17</f>
        <v>20985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734.47500000000002</v>
      </c>
      <c r="L17" s="174">
        <f>+'1'!L17+'2'!L17+'4'!L17+'3'!L17+'5'!L17+'6'!L17+'7'!L17+'8'!L17+'9'!L17+'10'!L17</f>
        <v>2937.9</v>
      </c>
      <c r="M17" s="117">
        <f t="shared" ref="M17:M23" si="2">I17-K17-L17</f>
        <v>17312.625</v>
      </c>
      <c r="N17" s="100">
        <f>+'1'!N17+'2'!N17+'4'!N17+'3'!N17+'5'!N17+'6'!N17+'7'!N17+'8'!N17+'9'!N17+'10'!N17</f>
        <v>3116.2725</v>
      </c>
      <c r="O17" s="100">
        <f>+'1'!O17+'2'!O17+'4'!O17+'3'!O17+'5'!O17+'6'!O17+'7'!O17+'8'!O17+'9'!O17+'10'!O17</f>
        <v>102.1444875</v>
      </c>
      <c r="P17" s="119">
        <f t="shared" si="0"/>
        <v>20531.041987500001</v>
      </c>
      <c r="S17" s="64"/>
      <c r="T17" s="162" t="str">
        <f>+'3'!A5</f>
        <v xml:space="preserve">Customer Name : Rainbow Wapda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Rainbow Wapda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160</v>
      </c>
      <c r="I19" s="1">
        <f t="shared" si="1"/>
        <v>11622.4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406.78400000000005</v>
      </c>
      <c r="L19" s="174">
        <f>+'1'!L19+'2'!L19+'4'!L19+'3'!L19+'5'!L19+'6'!L19+'7'!L19+'8'!L19+'9'!L19+'10'!L19</f>
        <v>1627.1360000000002</v>
      </c>
      <c r="M19" s="117">
        <f t="shared" si="2"/>
        <v>9588.48</v>
      </c>
      <c r="N19" s="100">
        <f>+'1'!N19+'2'!N19+'4'!N19+'3'!N19+'5'!N19+'6'!N19+'7'!N19+'8'!N19+'9'!N19+'10'!N19</f>
        <v>1725.9263999999998</v>
      </c>
      <c r="O19" s="100">
        <f>+'1'!O19+'2'!O19+'4'!O19+'3'!O19+'5'!O19+'6'!O19+'7'!O19+'8'!O19+'9'!O19+'10'!O19</f>
        <v>56.572032</v>
      </c>
      <c r="P19" s="119">
        <f t="shared" si="0"/>
        <v>11370.978432</v>
      </c>
      <c r="T19" s="162" t="str">
        <f>+'6'!A5</f>
        <v xml:space="preserve">Customer Name : Rainbow Wapda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320</v>
      </c>
      <c r="I20" s="1">
        <f t="shared" si="1"/>
        <v>23244.799999999999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813.5680000000001</v>
      </c>
      <c r="L20" s="174">
        <f>+'1'!L20+'2'!L20+'4'!L20+'3'!L20+'5'!L20+'6'!L20+'7'!L20+'8'!L20+'9'!L20+'10'!L20</f>
        <v>3254.2720000000004</v>
      </c>
      <c r="M20" s="117">
        <f t="shared" si="2"/>
        <v>19176.96</v>
      </c>
      <c r="N20" s="100">
        <f>+'1'!N20+'2'!N20+'4'!N20+'3'!N20+'5'!N20+'6'!N20+'7'!N20+'8'!N20+'9'!N20+'10'!N20</f>
        <v>3451.8527999999997</v>
      </c>
      <c r="O20" s="100">
        <f>+'1'!O20+'2'!O20+'4'!O20+'3'!O20+'5'!O20+'6'!O20+'7'!O20+'8'!O20+'9'!O20+'10'!O20</f>
        <v>113.144064</v>
      </c>
      <c r="P20" s="119">
        <f t="shared" si="0"/>
        <v>22741.956864</v>
      </c>
      <c r="T20" s="162" t="str">
        <f>+'7'!A5</f>
        <v xml:space="preserve">Customer Name : Rainbow Wapda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508.48000000000008</v>
      </c>
      <c r="L21" s="174">
        <f>+'1'!L21+'2'!L21+'4'!L21+'3'!L21+'5'!L21+'6'!L21+'7'!L21+'8'!L21+'9'!L21+'10'!L21</f>
        <v>2033.9200000000003</v>
      </c>
      <c r="M21" s="117">
        <f t="shared" si="2"/>
        <v>11985.6</v>
      </c>
      <c r="N21" s="100">
        <f>+'1'!N21+'2'!N21+'4'!N21+'3'!N21+'5'!N21+'6'!N21+'7'!N21+'8'!N21+'9'!N21+'10'!N21</f>
        <v>2157.4079999999999</v>
      </c>
      <c r="O21" s="100">
        <f>+'1'!O21+'2'!O21+'4'!O21+'3'!O21+'5'!O21+'6'!O21+'7'!O21+'8'!O21+'9'!O21+'10'!O21</f>
        <v>70.715040000000002</v>
      </c>
      <c r="P21" s="119">
        <f t="shared" si="0"/>
        <v>14213.723039999999</v>
      </c>
      <c r="T21" s="162" t="str">
        <f>+'8'!A5</f>
        <v xml:space="preserve">Customer Name : Rainbow Wapda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Rainbow Wapda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Rainbow Wapda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Rainbow Wapda 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28</v>
      </c>
      <c r="D25" s="222"/>
      <c r="E25" s="222"/>
      <c r="F25" s="222"/>
      <c r="G25" s="175">
        <f t="shared" ref="G25:M25" si="3">SUM(G16:G24)</f>
        <v>0</v>
      </c>
      <c r="H25" s="176">
        <f t="shared" si="3"/>
        <v>1120</v>
      </c>
      <c r="I25" s="177">
        <f t="shared" si="3"/>
        <v>72478.7</v>
      </c>
      <c r="J25" s="176">
        <f t="shared" si="3"/>
        <v>0</v>
      </c>
      <c r="K25" s="177">
        <f t="shared" si="3"/>
        <v>2536.7545</v>
      </c>
      <c r="L25" s="178">
        <f t="shared" si="3"/>
        <v>10147.018</v>
      </c>
      <c r="M25" s="140">
        <f t="shared" si="3"/>
        <v>59794.927499999998</v>
      </c>
      <c r="N25" s="141">
        <f>SUM(N16:N24)</f>
        <v>10763.086949999999</v>
      </c>
      <c r="O25" s="142">
        <f>SUM(O16:O24)</f>
        <v>352.79007224999998</v>
      </c>
      <c r="P25" s="143">
        <f>SUM(P16:P24)</f>
        <v>70910.804522250008</v>
      </c>
      <c r="T25" s="162" t="str">
        <f>+'12'!A5</f>
        <v xml:space="preserve">Customer Name : Rainbow Wapda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Rainbow Wapda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Rainbow Wapda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Rainbow Wapda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Rainbow Wapda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Rainbow Wapda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Rainbow Wapda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70910.804522250008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72478.7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10147.018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2536.7545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59794.927499999998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10763.086949999999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70558.014450000002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1763.9503612500002</v>
      </c>
    </row>
    <row r="42" spans="1:21" ht="15.75" customHeight="1" thickBot="1" x14ac:dyDescent="0.4">
      <c r="N42" s="220" t="s">
        <v>92</v>
      </c>
      <c r="O42" s="221"/>
      <c r="P42" s="159">
        <f>P40+P41</f>
        <v>72321.96481125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R16" sqref="R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I16*14%</f>
        <v>293.79000000000002</v>
      </c>
      <c r="M16" s="105">
        <f>I16-K16-L16</f>
        <v>1731.2625</v>
      </c>
      <c r="N16" s="105">
        <f t="shared" ref="N16:N24" si="0">(M16*$N$15)+(J16*F16)*$N$15</f>
        <v>311.62725</v>
      </c>
      <c r="O16" s="106">
        <f t="shared" ref="O16:O24" si="1">(N16+M16)*$O$15</f>
        <v>10.214448750000001</v>
      </c>
      <c r="P16" s="104">
        <f t="shared" ref="P16:P24" si="2">M16+N16+O16</f>
        <v>2053.1041987500003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400</v>
      </c>
      <c r="I17" s="115">
        <f t="shared" ref="I17:I23" si="3">(G17*D17)*F17+H17*F17</f>
        <v>20985</v>
      </c>
      <c r="J17" s="116"/>
      <c r="K17" s="103">
        <f t="shared" ref="K17:K21" si="4">I17*3.5%</f>
        <v>734.47500000000002</v>
      </c>
      <c r="L17" s="104">
        <f t="shared" ref="L17:L21" si="5">I17*14%</f>
        <v>2937.9</v>
      </c>
      <c r="M17" s="117">
        <f t="shared" ref="M17:M23" si="6">I17-K17-L17</f>
        <v>17312.625</v>
      </c>
      <c r="N17" s="117">
        <f t="shared" si="0"/>
        <v>3116.2725</v>
      </c>
      <c r="O17" s="118">
        <f t="shared" si="1"/>
        <v>102.1444875</v>
      </c>
      <c r="P17" s="119">
        <f t="shared" si="2"/>
        <v>20531.041987500001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160</v>
      </c>
      <c r="I19" s="115">
        <f t="shared" si="3"/>
        <v>11622.4</v>
      </c>
      <c r="J19" s="116"/>
      <c r="K19" s="103">
        <f t="shared" si="4"/>
        <v>406.78400000000005</v>
      </c>
      <c r="L19" s="104">
        <f t="shared" si="5"/>
        <v>1627.1360000000002</v>
      </c>
      <c r="M19" s="117">
        <f t="shared" si="6"/>
        <v>9588.48</v>
      </c>
      <c r="N19" s="117">
        <f t="shared" si="0"/>
        <v>1725.9263999999998</v>
      </c>
      <c r="O19" s="118">
        <f t="shared" si="1"/>
        <v>56.572032</v>
      </c>
      <c r="P19" s="119">
        <f t="shared" si="2"/>
        <v>11370.978432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320</v>
      </c>
      <c r="I20" s="115">
        <f t="shared" si="3"/>
        <v>23244.799999999999</v>
      </c>
      <c r="J20" s="116"/>
      <c r="K20" s="103">
        <f t="shared" si="4"/>
        <v>813.5680000000001</v>
      </c>
      <c r="L20" s="104">
        <f t="shared" si="5"/>
        <v>3254.2720000000004</v>
      </c>
      <c r="M20" s="117">
        <f t="shared" si="6"/>
        <v>19176.96</v>
      </c>
      <c r="N20" s="117">
        <f t="shared" si="0"/>
        <v>3451.8527999999997</v>
      </c>
      <c r="O20" s="118">
        <f t="shared" si="1"/>
        <v>113.144064</v>
      </c>
      <c r="P20" s="119">
        <f t="shared" si="2"/>
        <v>22741.956864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/>
      <c r="K21" s="103">
        <f t="shared" si="4"/>
        <v>508.48000000000008</v>
      </c>
      <c r="L21" s="104">
        <f t="shared" si="5"/>
        <v>2033.9200000000003</v>
      </c>
      <c r="M21" s="117">
        <f t="shared" si="6"/>
        <v>11985.6</v>
      </c>
      <c r="N21" s="117">
        <f t="shared" si="0"/>
        <v>2157.4079999999999</v>
      </c>
      <c r="O21" s="118">
        <f t="shared" si="1"/>
        <v>70.715040000000002</v>
      </c>
      <c r="P21" s="119">
        <f t="shared" si="2"/>
        <v>14213.723039999999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1120</v>
      </c>
      <c r="I25" s="136">
        <f t="shared" si="9"/>
        <v>72478.7</v>
      </c>
      <c r="J25" s="182">
        <f>SUM(J16:J21)</f>
        <v>0</v>
      </c>
      <c r="K25" s="138">
        <f t="shared" si="9"/>
        <v>2536.7545</v>
      </c>
      <c r="L25" s="139">
        <f t="shared" si="9"/>
        <v>10147.018</v>
      </c>
      <c r="M25" s="140">
        <f t="shared" si="9"/>
        <v>59794.927499999998</v>
      </c>
      <c r="N25" s="141">
        <f>SUM(N16:N24)</f>
        <v>10763.086949999999</v>
      </c>
      <c r="O25" s="142">
        <f>SUM(O16:O24)</f>
        <v>352.79007224999998</v>
      </c>
      <c r="P25" s="143">
        <f>SUM(P16:P24)</f>
        <v>70910.804522250008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72478.7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10147.018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2536.7545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59794.927499999998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10763.086949999999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70558.014450000002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352.79007225000004</v>
      </c>
    </row>
    <row r="35" spans="2:16" ht="15.75" customHeight="1" thickBot="1" x14ac:dyDescent="0.4">
      <c r="N35" s="220" t="s">
        <v>92</v>
      </c>
      <c r="O35" s="221"/>
      <c r="P35" s="159">
        <f>P33+P34</f>
        <v>70910.804522250008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2026-07-22T05:59:42Z</dcterms:modified>
</cp:coreProperties>
</file>