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BD699460-B933-4D97-98D8-26D3AC017F1A}" xr6:coauthVersionLast="47" xr6:coauthVersionMax="47" xr10:uidLastSave="{00000000-0000-0000-0000-000000000000}"/>
  <bookViews>
    <workbookView xWindow="0" yWindow="0" windowWidth="9600" windowHeight="1020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J17" i="17" l="1"/>
  <c r="J18" i="17"/>
  <c r="J19" i="17"/>
  <c r="J20" i="17"/>
  <c r="J21" i="17"/>
  <c r="J17" i="19"/>
  <c r="J18" i="19"/>
  <c r="J19" i="19"/>
  <c r="J20" i="19"/>
  <c r="J21" i="19"/>
  <c r="J17" i="18"/>
  <c r="J18" i="18"/>
  <c r="J18" i="15" s="1"/>
  <c r="J19" i="18"/>
  <c r="J20" i="18"/>
  <c r="J21" i="18"/>
  <c r="J17" i="20"/>
  <c r="J18" i="20"/>
  <c r="J19" i="20"/>
  <c r="J20" i="20"/>
  <c r="J21" i="20"/>
  <c r="J17" i="21"/>
  <c r="J18" i="21"/>
  <c r="J19" i="21"/>
  <c r="J20" i="21"/>
  <c r="J21" i="21"/>
  <c r="J17" i="22"/>
  <c r="J18" i="22"/>
  <c r="J19" i="22"/>
  <c r="J20" i="22"/>
  <c r="J21" i="22"/>
  <c r="J17" i="23"/>
  <c r="J18" i="23"/>
  <c r="J19" i="23"/>
  <c r="J20" i="23"/>
  <c r="J21" i="23"/>
  <c r="J17" i="24"/>
  <c r="J18" i="24"/>
  <c r="J19" i="24"/>
  <c r="J20" i="24"/>
  <c r="J21" i="24"/>
  <c r="J17" i="25"/>
  <c r="J18" i="25"/>
  <c r="J19" i="25"/>
  <c r="J20" i="25"/>
  <c r="J21" i="25"/>
  <c r="J17" i="26"/>
  <c r="J18" i="26"/>
  <c r="J19" i="26"/>
  <c r="J20" i="26"/>
  <c r="J21" i="26"/>
  <c r="J17" i="27"/>
  <c r="J18" i="27"/>
  <c r="J19" i="27"/>
  <c r="J20" i="27"/>
  <c r="J21" i="27"/>
  <c r="J17" i="28"/>
  <c r="J18" i="28"/>
  <c r="J19" i="28"/>
  <c r="J20" i="28"/>
  <c r="J21" i="28"/>
  <c r="J17" i="29"/>
  <c r="J18" i="29"/>
  <c r="J19" i="29"/>
  <c r="J20" i="29"/>
  <c r="J21" i="29"/>
  <c r="J17" i="30"/>
  <c r="J18" i="30"/>
  <c r="J19" i="30"/>
  <c r="J20" i="30"/>
  <c r="J21" i="30"/>
  <c r="J17" i="31"/>
  <c r="J18" i="31"/>
  <c r="J19" i="31"/>
  <c r="J20" i="31"/>
  <c r="J21" i="31"/>
  <c r="J17" i="32"/>
  <c r="J18" i="32"/>
  <c r="J19" i="32"/>
  <c r="J20" i="32"/>
  <c r="J21" i="32"/>
  <c r="J17" i="33"/>
  <c r="J18" i="33"/>
  <c r="J19" i="33"/>
  <c r="J20" i="33"/>
  <c r="J21" i="33"/>
  <c r="J17" i="34"/>
  <c r="J18" i="34"/>
  <c r="J19" i="34"/>
  <c r="J20" i="34"/>
  <c r="J21" i="34"/>
  <c r="J17" i="35"/>
  <c r="J18" i="35"/>
  <c r="J19" i="35"/>
  <c r="J20" i="35"/>
  <c r="J21" i="35"/>
  <c r="J17" i="16"/>
  <c r="J17" i="15" s="1"/>
  <c r="J18" i="16"/>
  <c r="J19" i="16"/>
  <c r="J20" i="16"/>
  <c r="J21" i="16"/>
  <c r="J21" i="15" s="1"/>
  <c r="J16" i="17"/>
  <c r="J16" i="19"/>
  <c r="J16" i="18"/>
  <c r="J16" i="20"/>
  <c r="J16" i="21"/>
  <c r="J16" i="22"/>
  <c r="J16" i="23"/>
  <c r="J16" i="24"/>
  <c r="J16" i="25"/>
  <c r="J16" i="26"/>
  <c r="J16" i="27"/>
  <c r="J16" i="28"/>
  <c r="J16" i="29"/>
  <c r="J16" i="30"/>
  <c r="J16" i="31"/>
  <c r="J16" i="32"/>
  <c r="J16" i="33"/>
  <c r="J16" i="34"/>
  <c r="J16" i="35"/>
  <c r="J16" i="16"/>
  <c r="H17" i="15"/>
  <c r="H18" i="15"/>
  <c r="H19" i="15"/>
  <c r="H20" i="15"/>
  <c r="H21" i="15"/>
  <c r="H22" i="15"/>
  <c r="H23" i="15"/>
  <c r="H24" i="15"/>
  <c r="H16" i="15"/>
  <c r="T31" i="15"/>
  <c r="T30" i="15"/>
  <c r="T29" i="15"/>
  <c r="J20" i="15"/>
  <c r="J22" i="15"/>
  <c r="J23" i="15"/>
  <c r="J24" i="15"/>
  <c r="J19" i="15" l="1"/>
  <c r="J25" i="16"/>
  <c r="J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L21" i="35" s="1"/>
  <c r="B21" i="35"/>
  <c r="C21" i="35" s="1"/>
  <c r="F20" i="35"/>
  <c r="E20" i="35"/>
  <c r="D20" i="35"/>
  <c r="I20" i="35" s="1"/>
  <c r="L20" i="35" s="1"/>
  <c r="B20" i="35"/>
  <c r="C20" i="35" s="1"/>
  <c r="F19" i="35"/>
  <c r="E19" i="35"/>
  <c r="D19" i="35"/>
  <c r="I19" i="35" s="1"/>
  <c r="L19" i="35" s="1"/>
  <c r="B19" i="35"/>
  <c r="C19" i="35" s="1"/>
  <c r="F18" i="35"/>
  <c r="E18" i="35"/>
  <c r="D18" i="35"/>
  <c r="I18" i="35" s="1"/>
  <c r="L18" i="35" s="1"/>
  <c r="B18" i="35"/>
  <c r="C18" i="35" s="1"/>
  <c r="F17" i="35"/>
  <c r="E17" i="35"/>
  <c r="D17" i="35"/>
  <c r="I17" i="35" s="1"/>
  <c r="L17" i="35" s="1"/>
  <c r="B17" i="35"/>
  <c r="C17" i="35" s="1"/>
  <c r="F16" i="35"/>
  <c r="E16" i="35"/>
  <c r="D16" i="35"/>
  <c r="I16" i="35" s="1"/>
  <c r="L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L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17" i="33" l="1"/>
  <c r="L17" i="33"/>
  <c r="I16" i="28"/>
  <c r="L16" i="28" s="1"/>
  <c r="I17" i="28"/>
  <c r="L17" i="28" s="1"/>
  <c r="I18" i="28"/>
  <c r="L18" i="28" s="1"/>
  <c r="I19" i="28"/>
  <c r="L19" i="28" s="1"/>
  <c r="I20" i="28"/>
  <c r="L20" i="28" s="1"/>
  <c r="I21" i="28"/>
  <c r="L21" i="28" s="1"/>
  <c r="I22" i="28"/>
  <c r="K22" i="28" s="1"/>
  <c r="I23" i="28"/>
  <c r="L23" i="28" s="1"/>
  <c r="I24" i="28"/>
  <c r="I22" i="32"/>
  <c r="K22" i="32" s="1"/>
  <c r="I18" i="33"/>
  <c r="I20" i="33"/>
  <c r="L20" i="33" s="1"/>
  <c r="I16" i="30"/>
  <c r="L16" i="30" s="1"/>
  <c r="I17" i="30"/>
  <c r="L17" i="30" s="1"/>
  <c r="I18" i="30"/>
  <c r="L18" i="30" s="1"/>
  <c r="I19" i="30"/>
  <c r="L19" i="30" s="1"/>
  <c r="I20" i="30"/>
  <c r="L20" i="30" s="1"/>
  <c r="I21" i="30"/>
  <c r="L21" i="30" s="1"/>
  <c r="I22" i="30"/>
  <c r="I23" i="30"/>
  <c r="K23" i="30" s="1"/>
  <c r="M23" i="30" s="1"/>
  <c r="I24" i="30"/>
  <c r="I16" i="32"/>
  <c r="L16" i="32" s="1"/>
  <c r="I17" i="32"/>
  <c r="L17" i="32" s="1"/>
  <c r="I18" i="32"/>
  <c r="L18" i="32" s="1"/>
  <c r="I19" i="32"/>
  <c r="L19" i="32" s="1"/>
  <c r="I20" i="32"/>
  <c r="L20" i="32" s="1"/>
  <c r="I21" i="32"/>
  <c r="L21" i="32" s="1"/>
  <c r="I16" i="33"/>
  <c r="L16" i="33" s="1"/>
  <c r="I16" i="31"/>
  <c r="L16" i="31" s="1"/>
  <c r="I17" i="31"/>
  <c r="L17" i="31" s="1"/>
  <c r="I18" i="31"/>
  <c r="I19" i="31"/>
  <c r="I20" i="31"/>
  <c r="L20" i="31" s="1"/>
  <c r="I21" i="31"/>
  <c r="L21" i="31" s="1"/>
  <c r="I22" i="31"/>
  <c r="K22" i="31" s="1"/>
  <c r="I23" i="31"/>
  <c r="K23" i="31" s="1"/>
  <c r="I24" i="31"/>
  <c r="I23" i="32"/>
  <c r="L23" i="32" s="1"/>
  <c r="M23" i="32" s="1"/>
  <c r="I22" i="33"/>
  <c r="I16" i="34"/>
  <c r="L16" i="34" s="1"/>
  <c r="I17" i="34"/>
  <c r="L17" i="34" s="1"/>
  <c r="I18" i="34"/>
  <c r="L18" i="34" s="1"/>
  <c r="I19" i="34"/>
  <c r="L19" i="34" s="1"/>
  <c r="I20" i="34"/>
  <c r="I21" i="34"/>
  <c r="L21" i="34" s="1"/>
  <c r="I22" i="34"/>
  <c r="K22" i="34" s="1"/>
  <c r="I23" i="34"/>
  <c r="I24" i="34"/>
  <c r="L24" i="34" s="1"/>
  <c r="I16" i="29"/>
  <c r="L16" i="29" s="1"/>
  <c r="I17" i="29"/>
  <c r="L17" i="29" s="1"/>
  <c r="I18" i="29"/>
  <c r="L18" i="29" s="1"/>
  <c r="I19" i="29"/>
  <c r="I20" i="29"/>
  <c r="L20" i="29" s="1"/>
  <c r="I21" i="29"/>
  <c r="L21" i="29" s="1"/>
  <c r="I22" i="29"/>
  <c r="L22" i="29" s="1"/>
  <c r="I23" i="29"/>
  <c r="L23" i="29" s="1"/>
  <c r="I24" i="29"/>
  <c r="I24" i="32"/>
  <c r="K24" i="32" s="1"/>
  <c r="M24" i="32" s="1"/>
  <c r="I19" i="33"/>
  <c r="L19" i="33" s="1"/>
  <c r="I23" i="33"/>
  <c r="L23" i="33" s="1"/>
  <c r="I25" i="35"/>
  <c r="P28" i="35" s="1"/>
  <c r="K16" i="35"/>
  <c r="K17" i="35"/>
  <c r="M17" i="35"/>
  <c r="K18" i="35"/>
  <c r="M18" i="35"/>
  <c r="K19" i="35"/>
  <c r="K20" i="35"/>
  <c r="K21" i="35"/>
  <c r="K22" i="35"/>
  <c r="M22" i="35" s="1"/>
  <c r="L22" i="35"/>
  <c r="K23" i="35"/>
  <c r="L23" i="35"/>
  <c r="M23" i="35" s="1"/>
  <c r="K24" i="35"/>
  <c r="L24" i="35"/>
  <c r="K17" i="34"/>
  <c r="K21" i="34"/>
  <c r="K23" i="34"/>
  <c r="M23" i="34" s="1"/>
  <c r="L23" i="34"/>
  <c r="K21" i="33"/>
  <c r="K22" i="33"/>
  <c r="L22" i="33"/>
  <c r="K23" i="33"/>
  <c r="K20" i="33"/>
  <c r="K24" i="33"/>
  <c r="M24" i="33" s="1"/>
  <c r="L24" i="33"/>
  <c r="M17" i="33"/>
  <c r="K16" i="33"/>
  <c r="L24" i="32"/>
  <c r="K18" i="32"/>
  <c r="K19" i="32"/>
  <c r="K23" i="32"/>
  <c r="K17" i="31"/>
  <c r="K24" i="31"/>
  <c r="L24" i="31"/>
  <c r="K16" i="31"/>
  <c r="K20" i="31"/>
  <c r="L23" i="31"/>
  <c r="K20" i="30"/>
  <c r="L23" i="30"/>
  <c r="K16" i="30"/>
  <c r="K19" i="30"/>
  <c r="K22" i="30"/>
  <c r="L22" i="30"/>
  <c r="K24" i="30"/>
  <c r="L24" i="30"/>
  <c r="K16" i="29"/>
  <c r="K24" i="29"/>
  <c r="M24" i="29"/>
  <c r="L24" i="29"/>
  <c r="K20" i="29"/>
  <c r="K22" i="29"/>
  <c r="K18" i="29"/>
  <c r="K23" i="29"/>
  <c r="K16" i="28"/>
  <c r="K19" i="28"/>
  <c r="K20" i="28"/>
  <c r="L22" i="28"/>
  <c r="K23" i="28"/>
  <c r="M23" i="28" s="1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18" i="34" l="1"/>
  <c r="K18" i="28"/>
  <c r="I25" i="28"/>
  <c r="P28" i="28" s="1"/>
  <c r="M24" i="30"/>
  <c r="K17" i="30"/>
  <c r="K18" i="30"/>
  <c r="M18" i="30" s="1"/>
  <c r="N18" i="30" s="1"/>
  <c r="O18" i="30" s="1"/>
  <c r="P18" i="30" s="1"/>
  <c r="M24" i="31"/>
  <c r="P24" i="31" s="1"/>
  <c r="L22" i="32"/>
  <c r="K21" i="32"/>
  <c r="K17" i="32"/>
  <c r="K19" i="33"/>
  <c r="M19" i="33" s="1"/>
  <c r="N19" i="33" s="1"/>
  <c r="O19" i="33" s="1"/>
  <c r="K24" i="34"/>
  <c r="L22" i="34"/>
  <c r="I16" i="27"/>
  <c r="L16" i="27" s="1"/>
  <c r="I17" i="27"/>
  <c r="L17" i="27" s="1"/>
  <c r="I18" i="27"/>
  <c r="L18" i="27" s="1"/>
  <c r="I19" i="27"/>
  <c r="L19" i="27" s="1"/>
  <c r="I20" i="27"/>
  <c r="L20" i="27" s="1"/>
  <c r="I22" i="27"/>
  <c r="L22" i="27" s="1"/>
  <c r="I23" i="27"/>
  <c r="I24" i="27"/>
  <c r="L24" i="27" s="1"/>
  <c r="K21" i="28"/>
  <c r="K17" i="29"/>
  <c r="K25" i="29" s="1"/>
  <c r="P30" i="29" s="1"/>
  <c r="K21" i="29"/>
  <c r="K20" i="32"/>
  <c r="M20" i="32" s="1"/>
  <c r="N20" i="32" s="1"/>
  <c r="O20" i="32" s="1"/>
  <c r="K16" i="32"/>
  <c r="K19" i="29"/>
  <c r="M19" i="29" s="1"/>
  <c r="N19" i="29" s="1"/>
  <c r="O19" i="29" s="1"/>
  <c r="L19" i="29"/>
  <c r="L25" i="29" s="1"/>
  <c r="P29" i="29" s="1"/>
  <c r="M24" i="34"/>
  <c r="N24" i="34" s="1"/>
  <c r="K20" i="34"/>
  <c r="L20" i="34"/>
  <c r="M20" i="34" s="1"/>
  <c r="N20" i="34" s="1"/>
  <c r="O20" i="34" s="1"/>
  <c r="K19" i="31"/>
  <c r="L19" i="31"/>
  <c r="K17" i="28"/>
  <c r="M17" i="28" s="1"/>
  <c r="N17" i="28" s="1"/>
  <c r="O17" i="28" s="1"/>
  <c r="I25" i="30"/>
  <c r="P28" i="30" s="1"/>
  <c r="K21" i="30"/>
  <c r="M21" i="30" s="1"/>
  <c r="N21" i="30" s="1"/>
  <c r="O21" i="30" s="1"/>
  <c r="K21" i="31"/>
  <c r="M21" i="31" s="1"/>
  <c r="N21" i="31" s="1"/>
  <c r="O21" i="31" s="1"/>
  <c r="I25" i="32"/>
  <c r="P28" i="32" s="1"/>
  <c r="M24" i="35"/>
  <c r="K18" i="31"/>
  <c r="L18" i="31"/>
  <c r="K18" i="33"/>
  <c r="L18" i="33"/>
  <c r="L25" i="33" s="1"/>
  <c r="P29" i="33" s="1"/>
  <c r="M22" i="33"/>
  <c r="L22" i="31"/>
  <c r="M22" i="31" s="1"/>
  <c r="N22" i="31" s="1"/>
  <c r="O22" i="31" s="1"/>
  <c r="P22" i="31" s="1"/>
  <c r="M21" i="35"/>
  <c r="K19" i="34"/>
  <c r="M19" i="34" s="1"/>
  <c r="N19" i="34" s="1"/>
  <c r="O19" i="34" s="1"/>
  <c r="I25" i="34"/>
  <c r="P28" i="34" s="1"/>
  <c r="M17" i="31"/>
  <c r="M22" i="29"/>
  <c r="M23" i="33"/>
  <c r="N23" i="33" s="1"/>
  <c r="O23" i="33" s="1"/>
  <c r="I16" i="26"/>
  <c r="I17" i="26"/>
  <c r="L17" i="26" s="1"/>
  <c r="I18" i="26"/>
  <c r="I19" i="26"/>
  <c r="L19" i="26" s="1"/>
  <c r="I20" i="26"/>
  <c r="L20" i="26" s="1"/>
  <c r="I21" i="26"/>
  <c r="L21" i="26" s="1"/>
  <c r="I22" i="26"/>
  <c r="K22" i="26" s="1"/>
  <c r="I23" i="26"/>
  <c r="I24" i="26"/>
  <c r="I21" i="27"/>
  <c r="L21" i="27" s="1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N21" i="33" s="1"/>
  <c r="O21" i="33" s="1"/>
  <c r="M19" i="28"/>
  <c r="N19" i="28" s="1"/>
  <c r="O19" i="28" s="1"/>
  <c r="M16" i="29"/>
  <c r="M17" i="30"/>
  <c r="N17" i="30" s="1"/>
  <c r="O17" i="30" s="1"/>
  <c r="M16" i="32"/>
  <c r="N16" i="32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L25" i="31"/>
  <c r="P29" i="31" s="1"/>
  <c r="K25" i="33"/>
  <c r="P30" i="33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3" i="34"/>
  <c r="O23" i="34" s="1"/>
  <c r="P23" i="34" s="1"/>
  <c r="N24" i="33"/>
  <c r="O24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N23" i="31"/>
  <c r="O23" i="31" s="1"/>
  <c r="N17" i="31"/>
  <c r="O17" i="31" s="1"/>
  <c r="M16" i="3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16" i="29"/>
  <c r="N20" i="29"/>
  <c r="O20" i="29" s="1"/>
  <c r="N24" i="29"/>
  <c r="O24" i="29" s="1"/>
  <c r="P24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21" i="28"/>
  <c r="O21" i="28" s="1"/>
  <c r="J25" i="15"/>
  <c r="K16" i="27"/>
  <c r="K20" i="27"/>
  <c r="K21" i="27"/>
  <c r="K22" i="27"/>
  <c r="K23" i="27"/>
  <c r="L23" i="27"/>
  <c r="K24" i="27"/>
  <c r="K19" i="27"/>
  <c r="K17" i="26"/>
  <c r="K23" i="26"/>
  <c r="L23" i="26"/>
  <c r="K20" i="26"/>
  <c r="K21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K18" i="27" l="1"/>
  <c r="L25" i="34"/>
  <c r="P29" i="34" s="1"/>
  <c r="M17" i="29"/>
  <c r="N17" i="29" s="1"/>
  <c r="O17" i="29" s="1"/>
  <c r="P17" i="29" s="1"/>
  <c r="I25" i="27"/>
  <c r="P28" i="27" s="1"/>
  <c r="K25" i="31"/>
  <c r="P30" i="31" s="1"/>
  <c r="O24" i="34"/>
  <c r="P24" i="34"/>
  <c r="K18" i="26"/>
  <c r="K25" i="26" s="1"/>
  <c r="P30" i="26" s="1"/>
  <c r="L18" i="26"/>
  <c r="K19" i="26"/>
  <c r="K17" i="27"/>
  <c r="M18" i="33"/>
  <c r="N18" i="33" s="1"/>
  <c r="O18" i="33" s="1"/>
  <c r="K16" i="26"/>
  <c r="L16" i="26"/>
  <c r="K25" i="34"/>
  <c r="P30" i="34" s="1"/>
  <c r="L22" i="26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9" i="33"/>
  <c r="P20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18" i="33" l="1"/>
  <c r="M25" i="33"/>
  <c r="M16" i="26"/>
  <c r="L25" i="26"/>
  <c r="P29" i="26" s="1"/>
  <c r="P31" i="26" s="1"/>
  <c r="M18" i="26"/>
  <c r="N18" i="26" s="1"/>
  <c r="O18" i="26" s="1"/>
  <c r="I16" i="25"/>
  <c r="L16" i="25" s="1"/>
  <c r="I17" i="25"/>
  <c r="L17" i="25" s="1"/>
  <c r="I18" i="25"/>
  <c r="I19" i="25"/>
  <c r="L19" i="25" s="1"/>
  <c r="I20" i="25"/>
  <c r="L20" i="25" s="1"/>
  <c r="I22" i="25"/>
  <c r="K22" i="25" s="1"/>
  <c r="I23" i="25"/>
  <c r="L23" i="25" s="1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0" i="25"/>
  <c r="K16" i="25"/>
  <c r="K24" i="25"/>
  <c r="L22" i="25"/>
  <c r="K17" i="25"/>
  <c r="K23" i="25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24" i="19"/>
  <c r="L24" i="19"/>
  <c r="K21" i="19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19" i="18" l="1"/>
  <c r="L19" i="18"/>
  <c r="K20" i="21"/>
  <c r="L20" i="21"/>
  <c r="M20" i="21" s="1"/>
  <c r="N20" i="21" s="1"/>
  <c r="O20" i="21" s="1"/>
  <c r="K18" i="24"/>
  <c r="L18" i="24"/>
  <c r="K17" i="17"/>
  <c r="L17" i="17"/>
  <c r="M17" i="17" s="1"/>
  <c r="N17" i="17" s="1"/>
  <c r="O17" i="17" s="1"/>
  <c r="K19" i="23"/>
  <c r="M19" i="23" s="1"/>
  <c r="N19" i="23" s="1"/>
  <c r="O19" i="23" s="1"/>
  <c r="L19" i="23"/>
  <c r="K19" i="21"/>
  <c r="L19" i="21"/>
  <c r="M19" i="21" s="1"/>
  <c r="N19" i="21" s="1"/>
  <c r="O19" i="21" s="1"/>
  <c r="K20" i="17"/>
  <c r="M20" i="17" s="1"/>
  <c r="N20" i="17" s="1"/>
  <c r="O20" i="17" s="1"/>
  <c r="L20" i="17"/>
  <c r="K18" i="21"/>
  <c r="L18" i="21"/>
  <c r="M18" i="21" s="1"/>
  <c r="N18" i="21" s="1"/>
  <c r="O18" i="21" s="1"/>
  <c r="K17" i="20"/>
  <c r="M17" i="20" s="1"/>
  <c r="N17" i="20" s="1"/>
  <c r="O17" i="20" s="1"/>
  <c r="L17" i="20"/>
  <c r="K24" i="18"/>
  <c r="M24" i="18" s="1"/>
  <c r="K18" i="19"/>
  <c r="M18" i="19" s="1"/>
  <c r="N18" i="19" s="1"/>
  <c r="O18" i="19" s="1"/>
  <c r="K19" i="17"/>
  <c r="M19" i="17" s="1"/>
  <c r="N19" i="17" s="1"/>
  <c r="O19" i="17" s="1"/>
  <c r="P19" i="17" s="1"/>
  <c r="L19" i="17"/>
  <c r="K18" i="20"/>
  <c r="L18" i="20"/>
  <c r="M18" i="20" s="1"/>
  <c r="N18" i="20" s="1"/>
  <c r="O18" i="20" s="1"/>
  <c r="K20" i="24"/>
  <c r="L20" i="24"/>
  <c r="K19" i="20"/>
  <c r="L19" i="20"/>
  <c r="M19" i="20" s="1"/>
  <c r="N19" i="20" s="1"/>
  <c r="O19" i="20" s="1"/>
  <c r="K18" i="25"/>
  <c r="L18" i="25"/>
  <c r="K16" i="17"/>
  <c r="L16" i="17"/>
  <c r="M16" i="17" s="1"/>
  <c r="K21" i="24"/>
  <c r="M21" i="24" s="1"/>
  <c r="N21" i="24" s="1"/>
  <c r="O21" i="24" s="1"/>
  <c r="K18" i="17"/>
  <c r="L18" i="17"/>
  <c r="K21" i="21"/>
  <c r="M21" i="21" s="1"/>
  <c r="N21" i="21" s="1"/>
  <c r="L21" i="21"/>
  <c r="K21" i="23"/>
  <c r="L21" i="23"/>
  <c r="K21" i="18"/>
  <c r="M21" i="18" s="1"/>
  <c r="N21" i="18" s="1"/>
  <c r="O21" i="18" s="1"/>
  <c r="I25" i="25"/>
  <c r="P28" i="25" s="1"/>
  <c r="K17" i="24"/>
  <c r="K22" i="18"/>
  <c r="M22" i="18" s="1"/>
  <c r="L22" i="19"/>
  <c r="K23" i="19"/>
  <c r="M23" i="19" s="1"/>
  <c r="N23" i="19" s="1"/>
  <c r="O23" i="19" s="1"/>
  <c r="K19" i="19"/>
  <c r="L23" i="22"/>
  <c r="L25" i="22" s="1"/>
  <c r="P29" i="22" s="1"/>
  <c r="K19" i="25"/>
  <c r="L25" i="25"/>
  <c r="P29" i="25" s="1"/>
  <c r="K21" i="25"/>
  <c r="K16" i="24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K17" i="19"/>
  <c r="M17" i="19" s="1"/>
  <c r="N17" i="19" s="1"/>
  <c r="O17" i="19" s="1"/>
  <c r="K20" i="18"/>
  <c r="M20" i="18" s="1"/>
  <c r="N20" i="18" s="1"/>
  <c r="O20" i="18" s="1"/>
  <c r="K16" i="23"/>
  <c r="M16" i="23" s="1"/>
  <c r="N16" i="23" s="1"/>
  <c r="L24" i="24"/>
  <c r="L22" i="21"/>
  <c r="M22" i="21" s="1"/>
  <c r="N22" i="21" s="1"/>
  <c r="O22" i="21" s="1"/>
  <c r="K16" i="20"/>
  <c r="M16" i="20" s="1"/>
  <c r="N16" i="20" s="1"/>
  <c r="K16" i="19"/>
  <c r="K22" i="17"/>
  <c r="M22" i="17" s="1"/>
  <c r="N22" i="17" s="1"/>
  <c r="O22" i="17" s="1"/>
  <c r="K17" i="21"/>
  <c r="M17" i="21" s="1"/>
  <c r="N17" i="21" s="1"/>
  <c r="O17" i="21" s="1"/>
  <c r="P17" i="21" s="1"/>
  <c r="K18" i="23"/>
  <c r="M18" i="23" s="1"/>
  <c r="N18" i="23" s="1"/>
  <c r="O18" i="23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21" i="22"/>
  <c r="N21" i="22" s="1"/>
  <c r="O21" i="22" s="1"/>
  <c r="P21" i="22" s="1"/>
  <c r="M17" i="22"/>
  <c r="N17" i="22" s="1"/>
  <c r="O17" i="22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N24" i="24" s="1"/>
  <c r="O24" i="24" s="1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I22" i="16"/>
  <c r="K22" i="16" s="1"/>
  <c r="I23" i="16"/>
  <c r="L23" i="16" s="1"/>
  <c r="I24" i="16"/>
  <c r="L24" i="16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M16" i="22"/>
  <c r="M21" i="19"/>
  <c r="L25" i="19"/>
  <c r="P29" i="19" s="1"/>
  <c r="N24" i="18"/>
  <c r="O24" i="18" s="1"/>
  <c r="N22" i="18"/>
  <c r="O22" i="18" s="1"/>
  <c r="I23" i="15"/>
  <c r="K25" i="24" l="1"/>
  <c r="P30" i="24" s="1"/>
  <c r="M18" i="24"/>
  <c r="N18" i="24" s="1"/>
  <c r="O18" i="24" s="1"/>
  <c r="K25" i="25"/>
  <c r="P30" i="25" s="1"/>
  <c r="K20" i="16"/>
  <c r="K20" i="15" s="1"/>
  <c r="L20" i="16"/>
  <c r="L20" i="15" s="1"/>
  <c r="L21" i="16"/>
  <c r="L21" i="15" s="1"/>
  <c r="K18" i="16"/>
  <c r="K18" i="15" s="1"/>
  <c r="L18" i="16"/>
  <c r="L18" i="15" s="1"/>
  <c r="K16" i="16"/>
  <c r="L16" i="16"/>
  <c r="K25" i="19"/>
  <c r="P30" i="19" s="1"/>
  <c r="K22" i="15"/>
  <c r="M19" i="18"/>
  <c r="N19" i="18" s="1"/>
  <c r="O19" i="18" s="1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M25" i="24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5" i="15" s="1"/>
  <c r="M24" i="16"/>
  <c r="N24" i="16" s="1"/>
  <c r="K23" i="16"/>
  <c r="K19" i="16"/>
  <c r="K19" i="15" s="1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6" i="16" l="1"/>
  <c r="N16" i="16" s="1"/>
  <c r="M18" i="15"/>
  <c r="M21" i="15"/>
  <c r="M25" i="18"/>
  <c r="M16" i="15"/>
  <c r="P22" i="20"/>
  <c r="M22" i="15"/>
  <c r="N16" i="18"/>
  <c r="N16" i="15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8"/>
  <c r="O16" i="17"/>
  <c r="O25" i="17" s="1"/>
  <c r="N25" i="17"/>
  <c r="P32" i="17" s="1"/>
  <c r="O16" i="16"/>
  <c r="N18" i="15" l="1"/>
  <c r="P18" i="15" s="1"/>
  <c r="O22" i="16"/>
  <c r="O22" i="15" s="1"/>
  <c r="P22" i="15" s="1"/>
  <c r="N25" i="18"/>
  <c r="P32" i="18" s="1"/>
  <c r="P33" i="18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22" i="16" l="1"/>
  <c r="P33" i="16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<sst xmlns="http://schemas.openxmlformats.org/spreadsheetml/2006/main" count="1581" uniqueCount="108">
  <si>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</si>
  <si>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</si>
  <si>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</si>
  <si>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</si>
  <si>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</si>
  <si>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</si>
  <si>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</si>
  <si>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</si>
  <si>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</si>
  <si>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</si>
  <si>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</si>
  <si>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</si>
  <si>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</si>
  <si>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</si>
  <si>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</si>
  <si>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</si>
  <si>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</si>
  <si>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</si>
  <si>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</si>
  <si>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</si>
  <si>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</si>
  <si>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</si>
  <si>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</si>
  <si>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</si>
  <si>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</si>
  <si>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</si>
  <si>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</si>
  <si>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</si>
  <si>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</si>
  <si>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</si>
  <si>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</si>
  <si>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</si>
  <si>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</si>
  <si>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</si>
  <si>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</si>
  <si>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</si>
  <si>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</si>
  <si>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</si>
  <si>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</si>
  <si>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</si>
  <si>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</si>
  <si>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</si>
  <si>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</si>
  <si>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</si>
  <si>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</si>
  <si>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</si>
  <si>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</si>
  <si>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</si>
  <si>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</si>
  <si>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</si>
  <si>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</si>
  <si>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</si>
  <si>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</si>
  <si>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</si>
  <si>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</si>
  <si>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</si>
  <si>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</si>
  <si>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</si>
  <si>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</si>
  <si>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</si>
  <si>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</si>
  <si>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</si>
  <si>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</si>
  <si>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</si>
  <si>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</si>
  <si>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</si>
  <si>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</si>
  <si>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</si>
  <si>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</si>
  <si>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</si>
  <si>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</si>
  <si>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</si>
  <si>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</si>
  <si>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</si>
  <si>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</si>
  <si>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</si>
  <si>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</si>
  <si>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</si>
  <si>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</si>
  <si>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</si>
  <si>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</si>
  <si>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</si>
  <si>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</si>
  <si>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</si>
  <si>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</si>
  <si>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</si>
  <si>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</si>
  <si>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</si>
  <si>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</si>
  <si>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</si>
  <si>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</si>
  <si>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</si>
  <si>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</si>
  <si>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</si>
  <si>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</si>
  <si>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</si>
  <si>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</si>
  <si>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</si>
  <si>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</si>
  <si>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</si>
  <si>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</si>
  <si>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</si>
  <si>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3344916-3</t>
  </si>
  <si>
    <t>Customer Name : Rainbow Cash &amp; Carry</t>
  </si>
  <si>
    <t>\</t>
  </si>
  <si>
    <t xml:space="preserve">Address: EME </t>
  </si>
  <si>
    <t>Rainbow EME</t>
  </si>
  <si>
    <t>Shop Bill Summary (EME (Rainbow)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</si>
</sst>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K17" sqref="K17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K17" sqref="K17"/>
      <selection pane="topRight" activeCell="K17" sqref="K17"/>
      <selection pane="bottomLeft" activeCell="K17" sqref="K17"/>
      <selection pane="bottomRight" activeCell="K17" sqref="K1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topLeftCell="S1" zoomScale="70" zoomScaleNormal="70" workbookViewId="0">
      <selection activeCell="T14" sqref="T1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46" t="s">
        <v>45</v>
      </c>
      <c r="B2" s="246"/>
      <c r="C2" s="246"/>
    </row>
    <row r="3" spans="1:21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5" t="s">
        <v>106</v>
      </c>
      <c r="B5" s="245"/>
      <c r="C5" s="245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21 16383:16384" ht="15" customHeight="1" x14ac:dyDescent="0.35">
      <c r="A6" s="245"/>
      <c r="B6" s="245"/>
      <c r="C6" s="245"/>
      <c r="F6" s="70"/>
      <c r="G6" s="74"/>
      <c r="K6" s="230" t="s">
        <v>52</v>
      </c>
      <c r="L6" s="230"/>
      <c r="M6" s="230"/>
      <c r="N6" s="243" t="s">
        <v>42</v>
      </c>
      <c r="O6" s="243"/>
      <c r="P6" s="24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21 16383:16384" hidden="1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21 16383:16384" x14ac:dyDescent="0.35">
      <c r="A10" s="228"/>
      <c r="B10" s="75"/>
      <c r="C10" s="75" t="s">
        <v>104</v>
      </c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21 16383:16384" ht="15" thickBot="1" x14ac:dyDescent="0.4">
      <c r="A11" s="228"/>
      <c r="B11" s="76"/>
      <c r="C11" s="77"/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21 16383:16384" ht="14.65" customHeight="1" x14ac:dyDescent="0.35">
      <c r="A12" s="228"/>
      <c r="B12" s="76"/>
      <c r="C12" s="77"/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T12" s="200" t="s">
        <v>107</v>
      </c>
      <c r="U12" s="201"/>
      <c r="XFD12" t="s">
        <v>62</v>
      </c>
    </row>
    <row r="13" spans="1:21 16383:16384" ht="15" thickBot="1" x14ac:dyDescent="0.4">
      <c r="A13" s="229"/>
      <c r="J13" s="78"/>
      <c r="K13" s="78"/>
      <c r="L13" s="79">
        <v>0.05</v>
      </c>
      <c r="T13" s="202"/>
      <c r="U13" s="203"/>
      <c r="XFD13" t="s">
        <v>63</v>
      </c>
    </row>
    <row r="14" spans="1:21 16383:16384" ht="29.25" customHeight="1" x14ac:dyDescent="0.6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38" t="s">
        <v>68</v>
      </c>
      <c r="H14" s="239"/>
      <c r="I14" s="239" t="s">
        <v>69</v>
      </c>
      <c r="J14" s="239" t="s">
        <v>70</v>
      </c>
      <c r="K14" s="239"/>
      <c r="L14" s="241"/>
      <c r="M14" s="233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Rainbow Cash &amp; Carry</v>
      </c>
      <c r="U14" s="163">
        <f>+'1'!P35</f>
        <v>18934.3732218</v>
      </c>
      <c r="XFD14" t="s">
        <v>75</v>
      </c>
    </row>
    <row r="15" spans="1:21 16383:16384" ht="29.25" customHeight="1" thickBot="1" x14ac:dyDescent="0.65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0"/>
      <c r="J15" s="170" t="s">
        <v>78</v>
      </c>
      <c r="K15" s="170" t="s">
        <v>79</v>
      </c>
      <c r="L15" s="173" t="s">
        <v>80</v>
      </c>
      <c r="M15" s="23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Rainbow Cash &amp; Carry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80</v>
      </c>
      <c r="I16" s="1">
        <f>(G16*D16)*F16+H16*F16</f>
        <v>4197</v>
      </c>
      <c r="J16" s="171">
        <f>+'1'!J16+'2'!J16+'4'!J16+'3'!J16+'5'!J16+'6'!J16+'7'!J16+'8'!J16+'9'!J16+'10'!J16+'11'!J16+'12'!J16+'13'!J16+'14'!J16+'15'!J16+'16'!J16+'17'!J16+'18'!J16</f>
        <v>4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587.58000000000004</v>
      </c>
      <c r="M16" s="105">
        <f>I16-K16-L16</f>
        <v>3609.42</v>
      </c>
      <c r="N16" s="100">
        <f>+'1'!N16+'2'!N16+'4'!N16+'3'!N16+'5'!N16+'6'!N16+'7'!N16+'8'!N16+'9'!N16+'10'!N16</f>
        <v>687.46860000000004</v>
      </c>
      <c r="O16" s="100">
        <f>+'1'!O16+'2'!O16+'4'!O16+'3'!O16+'5'!O16+'6'!O16+'7'!O16+'8'!O16+'9'!O16+'10'!O16</f>
        <v>21.484443000000002</v>
      </c>
      <c r="P16" s="104">
        <f t="shared" ref="P16:P24" si="0">M16+N16+O16</f>
        <v>4318.3730430000005</v>
      </c>
      <c r="Q16" s="107"/>
      <c r="T16" s="162" t="str">
        <f>+'4'!A5</f>
        <v>Customer Name : Rainbow Cash &amp; Carry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160</v>
      </c>
      <c r="I17" s="1">
        <f t="shared" ref="I17:I23" si="1">(G17*D17)*F17+H17*F17</f>
        <v>8394</v>
      </c>
      <c r="J17" s="171">
        <f>+'1'!J17+'2'!J17+'4'!J17+'3'!J17+'5'!J17+'6'!J17+'7'!J17+'8'!J17+'9'!J17+'10'!J17+'11'!J17+'12'!J17+'13'!J17+'14'!J17+'15'!J17+'16'!J17+'17'!J17+'18'!J17</f>
        <v>8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1175.1600000000001</v>
      </c>
      <c r="M17" s="117">
        <f t="shared" ref="M17:M23" si="2">I17-K17-L17</f>
        <v>7218.84</v>
      </c>
      <c r="N17" s="100">
        <f>+'1'!N17+'2'!N17+'4'!N17+'3'!N17+'5'!N17+'6'!N17+'7'!N17+'8'!N17+'9'!N17+'10'!N17</f>
        <v>1374.9372000000001</v>
      </c>
      <c r="O17" s="100">
        <f>+'1'!O17+'2'!O17+'4'!O17+'3'!O17+'5'!O17+'6'!O17+'7'!O17+'8'!O17+'9'!O17+'10'!O17</f>
        <v>42.968886000000005</v>
      </c>
      <c r="P17" s="119">
        <f t="shared" si="0"/>
        <v>8636.746086000001</v>
      </c>
      <c r="S17" s="64"/>
      <c r="T17" s="162" t="str">
        <f>+'3'!A5</f>
        <v>Customer Name : Rainbow Cash &amp; Carry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Rainbow Cash &amp; Carry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40</v>
      </c>
      <c r="I19" s="1">
        <f t="shared" si="1"/>
        <v>2905.6</v>
      </c>
      <c r="J19" s="171">
        <f>+'1'!J19+'2'!J19+'4'!J19+'3'!J19+'5'!J19+'6'!J19+'7'!J19+'8'!J19+'9'!J19+'10'!J19+'11'!J19+'12'!J19+'13'!J19+'14'!J19+'15'!J19+'16'!J19+'17'!J19+'18'!J19</f>
        <v>2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406.78400000000005</v>
      </c>
      <c r="M19" s="117">
        <f t="shared" si="2"/>
        <v>2498.8159999999998</v>
      </c>
      <c r="N19" s="100">
        <f>+'1'!N19+'2'!N19+'4'!N19+'3'!N19+'5'!N19+'6'!N19+'7'!N19+'8'!N19+'9'!N19+'10'!N19</f>
        <v>475.93727999999993</v>
      </c>
      <c r="O19" s="100">
        <f>+'1'!O19+'2'!O19+'4'!O19+'3'!O19+'5'!O19+'6'!O19+'7'!O19+'8'!O19+'9'!O19+'10'!O19</f>
        <v>14.873766399999999</v>
      </c>
      <c r="P19" s="119">
        <f t="shared" si="0"/>
        <v>2989.6270463999999</v>
      </c>
      <c r="T19" s="162" t="str">
        <f>+'6'!A5</f>
        <v>Customer Name : Rainbow Cash &amp; Carry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0</v>
      </c>
      <c r="M20" s="117">
        <f t="shared" si="2"/>
        <v>0</v>
      </c>
      <c r="N20" s="100">
        <f>+'1'!N20+'2'!N20+'4'!N20+'3'!N20+'5'!N20+'6'!N20+'7'!N20+'8'!N20+'9'!N20+'10'!N20</f>
        <v>0</v>
      </c>
      <c r="O20" s="100">
        <f>+'1'!O20+'2'!O20+'4'!O20+'3'!O20+'5'!O20+'6'!O20+'7'!O20+'8'!O20+'9'!O20+'10'!O20</f>
        <v>0</v>
      </c>
      <c r="P20" s="119">
        <f t="shared" si="0"/>
        <v>0</v>
      </c>
      <c r="T20" s="162" t="str">
        <f>+'7'!A5</f>
        <v>Customer Name : Rainbow Cash &amp; Carry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40</v>
      </c>
      <c r="I21" s="1">
        <f t="shared" si="1"/>
        <v>2905.6</v>
      </c>
      <c r="J21" s="171">
        <f>+'1'!J21+'2'!J21+'4'!J21+'3'!J21+'5'!J21+'6'!J21+'7'!J21+'8'!J21+'9'!J21+'10'!J21+'11'!J21+'12'!J21+'13'!J21+'14'!J21+'15'!J21+'16'!J21+'17'!J21+'18'!J21</f>
        <v>2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406.78400000000005</v>
      </c>
      <c r="M21" s="117">
        <f t="shared" si="2"/>
        <v>2498.8159999999998</v>
      </c>
      <c r="N21" s="100">
        <f>+'1'!N21+'2'!N21+'4'!N21+'3'!N21+'5'!N21+'6'!N21+'7'!N21+'8'!N21+'9'!N21+'10'!N21</f>
        <v>475.93727999999993</v>
      </c>
      <c r="O21" s="100">
        <f>+'1'!O21+'2'!O21+'4'!O21+'3'!O21+'5'!O21+'6'!O21+'7'!O21+'8'!O21+'9'!O21+'10'!O21</f>
        <v>14.873766399999999</v>
      </c>
      <c r="P21" s="119">
        <f t="shared" si="0"/>
        <v>2989.6270463999999</v>
      </c>
      <c r="T21" s="162" t="str">
        <f>+'8'!A5</f>
        <v>Customer Name : Rainbow Cash &amp; Carry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Rainbow Cash &amp; Carry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Rainbow Cash &amp; Carry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Rainbow Cash &amp; Carry</v>
      </c>
      <c r="U24" s="163">
        <f>+'11'!P35</f>
        <v>0</v>
      </c>
    </row>
    <row r="25" spans="1:21 16384:16384" ht="26.5" thickBot="1" x14ac:dyDescent="0.65">
      <c r="A25" s="210" t="s">
        <v>84</v>
      </c>
      <c r="B25" s="211"/>
      <c r="C25" s="212">
        <f>H25/40</f>
        <v>8</v>
      </c>
      <c r="D25" s="206"/>
      <c r="E25" s="206"/>
      <c r="F25" s="206"/>
      <c r="G25" s="175">
        <f t="shared" ref="G25:M25" si="3">SUM(G16:G24)</f>
        <v>0</v>
      </c>
      <c r="H25" s="176">
        <f t="shared" si="3"/>
        <v>320</v>
      </c>
      <c r="I25" s="177">
        <f t="shared" si="3"/>
        <v>18402.2</v>
      </c>
      <c r="J25" s="176">
        <f t="shared" si="3"/>
        <v>16</v>
      </c>
      <c r="K25" s="177">
        <f t="shared" si="3"/>
        <v>0</v>
      </c>
      <c r="L25" s="178">
        <f t="shared" si="3"/>
        <v>2576.3080000000004</v>
      </c>
      <c r="M25" s="140">
        <f t="shared" si="3"/>
        <v>15825.892</v>
      </c>
      <c r="N25" s="141">
        <f>SUM(N16:N24)</f>
        <v>3014.2803600000002</v>
      </c>
      <c r="O25" s="142">
        <f>SUM(O16:O24)</f>
        <v>94.200861799999998</v>
      </c>
      <c r="P25" s="143">
        <f>SUM(P16:P24)</f>
        <v>18934.373221800004</v>
      </c>
      <c r="T25" s="162" t="str">
        <f>+'12'!A5</f>
        <v>Customer Name : Rainbow Cash &amp; Carry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Rainbow Cash &amp; Carry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Rainbow Cash &amp; Carry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Rainbow Cash &amp; Carry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>Customer Name : Rainbow Cash &amp; Carry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>Customer Name : Rainbow Cash &amp; Carry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>Customer Name : Rainbow Cash &amp; Carry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18934.3732218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13" t="s">
        <v>85</v>
      </c>
      <c r="C35" s="214"/>
      <c r="D35" s="214"/>
      <c r="E35" s="214"/>
      <c r="F35" s="214"/>
      <c r="G35" s="214"/>
      <c r="H35" s="214"/>
      <c r="I35" s="214"/>
      <c r="J35" s="214"/>
      <c r="K35" s="214"/>
      <c r="L35" s="215"/>
      <c r="N35" s="222" t="s">
        <v>86</v>
      </c>
      <c r="O35" s="223"/>
      <c r="P35" s="151">
        <f>I25</f>
        <v>18402.2</v>
      </c>
    </row>
    <row r="36" spans="1:21" ht="15" customHeight="1" x14ac:dyDescent="0.35">
      <c r="B36" s="216"/>
      <c r="C36" s="217"/>
      <c r="D36" s="217"/>
      <c r="E36" s="217"/>
      <c r="F36" s="217"/>
      <c r="G36" s="217"/>
      <c r="H36" s="217"/>
      <c r="I36" s="217"/>
      <c r="J36" s="217"/>
      <c r="K36" s="217"/>
      <c r="L36" s="218"/>
      <c r="N36" s="224" t="s">
        <v>87</v>
      </c>
      <c r="O36" s="225"/>
      <c r="P36" s="152">
        <f>L25</f>
        <v>2576.3080000000004</v>
      </c>
    </row>
    <row r="37" spans="1:21" ht="15" customHeight="1" x14ac:dyDescent="0.35">
      <c r="B37" s="216"/>
      <c r="C37" s="217"/>
      <c r="D37" s="217"/>
      <c r="E37" s="217"/>
      <c r="F37" s="217"/>
      <c r="G37" s="217"/>
      <c r="H37" s="217"/>
      <c r="I37" s="217"/>
      <c r="J37" s="217"/>
      <c r="K37" s="217"/>
      <c r="L37" s="218"/>
      <c r="N37" s="224" t="s">
        <v>4</v>
      </c>
      <c r="O37" s="225"/>
      <c r="P37" s="153">
        <f>K25</f>
        <v>0</v>
      </c>
    </row>
    <row r="38" spans="1:21" ht="15" customHeight="1" x14ac:dyDescent="0.35">
      <c r="B38" s="216"/>
      <c r="C38" s="217"/>
      <c r="D38" s="217"/>
      <c r="E38" s="217"/>
      <c r="F38" s="217"/>
      <c r="G38" s="217"/>
      <c r="H38" s="217"/>
      <c r="I38" s="217"/>
      <c r="J38" s="217"/>
      <c r="K38" s="217"/>
      <c r="L38" s="218"/>
      <c r="M38" s="2"/>
      <c r="N38" s="224" t="s">
        <v>88</v>
      </c>
      <c r="O38" s="225"/>
      <c r="P38" s="152">
        <f>P35-P36-P37</f>
        <v>15825.892</v>
      </c>
    </row>
    <row r="39" spans="1:21" ht="15" customHeight="1" x14ac:dyDescent="0.35">
      <c r="B39" s="216"/>
      <c r="C39" s="217"/>
      <c r="D39" s="217"/>
      <c r="E39" s="217"/>
      <c r="F39" s="217"/>
      <c r="G39" s="217"/>
      <c r="H39" s="217"/>
      <c r="I39" s="217"/>
      <c r="J39" s="217"/>
      <c r="K39" s="217"/>
      <c r="L39" s="218"/>
      <c r="M39" s="2"/>
      <c r="N39" s="154" t="s">
        <v>89</v>
      </c>
      <c r="O39" s="155">
        <f>IF(B12="Registered",18%,22%)</f>
        <v>0.22</v>
      </c>
      <c r="P39" s="152">
        <f>N25</f>
        <v>3014.2803600000002</v>
      </c>
    </row>
    <row r="40" spans="1:21" ht="15" customHeight="1" x14ac:dyDescent="0.35">
      <c r="B40" s="216"/>
      <c r="C40" s="217"/>
      <c r="D40" s="217"/>
      <c r="E40" s="217"/>
      <c r="F40" s="217"/>
      <c r="G40" s="217"/>
      <c r="H40" s="217"/>
      <c r="I40" s="217"/>
      <c r="J40" s="217"/>
      <c r="K40" s="217"/>
      <c r="L40" s="218"/>
      <c r="M40" s="2"/>
      <c r="N40" s="226" t="s">
        <v>90</v>
      </c>
      <c r="O40" s="227"/>
      <c r="P40" s="152">
        <f>P38+P39</f>
        <v>18840.17236</v>
      </c>
    </row>
    <row r="41" spans="1:21" ht="15" customHeight="1" thickBot="1" x14ac:dyDescent="0.4">
      <c r="B41" s="219"/>
      <c r="C41" s="220"/>
      <c r="D41" s="220"/>
      <c r="E41" s="220"/>
      <c r="F41" s="220"/>
      <c r="G41" s="220"/>
      <c r="H41" s="220"/>
      <c r="I41" s="220"/>
      <c r="J41" s="220"/>
      <c r="K41" s="220"/>
      <c r="L41" s="221"/>
      <c r="M41" s="156"/>
      <c r="N41" s="157" t="s">
        <v>91</v>
      </c>
      <c r="O41" s="158">
        <f>IF(B11="Filer",0.5%,2.5%)</f>
        <v>2.5000000000000001E-2</v>
      </c>
      <c r="P41" s="152">
        <f>O41*P40</f>
        <v>471.00430900000003</v>
      </c>
    </row>
    <row r="42" spans="1:21" ht="15.75" customHeight="1" thickBot="1" x14ac:dyDescent="0.4">
      <c r="N42" s="204" t="s">
        <v>92</v>
      </c>
      <c r="O42" s="205"/>
      <c r="P42" s="159">
        <f>P40+P41</f>
        <v>19311.176669</v>
      </c>
    </row>
    <row r="43" spans="1:21" ht="15" thickBot="1" x14ac:dyDescent="0.4">
      <c r="B43" s="160" t="s">
        <v>93</v>
      </c>
      <c r="C43" s="206"/>
      <c r="D43" s="206"/>
      <c r="E43" s="206"/>
      <c r="F43" s="206"/>
      <c r="G43" s="206"/>
      <c r="H43" s="206"/>
      <c r="I43" s="207"/>
      <c r="J43" s="208"/>
      <c r="K43" s="209"/>
    </row>
    <row r="44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C4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101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>
        <f>H16/20</f>
        <v>4</v>
      </c>
      <c r="K16" s="103">
        <f>I16*$K$13</f>
        <v>0</v>
      </c>
      <c r="L16" s="104">
        <f>I16*14%</f>
        <v>587.58000000000004</v>
      </c>
      <c r="M16" s="105">
        <f>I16-K16-L16</f>
        <v>3609.42</v>
      </c>
      <c r="N16" s="105">
        <f t="shared" ref="N16:N24" si="0">(M16*$N$15)+(J16*F16)*$N$15</f>
        <v>687.46860000000004</v>
      </c>
      <c r="O16" s="106">
        <f t="shared" ref="O16:O24" si="1">(N16+M16)*$O$15</f>
        <v>21.484443000000002</v>
      </c>
      <c r="P16" s="104">
        <f t="shared" ref="P16:P24" si="2">M16+N16+O16</f>
        <v>4318.3730430000005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160</v>
      </c>
      <c r="I17" s="115">
        <f t="shared" ref="I17:I23" si="3">(G17*D17)*F17+H17*F17</f>
        <v>8394</v>
      </c>
      <c r="J17" s="102">
        <f t="shared" ref="J17:J21" si="4">H17/20</f>
        <v>8</v>
      </c>
      <c r="K17" s="1">
        <f t="shared" ref="K17:K21" si="5">I17*$K$13</f>
        <v>0</v>
      </c>
      <c r="L17" s="104">
        <f t="shared" ref="L17:L21" si="6">I17*14%</f>
        <v>1175.1600000000001</v>
      </c>
      <c r="M17" s="117">
        <f t="shared" ref="M17:M23" si="7">I17-K17-L17</f>
        <v>7218.84</v>
      </c>
      <c r="N17" s="117">
        <f t="shared" si="0"/>
        <v>1374.9372000000001</v>
      </c>
      <c r="O17" s="118">
        <f t="shared" si="1"/>
        <v>42.968886000000005</v>
      </c>
      <c r="P17" s="119">
        <f t="shared" si="2"/>
        <v>8636.746086000001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02">
        <f t="shared" si="4"/>
        <v>0</v>
      </c>
      <c r="K18" s="1">
        <f t="shared" si="5"/>
        <v>0</v>
      </c>
      <c r="L18" s="104">
        <f t="shared" si="6"/>
        <v>0</v>
      </c>
      <c r="M18" s="117">
        <f t="shared" si="7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40</v>
      </c>
      <c r="I19" s="115">
        <f t="shared" si="3"/>
        <v>2905.6</v>
      </c>
      <c r="J19" s="102">
        <f t="shared" si="4"/>
        <v>2</v>
      </c>
      <c r="K19" s="1">
        <f t="shared" si="5"/>
        <v>0</v>
      </c>
      <c r="L19" s="104">
        <f t="shared" si="6"/>
        <v>406.78400000000005</v>
      </c>
      <c r="M19" s="117">
        <f t="shared" si="7"/>
        <v>2498.8159999999998</v>
      </c>
      <c r="N19" s="117">
        <f t="shared" si="0"/>
        <v>475.93727999999993</v>
      </c>
      <c r="O19" s="118">
        <f t="shared" si="1"/>
        <v>14.873766399999999</v>
      </c>
      <c r="P19" s="119">
        <f t="shared" si="2"/>
        <v>2989.6270463999999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3"/>
        <v>0</v>
      </c>
      <c r="J20" s="102">
        <f t="shared" si="4"/>
        <v>0</v>
      </c>
      <c r="K20" s="1">
        <f t="shared" si="5"/>
        <v>0</v>
      </c>
      <c r="L20" s="104">
        <f t="shared" si="6"/>
        <v>0</v>
      </c>
      <c r="M20" s="117">
        <f t="shared" si="7"/>
        <v>0</v>
      </c>
      <c r="N20" s="117">
        <f t="shared" si="0"/>
        <v>0</v>
      </c>
      <c r="O20" s="118">
        <f t="shared" si="1"/>
        <v>0</v>
      </c>
      <c r="P20" s="119">
        <f t="shared" si="2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40</v>
      </c>
      <c r="I21" s="115">
        <f t="shared" si="3"/>
        <v>2905.6</v>
      </c>
      <c r="J21" s="102">
        <f t="shared" si="4"/>
        <v>2</v>
      </c>
      <c r="K21" s="1">
        <f t="shared" si="5"/>
        <v>0</v>
      </c>
      <c r="L21" s="104">
        <f t="shared" si="6"/>
        <v>406.78400000000005</v>
      </c>
      <c r="M21" s="117">
        <f t="shared" si="7"/>
        <v>2498.8159999999998</v>
      </c>
      <c r="N21" s="117">
        <f t="shared" si="0"/>
        <v>475.93727999999993</v>
      </c>
      <c r="O21" s="118">
        <f t="shared" si="1"/>
        <v>14.873766399999999</v>
      </c>
      <c r="P21" s="119">
        <f t="shared" si="2"/>
        <v>2989.6270463999999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7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7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10">SUM(G16:G24)</f>
        <v>0</v>
      </c>
      <c r="H25" s="135">
        <f t="shared" si="10"/>
        <v>320</v>
      </c>
      <c r="I25" s="136">
        <f t="shared" si="10"/>
        <v>18402.2</v>
      </c>
      <c r="J25" s="182">
        <f>SUM(J16:J21)</f>
        <v>16</v>
      </c>
      <c r="K25" s="138">
        <f t="shared" si="10"/>
        <v>0</v>
      </c>
      <c r="L25" s="139">
        <f t="shared" si="10"/>
        <v>2576.3080000000004</v>
      </c>
      <c r="M25" s="140">
        <f t="shared" si="10"/>
        <v>15825.892</v>
      </c>
      <c r="N25" s="141">
        <f>SUM(N16:N24)</f>
        <v>3014.2803600000002</v>
      </c>
      <c r="O25" s="142">
        <f>SUM(O16:O24)</f>
        <v>94.200861799999998</v>
      </c>
      <c r="P25" s="143">
        <f>SUM(P16:P24)</f>
        <v>18934.373221800004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18402.2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2576.3080000000004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15825.892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3014.2803600000002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18840.17236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94.200861799999998</v>
      </c>
    </row>
    <row r="35" spans="2:16" ht="15.75" customHeight="1" thickBot="1" x14ac:dyDescent="0.4">
      <c r="N35" s="204" t="s">
        <v>92</v>
      </c>
      <c r="O35" s="205"/>
      <c r="P35" s="159">
        <f>P33+P34</f>
        <v>18934.3732218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2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 t="s">
        <v>102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>
        <f>H16/20</f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02">
        <f t="shared" ref="J17:J21" si="3">H17/20</f>
        <v>0</v>
      </c>
      <c r="K17" s="1">
        <f t="shared" ref="K17:K21" si="4">I17*$K$13</f>
        <v>0</v>
      </c>
      <c r="L17" s="104">
        <f t="shared" ref="L17:L21" si="5">I17*14%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ref="O17:O24" si="7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02">
        <f t="shared" si="3"/>
        <v>0</v>
      </c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7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02">
        <f t="shared" si="3"/>
        <v>0</v>
      </c>
      <c r="K19" s="1">
        <f t="shared" si="4"/>
        <v>0</v>
      </c>
      <c r="L19" s="104">
        <f t="shared" si="5"/>
        <v>0</v>
      </c>
      <c r="M19" s="117">
        <f t="shared" si="6"/>
        <v>0</v>
      </c>
      <c r="N19" s="117">
        <f t="shared" si="0"/>
        <v>0</v>
      </c>
      <c r="O19" s="118">
        <f t="shared" si="7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02">
        <f t="shared" si="3"/>
        <v>0</v>
      </c>
      <c r="K20" s="1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7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02">
        <f t="shared" si="3"/>
        <v>0</v>
      </c>
      <c r="K21" s="1">
        <f t="shared" si="4"/>
        <v>0</v>
      </c>
      <c r="L21" s="104">
        <f t="shared" si="5"/>
        <v>0</v>
      </c>
      <c r="M21" s="117">
        <f t="shared" si="6"/>
        <v>0</v>
      </c>
      <c r="N21" s="117">
        <f t="shared" si="0"/>
        <v>0</v>
      </c>
      <c r="O21" s="118">
        <f t="shared" si="7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7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6"/>
        <v>0</v>
      </c>
      <c r="N23" s="117">
        <f t="shared" si="0"/>
        <v>0</v>
      </c>
      <c r="O23" s="118">
        <f t="shared" si="7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7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10">SUM(G16:G24)</f>
        <v>0</v>
      </c>
      <c r="H25" s="135">
        <f t="shared" si="10"/>
        <v>0</v>
      </c>
      <c r="I25" s="136">
        <f t="shared" si="10"/>
        <v>0</v>
      </c>
      <c r="J25" s="137"/>
      <c r="K25" s="138">
        <f t="shared" si="10"/>
        <v>0</v>
      </c>
      <c r="L25" s="139">
        <f t="shared" si="10"/>
        <v>0</v>
      </c>
      <c r="M25" s="140">
        <f t="shared" si="10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4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>
        <f>H16/20</f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02">
        <f t="shared" ref="J17:J21" si="3">H17/20</f>
        <v>0</v>
      </c>
      <c r="K17" s="1">
        <f t="shared" ref="K17:K21" si="4">I17*$K$13</f>
        <v>0</v>
      </c>
      <c r="L17" s="104">
        <f t="shared" ref="L17:L21" si="5">I17*14%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ref="O17:O24" si="7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02">
        <f t="shared" si="3"/>
        <v>0</v>
      </c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7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02">
        <f t="shared" si="3"/>
        <v>0</v>
      </c>
      <c r="K19" s="1">
        <f t="shared" si="4"/>
        <v>0</v>
      </c>
      <c r="L19" s="104">
        <f t="shared" si="5"/>
        <v>0</v>
      </c>
      <c r="M19" s="117">
        <f t="shared" si="6"/>
        <v>0</v>
      </c>
      <c r="N19" s="117">
        <f t="shared" si="0"/>
        <v>0</v>
      </c>
      <c r="O19" s="118">
        <f t="shared" si="7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02">
        <f t="shared" si="3"/>
        <v>0</v>
      </c>
      <c r="K20" s="1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7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02">
        <f t="shared" si="3"/>
        <v>0</v>
      </c>
      <c r="K21" s="1">
        <f t="shared" si="4"/>
        <v>0</v>
      </c>
      <c r="L21" s="104">
        <f t="shared" si="5"/>
        <v>0</v>
      </c>
      <c r="M21" s="117">
        <f t="shared" si="6"/>
        <v>0</v>
      </c>
      <c r="N21" s="117">
        <f t="shared" si="0"/>
        <v>0</v>
      </c>
      <c r="O21" s="118">
        <f t="shared" si="7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7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6"/>
        <v>0</v>
      </c>
      <c r="N23" s="117">
        <f t="shared" si="0"/>
        <v>0</v>
      </c>
      <c r="O23" s="118">
        <f t="shared" si="7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7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10">SUM(G16:G24)</f>
        <v>0</v>
      </c>
      <c r="H25" s="135">
        <f t="shared" si="10"/>
        <v>0</v>
      </c>
      <c r="I25" s="136">
        <f t="shared" si="10"/>
        <v>0</v>
      </c>
      <c r="J25" s="137"/>
      <c r="K25" s="138">
        <f t="shared" si="10"/>
        <v>0</v>
      </c>
      <c r="L25" s="139">
        <f t="shared" si="10"/>
        <v>0</v>
      </c>
      <c r="M25" s="140">
        <f t="shared" si="10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3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>
        <f>H16/20</f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02">
        <f t="shared" ref="J17:J21" si="3">H17/20</f>
        <v>0</v>
      </c>
      <c r="K17" s="1">
        <f t="shared" ref="K17:K21" si="4">I17*$K$13</f>
        <v>0</v>
      </c>
      <c r="L17" s="104">
        <f t="shared" ref="L17:L21" si="5">I17*14%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ref="O17:O24" si="7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02">
        <f t="shared" si="3"/>
        <v>0</v>
      </c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7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02">
        <f t="shared" si="3"/>
        <v>0</v>
      </c>
      <c r="K19" s="1">
        <f t="shared" si="4"/>
        <v>0</v>
      </c>
      <c r="L19" s="104">
        <f t="shared" si="5"/>
        <v>0</v>
      </c>
      <c r="M19" s="117">
        <f t="shared" si="6"/>
        <v>0</v>
      </c>
      <c r="N19" s="117">
        <f t="shared" si="0"/>
        <v>0</v>
      </c>
      <c r="O19" s="118">
        <f t="shared" si="7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02">
        <f t="shared" si="3"/>
        <v>0</v>
      </c>
      <c r="K20" s="1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7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02">
        <f t="shared" si="3"/>
        <v>0</v>
      </c>
      <c r="K21" s="1">
        <f t="shared" si="4"/>
        <v>0</v>
      </c>
      <c r="L21" s="104">
        <f t="shared" si="5"/>
        <v>0</v>
      </c>
      <c r="M21" s="117">
        <f t="shared" si="6"/>
        <v>0</v>
      </c>
      <c r="N21" s="117">
        <f t="shared" si="0"/>
        <v>0</v>
      </c>
      <c r="O21" s="118">
        <f t="shared" si="7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7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6"/>
        <v>0</v>
      </c>
      <c r="N23" s="117">
        <f t="shared" si="0"/>
        <v>0</v>
      </c>
      <c r="O23" s="118">
        <f t="shared" si="7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7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10">SUM(G16:G24)</f>
        <v>0</v>
      </c>
      <c r="H25" s="135">
        <f t="shared" si="10"/>
        <v>0</v>
      </c>
      <c r="I25" s="136">
        <f t="shared" si="10"/>
        <v>0</v>
      </c>
      <c r="J25" s="137"/>
      <c r="K25" s="138">
        <f t="shared" si="10"/>
        <v>0</v>
      </c>
      <c r="L25" s="139">
        <f t="shared" si="10"/>
        <v>0</v>
      </c>
      <c r="M25" s="140">
        <f t="shared" si="10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5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>
        <f>H16/20</f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02">
        <f t="shared" ref="J17:J21" si="3">H17/20</f>
        <v>0</v>
      </c>
      <c r="K17" s="1">
        <f t="shared" ref="K17:K21" si="4">I17*$K$13</f>
        <v>0</v>
      </c>
      <c r="L17" s="104">
        <f t="shared" ref="L17:L21" si="5">I17*14%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ref="O17:O24" si="7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02">
        <f t="shared" si="3"/>
        <v>0</v>
      </c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7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02">
        <f t="shared" si="3"/>
        <v>0</v>
      </c>
      <c r="K19" s="1">
        <f t="shared" si="4"/>
        <v>0</v>
      </c>
      <c r="L19" s="104">
        <f t="shared" si="5"/>
        <v>0</v>
      </c>
      <c r="M19" s="117">
        <f t="shared" si="6"/>
        <v>0</v>
      </c>
      <c r="N19" s="117">
        <f t="shared" si="0"/>
        <v>0</v>
      </c>
      <c r="O19" s="118">
        <f t="shared" si="7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02">
        <f t="shared" si="3"/>
        <v>0</v>
      </c>
      <c r="K20" s="1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7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02">
        <f t="shared" si="3"/>
        <v>0</v>
      </c>
      <c r="K21" s="1">
        <f t="shared" si="4"/>
        <v>0</v>
      </c>
      <c r="L21" s="104">
        <f t="shared" si="5"/>
        <v>0</v>
      </c>
      <c r="M21" s="117">
        <f t="shared" si="6"/>
        <v>0</v>
      </c>
      <c r="N21" s="117">
        <f t="shared" si="0"/>
        <v>0</v>
      </c>
      <c r="O21" s="118">
        <f t="shared" si="7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7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6"/>
        <v>0</v>
      </c>
      <c r="N23" s="117">
        <f t="shared" si="0"/>
        <v>0</v>
      </c>
      <c r="O23" s="118">
        <f t="shared" si="7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7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10">SUM(G16:G24)</f>
        <v>0</v>
      </c>
      <c r="H25" s="135">
        <f t="shared" si="10"/>
        <v>0</v>
      </c>
      <c r="I25" s="136">
        <f t="shared" si="10"/>
        <v>0</v>
      </c>
      <c r="J25" s="137"/>
      <c r="K25" s="138">
        <f t="shared" si="10"/>
        <v>0</v>
      </c>
      <c r="L25" s="139">
        <f t="shared" si="10"/>
        <v>0</v>
      </c>
      <c r="M25" s="140">
        <f t="shared" si="10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6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>
        <f>H16/20</f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02">
        <f t="shared" ref="J17:J21" si="3">H17/20</f>
        <v>0</v>
      </c>
      <c r="K17" s="1">
        <f t="shared" ref="K17:K21" si="4">I17*$K$13</f>
        <v>0</v>
      </c>
      <c r="L17" s="104">
        <f t="shared" ref="L17:L21" si="5">I17*14%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ref="O17:O24" si="7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02">
        <f t="shared" si="3"/>
        <v>0</v>
      </c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7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02">
        <f t="shared" si="3"/>
        <v>0</v>
      </c>
      <c r="K19" s="1">
        <f t="shared" si="4"/>
        <v>0</v>
      </c>
      <c r="L19" s="104">
        <f t="shared" si="5"/>
        <v>0</v>
      </c>
      <c r="M19" s="117">
        <f t="shared" si="6"/>
        <v>0</v>
      </c>
      <c r="N19" s="117">
        <f t="shared" si="0"/>
        <v>0</v>
      </c>
      <c r="O19" s="118">
        <f t="shared" si="7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02">
        <f t="shared" si="3"/>
        <v>0</v>
      </c>
      <c r="K20" s="1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7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02">
        <f t="shared" si="3"/>
        <v>0</v>
      </c>
      <c r="K21" s="1">
        <f t="shared" si="4"/>
        <v>0</v>
      </c>
      <c r="L21" s="104">
        <f t="shared" si="5"/>
        <v>0</v>
      </c>
      <c r="M21" s="117">
        <f t="shared" si="6"/>
        <v>0</v>
      </c>
      <c r="N21" s="117">
        <f t="shared" si="0"/>
        <v>0</v>
      </c>
      <c r="O21" s="118">
        <f t="shared" si="7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7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6"/>
        <v>0</v>
      </c>
      <c r="N23" s="117">
        <f t="shared" si="0"/>
        <v>0</v>
      </c>
      <c r="O23" s="118">
        <f t="shared" si="7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7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10">SUM(G16:G24)</f>
        <v>0</v>
      </c>
      <c r="H25" s="135">
        <f t="shared" si="10"/>
        <v>0</v>
      </c>
      <c r="I25" s="136">
        <f t="shared" si="10"/>
        <v>0</v>
      </c>
      <c r="J25" s="137"/>
      <c r="K25" s="138">
        <f t="shared" si="10"/>
        <v>0</v>
      </c>
      <c r="L25" s="139">
        <f t="shared" si="10"/>
        <v>0</v>
      </c>
      <c r="M25" s="140">
        <f t="shared" si="10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7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>
        <f>H16/20</f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02">
        <f t="shared" ref="J17:J21" si="3">H17/20</f>
        <v>0</v>
      </c>
      <c r="K17" s="1">
        <f t="shared" ref="K17:K21" si="4">I17*$K$13</f>
        <v>0</v>
      </c>
      <c r="L17" s="104">
        <f t="shared" ref="L17:L21" si="5">I17*14%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ref="O17:O24" si="7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02">
        <f t="shared" si="3"/>
        <v>0</v>
      </c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7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02">
        <f t="shared" si="3"/>
        <v>0</v>
      </c>
      <c r="K19" s="1">
        <f t="shared" si="4"/>
        <v>0</v>
      </c>
      <c r="L19" s="104">
        <f t="shared" si="5"/>
        <v>0</v>
      </c>
      <c r="M19" s="117">
        <f t="shared" si="6"/>
        <v>0</v>
      </c>
      <c r="N19" s="117">
        <f t="shared" si="0"/>
        <v>0</v>
      </c>
      <c r="O19" s="118">
        <f t="shared" si="7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02">
        <f t="shared" si="3"/>
        <v>0</v>
      </c>
      <c r="K20" s="1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7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02">
        <f t="shared" si="3"/>
        <v>0</v>
      </c>
      <c r="K21" s="1">
        <f t="shared" si="4"/>
        <v>0</v>
      </c>
      <c r="L21" s="104">
        <f t="shared" si="5"/>
        <v>0</v>
      </c>
      <c r="M21" s="117">
        <f t="shared" si="6"/>
        <v>0</v>
      </c>
      <c r="N21" s="117">
        <f t="shared" si="0"/>
        <v>0</v>
      </c>
      <c r="O21" s="118">
        <f t="shared" si="7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7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6"/>
        <v>0</v>
      </c>
      <c r="N23" s="117">
        <f t="shared" si="0"/>
        <v>0</v>
      </c>
      <c r="O23" s="118">
        <f t="shared" si="7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7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10">SUM(G16:G24)</f>
        <v>0</v>
      </c>
      <c r="H25" s="135">
        <f t="shared" si="10"/>
        <v>0</v>
      </c>
      <c r="I25" s="136">
        <f t="shared" si="10"/>
        <v>0</v>
      </c>
      <c r="J25" s="137"/>
      <c r="K25" s="138">
        <f t="shared" si="10"/>
        <v>0</v>
      </c>
      <c r="L25" s="139">
        <f t="shared" si="10"/>
        <v>0</v>
      </c>
      <c r="M25" s="140">
        <f t="shared" si="10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8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>
        <f>H16/20</f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02">
        <f t="shared" ref="J17:J21" si="3">H17/20</f>
        <v>0</v>
      </c>
      <c r="K17" s="1">
        <f t="shared" ref="K17:K21" si="4">I17*$K$13</f>
        <v>0</v>
      </c>
      <c r="L17" s="104">
        <f t="shared" ref="L17:L21" si="5">I17*14%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ref="O17:O24" si="7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02">
        <f t="shared" si="3"/>
        <v>0</v>
      </c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7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02">
        <f t="shared" si="3"/>
        <v>0</v>
      </c>
      <c r="K19" s="1">
        <f t="shared" si="4"/>
        <v>0</v>
      </c>
      <c r="L19" s="104">
        <f t="shared" si="5"/>
        <v>0</v>
      </c>
      <c r="M19" s="117">
        <f t="shared" si="6"/>
        <v>0</v>
      </c>
      <c r="N19" s="117">
        <f t="shared" si="0"/>
        <v>0</v>
      </c>
      <c r="O19" s="118">
        <f t="shared" si="7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02">
        <f t="shared" si="3"/>
        <v>0</v>
      </c>
      <c r="K20" s="1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7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02">
        <f t="shared" si="3"/>
        <v>0</v>
      </c>
      <c r="K21" s="1">
        <f t="shared" si="4"/>
        <v>0</v>
      </c>
      <c r="L21" s="104">
        <f t="shared" si="5"/>
        <v>0</v>
      </c>
      <c r="M21" s="117">
        <f t="shared" si="6"/>
        <v>0</v>
      </c>
      <c r="N21" s="117">
        <f t="shared" si="0"/>
        <v>0</v>
      </c>
      <c r="O21" s="118">
        <f t="shared" si="7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7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6"/>
        <v>0</v>
      </c>
      <c r="N23" s="117">
        <f t="shared" si="0"/>
        <v>0</v>
      </c>
      <c r="O23" s="118">
        <f t="shared" si="7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7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10">SUM(G16:G24)</f>
        <v>0</v>
      </c>
      <c r="H25" s="135">
        <f t="shared" si="10"/>
        <v>0</v>
      </c>
      <c r="I25" s="136">
        <f t="shared" si="10"/>
        <v>0</v>
      </c>
      <c r="J25" s="137"/>
      <c r="K25" s="138">
        <f t="shared" si="10"/>
        <v>0</v>
      </c>
      <c r="L25" s="139">
        <f t="shared" si="10"/>
        <v>0</v>
      </c>
      <c r="M25" s="140">
        <f t="shared" si="10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9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6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>
        <f>H16/20</f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02">
        <f t="shared" ref="J17:J21" si="3">H17/20</f>
        <v>0</v>
      </c>
      <c r="K17" s="1">
        <f t="shared" ref="K17:K21" si="4">I17*$K$13</f>
        <v>0</v>
      </c>
      <c r="L17" s="104">
        <f t="shared" ref="L17:L21" si="5">I17*14%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ref="O17:O24" si="7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02">
        <f t="shared" si="3"/>
        <v>0</v>
      </c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7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02">
        <f t="shared" si="3"/>
        <v>0</v>
      </c>
      <c r="K19" s="1">
        <f t="shared" si="4"/>
        <v>0</v>
      </c>
      <c r="L19" s="104">
        <f t="shared" si="5"/>
        <v>0</v>
      </c>
      <c r="M19" s="117">
        <f t="shared" si="6"/>
        <v>0</v>
      </c>
      <c r="N19" s="117">
        <f t="shared" si="0"/>
        <v>0</v>
      </c>
      <c r="O19" s="118">
        <f t="shared" si="7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02">
        <f t="shared" si="3"/>
        <v>0</v>
      </c>
      <c r="K20" s="1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7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02">
        <f t="shared" si="3"/>
        <v>0</v>
      </c>
      <c r="K21" s="1">
        <f t="shared" si="4"/>
        <v>0</v>
      </c>
      <c r="L21" s="104">
        <f t="shared" si="5"/>
        <v>0</v>
      </c>
      <c r="M21" s="117">
        <f t="shared" si="6"/>
        <v>0</v>
      </c>
      <c r="N21" s="117">
        <f t="shared" si="0"/>
        <v>0</v>
      </c>
      <c r="O21" s="118">
        <f t="shared" si="7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7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6"/>
        <v>0</v>
      </c>
      <c r="N23" s="117">
        <f t="shared" si="0"/>
        <v>0</v>
      </c>
      <c r="O23" s="118">
        <f t="shared" si="7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7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10">SUM(G16:G24)</f>
        <v>0</v>
      </c>
      <c r="H25" s="135">
        <f t="shared" si="10"/>
        <v>0</v>
      </c>
      <c r="I25" s="136">
        <f t="shared" si="10"/>
        <v>0</v>
      </c>
      <c r="J25" s="137"/>
      <c r="K25" s="138">
        <f t="shared" si="10"/>
        <v>0</v>
      </c>
      <c r="L25" s="139">
        <f t="shared" si="10"/>
        <v>0</v>
      </c>
      <c r="M25" s="140">
        <f t="shared" si="10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>
        <f>H16/20</f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02">
        <f t="shared" ref="J17:J21" si="3">H17/20</f>
        <v>0</v>
      </c>
      <c r="K17" s="1">
        <f t="shared" ref="K17:K21" si="4">I17*$K$13</f>
        <v>0</v>
      </c>
      <c r="L17" s="104">
        <f t="shared" ref="L17:L21" si="5">I17*14%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ref="O17:O24" si="7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02">
        <f t="shared" si="3"/>
        <v>0</v>
      </c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7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02">
        <f t="shared" si="3"/>
        <v>0</v>
      </c>
      <c r="K19" s="1">
        <f t="shared" si="4"/>
        <v>0</v>
      </c>
      <c r="L19" s="104">
        <f t="shared" si="5"/>
        <v>0</v>
      </c>
      <c r="M19" s="117">
        <f t="shared" si="6"/>
        <v>0</v>
      </c>
      <c r="N19" s="117">
        <f t="shared" si="0"/>
        <v>0</v>
      </c>
      <c r="O19" s="118">
        <f t="shared" si="7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02">
        <f t="shared" si="3"/>
        <v>0</v>
      </c>
      <c r="K20" s="1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7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02">
        <f t="shared" si="3"/>
        <v>0</v>
      </c>
      <c r="K21" s="1">
        <f t="shared" si="4"/>
        <v>0</v>
      </c>
      <c r="L21" s="104">
        <f t="shared" si="5"/>
        <v>0</v>
      </c>
      <c r="M21" s="117">
        <f t="shared" si="6"/>
        <v>0</v>
      </c>
      <c r="N21" s="117">
        <f t="shared" si="0"/>
        <v>0</v>
      </c>
      <c r="O21" s="118">
        <f t="shared" si="7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7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6"/>
        <v>0</v>
      </c>
      <c r="N23" s="117">
        <f t="shared" si="0"/>
        <v>0</v>
      </c>
      <c r="O23" s="118">
        <f t="shared" si="7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7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10">SUM(G16:G24)</f>
        <v>0</v>
      </c>
      <c r="H25" s="135">
        <f t="shared" si="10"/>
        <v>0</v>
      </c>
      <c r="I25" s="136">
        <f t="shared" si="10"/>
        <v>0</v>
      </c>
      <c r="J25" s="137"/>
      <c r="K25" s="138">
        <f t="shared" si="10"/>
        <v>0</v>
      </c>
      <c r="L25" s="139">
        <f t="shared" si="10"/>
        <v>0</v>
      </c>
      <c r="M25" s="140">
        <f t="shared" si="10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>
        <f>H16/20</f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02">
        <f t="shared" ref="J17:J21" si="3">H17/20</f>
        <v>0</v>
      </c>
      <c r="K17" s="1">
        <f t="shared" ref="K17:K21" si="4">I17*$K$13</f>
        <v>0</v>
      </c>
      <c r="L17" s="104">
        <f t="shared" ref="L17:L21" si="5">I17*14%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ref="O17:O24" si="7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02">
        <f t="shared" si="3"/>
        <v>0</v>
      </c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7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02">
        <f t="shared" si="3"/>
        <v>0</v>
      </c>
      <c r="K19" s="1">
        <f t="shared" si="4"/>
        <v>0</v>
      </c>
      <c r="L19" s="104">
        <f t="shared" si="5"/>
        <v>0</v>
      </c>
      <c r="M19" s="117">
        <f t="shared" si="6"/>
        <v>0</v>
      </c>
      <c r="N19" s="117">
        <f t="shared" si="0"/>
        <v>0</v>
      </c>
      <c r="O19" s="118">
        <f t="shared" si="7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02">
        <f t="shared" si="3"/>
        <v>0</v>
      </c>
      <c r="K20" s="1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7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02">
        <f t="shared" si="3"/>
        <v>0</v>
      </c>
      <c r="K21" s="1">
        <f t="shared" si="4"/>
        <v>0</v>
      </c>
      <c r="L21" s="104">
        <f t="shared" si="5"/>
        <v>0</v>
      </c>
      <c r="M21" s="117">
        <f t="shared" si="6"/>
        <v>0</v>
      </c>
      <c r="N21" s="117">
        <f t="shared" si="0"/>
        <v>0</v>
      </c>
      <c r="O21" s="118">
        <f t="shared" si="7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7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6"/>
        <v>0</v>
      </c>
      <c r="N23" s="117">
        <f t="shared" si="0"/>
        <v>0</v>
      </c>
      <c r="O23" s="118">
        <f t="shared" si="7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7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10">SUM(G16:G24)</f>
        <v>0</v>
      </c>
      <c r="H25" s="135">
        <f t="shared" si="10"/>
        <v>0</v>
      </c>
      <c r="I25" s="136">
        <f t="shared" si="10"/>
        <v>0</v>
      </c>
      <c r="J25" s="137"/>
      <c r="K25" s="138">
        <f t="shared" si="10"/>
        <v>0</v>
      </c>
      <c r="L25" s="139">
        <f t="shared" si="10"/>
        <v>0</v>
      </c>
      <c r="M25" s="140">
        <f t="shared" si="10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>
        <f>H16/20</f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02">
        <f t="shared" ref="J17:J21" si="3">H17/20</f>
        <v>0</v>
      </c>
      <c r="K17" s="1">
        <f t="shared" ref="K17:K21" si="4">I17*$K$13</f>
        <v>0</v>
      </c>
      <c r="L17" s="104">
        <f t="shared" ref="L17:L21" si="5">I17*14%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ref="O17:O24" si="7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02">
        <f t="shared" si="3"/>
        <v>0</v>
      </c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7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02">
        <f t="shared" si="3"/>
        <v>0</v>
      </c>
      <c r="K19" s="1">
        <f t="shared" si="4"/>
        <v>0</v>
      </c>
      <c r="L19" s="104">
        <f t="shared" si="5"/>
        <v>0</v>
      </c>
      <c r="M19" s="117">
        <f t="shared" si="6"/>
        <v>0</v>
      </c>
      <c r="N19" s="117">
        <f t="shared" si="0"/>
        <v>0</v>
      </c>
      <c r="O19" s="118">
        <f t="shared" si="7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02">
        <f t="shared" si="3"/>
        <v>0</v>
      </c>
      <c r="K20" s="1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7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02">
        <f t="shared" si="3"/>
        <v>0</v>
      </c>
      <c r="K21" s="1">
        <f t="shared" si="4"/>
        <v>0</v>
      </c>
      <c r="L21" s="104">
        <f t="shared" si="5"/>
        <v>0</v>
      </c>
      <c r="M21" s="117">
        <f t="shared" si="6"/>
        <v>0</v>
      </c>
      <c r="N21" s="117">
        <f t="shared" si="0"/>
        <v>0</v>
      </c>
      <c r="O21" s="118">
        <f t="shared" si="7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7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6"/>
        <v>0</v>
      </c>
      <c r="N23" s="117">
        <f t="shared" si="0"/>
        <v>0</v>
      </c>
      <c r="O23" s="118">
        <f t="shared" si="7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7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10">SUM(G16:G24)</f>
        <v>0</v>
      </c>
      <c r="H25" s="135">
        <f t="shared" si="10"/>
        <v>0</v>
      </c>
      <c r="I25" s="136">
        <f t="shared" si="10"/>
        <v>0</v>
      </c>
      <c r="J25" s="137"/>
      <c r="K25" s="138">
        <f t="shared" si="10"/>
        <v>0</v>
      </c>
      <c r="L25" s="139">
        <f t="shared" si="10"/>
        <v>0</v>
      </c>
      <c r="M25" s="140">
        <f t="shared" si="10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>
        <f>H16/20</f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02">
        <f t="shared" ref="J17:J21" si="3">H17/20</f>
        <v>0</v>
      </c>
      <c r="K17" s="1">
        <f t="shared" ref="K17:K21" si="4">I17*$K$13</f>
        <v>0</v>
      </c>
      <c r="L17" s="104">
        <f t="shared" ref="L17:L21" si="5">I17*14%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ref="O17:O24" si="7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02">
        <f t="shared" si="3"/>
        <v>0</v>
      </c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7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02">
        <f t="shared" si="3"/>
        <v>0</v>
      </c>
      <c r="K19" s="1">
        <f t="shared" si="4"/>
        <v>0</v>
      </c>
      <c r="L19" s="104">
        <f t="shared" si="5"/>
        <v>0</v>
      </c>
      <c r="M19" s="117">
        <f t="shared" si="6"/>
        <v>0</v>
      </c>
      <c r="N19" s="117">
        <f t="shared" si="0"/>
        <v>0</v>
      </c>
      <c r="O19" s="118">
        <f t="shared" si="7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02">
        <f t="shared" si="3"/>
        <v>0</v>
      </c>
      <c r="K20" s="1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7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02">
        <f t="shared" si="3"/>
        <v>0</v>
      </c>
      <c r="K21" s="1">
        <f t="shared" si="4"/>
        <v>0</v>
      </c>
      <c r="L21" s="104">
        <f t="shared" si="5"/>
        <v>0</v>
      </c>
      <c r="M21" s="117">
        <f t="shared" si="6"/>
        <v>0</v>
      </c>
      <c r="N21" s="117">
        <f t="shared" si="0"/>
        <v>0</v>
      </c>
      <c r="O21" s="118">
        <f t="shared" si="7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7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6"/>
        <v>0</v>
      </c>
      <c r="N23" s="117">
        <f t="shared" si="0"/>
        <v>0</v>
      </c>
      <c r="O23" s="118">
        <f t="shared" si="7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7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10">SUM(G16:G24)</f>
        <v>0</v>
      </c>
      <c r="H25" s="135">
        <f t="shared" si="10"/>
        <v>0</v>
      </c>
      <c r="I25" s="136">
        <f t="shared" si="10"/>
        <v>0</v>
      </c>
      <c r="J25" s="137"/>
      <c r="K25" s="138">
        <f t="shared" si="10"/>
        <v>0</v>
      </c>
      <c r="L25" s="139">
        <f t="shared" si="10"/>
        <v>0</v>
      </c>
      <c r="M25" s="140">
        <f t="shared" si="10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>
        <f>H16/20</f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02">
        <f t="shared" ref="J17:J21" si="3">H17/20</f>
        <v>0</v>
      </c>
      <c r="K17" s="1">
        <f t="shared" ref="K17:K21" si="4">I17*$K$13</f>
        <v>0</v>
      </c>
      <c r="L17" s="104">
        <f t="shared" ref="L17:L21" si="5">I17*14%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ref="O17:O24" si="7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02">
        <f t="shared" si="3"/>
        <v>0</v>
      </c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7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02">
        <f t="shared" si="3"/>
        <v>0</v>
      </c>
      <c r="K19" s="1">
        <f t="shared" si="4"/>
        <v>0</v>
      </c>
      <c r="L19" s="104">
        <f t="shared" si="5"/>
        <v>0</v>
      </c>
      <c r="M19" s="117">
        <f t="shared" si="6"/>
        <v>0</v>
      </c>
      <c r="N19" s="117">
        <f t="shared" si="0"/>
        <v>0</v>
      </c>
      <c r="O19" s="118">
        <f t="shared" si="7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02">
        <f t="shared" si="3"/>
        <v>0</v>
      </c>
      <c r="K20" s="1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7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02">
        <f t="shared" si="3"/>
        <v>0</v>
      </c>
      <c r="K21" s="1">
        <f t="shared" si="4"/>
        <v>0</v>
      </c>
      <c r="L21" s="104">
        <f t="shared" si="5"/>
        <v>0</v>
      </c>
      <c r="M21" s="117">
        <f t="shared" si="6"/>
        <v>0</v>
      </c>
      <c r="N21" s="117">
        <f t="shared" si="0"/>
        <v>0</v>
      </c>
      <c r="O21" s="118">
        <f t="shared" si="7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7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6"/>
        <v>0</v>
      </c>
      <c r="N23" s="117">
        <f t="shared" si="0"/>
        <v>0</v>
      </c>
      <c r="O23" s="118">
        <f t="shared" si="7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7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10">SUM(G16:G24)</f>
        <v>0</v>
      </c>
      <c r="H25" s="135">
        <f t="shared" si="10"/>
        <v>0</v>
      </c>
      <c r="I25" s="136">
        <f t="shared" si="10"/>
        <v>0</v>
      </c>
      <c r="J25" s="137"/>
      <c r="K25" s="138">
        <f t="shared" si="10"/>
        <v>0</v>
      </c>
      <c r="L25" s="139">
        <f t="shared" si="10"/>
        <v>0</v>
      </c>
      <c r="M25" s="140">
        <f t="shared" si="10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4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79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>
        <f>H16/20</f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02">
        <f t="shared" ref="J17:J21" si="3">H17/20</f>
        <v>0</v>
      </c>
      <c r="K17" s="1">
        <f t="shared" ref="K17:K21" si="4">I17*$K$13</f>
        <v>0</v>
      </c>
      <c r="L17" s="104">
        <f t="shared" ref="L17:L21" si="5">I17*14%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ref="O17:O24" si="7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02">
        <f t="shared" si="3"/>
        <v>0</v>
      </c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7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02">
        <f t="shared" si="3"/>
        <v>0</v>
      </c>
      <c r="K19" s="1">
        <f t="shared" si="4"/>
        <v>0</v>
      </c>
      <c r="L19" s="104">
        <f t="shared" si="5"/>
        <v>0</v>
      </c>
      <c r="M19" s="117">
        <f t="shared" si="6"/>
        <v>0</v>
      </c>
      <c r="N19" s="117">
        <f t="shared" si="0"/>
        <v>0</v>
      </c>
      <c r="O19" s="118">
        <f t="shared" si="7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02">
        <f t="shared" si="3"/>
        <v>0</v>
      </c>
      <c r="K20" s="1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7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02">
        <f t="shared" si="3"/>
        <v>0</v>
      </c>
      <c r="K21" s="1">
        <f t="shared" si="4"/>
        <v>0</v>
      </c>
      <c r="L21" s="104">
        <f t="shared" si="5"/>
        <v>0</v>
      </c>
      <c r="M21" s="117">
        <f t="shared" si="6"/>
        <v>0</v>
      </c>
      <c r="N21" s="117">
        <f t="shared" si="0"/>
        <v>0</v>
      </c>
      <c r="O21" s="118">
        <f t="shared" si="7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7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6"/>
        <v>0</v>
      </c>
      <c r="N23" s="117">
        <f t="shared" si="0"/>
        <v>0</v>
      </c>
      <c r="O23" s="118">
        <f t="shared" si="7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7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10">SUM(G16:G24)</f>
        <v>0</v>
      </c>
      <c r="H25" s="135">
        <f t="shared" si="10"/>
        <v>0</v>
      </c>
      <c r="I25" s="136">
        <f t="shared" si="10"/>
        <v>0</v>
      </c>
      <c r="J25" s="137"/>
      <c r="K25" s="138">
        <f t="shared" si="10"/>
        <v>0</v>
      </c>
      <c r="L25" s="139">
        <f t="shared" si="10"/>
        <v>0</v>
      </c>
      <c r="M25" s="140">
        <f t="shared" si="10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>
        <f>H16/20</f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02">
        <f t="shared" ref="J17:J21" si="3">H17/20</f>
        <v>0</v>
      </c>
      <c r="K17" s="1">
        <f t="shared" ref="K17:K21" si="4">I17*$K$13</f>
        <v>0</v>
      </c>
      <c r="L17" s="104">
        <f t="shared" ref="L17:L21" si="5">I17*14%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ref="O17:O24" si="7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02">
        <f t="shared" si="3"/>
        <v>0</v>
      </c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7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02">
        <f t="shared" si="3"/>
        <v>0</v>
      </c>
      <c r="K19" s="1">
        <f t="shared" si="4"/>
        <v>0</v>
      </c>
      <c r="L19" s="104">
        <f t="shared" si="5"/>
        <v>0</v>
      </c>
      <c r="M19" s="117">
        <f t="shared" si="6"/>
        <v>0</v>
      </c>
      <c r="N19" s="117">
        <f t="shared" si="0"/>
        <v>0</v>
      </c>
      <c r="O19" s="118">
        <f t="shared" si="7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02">
        <f t="shared" si="3"/>
        <v>0</v>
      </c>
      <c r="K20" s="1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7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02">
        <f t="shared" si="3"/>
        <v>0</v>
      </c>
      <c r="K21" s="1">
        <f t="shared" si="4"/>
        <v>0</v>
      </c>
      <c r="L21" s="104">
        <f t="shared" si="5"/>
        <v>0</v>
      </c>
      <c r="M21" s="117">
        <f t="shared" si="6"/>
        <v>0</v>
      </c>
      <c r="N21" s="117">
        <f t="shared" si="0"/>
        <v>0</v>
      </c>
      <c r="O21" s="118">
        <f t="shared" si="7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7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6"/>
        <v>0</v>
      </c>
      <c r="N23" s="117">
        <f t="shared" si="0"/>
        <v>0</v>
      </c>
      <c r="O23" s="118">
        <f t="shared" si="7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7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10">SUM(G16:G24)</f>
        <v>0</v>
      </c>
      <c r="H25" s="135">
        <f t="shared" si="10"/>
        <v>0</v>
      </c>
      <c r="I25" s="136">
        <f t="shared" si="10"/>
        <v>0</v>
      </c>
      <c r="J25" s="137"/>
      <c r="K25" s="138">
        <f t="shared" si="10"/>
        <v>0</v>
      </c>
      <c r="L25" s="139">
        <f t="shared" si="10"/>
        <v>0</v>
      </c>
      <c r="M25" s="140">
        <f t="shared" si="10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>
        <f>H16/20</f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02">
        <f t="shared" ref="J17:J21" si="3">H17/20</f>
        <v>0</v>
      </c>
      <c r="K17" s="1">
        <f t="shared" ref="K17:K21" si="4">I17*$K$13</f>
        <v>0</v>
      </c>
      <c r="L17" s="104">
        <f t="shared" ref="L17:L21" si="5">I17*14%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ref="O17:O24" si="7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02">
        <f t="shared" si="3"/>
        <v>0</v>
      </c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7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02">
        <f t="shared" si="3"/>
        <v>0</v>
      </c>
      <c r="K19" s="1">
        <f t="shared" si="4"/>
        <v>0</v>
      </c>
      <c r="L19" s="104">
        <f t="shared" si="5"/>
        <v>0</v>
      </c>
      <c r="M19" s="117">
        <f t="shared" si="6"/>
        <v>0</v>
      </c>
      <c r="N19" s="117">
        <f t="shared" si="0"/>
        <v>0</v>
      </c>
      <c r="O19" s="118">
        <f t="shared" si="7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02">
        <f t="shared" si="3"/>
        <v>0</v>
      </c>
      <c r="K20" s="1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7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02">
        <f t="shared" si="3"/>
        <v>0</v>
      </c>
      <c r="K21" s="1">
        <f t="shared" si="4"/>
        <v>0</v>
      </c>
      <c r="L21" s="104">
        <f t="shared" si="5"/>
        <v>0</v>
      </c>
      <c r="M21" s="117">
        <f t="shared" si="6"/>
        <v>0</v>
      </c>
      <c r="N21" s="117">
        <f t="shared" si="0"/>
        <v>0</v>
      </c>
      <c r="O21" s="118">
        <f t="shared" si="7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7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6"/>
        <v>0</v>
      </c>
      <c r="N23" s="117">
        <f t="shared" si="0"/>
        <v>0</v>
      </c>
      <c r="O23" s="118">
        <f t="shared" si="7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7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10">SUM(G16:G24)</f>
        <v>0</v>
      </c>
      <c r="H25" s="135">
        <f t="shared" si="10"/>
        <v>0</v>
      </c>
      <c r="I25" s="136">
        <f t="shared" si="10"/>
        <v>0</v>
      </c>
      <c r="J25" s="137"/>
      <c r="K25" s="138">
        <f t="shared" si="10"/>
        <v>0</v>
      </c>
      <c r="L25" s="139">
        <f t="shared" si="10"/>
        <v>0</v>
      </c>
      <c r="M25" s="140">
        <f t="shared" si="10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>
        <f>H16/20</f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02">
        <f t="shared" ref="J17:J21" si="3">H17/20</f>
        <v>0</v>
      </c>
      <c r="K17" s="1">
        <f t="shared" ref="K17:K21" si="4">I17*$K$13</f>
        <v>0</v>
      </c>
      <c r="L17" s="104">
        <f t="shared" ref="L17:L21" si="5">I17*14%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ref="O17:O24" si="7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02">
        <f t="shared" si="3"/>
        <v>0</v>
      </c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7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02">
        <f t="shared" si="3"/>
        <v>0</v>
      </c>
      <c r="K19" s="1">
        <f t="shared" si="4"/>
        <v>0</v>
      </c>
      <c r="L19" s="104">
        <f t="shared" si="5"/>
        <v>0</v>
      </c>
      <c r="M19" s="117">
        <f t="shared" si="6"/>
        <v>0</v>
      </c>
      <c r="N19" s="117">
        <f t="shared" si="0"/>
        <v>0</v>
      </c>
      <c r="O19" s="118">
        <f t="shared" si="7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02">
        <f t="shared" si="3"/>
        <v>0</v>
      </c>
      <c r="K20" s="1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7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02">
        <f t="shared" si="3"/>
        <v>0</v>
      </c>
      <c r="K21" s="1">
        <f t="shared" si="4"/>
        <v>0</v>
      </c>
      <c r="L21" s="104">
        <f t="shared" si="5"/>
        <v>0</v>
      </c>
      <c r="M21" s="117">
        <f t="shared" si="6"/>
        <v>0</v>
      </c>
      <c r="N21" s="117">
        <f t="shared" si="0"/>
        <v>0</v>
      </c>
      <c r="O21" s="118">
        <f t="shared" si="7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7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6"/>
        <v>0</v>
      </c>
      <c r="N23" s="117">
        <f t="shared" si="0"/>
        <v>0</v>
      </c>
      <c r="O23" s="118">
        <f t="shared" si="7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7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10">SUM(G16:G24)</f>
        <v>0</v>
      </c>
      <c r="H25" s="135">
        <f t="shared" si="10"/>
        <v>0</v>
      </c>
      <c r="I25" s="136">
        <f t="shared" si="10"/>
        <v>0</v>
      </c>
      <c r="J25" s="137"/>
      <c r="K25" s="138">
        <f t="shared" si="10"/>
        <v>0</v>
      </c>
      <c r="L25" s="139">
        <f t="shared" si="10"/>
        <v>0</v>
      </c>
      <c r="M25" s="140">
        <f t="shared" si="10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>
        <f>H16/20</f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02">
        <f t="shared" ref="J17:J21" si="3">H17/20</f>
        <v>0</v>
      </c>
      <c r="K17" s="1">
        <f t="shared" ref="K17:K21" si="4">I17*$K$13</f>
        <v>0</v>
      </c>
      <c r="L17" s="104">
        <f t="shared" ref="L17:L21" si="5">I17*14%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ref="O17:O24" si="7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02">
        <f t="shared" si="3"/>
        <v>0</v>
      </c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7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02">
        <f t="shared" si="3"/>
        <v>0</v>
      </c>
      <c r="K19" s="1">
        <f t="shared" si="4"/>
        <v>0</v>
      </c>
      <c r="L19" s="104">
        <f t="shared" si="5"/>
        <v>0</v>
      </c>
      <c r="M19" s="117">
        <f t="shared" si="6"/>
        <v>0</v>
      </c>
      <c r="N19" s="117">
        <f t="shared" si="0"/>
        <v>0</v>
      </c>
      <c r="O19" s="118">
        <f t="shared" si="7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02">
        <f t="shared" si="3"/>
        <v>0</v>
      </c>
      <c r="K20" s="1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7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02">
        <f t="shared" si="3"/>
        <v>0</v>
      </c>
      <c r="K21" s="1">
        <f t="shared" si="4"/>
        <v>0</v>
      </c>
      <c r="L21" s="104">
        <f t="shared" si="5"/>
        <v>0</v>
      </c>
      <c r="M21" s="117">
        <f t="shared" si="6"/>
        <v>0</v>
      </c>
      <c r="N21" s="117">
        <f t="shared" si="0"/>
        <v>0</v>
      </c>
      <c r="O21" s="118">
        <f t="shared" si="7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7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6"/>
        <v>0</v>
      </c>
      <c r="N23" s="117">
        <f t="shared" si="0"/>
        <v>0</v>
      </c>
      <c r="O23" s="118">
        <f t="shared" si="7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7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10">SUM(G16:G24)</f>
        <v>0</v>
      </c>
      <c r="H25" s="135">
        <f t="shared" si="10"/>
        <v>0</v>
      </c>
      <c r="I25" s="136">
        <f t="shared" si="10"/>
        <v>0</v>
      </c>
      <c r="J25" s="137"/>
      <c r="K25" s="138">
        <f t="shared" si="10"/>
        <v>0</v>
      </c>
      <c r="L25" s="139">
        <f t="shared" si="10"/>
        <v>0</v>
      </c>
      <c r="M25" s="140">
        <f t="shared" si="10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>
        <f>H16/20</f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02">
        <f t="shared" ref="J17:J21" si="3">H17/20</f>
        <v>0</v>
      </c>
      <c r="K17" s="1">
        <f t="shared" ref="K17:K21" si="4">I17*$K$13</f>
        <v>0</v>
      </c>
      <c r="L17" s="104">
        <f t="shared" ref="L17:L21" si="5">I17*14%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ref="O17:O24" si="7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02">
        <f t="shared" si="3"/>
        <v>0</v>
      </c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7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02">
        <f t="shared" si="3"/>
        <v>0</v>
      </c>
      <c r="K19" s="1">
        <f t="shared" si="4"/>
        <v>0</v>
      </c>
      <c r="L19" s="104">
        <f t="shared" si="5"/>
        <v>0</v>
      </c>
      <c r="M19" s="117">
        <f t="shared" si="6"/>
        <v>0</v>
      </c>
      <c r="N19" s="117">
        <f t="shared" si="0"/>
        <v>0</v>
      </c>
      <c r="O19" s="118">
        <f t="shared" si="7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02">
        <f t="shared" si="3"/>
        <v>0</v>
      </c>
      <c r="K20" s="1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7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02">
        <f t="shared" si="3"/>
        <v>0</v>
      </c>
      <c r="K21" s="1">
        <f t="shared" si="4"/>
        <v>0</v>
      </c>
      <c r="L21" s="104">
        <f t="shared" si="5"/>
        <v>0</v>
      </c>
      <c r="M21" s="117">
        <f t="shared" si="6"/>
        <v>0</v>
      </c>
      <c r="N21" s="117">
        <f t="shared" si="0"/>
        <v>0</v>
      </c>
      <c r="O21" s="118">
        <f t="shared" si="7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7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6"/>
        <v>0</v>
      </c>
      <c r="N23" s="117">
        <f t="shared" si="0"/>
        <v>0</v>
      </c>
      <c r="O23" s="118">
        <f t="shared" si="7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7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10">SUM(G16:G24)</f>
        <v>0</v>
      </c>
      <c r="H25" s="135">
        <f t="shared" si="10"/>
        <v>0</v>
      </c>
      <c r="I25" s="136">
        <f t="shared" si="10"/>
        <v>0</v>
      </c>
      <c r="J25" s="137"/>
      <c r="K25" s="138">
        <f t="shared" si="10"/>
        <v>0</v>
      </c>
      <c r="L25" s="139">
        <f t="shared" si="10"/>
        <v>0</v>
      </c>
      <c r="M25" s="140">
        <f t="shared" si="10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2026-07-17T04:22:28Z</dcterms:modified>
</cp:coreProperties>
</file>