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BF5617C-D003-4EC6-82AE-6501E86F037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20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K17" i="16" l="1"/>
  <c r="L17" i="16"/>
  <c r="K21" i="16"/>
  <c r="L21" i="16"/>
  <c r="K19" i="16"/>
  <c r="L19" i="16"/>
  <c r="K16" i="16"/>
  <c r="K16" i="15" s="1"/>
  <c r="L16" i="16"/>
  <c r="L16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8"/>
  <c r="O16" i="17"/>
  <c r="O25" i="17" s="1"/>
  <c r="N25" i="17"/>
  <c r="P32" i="17" s="1"/>
  <c r="P33" i="18" l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<sst xmlns="http://schemas.openxmlformats.org/spreadsheetml/2006/main" count="1652" uniqueCount="123">
  <si>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</si>
  <si>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</si>
  <si>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</si>
  <si>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</si>
  <si>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</si>
  <si>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</si>
  <si>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</si>
  <si>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</si>
  <si>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</si>
  <si>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</si>
  <si>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</si>
  <si>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</si>
  <si>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</si>
  <si>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</si>
  <si>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</si>
  <si>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</si>
  <si>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</si>
  <si>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</si>
  <si>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</si>
  <si>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</si>
  <si>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</si>
  <si>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</si>
  <si>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</si>
  <si>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</si>
  <si>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</si>
  <si>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</si>
  <si>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</si>
  <si>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</si>
  <si>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</si>
  <si>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</si>
  <si>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</si>
  <si>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</si>
  <si>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</si>
  <si>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</si>
  <si>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</si>
  <si>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</si>
  <si>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</si>
  <si>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</si>
  <si>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</si>
  <si>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</si>
  <si>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</si>
  <si>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</si>
  <si>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</si>
  <si>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</si>
  <si>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</si>
  <si>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</si>
  <si>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</si>
  <si>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</si>
  <si>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</si>
  <si>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</si>
  <si>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</si>
  <si>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</si>
  <si>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</si>
  <si>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</si>
  <si>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</si>
  <si>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</si>
  <si>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</si>
  <si>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</si>
  <si>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</si>
  <si>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</si>
  <si>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</si>
  <si>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</si>
  <si>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</si>
  <si>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</si>
  <si>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</si>
  <si>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</si>
  <si>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</si>
  <si>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</si>
  <si>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</si>
  <si>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</si>
  <si>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</si>
  <si>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</si>
  <si>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</si>
  <si>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</si>
  <si>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</si>
  <si>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</si>
  <si>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</si>
  <si>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</si>
  <si>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</si>
  <si>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</si>
  <si>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</si>
  <si>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</si>
  <si>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</si>
  <si>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</si>
  <si>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</si>
  <si>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</si>
  <si>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</si>
  <si>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</si>
  <si>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</si>
  <si>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</si>
  <si>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</si>
  <si>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</si>
  <si>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</si>
  <si>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</si>
  <si>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</si>
  <si>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</si>
  <si>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</si>
  <si>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</si>
  <si>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</si>
  <si>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</si>
  <si>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</si>
  <si>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</si>
  <si>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</si>
  <si>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</si>
  <si>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</si>
  <si>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</si>
  <si>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</si>
  <si>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</si>
  <si>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</si>
  <si>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</si>
  <si>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</si>
  <si>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</si>
  <si>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</si>
  <si>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</si>
  <si>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</si>
  <si>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</si>
  <si>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</si>
  <si>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</si>
  <si>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</si>
  <si>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</si>
  <si>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Address: Wapda Town</t>
  </si>
  <si>
    <t>3612722-1</t>
  </si>
  <si>
    <t>Customer Name : RAJA SAHIB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</si>
</sst>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102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103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RAJA SAHIB</v>
      </c>
      <c r="U14" s="163">
        <f>+'1'!P35</f>
        <v>14074.94724315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RAJA SAHIB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+'3'!A5</f>
        <v>Customer Name : RAJA SAHIB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209.85000000000002</v>
      </c>
      <c r="M17" s="117">
        <f t="shared" ref="M17:M23" si="2">I17-K17-L17</f>
        <v>1815.2024999999999</v>
      </c>
      <c r="N17" s="100">
        <f>+'1'!N17+'2'!N17+'4'!N17+'3'!N17+'5'!N17+'6'!N17+'7'!N17+'8'!N17+'9'!N17+'10'!N17</f>
        <v>326.73644999999999</v>
      </c>
      <c r="O17" s="100">
        <f>+'1'!O17+'2'!O17+'4'!O17+'3'!O17+'5'!O17+'6'!O17+'7'!O17+'8'!O17+'9'!O17+'10'!O17</f>
        <v>10.709694749999999</v>
      </c>
      <c r="P17" s="119">
        <f t="shared" si="0"/>
        <v>2152.6486447499997</v>
      </c>
      <c r="S17" s="64"/>
      <c r="T17" s="162" t="str">
        <f>+'4'!A5</f>
        <v>Customer Name : RAJA SAHIB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RAJA SAHIB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581.12</v>
      </c>
      <c r="M19" s="117">
        <f t="shared" si="2"/>
        <v>5026.6880000000001</v>
      </c>
      <c r="N19" s="100">
        <f>+'1'!N19+'2'!N19+'4'!N19+'3'!N19+'5'!N19+'6'!N19+'7'!N19+'8'!N19+'9'!N19+'10'!N19</f>
        <v>904.80384000000004</v>
      </c>
      <c r="O19" s="100">
        <f>+'1'!O19+'2'!O19+'4'!O19+'3'!O19+'5'!O19+'6'!O19+'7'!O19+'8'!O19+'9'!O19+'10'!O19</f>
        <v>29.657459200000005</v>
      </c>
      <c r="P19" s="119">
        <f t="shared" si="0"/>
        <v>5961.1492992000003</v>
      </c>
      <c r="T19" s="162" t="str">
        <f>+'6'!A5</f>
        <v>Customer Name : RAJA SAHIB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RAJA SAHIB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581.12</v>
      </c>
      <c r="M21" s="117">
        <f t="shared" si="2"/>
        <v>5026.6880000000001</v>
      </c>
      <c r="N21" s="100">
        <f>+'1'!N21+'2'!N21+'4'!N21+'3'!N21+'5'!N21+'6'!N21+'7'!N21+'8'!N21+'9'!N21+'10'!N21</f>
        <v>904.80384000000004</v>
      </c>
      <c r="O21" s="100">
        <f>+'1'!O21+'2'!O21+'4'!O21+'3'!O21+'5'!O21+'6'!O21+'7'!O21+'8'!O21+'9'!O21+'10'!O21</f>
        <v>29.657459200000005</v>
      </c>
      <c r="P21" s="119">
        <f t="shared" si="0"/>
        <v>5961.1492992000003</v>
      </c>
      <c r="T21" s="162" t="str">
        <f>+'8'!A5</f>
        <v>Customer Name : RAJA SAHIB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RAJA SAHIB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RAJA SAHIB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RAJA SAHIB</v>
      </c>
      <c r="U24" s="163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200</v>
      </c>
      <c r="I25" s="177">
        <f t="shared" si="3"/>
        <v>13720.9</v>
      </c>
      <c r="J25" s="176">
        <f t="shared" si="3"/>
        <v>0</v>
      </c>
      <c r="K25" s="177">
        <f t="shared" si="3"/>
        <v>480.2315000000001</v>
      </c>
      <c r="L25" s="178">
        <f t="shared" si="3"/>
        <v>1372.0900000000001</v>
      </c>
      <c r="M25" s="140">
        <f t="shared" si="3"/>
        <v>11868.5785</v>
      </c>
      <c r="N25" s="141">
        <f>SUM(N16:N24)</f>
        <v>2136.34413</v>
      </c>
      <c r="O25" s="142">
        <f>SUM(O16:O24)</f>
        <v>70.024613150000008</v>
      </c>
      <c r="P25" s="143">
        <f>SUM(P16:P24)</f>
        <v>14074.94724315</v>
      </c>
      <c r="T25" s="162" t="str">
        <f>+'12'!A5</f>
        <v>Customer Name : RAJA SAHIB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RAJA SAHIB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RAJA SAHIB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RAJA SAHIB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RAJA SAHIB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RAJA SAHIB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RAJA SAHIB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>Customer Name : RAJA SAHIB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>Customer Name : RAJA SAHIB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14074.94724315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1">
        <f>I25</f>
        <v>13720.9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2">
        <f>L25</f>
        <v>1372.0900000000001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3">
        <f>K25</f>
        <v>480.2315000000001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2">
        <f>P36-P37-P38</f>
        <v>11868.5785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4" t="s">
        <v>89</v>
      </c>
      <c r="O40" s="155">
        <f>IF(B12="Registered",18%,22%)</f>
        <v>0.22</v>
      </c>
      <c r="P40" s="152">
        <f>N25</f>
        <v>2136.34413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2">
        <f>P39+P40</f>
        <v>14004.922629999999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6"/>
      <c r="N42" s="157" t="s">
        <v>91</v>
      </c>
      <c r="O42" s="158">
        <f>IF(B11="Filer",0.5%,2.5%)</f>
        <v>2.5000000000000001E-2</v>
      </c>
      <c r="P42" s="152">
        <f>O42*P41</f>
        <v>350.12306575000002</v>
      </c>
    </row>
    <row r="43" spans="1:21" ht="15.75" customHeight="1" thickBot="1" x14ac:dyDescent="0.4">
      <c r="N43" s="212" t="s">
        <v>92</v>
      </c>
      <c r="O43" s="213"/>
      <c r="P43" s="159">
        <f>P41+P42</f>
        <v>14355.045695749999</v>
      </c>
    </row>
    <row r="44" spans="1:21" ht="15" thickBot="1" x14ac:dyDescent="0.4">
      <c r="B44" s="160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J3" sqref="J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6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101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 t="s">
        <v>121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I17*10%</f>
        <v>209.85000000000002</v>
      </c>
      <c r="M17" s="117">
        <f t="shared" ref="M17:M23" si="6">I17-K17-L17</f>
        <v>1815.2024999999999</v>
      </c>
      <c r="N17" s="117">
        <f t="shared" si="0"/>
        <v>326.73644999999999</v>
      </c>
      <c r="O17" s="118">
        <f t="shared" si="1"/>
        <v>10.709694749999999</v>
      </c>
      <c r="P17" s="119">
        <f t="shared" si="2"/>
        <v>2152.6486447499997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581.12</v>
      </c>
      <c r="M19" s="117">
        <f t="shared" si="6"/>
        <v>5026.6880000000001</v>
      </c>
      <c r="N19" s="117">
        <f t="shared" si="0"/>
        <v>904.80384000000004</v>
      </c>
      <c r="O19" s="118">
        <f t="shared" si="1"/>
        <v>29.657459200000005</v>
      </c>
      <c r="P19" s="119">
        <f t="shared" si="2"/>
        <v>5961.1492992000003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581.12</v>
      </c>
      <c r="M21" s="117">
        <f t="shared" si="6"/>
        <v>5026.6880000000001</v>
      </c>
      <c r="N21" s="117">
        <f t="shared" si="0"/>
        <v>904.80384000000004</v>
      </c>
      <c r="O21" s="118">
        <f t="shared" si="1"/>
        <v>29.657459200000005</v>
      </c>
      <c r="P21" s="119">
        <f t="shared" si="2"/>
        <v>5961.1492992000003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13">SUM(G16:G24)</f>
        <v>0</v>
      </c>
      <c r="H25" s="135">
        <f t="shared" si="13"/>
        <v>200</v>
      </c>
      <c r="I25" s="136">
        <f t="shared" si="13"/>
        <v>13720.9</v>
      </c>
      <c r="J25" s="137"/>
      <c r="K25" s="138">
        <f t="shared" si="13"/>
        <v>480.2315000000001</v>
      </c>
      <c r="L25" s="139">
        <f t="shared" si="13"/>
        <v>1372.0900000000001</v>
      </c>
      <c r="M25" s="140">
        <f t="shared" si="13"/>
        <v>11868.5785</v>
      </c>
      <c r="N25" s="141">
        <f>SUM(N16:N24)</f>
        <v>2136.34413</v>
      </c>
      <c r="O25" s="142">
        <f>SUM(O16:O24)</f>
        <v>70.024613150000008</v>
      </c>
      <c r="P25" s="143">
        <f>SUM(P16:P24)</f>
        <v>14074.94724315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13720.9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1372.0900000000001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480.2315000000001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11868.5785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0.18</v>
      </c>
      <c r="P32" s="152">
        <f>N25</f>
        <v>2136.34413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14004.922629999999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70.024613149999993</v>
      </c>
    </row>
    <row r="35" spans="2:16" ht="15.75" customHeight="1" thickBot="1" x14ac:dyDescent="0.4">
      <c r="N35" s="212" t="s">
        <v>92</v>
      </c>
      <c r="O35" s="213"/>
      <c r="P35" s="159">
        <f>P33+P34</f>
        <v>14074.94724315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6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79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2026-07-18T05:36:35Z</dcterms:modified>
</cp:coreProperties>
</file>