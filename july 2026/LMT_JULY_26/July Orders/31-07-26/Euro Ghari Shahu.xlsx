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8942ECE-E39B-4730-92A7-059CDF702344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<sst xmlns="http://schemas.openxmlformats.org/spreadsheetml/2006/main" count="3913" uniqueCount="516">
  <si>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</si>
  <si>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</si>
  <si>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</si>
  <si>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</si>
  <si>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</si>
  <si>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</si>
  <si>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</si>
  <si>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</si>
  <si>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</si>
  <si>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</si>
  <si>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</si>
  <si>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</si>
  <si>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</si>
  <si>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</si>
  <si>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</si>
  <si>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</si>
  <si>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</si>
  <si>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</si>
  <si>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</si>
  <si>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</si>
  <si>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</si>
  <si>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</si>
  <si>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</si>
  <si>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</si>
  <si>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</si>
  <si>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</si>
  <si>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</si>
  <si>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</si>
  <si>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</si>
  <si>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</si>
  <si>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</si>
  <si>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</si>
  <si>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</si>
  <si>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</si>
  <si>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</si>
  <si>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</si>
  <si>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</si>
  <si>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</si>
  <si>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</si>
  <si>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</si>
  <si>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</si>
  <si>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</si>
  <si>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</si>
  <si>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</si>
  <si>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</si>
  <si>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</si>
  <si>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</si>
  <si>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</si>
  <si>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</si>
  <si>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</si>
  <si>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</si>
  <si>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</si>
  <si>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</si>
  <si>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</si>
  <si>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</si>
  <si>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</si>
  <si>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</si>
  <si>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</si>
  <si>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</si>
  <si>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</si>
  <si>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</si>
  <si>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</si>
  <si>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</si>
  <si>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</si>
  <si>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</si>
  <si>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</si>
  <si>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</si>
  <si>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</si>
  <si>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</si>
  <si>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</si>
  <si>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</si>
  <si>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</si>
  <si>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</si>
  <si>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</si>
  <si>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</si>
  <si>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</si>
  <si>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</si>
  <si>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</si>
  <si>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</si>
  <si>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</si>
  <si>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</si>
  <si>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</si>
  <si>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</si>
  <si>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</si>
  <si>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</si>
  <si>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</si>
  <si>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</si>
  <si>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</si>
  <si>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</si>
  <si>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</si>
  <si>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</si>
  <si>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</si>
  <si>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</si>
  <si>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</si>
  <si>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</si>
  <si>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</si>
  <si>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</si>
  <si>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</si>
  <si>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</si>
  <si>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</si>
  <si>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</si>
  <si>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</si>
  <si>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</si>
  <si>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</si>
  <si>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</si>
  <si>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</si>
  <si>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</si>
  <si>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</si>
  <si>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</si>
  <si>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</si>
  <si>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</si>
  <si>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</si>
  <si>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</si>
  <si>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</si>
  <si>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</si>
  <si>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</si>
  <si>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</si>
  <si>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</si>
  <si>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</si>
  <si>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</si>
  <si>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</si>
  <si>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</si>
  <si>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</si>
  <si>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</si>
  <si>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</si>
  <si>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</si>
  <si>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</si>
  <si>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</si>
  <si>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</si>
  <si>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</si>
  <si>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</si>
  <si>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</si>
  <si>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</si>
  <si>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</si>
  <si>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</si>
  <si>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</si>
  <si>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</si>
  <si>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</si>
  <si>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</si>
  <si>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</si>
  <si>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</si>
  <si>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</si>
  <si>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</si>
  <si>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</si>
  <si>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</si>
  <si>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</si>
  <si>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</si>
  <si>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</si>
  <si>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</si>
  <si>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</si>
  <si>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</si>
  <si>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</si>
  <si>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</si>
  <si>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</si>
  <si>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</si>
  <si>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</si>
  <si>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</si>
  <si>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</si>
  <si>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</si>
  <si>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</si>
  <si>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</si>
  <si>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</si>
  <si>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</si>
  <si>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</si>
  <si>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</si>
  <si>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</si>
  <si>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</si>
  <si>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</si>
  <si>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</si>
  <si>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</si>
  <si>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</si>
  <si>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</si>
  <si>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</si>
  <si>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</si>
  <si>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</si>
  <si>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</si>
  <si>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</si>
  <si>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</si>
  <si>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</si>
  <si>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</si>
  <si>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</si>
  <si>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</si>
  <si>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</si>
  <si>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</si>
  <si>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</si>
  <si>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</si>
  <si>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</si>
  <si>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</si>
  <si>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</si>
  <si>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</si>
  <si>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</si>
  <si>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</si>
  <si>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</si>
  <si>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</si>
  <si>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</si>
  <si>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</si>
  <si>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</si>
  <si>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</si>
  <si>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</si>
  <si>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</si>
  <si>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</si>
  <si>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</si>
  <si>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</si>
  <si>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</si>
  <si>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</si>
  <si>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</si>
  <si>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</si>
  <si>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</si>
  <si>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</si>
  <si>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</si>
  <si>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</si>
  <si>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</si>
  <si>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</si>
  <si>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</si>
  <si>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</si>
  <si>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</si>
  <si>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</si>
  <si>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</si>
  <si>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</si>
  <si>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</si>
  <si>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</si>
  <si>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</si>
  <si>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</si>
  <si>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</si>
  <si>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</si>
  <si>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</si>
  <si>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</si>
  <si>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</si>
  <si>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</si>
  <si>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</si>
  <si>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</si>
  <si>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</si>
  <si>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</si>
  <si>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</si>
  <si>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</si>
  <si>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</si>
  <si>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</si>
  <si>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</si>
  <si>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</si>
  <si>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</si>
  <si>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</si>
  <si>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</si>
  <si>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</si>
  <si>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</si>
  <si>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</si>
  <si>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</si>
  <si>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</si>
  <si>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</si>
  <si>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</si>
  <si>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</si>
  <si>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</si>
  <si>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</si>
  <si>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</si>
  <si>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</si>
  <si>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</si>
  <si>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</si>
  <si>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</si>
  <si>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</si>
  <si>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</si>
  <si>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</si>
  <si>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</si>
  <si>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</si>
  <si>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</si>
  <si>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</si>
  <si>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</si>
  <si>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</si>
  <si>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</si>
  <si>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</si>
  <si>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</si>
  <si>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</si>
  <si>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</si>
  <si>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</si>
  <si>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</si>
  <si>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</si>
  <si>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</si>
  <si>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</si>
  <si>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</si>
  <si>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</si>
  <si>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</si>
  <si>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</si>
  <si>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</si>
  <si>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</si>
  <si>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</si>
  <si>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</si>
  <si>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</si>
  <si>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</si>
  <si>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</si>
  <si>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</si>
  <si>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</si>
  <si>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</si>
  <si>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</si>
  <si>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</si>
  <si>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</si>
  <si>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</si>
  <si>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</si>
  <si>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</si>
  <si>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</si>
  <si>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</si>
  <si>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</si>
  <si>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</si>
  <si>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</si>
  <si>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</si>
  <si>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</si>
  <si>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</si>
  <si>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</si>
  <si>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</si>
  <si>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</si>
  <si>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</si>
  <si>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</si>
  <si>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</si>
  <si>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</si>
  <si>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</si>
  <si>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</si>
  <si>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</si>
  <si>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</si>
  <si>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</si>
  <si>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</si>
  <si>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</si>
  <si>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</si>
  <si>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</si>
  <si>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</si>
  <si>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</si>
  <si>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</si>
  <si>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</si>
  <si>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</si>
  <si>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</si>
  <si>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</si>
  <si>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</si>
  <si>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</si>
  <si>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</si>
  <si>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</si>
  <si>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</si>
  <si>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</si>
  <si>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</si>
  <si>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</si>
  <si>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</si>
  <si>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</si>
  <si>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</si>
  <si>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</si>
  <si>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</si>
  <si>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</si>
  <si>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</si>
  <si>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</si>
  <si>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</si>
  <si>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</si>
  <si>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</si>
  <si>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</si>
  <si>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</si>
  <si>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</si>
  <si>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</si>
  <si>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</si>
  <si>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</si>
  <si>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</si>
  <si>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</si>
  <si>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</si>
  <si>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</si>
  <si>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</si>
  <si>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</si>
  <si>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</si>
  <si>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</si>
  <si>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</si>
  <si>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</si>
  <si>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</si>
  <si>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</si>
  <si>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</si>
  <si>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</si>
  <si>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</si>
  <si>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</si>
  <si>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</si>
  <si>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</si>
  <si>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</si>
  <si>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</si>
  <si>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</si>
  <si>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</si>
  <si>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</si>
  <si>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</si>
  <si>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</si>
  <si>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</si>
  <si>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</si>
  <si>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</si>
  <si>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</si>
  <si>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</si>
  <si>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</si>
  <si>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</si>
  <si>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</si>
  <si>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</si>
  <si>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</si>
  <si>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</si>
  <si>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</si>
  <si>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</si>
  <si>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</si>
  <si>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</si>
  <si>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</si>
  <si>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</si>
  <si>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</si>
  <si>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</si>
  <si>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</si>
  <si>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</si>
  <si>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</si>
  <si>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</si>
  <si>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</si>
  <si>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</si>
  <si>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</si>
  <si>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</si>
  <si>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</si>
  <si>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</si>
  <si>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</si>
  <si>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</si>
  <si>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</si>
  <si>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</si>
  <si>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</si>
  <si>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</si>
  <si>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</si>
  <si>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</si>
  <si>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</si>
  <si>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</si>
  <si>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</si>
  <si>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</si>
  <si>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</si>
  <si>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</si>
  <si>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</si>
  <si>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</si>
  <si>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</si>
  <si>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</si>
  <si>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</si>
  <si>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</si>
  <si>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</si>
  <si>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</si>
  <si>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</si>
  <si>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</si>
  <si>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</si>
  <si>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</si>
  <si>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</si>
  <si>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</si>
  <si>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</si>
  <si>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</si>
  <si>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</si>
  <si>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</si>
  <si>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</si>
  <si>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</si>
  <si>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</si>
  <si>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</si>
  <si>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</si>
  <si>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</si>
  <si>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</si>
  <si>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</si>
  <si>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</si>
  <si>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</si>
  <si>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</si>
  <si>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</si>
  <si>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</si>
  <si>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</si>
  <si>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</si>
  <si>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</si>
  <si>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</si>
  <si>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</si>
  <si>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</si>
  <si>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</si>
  <si>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</si>
  <si>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</si>
  <si>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</si>
  <si>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</si>
  <si>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</si>
  <si>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</si>
  <si>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</si>
  <si>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</si>
  <si>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</si>
  <si>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</si>
  <si>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</si>
  <si>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</si>
  <si>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</si>
  <si>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</si>
  <si>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</si>
  <si>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</si>
  <si>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</si>
  <si>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</si>
  <si>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</si>
  <si>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</si>
  <si>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</si>
  <si>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</si>
  <si>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</si>
  <si>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</si>
  <si>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</si>
  <si>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</si>
  <si>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</si>
  <si>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</si>
  <si>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</si>
  <si>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</si>
  <si>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</si>
  <si>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</si>
  <si>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</si>
  <si>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</si>
  <si>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</si>
  <si>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</si>
  <si>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</si>
  <si>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</si>
  <si>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</si>
  <si>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</si>
  <si>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</si>
  <si>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</si>
  <si>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</si>
  <si>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</si>
  <si>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</si>
  <si>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</si>
  <si>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</si>
  <si>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</si>
  <si>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</si>
  <si>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</si>
  <si>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</si>
  <si>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</si>
  <si>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</si>
  <si>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</si>
  <si>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</si>
  <si>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</si>
  <si>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Euro Fateh Gher</t>
  </si>
  <si>
    <t>Address: Fateh 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</si>
</sst>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46234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Euro Fateh Gher</v>
      </c>
      <c r="T3" s="301">
        <f>+'1'!P35</f>
        <v>70284.880749050848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839.40000000000009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7260.8099999999995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44.236253389830502</v>
      </c>
      <c r="P7" s="118">
        <f>M7+N7+O7</f>
        <v>8891.4869313559302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839.40000000000009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7260.8099999999995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44.236253389830502</v>
      </c>
      <c r="P8" s="119">
        <f t="shared" ref="P8:P15" si="2">M8+N8+O8</f>
        <v>8891.4869313559302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839.40000000000009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7260.8099999999995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44.236253389830502</v>
      </c>
      <c r="P9" s="119">
        <f t="shared" si="2"/>
        <v>8891.4869313559302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1162.24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10053.376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61.249930847457627</v>
      </c>
      <c r="P10" s="119">
        <f t="shared" si="2"/>
        <v>12311.236100338983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1162.24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10053.376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61.249930847457627</v>
      </c>
      <c r="P11" s="119">
        <f t="shared" si="2"/>
        <v>12311.236100338983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1162.24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10053.376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61.249930847457627</v>
      </c>
      <c r="P12" s="119">
        <f t="shared" si="2"/>
        <v>12311.236100338983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320.11680000000001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119">
        <f t="shared" si="2"/>
        <v>6676.7116539661019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1120</v>
      </c>
      <c r="I16" s="114">
        <f t="shared" si="3"/>
        <v>66326</v>
      </c>
      <c r="J16" s="274">
        <f>SUM(J7:J15)</f>
        <v>6318.76</v>
      </c>
      <c r="K16" s="275">
        <f t="shared" si="3"/>
        <v>2321.4100000000003</v>
      </c>
      <c r="L16" s="276">
        <f t="shared" si="3"/>
        <v>320.11680000000001</v>
      </c>
      <c r="M16" s="232">
        <f t="shared" si="3"/>
        <v>57365.713200000006</v>
      </c>
      <c r="N16" s="233">
        <f>SUM(N7:N15)</f>
        <v>12569.491525423724</v>
      </c>
      <c r="O16" s="101">
        <f>SUM(O7:O15)</f>
        <v>349.67602362711864</v>
      </c>
      <c r="P16" s="234">
        <f>SUM(P7:P15)</f>
        <v>70284.880749050833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66326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6318.76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2641.5268000000005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57365.713199999998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12569.491525423724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69935.204725423726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349.67602362711864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70284.880749050848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70284.880749050848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46233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839.40000000000009</v>
      </c>
      <c r="K16" s="127">
        <f>$I16*T16</f>
        <v>293.79000000000002</v>
      </c>
      <c r="L16" s="118">
        <f>$I16*U16</f>
        <v>0</v>
      </c>
      <c r="M16" s="229">
        <f>I16-SUM(J16:L16)</f>
        <v>7260.8099999999995</v>
      </c>
      <c r="N16" s="248">
        <f>+(G16*D16+H16)*V16</f>
        <v>1586.440677966101</v>
      </c>
      <c r="O16" s="238">
        <f>(N16+M16)*$O$15</f>
        <v>44.236253389830502</v>
      </c>
      <c r="P16" s="118">
        <f>M16+N16+O16</f>
        <v>8891.4869313559302</v>
      </c>
      <c r="Q16" s="142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839.40000000000009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7260.8099999999995</v>
      </c>
      <c r="N17" s="277">
        <f t="shared" ref="N17:N24" si="3">+(G17*D17+H17)*V17</f>
        <v>1586.440677966101</v>
      </c>
      <c r="O17" s="239">
        <f t="shared" ref="O17:O24" si="4">(N17+M17)*$O$15</f>
        <v>44.236253389830502</v>
      </c>
      <c r="P17" s="119">
        <f t="shared" ref="P17:P24" si="5">M17+N17+O17</f>
        <v>8891.4869313559302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839.40000000000009</v>
      </c>
      <c r="K18" s="128">
        <f t="shared" si="1"/>
        <v>293.79000000000002</v>
      </c>
      <c r="L18" s="119">
        <f t="shared" si="1"/>
        <v>0</v>
      </c>
      <c r="M18" s="230">
        <f t="shared" si="2"/>
        <v>7260.8099999999995</v>
      </c>
      <c r="N18" s="277">
        <f t="shared" si="3"/>
        <v>1586.440677966101</v>
      </c>
      <c r="O18" s="239">
        <f t="shared" si="4"/>
        <v>44.236253389830502</v>
      </c>
      <c r="P18" s="119">
        <f t="shared" si="5"/>
        <v>8891.4869313559302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1162.24</v>
      </c>
      <c r="K19" s="128">
        <f t="shared" si="1"/>
        <v>406.78400000000005</v>
      </c>
      <c r="L19" s="119">
        <f t="shared" si="1"/>
        <v>0</v>
      </c>
      <c r="M19" s="230">
        <f t="shared" si="2"/>
        <v>10053.376</v>
      </c>
      <c r="N19" s="277">
        <f t="shared" si="3"/>
        <v>2196.6101694915255</v>
      </c>
      <c r="O19" s="239">
        <f t="shared" si="4"/>
        <v>61.249930847457627</v>
      </c>
      <c r="P19" s="119">
        <f t="shared" si="5"/>
        <v>12311.236100338983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1162.24</v>
      </c>
      <c r="K20" s="128">
        <f t="shared" si="1"/>
        <v>406.78400000000005</v>
      </c>
      <c r="L20" s="119">
        <f t="shared" si="1"/>
        <v>0</v>
      </c>
      <c r="M20" s="230">
        <f t="shared" si="2"/>
        <v>10053.376</v>
      </c>
      <c r="N20" s="277">
        <f t="shared" si="3"/>
        <v>2196.6101694915255</v>
      </c>
      <c r="O20" s="239">
        <f t="shared" si="4"/>
        <v>61.249930847457627</v>
      </c>
      <c r="P20" s="119">
        <f t="shared" si="5"/>
        <v>12311.236100338983</v>
      </c>
      <c r="R20">
        <f>P20/21</f>
        <v>586.24933811138021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1162.24</v>
      </c>
      <c r="K21" s="128">
        <f t="shared" si="1"/>
        <v>406.78400000000005</v>
      </c>
      <c r="L21" s="119">
        <f t="shared" si="1"/>
        <v>0</v>
      </c>
      <c r="M21" s="230">
        <f t="shared" si="2"/>
        <v>10053.376</v>
      </c>
      <c r="N21" s="277">
        <f t="shared" si="3"/>
        <v>2196.6101694915255</v>
      </c>
      <c r="O21" s="239">
        <f t="shared" si="4"/>
        <v>61.249930847457627</v>
      </c>
      <c r="P21" s="119">
        <f t="shared" si="5"/>
        <v>12311.236100338983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160</v>
      </c>
      <c r="I22" s="236">
        <f t="shared" si="0"/>
        <v>6276.8000000000011</v>
      </c>
      <c r="J22" s="272">
        <f t="shared" si="1"/>
        <v>313.84000000000009</v>
      </c>
      <c r="K22" s="128">
        <f t="shared" si="1"/>
        <v>219.68800000000005</v>
      </c>
      <c r="L22" s="119">
        <f t="shared" si="1"/>
        <v>320.11680000000001</v>
      </c>
      <c r="M22" s="230">
        <f t="shared" si="2"/>
        <v>5423.1552000000011</v>
      </c>
      <c r="N22" s="277">
        <f t="shared" si="3"/>
        <v>1220.3389830508468</v>
      </c>
      <c r="O22" s="239">
        <f t="shared" si="4"/>
        <v>33.217470915254239</v>
      </c>
      <c r="P22" s="119">
        <f t="shared" si="5"/>
        <v>6676.7116539661019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1120</v>
      </c>
      <c r="I25" s="114">
        <f t="shared" ref="I25:M25" si="10">SUM(I16:I24)</f>
        <v>66326</v>
      </c>
      <c r="J25" s="274">
        <f>SUM(J16:J24)</f>
        <v>6318.76</v>
      </c>
      <c r="K25" s="275">
        <f t="shared" si="10"/>
        <v>2321.4100000000003</v>
      </c>
      <c r="L25" s="276">
        <f t="shared" si="10"/>
        <v>320.11680000000001</v>
      </c>
      <c r="M25" s="232">
        <f t="shared" si="10"/>
        <v>57365.713200000006</v>
      </c>
      <c r="N25" s="233">
        <f>SUM(N16:N24)</f>
        <v>12569.491525423724</v>
      </c>
      <c r="O25" s="101">
        <f>SUM(O16:O24)</f>
        <v>349.67602362711864</v>
      </c>
      <c r="P25" s="234">
        <f>SUM(P16:P24)</f>
        <v>70284.880749050833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66326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6318.76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2641.5268000000005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57365.713199999998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12569.491525423724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69935.204725423726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349.67602362711864</v>
      </c>
    </row>
    <row r="35" spans="2:16" ht="15.75" customHeight="1" thickBot="1" x14ac:dyDescent="0.4">
      <c r="N35" s="363" t="s">
        <v>88</v>
      </c>
      <c r="O35" s="364"/>
      <c r="P35" s="297">
        <f>+P33+P34</f>
        <v>70284.880749050848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510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46236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46235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2026-08-01T05:46:33Z</dcterms:modified>
</cp:coreProperties>
</file>