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04C9385-2397-49F7-B705-D68AEE9A1251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25" i="44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7" i="44"/>
  <c r="O17" i="44" s="1"/>
  <c r="P17" i="44" s="1"/>
  <c r="M21" i="44"/>
  <c r="O21" i="44" s="1"/>
  <c r="P21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<sst xmlns="http://schemas.openxmlformats.org/spreadsheetml/2006/main" count="3915" uniqueCount="520">
  <si>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</si>
  <si>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</si>
  <si>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</si>
  <si>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</si>
  <si>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</si>
  <si>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</si>
  <si>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</si>
  <si>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</si>
  <si>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</si>
  <si>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</si>
  <si>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</si>
  <si>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</si>
  <si>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</si>
  <si>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</si>
  <si>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</si>
  <si>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</si>
  <si>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</si>
  <si>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</si>
  <si>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</si>
  <si>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</si>
  <si>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</si>
  <si>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</si>
  <si>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</si>
  <si>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</si>
  <si>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</si>
  <si>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</si>
  <si>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</si>
  <si>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</si>
  <si>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</si>
  <si>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</si>
  <si>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</si>
  <si>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</si>
  <si>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</si>
  <si>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</si>
  <si>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</si>
  <si>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</si>
  <si>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</si>
  <si>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</si>
  <si>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</si>
  <si>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</si>
  <si>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</si>
  <si>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</si>
  <si>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</si>
  <si>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</si>
  <si>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</si>
  <si>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</si>
  <si>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</si>
  <si>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</si>
  <si>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</si>
  <si>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</si>
  <si>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</si>
  <si>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</si>
  <si>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</si>
  <si>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</si>
  <si>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</si>
  <si>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</si>
  <si>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</si>
  <si>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</si>
  <si>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</si>
  <si>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</si>
  <si>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</si>
  <si>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</si>
  <si>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</si>
  <si>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</si>
  <si>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</si>
  <si>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</si>
  <si>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</si>
  <si>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</si>
  <si>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</si>
  <si>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</si>
  <si>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</si>
  <si>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</si>
  <si>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</si>
  <si>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</si>
  <si>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</si>
  <si>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</si>
  <si>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</si>
  <si>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</si>
  <si>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</si>
  <si>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</si>
  <si>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</si>
  <si>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</si>
  <si>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</si>
  <si>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</si>
  <si>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</si>
  <si>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</si>
  <si>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</si>
  <si>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</si>
  <si>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</si>
  <si>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</si>
  <si>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</si>
  <si>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</si>
  <si>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</si>
  <si>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</si>
  <si>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</si>
  <si>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</si>
  <si>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</si>
  <si>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</si>
  <si>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</si>
  <si>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</si>
  <si>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</si>
  <si>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</si>
  <si>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</si>
  <si>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</si>
  <si>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</si>
  <si>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</si>
  <si>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</si>
  <si>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</si>
  <si>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</si>
  <si>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</si>
  <si>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</si>
  <si>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</si>
  <si>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</si>
  <si>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</si>
  <si>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</si>
  <si>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</si>
  <si>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</si>
  <si>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</si>
  <si>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</si>
  <si>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</si>
  <si>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</si>
  <si>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</si>
  <si>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</si>
  <si>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</si>
  <si>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</si>
  <si>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</si>
  <si>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</si>
  <si>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</si>
  <si>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</si>
  <si>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</si>
  <si>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</si>
  <si>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</si>
  <si>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</si>
  <si>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</si>
  <si>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</si>
  <si>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</si>
  <si>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</si>
  <si>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</si>
  <si>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</si>
  <si>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</si>
  <si>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</si>
  <si>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</si>
  <si>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</si>
  <si>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</si>
  <si>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</si>
  <si>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</si>
  <si>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</si>
  <si>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</si>
  <si>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</si>
  <si>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</si>
  <si>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</si>
  <si>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</si>
  <si>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</si>
  <si>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</si>
  <si>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</si>
  <si>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</si>
  <si>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</si>
  <si>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</si>
  <si>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</si>
  <si>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</si>
  <si>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</si>
  <si>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</si>
  <si>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</si>
  <si>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</si>
  <si>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</si>
  <si>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</si>
  <si>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</si>
  <si>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</si>
  <si>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</si>
  <si>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</si>
  <si>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</si>
  <si>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</si>
  <si>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</si>
  <si>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</si>
  <si>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</si>
  <si>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</si>
  <si>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</si>
  <si>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</si>
  <si>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</si>
  <si>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</si>
  <si>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</si>
  <si>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</si>
  <si>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</si>
  <si>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</si>
  <si>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</si>
  <si>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</si>
  <si>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</si>
  <si>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</si>
  <si>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</si>
  <si>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</si>
  <si>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</si>
  <si>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</si>
  <si>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</si>
  <si>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</si>
  <si>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</si>
  <si>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</si>
  <si>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</si>
  <si>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</si>
  <si>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</si>
  <si>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</si>
  <si>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</si>
  <si>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</si>
  <si>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</si>
  <si>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</si>
  <si>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</si>
  <si>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</si>
  <si>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</si>
  <si>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</si>
  <si>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</si>
  <si>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</si>
  <si>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</si>
  <si>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</si>
  <si>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</si>
  <si>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</si>
  <si>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</si>
  <si>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</si>
  <si>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</si>
  <si>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</si>
  <si>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</si>
  <si>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</si>
  <si>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</si>
  <si>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</si>
  <si>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</si>
  <si>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</si>
  <si>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</si>
  <si>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</si>
  <si>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</si>
  <si>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</si>
  <si>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</si>
  <si>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</si>
  <si>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</si>
  <si>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</si>
  <si>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</si>
  <si>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</si>
  <si>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</si>
  <si>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</si>
  <si>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</si>
  <si>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</si>
  <si>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</si>
  <si>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</si>
  <si>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</si>
  <si>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</si>
  <si>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</si>
  <si>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</si>
  <si>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</si>
  <si>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</si>
  <si>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</si>
  <si>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</si>
  <si>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</si>
  <si>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</si>
  <si>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</si>
  <si>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</si>
  <si>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</si>
  <si>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</si>
  <si>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</si>
  <si>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</si>
  <si>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</si>
  <si>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</si>
  <si>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</si>
  <si>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</si>
  <si>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</si>
  <si>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</si>
  <si>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</si>
  <si>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</si>
  <si>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</si>
  <si>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</si>
  <si>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</si>
  <si>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</si>
  <si>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</si>
  <si>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</si>
  <si>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</si>
  <si>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</si>
  <si>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</si>
  <si>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</si>
  <si>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</si>
  <si>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</si>
  <si>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</si>
  <si>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</si>
  <si>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</si>
  <si>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</si>
  <si>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</si>
  <si>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</si>
  <si>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</si>
  <si>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</si>
  <si>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</si>
  <si>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</si>
  <si>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</si>
  <si>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</si>
  <si>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</si>
  <si>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</si>
  <si>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</si>
  <si>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</si>
  <si>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</si>
  <si>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</si>
  <si>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</si>
  <si>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</si>
  <si>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</si>
  <si>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</si>
  <si>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</si>
  <si>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</si>
  <si>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</si>
  <si>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</si>
  <si>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</si>
  <si>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</si>
  <si>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</si>
  <si>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</si>
  <si>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</si>
  <si>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</si>
  <si>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</si>
  <si>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</si>
  <si>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</si>
  <si>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</si>
  <si>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</si>
  <si>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</si>
  <si>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</si>
  <si>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</si>
  <si>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</si>
  <si>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</si>
  <si>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</si>
  <si>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</si>
  <si>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</si>
  <si>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</si>
  <si>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</si>
  <si>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</si>
  <si>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</si>
  <si>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</si>
  <si>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</si>
  <si>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</si>
  <si>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</si>
  <si>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</si>
  <si>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</si>
  <si>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</si>
  <si>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</si>
  <si>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</si>
  <si>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</si>
  <si>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</si>
  <si>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</si>
  <si>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</si>
  <si>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</si>
  <si>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</si>
  <si>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</si>
  <si>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</si>
  <si>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</si>
  <si>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</si>
  <si>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</si>
  <si>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</si>
  <si>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</si>
  <si>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</si>
  <si>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</si>
  <si>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</si>
  <si>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</si>
  <si>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</si>
  <si>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</si>
  <si>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</si>
  <si>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</si>
  <si>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</si>
  <si>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</si>
  <si>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</si>
  <si>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</si>
  <si>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</si>
  <si>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</si>
  <si>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</si>
  <si>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</si>
  <si>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</si>
  <si>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</si>
  <si>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</si>
  <si>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</si>
  <si>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</si>
  <si>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</si>
  <si>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</si>
  <si>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</si>
  <si>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</si>
  <si>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</si>
  <si>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</si>
  <si>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</si>
  <si>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</si>
  <si>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</si>
  <si>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</si>
  <si>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</si>
  <si>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</si>
  <si>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</si>
  <si>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</si>
  <si>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</si>
  <si>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</si>
  <si>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</si>
  <si>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</si>
  <si>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</si>
  <si>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</si>
  <si>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</si>
  <si>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</si>
  <si>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</si>
  <si>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</si>
  <si>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</si>
  <si>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</si>
  <si>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</si>
  <si>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</si>
  <si>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</si>
  <si>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</si>
  <si>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</si>
  <si>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</si>
  <si>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</si>
  <si>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</si>
  <si>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</si>
  <si>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</si>
  <si>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</si>
  <si>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</si>
  <si>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</si>
  <si>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</si>
  <si>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</si>
  <si>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</si>
  <si>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</si>
  <si>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</si>
  <si>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</si>
  <si>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</si>
  <si>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</si>
  <si>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</si>
  <si>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</si>
  <si>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</si>
  <si>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</si>
  <si>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</si>
  <si>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</si>
  <si>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</si>
  <si>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</si>
  <si>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</si>
  <si>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</si>
  <si>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</si>
  <si>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</si>
  <si>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</si>
  <si>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</si>
  <si>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</si>
  <si>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</si>
  <si>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</si>
  <si>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</si>
  <si>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</si>
  <si>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</si>
  <si>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</si>
  <si>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</si>
  <si>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</si>
  <si>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</si>
  <si>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</si>
  <si>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</si>
  <si>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</si>
  <si>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</si>
  <si>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</si>
  <si>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</si>
  <si>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</si>
  <si>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</si>
  <si>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</si>
  <si>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</si>
  <si>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</si>
  <si>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</si>
  <si>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</si>
  <si>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</si>
  <si>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</si>
  <si>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</si>
  <si>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</si>
  <si>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</si>
  <si>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</si>
  <si>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</si>
  <si>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</si>
  <si>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</si>
  <si>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</si>
  <si>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</si>
  <si>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</si>
  <si>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</si>
  <si>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</si>
  <si>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</si>
  <si>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</si>
  <si>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</si>
  <si>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</si>
  <si>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</si>
  <si>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</si>
  <si>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</si>
  <si>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</si>
  <si>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</si>
  <si>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</si>
  <si>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</si>
  <si>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</si>
  <si>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</si>
  <si>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</si>
  <si>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</si>
  <si>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</si>
  <si>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</si>
  <si>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</si>
  <si>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</si>
  <si>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</si>
  <si>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</si>
  <si>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</si>
  <si>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</si>
  <si>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</si>
  <si>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</si>
  <si>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</si>
  <si>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</si>
  <si>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</si>
  <si>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</si>
  <si>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</si>
  <si>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</si>
  <si>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</si>
  <si>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</si>
  <si>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</si>
  <si>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</si>
  <si>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</si>
  <si>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</si>
  <si>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</si>
  <si>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</si>
  <si>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</si>
  <si>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</si>
  <si>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</si>
  <si>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</si>
  <si>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</si>
  <si>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</si>
  <si>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</si>
  <si>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</si>
  <si>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Jalal Sons </t>
  </si>
  <si>
    <t>Address: Main Market</t>
  </si>
  <si>
    <t>Jalal Sons</t>
  </si>
  <si>
    <t>Address:Askari 10</t>
  </si>
  <si>
    <t>Address:Lake City</t>
  </si>
  <si>
    <t xml:space="preserve">Return </t>
  </si>
  <si>
    <t xml:space="preserve">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</si>
</sst>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505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46234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Jalal Sons </v>
      </c>
      <c r="T3" s="301">
        <f>+'1'!P35</f>
        <v>22314.321039533897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Jalal Sons</v>
      </c>
      <c r="T4" s="301">
        <f>+'2'!P35</f>
        <v>15147.674198771188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Jalal Sons</v>
      </c>
      <c r="T5" s="301">
        <f>+'3'!P35</f>
        <v>20612.228081040255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1710.2775000000001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10.534438347457627</v>
      </c>
      <c r="P7" s="118">
        <f>M7+N7+O7</f>
        <v>2117.4221078389828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158</v>
      </c>
      <c r="I8" s="236">
        <f t="shared" ref="I8:I14" si="0">(G8*D8)*F8+H8*F8</f>
        <v>8289.0749999999989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1243.3612499999999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290.11762500000003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6755.5961249999991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1566.6101694915246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41.611031472457626</v>
      </c>
      <c r="P8" s="119">
        <f t="shared" ref="P8:P15" si="2">M8+N8+O8</f>
        <v>8363.8173259639807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1888.6499999999999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440.68500000000006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10261.665000000001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2379.6610169491514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63.206630084745761</v>
      </c>
      <c r="P9" s="119">
        <f t="shared" si="2"/>
        <v>12704.532647033897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1307.52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7104.1919999999991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43.75824813559322</v>
      </c>
      <c r="P10" s="119">
        <f t="shared" si="2"/>
        <v>8795.4078752542373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197</v>
      </c>
      <c r="I11" s="236">
        <f t="shared" si="0"/>
        <v>14310.08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2146.5119999999997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500.8528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11662.715200000001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2704.5762711864409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71.836457355932197</v>
      </c>
      <c r="P11" s="119">
        <f t="shared" si="2"/>
        <v>14439.127928542373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159</v>
      </c>
      <c r="I12" s="236">
        <f t="shared" si="0"/>
        <v>11549.76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1732.4639999999999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404.24160000000006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9413.0544000000009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2182.8813559322034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57.979678779661015</v>
      </c>
      <c r="P12" s="119">
        <f t="shared" si="2"/>
        <v>11653.915434711866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914</v>
      </c>
      <c r="I16" s="114">
        <f t="shared" si="3"/>
        <v>57555.214999999997</v>
      </c>
      <c r="J16" s="274">
        <f>SUM(J7:J15)</f>
        <v>8633.2822500000002</v>
      </c>
      <c r="K16" s="275">
        <f t="shared" si="3"/>
        <v>2014.4325249999999</v>
      </c>
      <c r="L16" s="276">
        <f t="shared" si="3"/>
        <v>0</v>
      </c>
      <c r="M16" s="232">
        <f t="shared" si="3"/>
        <v>46907.500225000003</v>
      </c>
      <c r="N16" s="233">
        <f>SUM(N7:N15)</f>
        <v>10877.796610169491</v>
      </c>
      <c r="O16" s="101">
        <f>SUM(O7:O15)</f>
        <v>288.92648417584746</v>
      </c>
      <c r="P16" s="234">
        <f>SUM(P7:P15)</f>
        <v>58074.223319345336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57555.214999999997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8633.2822500000002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2014.4325249999999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46907.500224999996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10877.796610169491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57785.296835169487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288.92648417584746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58074.223319345336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58074.223319345343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R28" sqref="R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46233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629.54999999999995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3420.5550000000003</v>
      </c>
      <c r="N17" s="277">
        <f t="shared" ref="N17:N24" si="3">+(G17*D17+H17)*V17</f>
        <v>793.22033898305051</v>
      </c>
      <c r="O17" s="239">
        <f t="shared" ref="O17:O24" si="4">(N17+M17)*$O$15</f>
        <v>21.068876694915254</v>
      </c>
      <c r="P17" s="119">
        <f t="shared" ref="P17:P24" si="5">M17+N17+O17</f>
        <v>4234.8442156779656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944.32499999999993</v>
      </c>
      <c r="K18" s="128">
        <f t="shared" si="1"/>
        <v>220.34250000000003</v>
      </c>
      <c r="L18" s="119">
        <f t="shared" si="1"/>
        <v>0</v>
      </c>
      <c r="M18" s="230">
        <f t="shared" si="2"/>
        <v>5130.8325000000004</v>
      </c>
      <c r="N18" s="277">
        <f t="shared" si="3"/>
        <v>1189.8305084745757</v>
      </c>
      <c r="O18" s="239">
        <f t="shared" si="4"/>
        <v>31.603315042372881</v>
      </c>
      <c r="P18" s="119">
        <f t="shared" si="5"/>
        <v>6352.2663235169484</v>
      </c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101.69600000000001</v>
      </c>
      <c r="L19" s="119">
        <f t="shared" si="1"/>
        <v>0</v>
      </c>
      <c r="M19" s="230">
        <f t="shared" si="2"/>
        <v>2368.0639999999999</v>
      </c>
      <c r="N19" s="277">
        <f t="shared" si="3"/>
        <v>549.15254237288138</v>
      </c>
      <c r="O19" s="239">
        <f t="shared" si="4"/>
        <v>14.586082711864407</v>
      </c>
      <c r="P19" s="119">
        <f t="shared" si="5"/>
        <v>2931.8026250847456</v>
      </c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871.68</v>
      </c>
      <c r="K20" s="128">
        <f t="shared" si="1"/>
        <v>203.39200000000002</v>
      </c>
      <c r="L20" s="119">
        <f t="shared" si="1"/>
        <v>0</v>
      </c>
      <c r="M20" s="230">
        <f t="shared" si="2"/>
        <v>4736.1279999999997</v>
      </c>
      <c r="N20" s="277">
        <f t="shared" si="3"/>
        <v>1098.3050847457628</v>
      </c>
      <c r="O20" s="239">
        <f t="shared" si="4"/>
        <v>29.172165423728813</v>
      </c>
      <c r="P20" s="119">
        <f t="shared" si="5"/>
        <v>5863.6052501694912</v>
      </c>
      <c r="R20">
        <f>P20/21</f>
        <v>279.21929762711864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101.69600000000001</v>
      </c>
      <c r="L21" s="119">
        <f t="shared" si="1"/>
        <v>0</v>
      </c>
      <c r="M21" s="230">
        <f t="shared" si="2"/>
        <v>2368.0639999999999</v>
      </c>
      <c r="N21" s="277">
        <f t="shared" si="3"/>
        <v>549.15254237288138</v>
      </c>
      <c r="O21" s="239">
        <f t="shared" si="4"/>
        <v>14.586082711864407</v>
      </c>
      <c r="P21" s="119">
        <f t="shared" si="5"/>
        <v>2931.8026250847456</v>
      </c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22114.899999999998</v>
      </c>
      <c r="J25" s="274">
        <f>SUM(J16:J24)</f>
        <v>3317.2350000000001</v>
      </c>
      <c r="K25" s="275">
        <f t="shared" si="10"/>
        <v>774.02150000000017</v>
      </c>
      <c r="L25" s="276">
        <f t="shared" si="10"/>
        <v>0</v>
      </c>
      <c r="M25" s="232">
        <f t="shared" si="10"/>
        <v>18023.643499999998</v>
      </c>
      <c r="N25" s="233">
        <f>SUM(N16:N24)</f>
        <v>4179.6610169491523</v>
      </c>
      <c r="O25" s="101">
        <f>SUM(O16:O24)</f>
        <v>111.01652258474576</v>
      </c>
      <c r="P25" s="234">
        <f>SUM(P16:P24)</f>
        <v>22314.321039533897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22114.899999999998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3317.2350000000001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774.02150000000017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18023.643499999998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4179.6610169491523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22203.304516949152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111.01652258474576</v>
      </c>
    </row>
    <row r="35" spans="2:16" ht="15.75" customHeight="1" thickBot="1" x14ac:dyDescent="0.4">
      <c r="N35" s="363" t="s">
        <v>88</v>
      </c>
      <c r="O35" s="364"/>
      <c r="P35" s="297">
        <f>+P33+P34</f>
        <v>22314.321039533897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9" sqref="E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516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73.447500000000005</v>
      </c>
      <c r="L16" s="118">
        <f>$I16*U16</f>
        <v>0</v>
      </c>
      <c r="M16" s="229">
        <f>I16-SUM(J16:L16)</f>
        <v>1710.2775000000001</v>
      </c>
      <c r="N16" s="248">
        <f>+(G16*D16+H16)*V16</f>
        <v>396.61016949152526</v>
      </c>
      <c r="O16" s="238">
        <f>(N16+M16)*$O$15</f>
        <v>10.534438347457627</v>
      </c>
      <c r="P16" s="118">
        <f>M16+N16+O16</f>
        <v>2117.4221078389828</v>
      </c>
      <c r="Q16" s="142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1710.2775000000001</v>
      </c>
      <c r="N17" s="277">
        <f t="shared" ref="N17:N24" si="3">+(G17*D17+H17)*V17</f>
        <v>396.61016949152526</v>
      </c>
      <c r="O17" s="239">
        <f t="shared" ref="O17:O24" si="4">(N17+M17)*$O$15</f>
        <v>10.534438347457627</v>
      </c>
      <c r="P17" s="119">
        <f t="shared" ref="P17:P24" si="5">M17+N17+O17</f>
        <v>2117.4221078389828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314.77499999999998</v>
      </c>
      <c r="K18" s="128">
        <f t="shared" si="1"/>
        <v>73.447500000000005</v>
      </c>
      <c r="L18" s="119">
        <f t="shared" si="1"/>
        <v>0</v>
      </c>
      <c r="M18" s="230">
        <f t="shared" si="2"/>
        <v>1710.2775000000001</v>
      </c>
      <c r="N18" s="277">
        <f t="shared" si="3"/>
        <v>396.61016949152526</v>
      </c>
      <c r="O18" s="239">
        <f t="shared" si="4"/>
        <v>10.534438347457627</v>
      </c>
      <c r="P18" s="119">
        <f t="shared" si="5"/>
        <v>2117.4221078389828</v>
      </c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101.69600000000001</v>
      </c>
      <c r="L19" s="119">
        <f t="shared" si="1"/>
        <v>0</v>
      </c>
      <c r="M19" s="230">
        <f t="shared" si="2"/>
        <v>2368.0639999999999</v>
      </c>
      <c r="N19" s="277">
        <f t="shared" si="3"/>
        <v>549.15254237288138</v>
      </c>
      <c r="O19" s="239">
        <f t="shared" si="4"/>
        <v>14.586082711864407</v>
      </c>
      <c r="P19" s="119">
        <f t="shared" si="5"/>
        <v>2931.8026250847456</v>
      </c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101.69600000000001</v>
      </c>
      <c r="L20" s="119">
        <f t="shared" si="1"/>
        <v>0</v>
      </c>
      <c r="M20" s="230">
        <f t="shared" si="2"/>
        <v>2368.0639999999999</v>
      </c>
      <c r="N20" s="277">
        <f t="shared" si="3"/>
        <v>549.15254237288138</v>
      </c>
      <c r="O20" s="239">
        <f t="shared" si="4"/>
        <v>14.586082711864407</v>
      </c>
      <c r="P20" s="119">
        <f t="shared" si="5"/>
        <v>2931.8026250847456</v>
      </c>
      <c r="R20">
        <f>P20/21</f>
        <v>139.60964881355932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101.69600000000001</v>
      </c>
      <c r="L21" s="119">
        <f t="shared" si="1"/>
        <v>0</v>
      </c>
      <c r="M21" s="230">
        <f t="shared" si="2"/>
        <v>2368.0639999999999</v>
      </c>
      <c r="N21" s="277">
        <f t="shared" si="3"/>
        <v>549.15254237288138</v>
      </c>
      <c r="O21" s="239">
        <f t="shared" si="4"/>
        <v>14.586082711864407</v>
      </c>
      <c r="P21" s="119">
        <f t="shared" si="5"/>
        <v>2931.8026250847456</v>
      </c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2251.8449999999998</v>
      </c>
      <c r="K25" s="275">
        <f t="shared" si="7"/>
        <v>525.43050000000005</v>
      </c>
      <c r="L25" s="276">
        <f t="shared" si="7"/>
        <v>0</v>
      </c>
      <c r="M25" s="232">
        <f t="shared" si="7"/>
        <v>12235.024500000001</v>
      </c>
      <c r="N25" s="233">
        <f>SUM(N16:N24)</f>
        <v>2837.2881355932195</v>
      </c>
      <c r="O25" s="101">
        <f>SUM(O16:O24)</f>
        <v>75.361563177966104</v>
      </c>
      <c r="P25" s="234">
        <f>SUM(P16:P24)</f>
        <v>15147.674198771185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15012.300000000001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2251.8449999999998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525.43050000000005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12235.024500000001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15072.312635593222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75.361563177966104</v>
      </c>
    </row>
    <row r="35" spans="2:16" ht="15.75" customHeight="1" thickBot="1" x14ac:dyDescent="0.4">
      <c r="N35" s="363" t="s">
        <v>88</v>
      </c>
      <c r="O35" s="364"/>
      <c r="P35" s="297">
        <f>+P33+P34</f>
        <v>15147.674198771188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115" t="s">
        <v>56</v>
      </c>
      <c r="Q14" s="407" t="s">
        <v>519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111" t="s">
        <v>38</v>
      </c>
      <c r="Q15" s="407" t="s">
        <v>518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404">
        <f>M16+N16+O16</f>
        <v>0</v>
      </c>
      <c r="Q16" s="128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38</v>
      </c>
      <c r="I17" s="236">
        <f t="shared" ref="I17:I23" si="0">(G17*D17)*F17+H17*F17</f>
        <v>1993.575</v>
      </c>
      <c r="J17" s="272">
        <f t="shared" ref="J17:L24" si="1">$I17*S17</f>
        <v>299.03625</v>
      </c>
      <c r="K17" s="128">
        <f>$I17*T17</f>
        <v>69.775125000000003</v>
      </c>
      <c r="L17" s="119">
        <f>$I17*U17</f>
        <v>0</v>
      </c>
      <c r="M17" s="230">
        <f t="shared" ref="M17:M24" si="2">I17-SUM(J17:L17)</f>
        <v>1624.763625</v>
      </c>
      <c r="N17" s="277">
        <f t="shared" ref="N17:N24" si="3">+(G17*D17+H17)*V17</f>
        <v>376.77966101694898</v>
      </c>
      <c r="O17" s="239">
        <f t="shared" ref="O17:O24" si="4">(N17+M17)*$O$15</f>
        <v>10.007716430084745</v>
      </c>
      <c r="P17" s="405">
        <f t="shared" ref="P17:P24" si="5">M17+N17+O17</f>
        <v>2011.5510024470336</v>
      </c>
      <c r="Q17" s="407">
        <v>2</v>
      </c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629.54999999999995</v>
      </c>
      <c r="K18" s="128">
        <f t="shared" si="1"/>
        <v>146.89500000000001</v>
      </c>
      <c r="L18" s="119">
        <f t="shared" si="1"/>
        <v>0</v>
      </c>
      <c r="M18" s="230">
        <f t="shared" si="2"/>
        <v>3420.5550000000003</v>
      </c>
      <c r="N18" s="277">
        <f t="shared" si="3"/>
        <v>793.22033898305051</v>
      </c>
      <c r="O18" s="239">
        <f t="shared" si="4"/>
        <v>21.068876694915254</v>
      </c>
      <c r="P18" s="405">
        <f t="shared" si="5"/>
        <v>4234.8442156779656</v>
      </c>
      <c r="Q18" s="407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101.69600000000001</v>
      </c>
      <c r="L19" s="119">
        <f t="shared" si="1"/>
        <v>0</v>
      </c>
      <c r="M19" s="230">
        <f t="shared" si="2"/>
        <v>2368.0639999999999</v>
      </c>
      <c r="N19" s="277">
        <f t="shared" si="3"/>
        <v>549.15254237288138</v>
      </c>
      <c r="O19" s="239">
        <f t="shared" si="4"/>
        <v>14.586082711864407</v>
      </c>
      <c r="P19" s="405">
        <f t="shared" si="5"/>
        <v>2931.8026250847456</v>
      </c>
      <c r="Q19" s="407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77</v>
      </c>
      <c r="I20" s="236">
        <f t="shared" si="0"/>
        <v>5593.28</v>
      </c>
      <c r="J20" s="272">
        <f t="shared" si="1"/>
        <v>838.99199999999996</v>
      </c>
      <c r="K20" s="128">
        <f t="shared" si="1"/>
        <v>195.76480000000001</v>
      </c>
      <c r="L20" s="119">
        <f t="shared" si="1"/>
        <v>0</v>
      </c>
      <c r="M20" s="230">
        <f t="shared" si="2"/>
        <v>4558.5231999999996</v>
      </c>
      <c r="N20" s="277">
        <f t="shared" si="3"/>
        <v>1057.1186440677966</v>
      </c>
      <c r="O20" s="239">
        <f t="shared" si="4"/>
        <v>28.07820922033898</v>
      </c>
      <c r="P20" s="405">
        <f t="shared" si="5"/>
        <v>5643.7200532881352</v>
      </c>
      <c r="Q20" s="407">
        <v>3</v>
      </c>
      <c r="R20">
        <f>P20/21</f>
        <v>268.74857396610167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79</v>
      </c>
      <c r="I21" s="236">
        <f t="shared" si="0"/>
        <v>5738.56</v>
      </c>
      <c r="J21" s="272">
        <f t="shared" si="1"/>
        <v>860.78399999999999</v>
      </c>
      <c r="K21" s="128">
        <f t="shared" si="1"/>
        <v>200.84960000000004</v>
      </c>
      <c r="L21" s="119">
        <f t="shared" si="1"/>
        <v>0</v>
      </c>
      <c r="M21" s="230">
        <f t="shared" si="2"/>
        <v>4676.9264000000003</v>
      </c>
      <c r="N21" s="277">
        <f t="shared" si="3"/>
        <v>1084.5762711864406</v>
      </c>
      <c r="O21" s="239">
        <f t="shared" si="4"/>
        <v>28.807513355932205</v>
      </c>
      <c r="P21" s="405">
        <f t="shared" si="5"/>
        <v>5790.3101845423735</v>
      </c>
      <c r="Q21" s="407">
        <v>1</v>
      </c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405">
        <f t="shared" si="5"/>
        <v>0</v>
      </c>
      <c r="Q22" s="407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405">
        <f t="shared" si="5"/>
        <v>0</v>
      </c>
      <c r="Q23" s="407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406">
        <f t="shared" si="5"/>
        <v>0</v>
      </c>
      <c r="Q24" s="407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314</v>
      </c>
      <c r="I25" s="114">
        <f t="shared" si="7"/>
        <v>20428.014999999999</v>
      </c>
      <c r="J25" s="274">
        <f>SUM(J16:J24)</f>
        <v>3064.2022499999998</v>
      </c>
      <c r="K25" s="275">
        <f t="shared" si="7"/>
        <v>714.98052500000006</v>
      </c>
      <c r="L25" s="276">
        <f t="shared" si="7"/>
        <v>0</v>
      </c>
      <c r="M25" s="232">
        <f t="shared" si="7"/>
        <v>16648.832224999998</v>
      </c>
      <c r="N25" s="233">
        <f>SUM(N16:N24)</f>
        <v>3860.8474576271183</v>
      </c>
      <c r="O25" s="101">
        <f>SUM(O16:O24)</f>
        <v>102.54839841313559</v>
      </c>
      <c r="P25" s="113">
        <f>SUM(P16:P24)</f>
        <v>20612.228081040252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20428.014999999999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3064.2022499999998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714.98052500000006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16648.832225000002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3860.8474576271183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20509.67968262712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102.5483984131356</v>
      </c>
    </row>
    <row r="35" spans="2:16" ht="15.75" customHeight="1" thickBot="1" x14ac:dyDescent="0.4">
      <c r="N35" s="363" t="s">
        <v>88</v>
      </c>
      <c r="O35" s="364"/>
      <c r="P35" s="297">
        <f>+P33+P34</f>
        <v>20612.228081040255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8.7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46236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46235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2026-08-01T06:45:26Z</dcterms:modified>
</cp:coreProperties>
</file>