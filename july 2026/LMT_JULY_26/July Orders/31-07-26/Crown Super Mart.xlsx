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AF477D7-41EE-4D7E-AECB-3C1E0AE879A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72" l="1"/>
  <c r="O17" i="72" s="1"/>
  <c r="P17" i="72" s="1"/>
  <c r="M16" i="64"/>
  <c r="M16" i="65"/>
  <c r="O16" i="65" s="1"/>
  <c r="M16" i="48"/>
  <c r="O16" i="48" s="1"/>
  <c r="P16" i="48" s="1"/>
  <c r="M20" i="71"/>
  <c r="O20" i="71" s="1"/>
  <c r="P20" i="71" s="1"/>
  <c r="R20" i="71" s="1"/>
  <c r="M16" i="60"/>
  <c r="M16" i="58"/>
  <c r="O16" i="58" s="1"/>
  <c r="P16" i="58" s="1"/>
  <c r="M16" i="59"/>
  <c r="O16" i="59" s="1"/>
  <c r="P16" i="59" s="1"/>
  <c r="M21" i="51"/>
  <c r="M16" i="44"/>
  <c r="M20" i="70"/>
  <c r="O20" i="70" s="1"/>
  <c r="P20" i="70" s="1"/>
  <c r="R20" i="70" s="1"/>
  <c r="M16" i="72"/>
  <c r="O16" i="72" s="1"/>
  <c r="P16" i="72" s="1"/>
  <c r="M21" i="68"/>
  <c r="O21" i="68" s="1"/>
  <c r="P21" i="68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O21" i="50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<sst xmlns="http://schemas.openxmlformats.org/spreadsheetml/2006/main" count="3913" uniqueCount="510">
  <si>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</si>
  <si>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</si>
  <si>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</si>
  <si>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</si>
  <si>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</si>
  <si>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</si>
  <si>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</si>
  <si>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</si>
  <si>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</si>
  <si>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</si>
  <si>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</si>
  <si>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</si>
  <si>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</si>
  <si>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</si>
  <si>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</si>
  <si>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</si>
  <si>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</si>
  <si>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</si>
  <si>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</si>
  <si>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</si>
  <si>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</si>
  <si>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</si>
  <si>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</si>
  <si>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</si>
  <si>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</si>
  <si>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</si>
  <si>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</si>
  <si>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</si>
  <si>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</si>
  <si>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</si>
  <si>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</si>
  <si>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</si>
  <si>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</si>
  <si>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</si>
  <si>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</si>
  <si>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</si>
  <si>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</si>
  <si>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</si>
  <si>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</si>
  <si>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</si>
  <si>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</si>
  <si>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</si>
  <si>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</si>
  <si>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</si>
  <si>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</si>
  <si>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</si>
  <si>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</si>
  <si>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</si>
  <si>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</si>
  <si>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</si>
  <si>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</si>
  <si>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</si>
  <si>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</si>
  <si>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</si>
  <si>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</si>
  <si>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</si>
  <si>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</si>
  <si>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</si>
  <si>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</si>
  <si>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</si>
  <si>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</si>
  <si>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</si>
  <si>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</si>
  <si>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</si>
  <si>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</si>
  <si>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</si>
  <si>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</si>
  <si>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</si>
  <si>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</si>
  <si>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</si>
  <si>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</si>
  <si>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</si>
  <si>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</si>
  <si>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</si>
  <si>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</si>
  <si>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</si>
  <si>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</si>
  <si>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</si>
  <si>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</si>
  <si>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</si>
  <si>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</si>
  <si>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</si>
  <si>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</si>
  <si>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</si>
  <si>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</si>
  <si>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</si>
  <si>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</si>
  <si>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</si>
  <si>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</si>
  <si>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</si>
  <si>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</si>
  <si>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</si>
  <si>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</si>
  <si>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</si>
  <si>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</si>
  <si>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</si>
  <si>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</si>
  <si>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</si>
  <si>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</si>
  <si>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</si>
  <si>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</si>
  <si>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</si>
  <si>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</si>
  <si>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</si>
  <si>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</si>
  <si>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</si>
  <si>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</si>
  <si>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</si>
  <si>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</si>
  <si>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</si>
  <si>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</si>
  <si>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</si>
  <si>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</si>
  <si>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</si>
  <si>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</si>
  <si>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</si>
  <si>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</si>
  <si>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</si>
  <si>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</si>
  <si>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</si>
  <si>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</si>
  <si>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</si>
  <si>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</si>
  <si>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</si>
  <si>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</si>
  <si>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</si>
  <si>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</si>
  <si>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</si>
  <si>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</si>
  <si>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</si>
  <si>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</si>
  <si>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</si>
  <si>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</si>
  <si>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</si>
  <si>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</si>
  <si>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</si>
  <si>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</si>
  <si>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</si>
  <si>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</si>
  <si>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</si>
  <si>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</si>
  <si>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</si>
  <si>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</si>
  <si>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</si>
  <si>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</si>
  <si>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</si>
  <si>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</si>
  <si>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</si>
  <si>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</si>
  <si>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</si>
  <si>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</si>
  <si>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</si>
  <si>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</si>
  <si>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</si>
  <si>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</si>
  <si>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</si>
  <si>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</si>
  <si>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</si>
  <si>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</si>
  <si>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</si>
  <si>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</si>
  <si>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</si>
  <si>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</si>
  <si>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</si>
  <si>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</si>
  <si>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</si>
  <si>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</si>
  <si>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</si>
  <si>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</si>
  <si>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</si>
  <si>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</si>
  <si>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</si>
  <si>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</si>
  <si>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</si>
  <si>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</si>
  <si>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</si>
  <si>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</si>
  <si>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</si>
  <si>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</si>
  <si>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</si>
  <si>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</si>
  <si>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</si>
  <si>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</si>
  <si>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</si>
  <si>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</si>
  <si>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</si>
  <si>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</si>
  <si>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</si>
  <si>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</si>
  <si>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</si>
  <si>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</si>
  <si>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</si>
  <si>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</si>
  <si>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</si>
  <si>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</si>
  <si>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</si>
  <si>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</si>
  <si>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</si>
  <si>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</si>
  <si>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</si>
  <si>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</si>
  <si>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</si>
  <si>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</si>
  <si>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</si>
  <si>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</si>
  <si>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</si>
  <si>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</si>
  <si>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</si>
  <si>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</si>
  <si>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</si>
  <si>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</si>
  <si>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</si>
  <si>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</si>
  <si>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</si>
  <si>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</si>
  <si>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</si>
  <si>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</si>
  <si>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</si>
  <si>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</si>
  <si>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</si>
  <si>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</si>
  <si>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</si>
  <si>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</si>
  <si>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</si>
  <si>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</si>
  <si>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</si>
  <si>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</si>
  <si>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</si>
  <si>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</si>
  <si>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</si>
  <si>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</si>
  <si>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</si>
  <si>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</si>
  <si>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</si>
  <si>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</si>
  <si>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</si>
  <si>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</si>
  <si>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</si>
  <si>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</si>
  <si>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</si>
  <si>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</si>
  <si>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</si>
  <si>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</si>
  <si>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</si>
  <si>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</si>
  <si>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</si>
  <si>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</si>
  <si>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</si>
  <si>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</si>
  <si>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</si>
  <si>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</si>
  <si>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</si>
  <si>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</si>
  <si>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</si>
  <si>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</si>
  <si>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</si>
  <si>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</si>
  <si>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</si>
  <si>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</si>
  <si>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</si>
  <si>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</si>
  <si>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</si>
  <si>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</si>
  <si>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</si>
  <si>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</si>
  <si>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</si>
  <si>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</si>
  <si>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</si>
  <si>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</si>
  <si>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</si>
  <si>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</si>
  <si>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</si>
  <si>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</si>
  <si>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</si>
  <si>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</si>
  <si>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</si>
  <si>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</si>
  <si>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</si>
  <si>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</si>
  <si>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</si>
  <si>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</si>
  <si>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</si>
  <si>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</si>
  <si>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</si>
  <si>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</si>
  <si>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</si>
  <si>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</si>
  <si>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</si>
  <si>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</si>
  <si>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</si>
  <si>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</si>
  <si>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</si>
  <si>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</si>
  <si>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</si>
  <si>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</si>
  <si>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</si>
  <si>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</si>
  <si>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</si>
  <si>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</si>
  <si>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</si>
  <si>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</si>
  <si>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</si>
  <si>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</si>
  <si>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</si>
  <si>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</si>
  <si>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</si>
  <si>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</si>
  <si>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</si>
  <si>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</si>
  <si>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</si>
  <si>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</si>
  <si>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</si>
  <si>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</si>
  <si>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</si>
  <si>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</si>
  <si>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</si>
  <si>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</si>
  <si>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</si>
  <si>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</si>
  <si>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</si>
  <si>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</si>
  <si>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</si>
  <si>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</si>
  <si>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</si>
  <si>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</si>
  <si>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</si>
  <si>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</si>
  <si>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</si>
  <si>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</si>
  <si>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</si>
  <si>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</si>
  <si>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</si>
  <si>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</si>
  <si>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</si>
  <si>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</si>
  <si>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</si>
  <si>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</si>
  <si>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</si>
  <si>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</si>
  <si>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</si>
  <si>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</si>
  <si>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</si>
  <si>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</si>
  <si>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</si>
  <si>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</si>
  <si>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</si>
  <si>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</si>
  <si>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</si>
  <si>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</si>
  <si>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</si>
  <si>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</si>
  <si>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</si>
  <si>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</si>
  <si>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</si>
  <si>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</si>
  <si>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</si>
  <si>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</si>
  <si>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</si>
  <si>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</si>
  <si>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</si>
  <si>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</si>
  <si>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</si>
  <si>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</si>
  <si>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</si>
  <si>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</si>
  <si>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</si>
  <si>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</si>
  <si>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</si>
  <si>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</si>
  <si>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</si>
  <si>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</si>
  <si>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</si>
  <si>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</si>
  <si>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</si>
  <si>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</si>
  <si>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</si>
  <si>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</si>
  <si>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</si>
  <si>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</si>
  <si>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</si>
  <si>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</si>
  <si>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</si>
  <si>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</si>
  <si>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</si>
  <si>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</si>
  <si>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</si>
  <si>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</si>
  <si>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</si>
  <si>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</si>
  <si>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</si>
  <si>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</si>
  <si>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</si>
  <si>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</si>
  <si>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</si>
  <si>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</si>
  <si>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</si>
  <si>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</si>
  <si>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</si>
  <si>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</si>
  <si>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</si>
  <si>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</si>
  <si>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</si>
  <si>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</si>
  <si>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</si>
  <si>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</si>
  <si>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</si>
  <si>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</si>
  <si>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</si>
  <si>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</si>
  <si>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</si>
  <si>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</si>
  <si>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</si>
  <si>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</si>
  <si>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</si>
  <si>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</si>
  <si>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</si>
  <si>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</si>
  <si>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</si>
  <si>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</si>
  <si>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</si>
  <si>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</si>
  <si>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</si>
  <si>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</si>
  <si>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</si>
  <si>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</si>
  <si>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</si>
  <si>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</si>
  <si>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</si>
  <si>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</si>
  <si>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</si>
  <si>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</si>
  <si>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</si>
  <si>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</si>
  <si>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</si>
  <si>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</si>
  <si>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</si>
  <si>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</si>
  <si>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</si>
  <si>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</si>
  <si>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</si>
  <si>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</si>
  <si>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</si>
  <si>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</si>
  <si>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</si>
  <si>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</si>
  <si>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</si>
  <si>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</si>
  <si>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</si>
  <si>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</si>
  <si>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</si>
  <si>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</si>
  <si>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</si>
  <si>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</si>
  <si>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</si>
  <si>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</si>
  <si>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</si>
  <si>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</si>
  <si>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</si>
  <si>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</si>
  <si>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</si>
  <si>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</si>
  <si>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</si>
  <si>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</si>
  <si>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</si>
  <si>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</si>
  <si>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</si>
  <si>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</si>
  <si>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</si>
  <si>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</si>
  <si>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</si>
  <si>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</si>
  <si>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</si>
  <si>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</si>
  <si>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</si>
  <si>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</si>
  <si>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</si>
  <si>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</si>
  <si>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</si>
  <si>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</si>
  <si>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</si>
  <si>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</si>
  <si>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</si>
  <si>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</si>
  <si>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</si>
  <si>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</si>
  <si>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</si>
  <si>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</si>
  <si>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</si>
  <si>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</si>
  <si>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</si>
  <si>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</si>
  <si>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</si>
  <si>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</si>
  <si>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</si>
  <si>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</si>
  <si>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</si>
  <si>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</si>
  <si>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</si>
  <si>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</si>
  <si>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</si>
  <si>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</si>
  <si>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</si>
  <si>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</si>
  <si>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</si>
  <si>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</si>
  <si>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</si>
  <si>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</si>
  <si>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</si>
  <si>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Crown Super Market</t>
  </si>
  <si>
    <t xml:space="preserve">Address: Singpura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</si>
</sst>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498</v>
      </c>
      <c r="F2" s="346"/>
      <c r="G2" s="346"/>
      <c r="H2" s="343" t="s">
        <v>500</v>
      </c>
      <c r="I2" s="343"/>
      <c r="J2" s="344"/>
      <c r="R2" s="340" t="s">
        <v>497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499</v>
      </c>
      <c r="F3" s="350"/>
      <c r="G3" s="350"/>
      <c r="H3" s="347">
        <f>+'1'!N4:N4</f>
        <v>46234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Crown Super Market</v>
      </c>
      <c r="T3" s="301">
        <f>+'1'!P35</f>
        <v>16439.009626016948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Crown Super Market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Crown Super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Crown Super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1773.2325000000001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10.849213347457626</v>
      </c>
      <c r="P7" s="118">
        <f>M7+N7+O7</f>
        <v>2180.6918828389826</v>
      </c>
      <c r="Q7" s="142"/>
      <c r="R7" s="299">
        <v>5</v>
      </c>
      <c r="S7" s="300" t="str">
        <f>+'5'!A6:A6</f>
        <v>Crown Super 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Crown Super 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119">
        <f t="shared" si="2"/>
        <v>2180.6918828389826</v>
      </c>
      <c r="R9" s="299">
        <v>7</v>
      </c>
      <c r="S9" s="300" t="str">
        <f>+'7'!A6:A6</f>
        <v>Crown Super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119">
        <f t="shared" si="2"/>
        <v>6038.8129301694917</v>
      </c>
      <c r="R10" s="299">
        <v>8</v>
      </c>
      <c r="S10" s="300" t="str">
        <f>+'8'!A6:A6</f>
        <v>Crown Super 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Crown Super 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119">
        <f t="shared" si="2"/>
        <v>6038.8129301694917</v>
      </c>
      <c r="R12" s="299">
        <v>10</v>
      </c>
      <c r="S12" s="300" t="str">
        <f>+'10'!A6:A6</f>
        <v>Crown Super 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Crown Super 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Crown Super 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Crown Super Market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240</v>
      </c>
      <c r="I16" s="114">
        <f t="shared" si="3"/>
        <v>15819.400000000001</v>
      </c>
      <c r="J16" s="274">
        <f>SUM(J7:J15)</f>
        <v>1898.328</v>
      </c>
      <c r="K16" s="275">
        <f t="shared" si="3"/>
        <v>553.67900000000009</v>
      </c>
      <c r="L16" s="276">
        <f t="shared" si="3"/>
        <v>0</v>
      </c>
      <c r="M16" s="232">
        <f t="shared" si="3"/>
        <v>13367.393</v>
      </c>
      <c r="N16" s="233">
        <f>SUM(N7:N15)</f>
        <v>2989.8305084745762</v>
      </c>
      <c r="O16" s="101">
        <f>SUM(O7:O15)</f>
        <v>81.786117542372878</v>
      </c>
      <c r="P16" s="234">
        <f>SUM(P7:P15)</f>
        <v>16439.009626016948</v>
      </c>
      <c r="R16" s="299">
        <v>14</v>
      </c>
      <c r="S16" s="300" t="str">
        <f>+'14'!A6:A6</f>
        <v>Crown Super 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Crown Super 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Crown Super Market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15819.400000000001</v>
      </c>
      <c r="R19" s="299">
        <v>17</v>
      </c>
      <c r="S19" s="300" t="str">
        <f>+'17'!A6:A6</f>
        <v>Crown Super Market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1898.328</v>
      </c>
      <c r="R20" s="299">
        <v>18</v>
      </c>
      <c r="S20" s="300" t="str">
        <f>+'18'!A6:A6</f>
        <v>Crown Super Market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553.67900000000009</v>
      </c>
      <c r="R21" s="299">
        <v>19</v>
      </c>
      <c r="S21" s="300" t="str">
        <f>+'19'!A6:A6</f>
        <v>Crown Super Market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13367.393000000002</v>
      </c>
      <c r="R22" s="299">
        <v>20</v>
      </c>
      <c r="S22" s="300" t="str">
        <f>+'20'!A6:A6</f>
        <v>Crown Super Market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2989.8305084745762</v>
      </c>
      <c r="R23" s="299">
        <v>21</v>
      </c>
      <c r="S23" s="300" t="str">
        <f>+'21'!A6:A6</f>
        <v>Crown Super Market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16357.223508474577</v>
      </c>
      <c r="R24" s="299">
        <v>22</v>
      </c>
      <c r="S24" s="300" t="str">
        <f>+'22'!A6:A6</f>
        <v>Crown Super Market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81.786117542372878</v>
      </c>
      <c r="R25" s="299">
        <v>23</v>
      </c>
      <c r="S25" s="300" t="str">
        <f>+'23'!A6:A6</f>
        <v>Crown Super Market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16439.009626016948</v>
      </c>
      <c r="R26" s="299">
        <v>24</v>
      </c>
      <c r="S26" s="300" t="str">
        <f>+'24'!A6:A6</f>
        <v>Crown Super 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Crown Super 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Crown Super 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Crown Super 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Crown Super 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Crown Super 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Crown Super 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16439.009626016948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46233</v>
      </c>
      <c r="O5" s="359"/>
      <c r="P5" s="359"/>
      <c r="R5" s="85"/>
      <c r="S5" s="266"/>
    </row>
    <row r="6" spans="1:22 16383:16384" ht="17.2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251.82</v>
      </c>
      <c r="K16" s="127">
        <f>$I16*T16</f>
        <v>73.447500000000005</v>
      </c>
      <c r="L16" s="118">
        <f>$I16*U16</f>
        <v>0</v>
      </c>
      <c r="M16" s="229">
        <f>I16-SUM(J16:L16)</f>
        <v>1773.2325000000001</v>
      </c>
      <c r="N16" s="248">
        <f>+(G16*D16+H16)*V16</f>
        <v>396.61016949152526</v>
      </c>
      <c r="O16" s="238">
        <f>(N16+M16)*$O$15</f>
        <v>10.849213347457626</v>
      </c>
      <c r="P16" s="118">
        <f>M16+N16+O16</f>
        <v>2180.6918828389826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119">
        <f t="shared" si="5"/>
        <v>2180.6918828389826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119">
        <f t="shared" si="5"/>
        <v>6038.8129301694917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15819.400000000001</v>
      </c>
      <c r="J25" s="274">
        <f>SUM(J16:J24)</f>
        <v>1898.328</v>
      </c>
      <c r="K25" s="275">
        <f t="shared" si="10"/>
        <v>553.67900000000009</v>
      </c>
      <c r="L25" s="276">
        <f t="shared" si="10"/>
        <v>0</v>
      </c>
      <c r="M25" s="232">
        <f t="shared" si="10"/>
        <v>13367.393</v>
      </c>
      <c r="N25" s="233">
        <f>SUM(N16:N24)</f>
        <v>2989.8305084745762</v>
      </c>
      <c r="O25" s="101">
        <f>SUM(O16:O24)</f>
        <v>81.786117542372878</v>
      </c>
      <c r="P25" s="234">
        <f>SUM(P16:P24)</f>
        <v>16439.009626016948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15819.400000000001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1898.328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553.67900000000009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13367.393000000002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16357.223508474577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81.786117542372892</v>
      </c>
    </row>
    <row r="35" spans="2:16" ht="15.75" customHeight="1" thickBot="1" x14ac:dyDescent="0.4">
      <c r="N35" s="334" t="s">
        <v>88</v>
      </c>
      <c r="O35" s="335"/>
      <c r="P35" s="297">
        <f>+P33+P34</f>
        <v>16439.009626016948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504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8.7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8.7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501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46235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507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509</v>
      </c>
      <c r="B8" s="386"/>
      <c r="C8" s="386"/>
      <c r="F8" s="85"/>
      <c r="G8" s="86"/>
      <c r="K8" s="360" t="s">
        <v>67</v>
      </c>
      <c r="L8" s="360"/>
      <c r="M8" s="360"/>
      <c r="N8" s="389" t="s">
        <v>507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46236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46235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2026-08-01T05:40:43Z</dcterms:modified>
</cp:coreProperties>
</file>