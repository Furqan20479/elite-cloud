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2C15A97-0A45-4A23-9ED1-A3F2E85E7D90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<sst xmlns="http://schemas.openxmlformats.org/spreadsheetml/2006/main" count="3913" uniqueCount="516">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</sst>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46234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69519.386450211867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126668.2297145339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280</v>
      </c>
      <c r="I7" s="235">
        <f>(G7*D7)*F7+H7*F7</f>
        <v>14689.5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1175.1599999999999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514.13250000000005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13000.2075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2776.271186440677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78.882393432203386</v>
      </c>
      <c r="P7" s="118">
        <f>M7+N7+O7</f>
        <v>15855.361079872881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839.4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9285.8624999999993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56.344566737288133</v>
      </c>
      <c r="P8" s="119">
        <f t="shared" ref="P8:P15" si="2">M8+N8+O8</f>
        <v>11325.257914194915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671.52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7428.6900000000005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45.075653389830507</v>
      </c>
      <c r="P9" s="119">
        <f t="shared" si="2"/>
        <v>9060.206331355932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3486.7200000000003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1525.44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38571.839999999997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8237.2881355932223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234.04564067796611</v>
      </c>
      <c r="P10" s="119">
        <f t="shared" si="2"/>
        <v>47043.173776271178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520</v>
      </c>
      <c r="I11" s="236">
        <f t="shared" si="0"/>
        <v>37772.800000000003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3021.8240000000001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1322.0480000000002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33428.928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7138.9830508474588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202.83955525423727</v>
      </c>
      <c r="P11" s="119">
        <f t="shared" si="2"/>
        <v>40770.75060610169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920</v>
      </c>
      <c r="I12" s="236">
        <f t="shared" si="0"/>
        <v>66828.800000000003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5346.3040000000001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2339.0080000000003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59143.488000000005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12630.508474576272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358.86998237288134</v>
      </c>
      <c r="P12" s="119">
        <f t="shared" si="2"/>
        <v>72132.866456949152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2680</v>
      </c>
      <c r="I16" s="114">
        <f t="shared" si="3"/>
        <v>181761.6</v>
      </c>
      <c r="J16" s="274">
        <f>SUM(J7:J15)</f>
        <v>14540.928</v>
      </c>
      <c r="K16" s="275">
        <f t="shared" si="3"/>
        <v>6361.6560000000009</v>
      </c>
      <c r="L16" s="276">
        <f t="shared" si="3"/>
        <v>0</v>
      </c>
      <c r="M16" s="232">
        <f t="shared" si="3"/>
        <v>160859.016</v>
      </c>
      <c r="N16" s="233">
        <f>SUM(N7:N15)</f>
        <v>34352.542372881362</v>
      </c>
      <c r="O16" s="101">
        <f>SUM(O7:O15)</f>
        <v>976.05779186440668</v>
      </c>
      <c r="P16" s="234">
        <f>SUM(P7:P15)</f>
        <v>196187.61616474576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181761.6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14540.928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6361.6560000000009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160859.01600000003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34352.542372881362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195211.55837288138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976.05779186440668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196187.61616474579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196187.61616474576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240</v>
      </c>
      <c r="I19" s="236">
        <f t="shared" si="7"/>
        <v>17433.599999999999</v>
      </c>
      <c r="J19" s="272">
        <f t="shared" si="1"/>
        <v>1394.6879999999999</v>
      </c>
      <c r="K19" s="128">
        <f t="shared" si="1"/>
        <v>610.17600000000004</v>
      </c>
      <c r="L19" s="119">
        <f t="shared" si="1"/>
        <v>0</v>
      </c>
      <c r="M19" s="230">
        <f t="shared" si="2"/>
        <v>15428.735999999999</v>
      </c>
      <c r="N19" s="277">
        <f t="shared" si="3"/>
        <v>3294.9152542372885</v>
      </c>
      <c r="O19" s="239">
        <f t="shared" si="4"/>
        <v>93.618256271186439</v>
      </c>
      <c r="P19" s="119">
        <f t="shared" si="5"/>
        <v>18817.269510508475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240</v>
      </c>
      <c r="I20" s="236">
        <f t="shared" si="7"/>
        <v>17433.599999999999</v>
      </c>
      <c r="J20" s="272">
        <f t="shared" si="1"/>
        <v>1394.6879999999999</v>
      </c>
      <c r="K20" s="128">
        <f t="shared" si="1"/>
        <v>610.17600000000004</v>
      </c>
      <c r="L20" s="119">
        <f t="shared" si="1"/>
        <v>0</v>
      </c>
      <c r="M20" s="230">
        <f t="shared" si="2"/>
        <v>15428.735999999999</v>
      </c>
      <c r="N20" s="277">
        <f t="shared" si="3"/>
        <v>3294.9152542372885</v>
      </c>
      <c r="O20" s="239">
        <f t="shared" si="4"/>
        <v>93.618256271186439</v>
      </c>
      <c r="P20" s="119">
        <f t="shared" si="5"/>
        <v>18817.269510508475</v>
      </c>
      <c r="R20">
        <f>P20/21</f>
        <v>896.0604528813559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7"/>
        <v>23244.799999999999</v>
      </c>
      <c r="J21" s="272">
        <f t="shared" si="1"/>
        <v>1859.5840000000001</v>
      </c>
      <c r="K21" s="128">
        <f t="shared" si="1"/>
        <v>813.5680000000001</v>
      </c>
      <c r="L21" s="119">
        <f t="shared" si="1"/>
        <v>0</v>
      </c>
      <c r="M21" s="230">
        <f t="shared" si="2"/>
        <v>20571.648000000001</v>
      </c>
      <c r="N21" s="277">
        <f t="shared" si="3"/>
        <v>4393.2203389830511</v>
      </c>
      <c r="O21" s="239">
        <f t="shared" si="4"/>
        <v>124.82434169491526</v>
      </c>
      <c r="P21" s="119">
        <f t="shared" si="5"/>
        <v>25089.692680677967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920</v>
      </c>
      <c r="I25" s="114">
        <f t="shared" ref="I25:M25" si="10">SUM(I16:I24)</f>
        <v>64407.5</v>
      </c>
      <c r="J25" s="274">
        <f>SUM(J16:J24)</f>
        <v>5152.5999999999995</v>
      </c>
      <c r="K25" s="275">
        <f t="shared" si="10"/>
        <v>2254.2625000000003</v>
      </c>
      <c r="L25" s="276">
        <f t="shared" si="10"/>
        <v>0</v>
      </c>
      <c r="M25" s="232">
        <f t="shared" si="10"/>
        <v>57000.637499999997</v>
      </c>
      <c r="N25" s="233">
        <f>SUM(N16:N24)</f>
        <v>12172.881355932204</v>
      </c>
      <c r="O25" s="101">
        <f>SUM(O16:O24)</f>
        <v>345.86759427966103</v>
      </c>
      <c r="P25" s="234">
        <f>SUM(P16:P24)</f>
        <v>69519.386450211867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64407.5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5152.5999999999995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2254.2625000000003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57000.637500000004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12172.881355932204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69173.518855932212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345.86759427966109</v>
      </c>
    </row>
    <row r="35" spans="2:16" ht="15.75" customHeight="1" thickBot="1" x14ac:dyDescent="0.4">
      <c r="N35" s="363" t="s">
        <v>88</v>
      </c>
      <c r="O35" s="364"/>
      <c r="P35" s="297">
        <f>+P33+P34</f>
        <v>69519.386450211867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sqref="A1:Q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839.4</v>
      </c>
      <c r="K16" s="127">
        <f>$I16*T16</f>
        <v>367.23750000000001</v>
      </c>
      <c r="L16" s="118">
        <f>$I16*U16</f>
        <v>0</v>
      </c>
      <c r="M16" s="229">
        <f>I16-SUM(J16:L16)</f>
        <v>9285.8624999999993</v>
      </c>
      <c r="N16" s="248">
        <f>+(G16*D16+H16)*V16</f>
        <v>1983.0508474576263</v>
      </c>
      <c r="O16" s="238">
        <f>(N16+M16)*$O$15</f>
        <v>56.344566737288133</v>
      </c>
      <c r="P16" s="118">
        <f>M16+N16+O16</f>
        <v>11325.257914194915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671.52</v>
      </c>
      <c r="K17" s="128">
        <f>$I17*T17</f>
        <v>293.79000000000002</v>
      </c>
      <c r="L17" s="119">
        <f>$I17*U17</f>
        <v>0</v>
      </c>
      <c r="M17" s="230">
        <f t="shared" ref="M17:M24" si="2">I17-SUM(J17:L17)</f>
        <v>7428.6900000000005</v>
      </c>
      <c r="N17" s="277">
        <f t="shared" ref="N17:N24" si="3">+(G17*D17+H17)*V17</f>
        <v>1586.440677966101</v>
      </c>
      <c r="O17" s="239">
        <f t="shared" ref="O17:O24" si="4">(N17+M17)*$O$15</f>
        <v>45.075653389830507</v>
      </c>
      <c r="P17" s="119">
        <f t="shared" ref="P17:P24" si="5">M17+N17+O17</f>
        <v>9060.206331355932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si="0"/>
        <v>8394</v>
      </c>
      <c r="J18" s="272">
        <f t="shared" si="1"/>
        <v>671.52</v>
      </c>
      <c r="K18" s="128">
        <f t="shared" si="1"/>
        <v>293.79000000000002</v>
      </c>
      <c r="L18" s="119">
        <f t="shared" si="1"/>
        <v>0</v>
      </c>
      <c r="M18" s="230">
        <f t="shared" si="2"/>
        <v>7428.6900000000005</v>
      </c>
      <c r="N18" s="277">
        <f t="shared" si="3"/>
        <v>1586.440677966101</v>
      </c>
      <c r="O18" s="239">
        <f t="shared" si="4"/>
        <v>45.075653389830507</v>
      </c>
      <c r="P18" s="119">
        <f t="shared" si="5"/>
        <v>9060.206331355932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360</v>
      </c>
      <c r="I19" s="236">
        <f t="shared" si="0"/>
        <v>26150.400000000001</v>
      </c>
      <c r="J19" s="272">
        <f t="shared" si="1"/>
        <v>2092.0320000000002</v>
      </c>
      <c r="K19" s="128">
        <f t="shared" si="1"/>
        <v>915.26400000000012</v>
      </c>
      <c r="L19" s="119">
        <f t="shared" si="1"/>
        <v>0</v>
      </c>
      <c r="M19" s="230">
        <f t="shared" si="2"/>
        <v>23143.103999999999</v>
      </c>
      <c r="N19" s="277">
        <f t="shared" si="3"/>
        <v>4942.3728813559328</v>
      </c>
      <c r="O19" s="239">
        <f t="shared" si="4"/>
        <v>140.42738440677965</v>
      </c>
      <c r="P19" s="119">
        <f t="shared" si="5"/>
        <v>28225.904265762711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280</v>
      </c>
      <c r="I20" s="236">
        <f t="shared" si="0"/>
        <v>20339.2</v>
      </c>
      <c r="J20" s="272">
        <f t="shared" si="1"/>
        <v>1627.1360000000002</v>
      </c>
      <c r="K20" s="128">
        <f t="shared" si="1"/>
        <v>711.87200000000007</v>
      </c>
      <c r="L20" s="119">
        <f t="shared" si="1"/>
        <v>0</v>
      </c>
      <c r="M20" s="230">
        <f t="shared" si="2"/>
        <v>18000.191999999999</v>
      </c>
      <c r="N20" s="277">
        <f t="shared" si="3"/>
        <v>3844.0677966101698</v>
      </c>
      <c r="O20" s="239">
        <f t="shared" si="4"/>
        <v>109.22129898305084</v>
      </c>
      <c r="P20" s="119">
        <f t="shared" si="5"/>
        <v>21953.481095593219</v>
      </c>
      <c r="R20">
        <f>P20/21</f>
        <v>1045.4038616949151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600</v>
      </c>
      <c r="I21" s="236">
        <f t="shared" si="0"/>
        <v>43584</v>
      </c>
      <c r="J21" s="272">
        <f t="shared" si="1"/>
        <v>3486.7200000000003</v>
      </c>
      <c r="K21" s="128">
        <f t="shared" si="1"/>
        <v>1525.44</v>
      </c>
      <c r="L21" s="119">
        <f t="shared" si="1"/>
        <v>0</v>
      </c>
      <c r="M21" s="230">
        <f t="shared" si="2"/>
        <v>38571.839999999997</v>
      </c>
      <c r="N21" s="277">
        <f t="shared" si="3"/>
        <v>8237.2881355932204</v>
      </c>
      <c r="O21" s="239">
        <f t="shared" si="4"/>
        <v>234.04564067796608</v>
      </c>
      <c r="P21" s="119">
        <f t="shared" si="5"/>
        <v>47043.173776271178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1760</v>
      </c>
      <c r="I25" s="114">
        <f t="shared" si="7"/>
        <v>117354.1</v>
      </c>
      <c r="J25" s="274">
        <f>SUM(J16:J24)</f>
        <v>9388.3280000000013</v>
      </c>
      <c r="K25" s="275">
        <f t="shared" si="7"/>
        <v>4107.3935000000001</v>
      </c>
      <c r="L25" s="276">
        <f t="shared" si="7"/>
        <v>0</v>
      </c>
      <c r="M25" s="232">
        <f t="shared" si="7"/>
        <v>103858.37849999999</v>
      </c>
      <c r="N25" s="233">
        <f>SUM(N16:N24)</f>
        <v>22179.661016949154</v>
      </c>
      <c r="O25" s="101">
        <f>SUM(O16:O24)</f>
        <v>630.19019758474565</v>
      </c>
      <c r="P25" s="234">
        <f>SUM(P16:P24)</f>
        <v>126668.2297145339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117354.1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9388.3280000000013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4107.3935000000001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103858.37849999999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22179.661016949154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126038.03951694915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630.19019758474576</v>
      </c>
    </row>
    <row r="35" spans="2:16" ht="15.75" customHeight="1" thickBot="1" x14ac:dyDescent="0.4">
      <c r="N35" s="363" t="s">
        <v>88</v>
      </c>
      <c r="O35" s="364"/>
      <c r="P35" s="297">
        <f>+P33+P34</f>
        <v>126668.2297145339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46235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46234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2026-07-31T05:34:37Z</dcterms:modified>
</cp:coreProperties>
</file>