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6A13A2F-2C9B-4614-AED9-F030BFF656C8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15" i="62" l="1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<sst xmlns="http://schemas.openxmlformats.org/spreadsheetml/2006/main" count="3913" uniqueCount="516">
  <si>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</si>
  <si>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</si>
  <si>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</si>
  <si>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</si>
  <si>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</si>
  <si>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</si>
  <si>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</si>
  <si>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</si>
  <si>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</si>
  <si>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</si>
  <si>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</si>
  <si>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</si>
  <si>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</si>
  <si>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</si>
  <si>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</si>
  <si>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</si>
  <si>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</si>
  <si>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</si>
  <si>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</si>
  <si>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</si>
  <si>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</si>
  <si>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</si>
  <si>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</si>
  <si>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</si>
  <si>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</si>
  <si>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</si>
  <si>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</si>
  <si>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</si>
  <si>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</si>
  <si>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</si>
  <si>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</si>
  <si>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</si>
  <si>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</si>
  <si>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</si>
  <si>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</si>
  <si>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</si>
  <si>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</si>
  <si>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</si>
  <si>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</si>
  <si>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</si>
  <si>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</si>
  <si>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</si>
  <si>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</si>
  <si>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</si>
  <si>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</si>
  <si>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</si>
  <si>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</si>
  <si>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</si>
  <si>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</si>
  <si>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</si>
  <si>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</si>
  <si>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</si>
  <si>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</si>
  <si>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</si>
  <si>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</si>
  <si>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</si>
  <si>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</si>
  <si>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</si>
  <si>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</si>
  <si>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</si>
  <si>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</si>
  <si>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</si>
  <si>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</si>
  <si>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</si>
  <si>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</si>
  <si>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</si>
  <si>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</si>
  <si>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</si>
  <si>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</si>
  <si>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</si>
  <si>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</si>
  <si>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</si>
  <si>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</si>
  <si>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</si>
  <si>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</si>
  <si>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</si>
  <si>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</si>
  <si>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</si>
  <si>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</si>
  <si>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</si>
  <si>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</si>
  <si>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</si>
  <si>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</si>
  <si>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</si>
  <si>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</si>
  <si>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</si>
  <si>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</si>
  <si>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</si>
  <si>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</si>
  <si>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</si>
  <si>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</si>
  <si>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</si>
  <si>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</si>
  <si>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</si>
  <si>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</si>
  <si>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</si>
  <si>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</si>
  <si>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</si>
  <si>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</si>
  <si>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</si>
  <si>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</si>
  <si>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</si>
  <si>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</si>
  <si>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</si>
  <si>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</si>
  <si>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</si>
  <si>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</si>
  <si>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</si>
  <si>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</si>
  <si>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</si>
  <si>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</si>
  <si>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</si>
  <si>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</si>
  <si>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</si>
  <si>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</si>
  <si>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</si>
  <si>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</si>
  <si>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</si>
  <si>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</si>
  <si>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</si>
  <si>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</si>
  <si>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</si>
  <si>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</si>
  <si>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</si>
  <si>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</si>
  <si>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</si>
  <si>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</si>
  <si>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</si>
  <si>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</si>
  <si>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</si>
  <si>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</si>
  <si>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</si>
  <si>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</si>
  <si>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</si>
  <si>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</si>
  <si>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</si>
  <si>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</si>
  <si>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</si>
  <si>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</si>
  <si>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</si>
  <si>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</si>
  <si>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</si>
  <si>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</si>
  <si>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</si>
  <si>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</si>
  <si>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</si>
  <si>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</si>
  <si>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</si>
  <si>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</si>
  <si>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</si>
  <si>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</si>
  <si>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</si>
  <si>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</si>
  <si>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</si>
  <si>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</si>
  <si>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</si>
  <si>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</si>
  <si>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</si>
  <si>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</si>
  <si>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</si>
  <si>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</si>
  <si>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</si>
  <si>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</si>
  <si>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</si>
  <si>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</si>
  <si>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</si>
  <si>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</si>
  <si>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</si>
  <si>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</si>
  <si>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</si>
  <si>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</si>
  <si>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</si>
  <si>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</si>
  <si>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</si>
  <si>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</si>
  <si>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</si>
  <si>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</si>
  <si>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</si>
  <si>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</si>
  <si>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</si>
  <si>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</si>
  <si>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</si>
  <si>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</si>
  <si>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</si>
  <si>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</si>
  <si>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</si>
  <si>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</si>
  <si>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</si>
  <si>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</si>
  <si>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</si>
  <si>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</si>
  <si>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</si>
  <si>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</si>
  <si>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</si>
  <si>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</si>
  <si>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</si>
  <si>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</si>
  <si>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</si>
  <si>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</si>
  <si>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</si>
  <si>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</si>
  <si>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</si>
  <si>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</si>
  <si>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</si>
  <si>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</si>
  <si>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</si>
  <si>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</si>
  <si>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</si>
  <si>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</si>
  <si>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</si>
  <si>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</si>
  <si>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</si>
  <si>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</si>
  <si>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</si>
  <si>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</si>
  <si>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</si>
  <si>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</si>
  <si>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</si>
  <si>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</si>
  <si>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</si>
  <si>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</si>
  <si>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</si>
  <si>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</si>
  <si>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</si>
  <si>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</si>
  <si>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</si>
  <si>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</si>
  <si>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</si>
  <si>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</si>
  <si>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</si>
  <si>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</si>
  <si>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</si>
  <si>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</si>
  <si>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</si>
  <si>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</si>
  <si>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</si>
  <si>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</si>
  <si>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</si>
  <si>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</si>
  <si>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</si>
  <si>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</si>
  <si>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</si>
  <si>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</si>
  <si>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</si>
  <si>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</si>
  <si>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</si>
  <si>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</si>
  <si>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</si>
  <si>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</si>
  <si>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</si>
  <si>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</si>
  <si>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</si>
  <si>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</si>
  <si>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</si>
  <si>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</si>
  <si>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</si>
  <si>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</si>
  <si>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</si>
  <si>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</si>
  <si>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</si>
  <si>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</si>
  <si>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</si>
  <si>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</si>
  <si>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</si>
  <si>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</si>
  <si>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</si>
  <si>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</si>
  <si>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</si>
  <si>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</si>
  <si>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</si>
  <si>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</si>
  <si>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</si>
  <si>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</si>
  <si>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</si>
  <si>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</si>
  <si>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</si>
  <si>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</si>
  <si>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</si>
  <si>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</si>
  <si>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</si>
  <si>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</si>
  <si>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</si>
  <si>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</si>
  <si>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</si>
  <si>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</si>
  <si>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</si>
  <si>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</si>
  <si>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</si>
  <si>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</si>
  <si>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</si>
  <si>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</si>
  <si>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</si>
  <si>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</si>
  <si>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</si>
  <si>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</si>
  <si>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</si>
  <si>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</si>
  <si>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</si>
  <si>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</si>
  <si>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</si>
  <si>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</si>
  <si>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</si>
  <si>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</si>
  <si>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</si>
  <si>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</si>
  <si>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</si>
  <si>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</si>
  <si>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</si>
  <si>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</si>
  <si>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</si>
  <si>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</si>
  <si>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</si>
  <si>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</si>
  <si>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</si>
  <si>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</si>
  <si>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</si>
  <si>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</si>
  <si>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</si>
  <si>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</si>
  <si>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</si>
  <si>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</si>
  <si>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</si>
  <si>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</si>
  <si>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</si>
  <si>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</si>
  <si>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</si>
  <si>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</si>
  <si>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</si>
  <si>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</si>
  <si>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</si>
  <si>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</si>
  <si>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</si>
  <si>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</si>
  <si>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</si>
  <si>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</si>
  <si>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</si>
  <si>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</si>
  <si>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</si>
  <si>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</si>
  <si>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</si>
  <si>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</si>
  <si>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</si>
  <si>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</si>
  <si>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</si>
  <si>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</si>
  <si>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</si>
  <si>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</si>
  <si>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</si>
  <si>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</si>
  <si>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</si>
  <si>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</si>
  <si>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</si>
  <si>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</si>
  <si>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</si>
  <si>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</si>
  <si>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</si>
  <si>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</si>
  <si>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</si>
  <si>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</si>
  <si>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</si>
  <si>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</si>
  <si>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</si>
  <si>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</si>
  <si>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</si>
  <si>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</si>
  <si>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</si>
  <si>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</si>
  <si>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</si>
  <si>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</si>
  <si>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</si>
  <si>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</si>
  <si>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</si>
  <si>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</si>
  <si>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</si>
  <si>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</si>
  <si>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</si>
  <si>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</si>
  <si>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</si>
  <si>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</si>
  <si>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</si>
  <si>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</si>
  <si>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</si>
  <si>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</si>
  <si>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</si>
  <si>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</si>
  <si>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</si>
  <si>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</si>
  <si>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</si>
  <si>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</si>
  <si>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</si>
  <si>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</si>
  <si>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</si>
  <si>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</si>
  <si>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</si>
  <si>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</si>
  <si>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</si>
  <si>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</si>
  <si>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</si>
  <si>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</si>
  <si>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</si>
  <si>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</si>
  <si>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</si>
  <si>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</si>
  <si>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</si>
  <si>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</si>
  <si>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</si>
  <si>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</si>
  <si>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</si>
  <si>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</si>
  <si>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</si>
  <si>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</si>
  <si>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</si>
  <si>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</si>
  <si>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</si>
  <si>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</si>
  <si>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</si>
  <si>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</si>
  <si>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</si>
  <si>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</si>
  <si>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</si>
  <si>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</si>
  <si>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</si>
  <si>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</si>
  <si>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</si>
  <si>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</si>
  <si>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</si>
  <si>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</si>
  <si>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</si>
  <si>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</si>
  <si>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</si>
  <si>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</si>
  <si>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</si>
  <si>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</si>
  <si>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</si>
  <si>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</si>
  <si>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</si>
  <si>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</si>
  <si>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</si>
  <si>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</si>
  <si>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</si>
  <si>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</si>
  <si>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</si>
  <si>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</si>
  <si>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</si>
  <si>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</si>
  <si>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</si>
  <si>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</si>
  <si>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</si>
  <si>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</si>
  <si>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</si>
  <si>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</si>
  <si>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</si>
  <si>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</si>
  <si>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</si>
  <si>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</si>
  <si>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</si>
  <si>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</si>
  <si>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</si>
  <si>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</si>
  <si>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</si>
  <si>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</si>
  <si>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</si>
  <si>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</si>
  <si>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</si>
  <si>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</si>
  <si>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</si>
  <si>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</si>
  <si>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</si>
  <si>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</si>
  <si>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</si>
  <si>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</si>
  <si>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</si>
  <si>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</si>
  <si>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</si>
  <si>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</si>
  <si>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</si>
  <si>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</si>
  <si>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</si>
  <si>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</si>
  <si>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</si>
  <si>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</si>
  <si>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</si>
  <si>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</si>
  <si>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</si>
  <si>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</si>
  <si>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</si>
  <si>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</si>
  <si>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</si>
  <si>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</si>
  <si>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</si>
  <si>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</si>
  <si>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</si>
  <si>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</si>
  <si>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</si>
  <si>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</si>
  <si>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</si>
  <si>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</si>
  <si>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</si>
  <si>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</si>
  <si>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</si>
  <si>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</si>
  <si>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 xml:space="preserve">Mart Cash </t>
  </si>
  <si>
    <t>Golden Cash</t>
  </si>
  <si>
    <t>Pak Madina</t>
  </si>
  <si>
    <t>Watto Store</t>
  </si>
  <si>
    <t>Faheem Store</t>
  </si>
  <si>
    <t>Umair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</si>
  <si>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</si>
  <si>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</si>
  <si>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</si>
  <si>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</si>
  <si>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</si>
  <si>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</si>
  <si>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</si>
  <si>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Shahwar Mega Mart  </t>
  </si>
  <si>
    <t>Address: Jublee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</si>
</sst>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8"/>
      <c r="B3" s="318"/>
      <c r="C3" s="318"/>
      <c r="D3" s="318"/>
      <c r="E3" s="318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</row>
    <row r="4" spans="1:29" x14ac:dyDescent="0.35">
      <c r="A4" s="320" t="s">
        <v>436</v>
      </c>
      <c r="B4" s="165" t="s">
        <v>437</v>
      </c>
      <c r="C4" s="165"/>
      <c r="D4" s="322" t="s">
        <v>438</v>
      </c>
      <c r="E4" s="324" t="s">
        <v>439</v>
      </c>
      <c r="F4" s="326" t="s">
        <v>58</v>
      </c>
      <c r="G4" s="326"/>
      <c r="H4" s="327" t="s">
        <v>440</v>
      </c>
      <c r="I4" s="327"/>
      <c r="J4" s="328" t="s">
        <v>441</v>
      </c>
      <c r="K4" s="329"/>
      <c r="L4" s="328" t="s">
        <v>442</v>
      </c>
      <c r="M4" s="329"/>
      <c r="N4" s="330" t="s">
        <v>443</v>
      </c>
      <c r="O4" s="330"/>
      <c r="P4" s="328" t="s">
        <v>86</v>
      </c>
      <c r="Q4" s="329"/>
      <c r="R4" s="328" t="s">
        <v>444</v>
      </c>
      <c r="S4" s="329"/>
      <c r="T4" s="331" t="s">
        <v>445</v>
      </c>
      <c r="U4" s="331"/>
      <c r="V4" s="332" t="s">
        <v>446</v>
      </c>
      <c r="W4" s="333"/>
      <c r="X4" s="332" t="s">
        <v>447</v>
      </c>
      <c r="Y4" s="333"/>
    </row>
    <row r="5" spans="1:29" ht="26.25" customHeight="1" thickBot="1" x14ac:dyDescent="0.4">
      <c r="A5" s="321"/>
      <c r="B5" s="167" t="s">
        <v>448</v>
      </c>
      <c r="C5" s="167" t="s">
        <v>438</v>
      </c>
      <c r="D5" s="323"/>
      <c r="E5" s="32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B4" sqref="B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58" t="s">
        <v>91</v>
      </c>
      <c r="B2" s="358"/>
      <c r="C2" s="358"/>
      <c r="E2" s="345" t="s">
        <v>499</v>
      </c>
      <c r="F2" s="346"/>
      <c r="G2" s="346"/>
      <c r="H2" s="343" t="s">
        <v>506</v>
      </c>
      <c r="I2" s="343"/>
      <c r="J2" s="344"/>
      <c r="R2" s="340" t="s">
        <v>498</v>
      </c>
      <c r="S2" s="341"/>
      <c r="T2" s="342"/>
    </row>
    <row r="3" spans="1:20 16377:16378" ht="21.75" customHeight="1" thickBot="1" x14ac:dyDescent="0.4">
      <c r="A3" s="359" t="s">
        <v>92</v>
      </c>
      <c r="B3" s="359"/>
      <c r="C3" s="359"/>
      <c r="E3" s="349" t="s">
        <v>500</v>
      </c>
      <c r="F3" s="350"/>
      <c r="G3" s="350"/>
      <c r="H3" s="347">
        <f>+'1'!N4:N4</f>
        <v>46207</v>
      </c>
      <c r="I3" s="347"/>
      <c r="J3" s="348"/>
      <c r="K3" s="360" t="s">
        <v>43</v>
      </c>
      <c r="L3" s="360"/>
      <c r="M3" s="360"/>
      <c r="N3" s="359"/>
      <c r="O3" s="359"/>
      <c r="P3" s="359"/>
      <c r="R3" s="299">
        <v>1</v>
      </c>
      <c r="S3" s="300" t="str">
        <f>+'1'!A6:A6</f>
        <v xml:space="preserve">Shahwar Mega Mart  </v>
      </c>
      <c r="T3" s="301">
        <f>+'1'!P35</f>
        <v>76741.742272118645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79" t="s">
        <v>51</v>
      </c>
      <c r="B5" s="351"/>
      <c r="C5" s="381" t="s">
        <v>90</v>
      </c>
      <c r="D5" s="115" t="s">
        <v>52</v>
      </c>
      <c r="E5" s="383" t="s">
        <v>58</v>
      </c>
      <c r="F5" s="384"/>
      <c r="G5" s="356" t="s">
        <v>54</v>
      </c>
      <c r="H5" s="357"/>
      <c r="I5" s="385" t="s">
        <v>77</v>
      </c>
      <c r="J5" s="355" t="s">
        <v>55</v>
      </c>
      <c r="K5" s="356"/>
      <c r="L5" s="357"/>
      <c r="M5" s="351" t="s">
        <v>84</v>
      </c>
      <c r="N5" s="353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0"/>
      <c r="B6" s="352"/>
      <c r="C6" s="38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52"/>
      <c r="N6" s="354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200</v>
      </c>
      <c r="I7" s="235">
        <f>(G7*D7)*F7+H7*F7</f>
        <v>10492.5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1049.25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367.23750000000001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9076.0125000000007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1983.0508474576263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55.29531673728814</v>
      </c>
      <c r="P7" s="118">
        <f>M7+N7+O7</f>
        <v>11114.358664194917</v>
      </c>
      <c r="Q7" s="142"/>
      <c r="R7" s="299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200</v>
      </c>
      <c r="I8" s="236">
        <f t="shared" ref="I8:I14" si="0">(G8*D8)*F8+H8*F8</f>
        <v>10492.5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1049.25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367.23750000000001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9076.0125000000007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1983.0508474576263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55.29531673728814</v>
      </c>
      <c r="P8" s="119">
        <f t="shared" ref="P8:P15" si="2">M8+N8+O8</f>
        <v>11114.358664194917</v>
      </c>
      <c r="R8" s="299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200</v>
      </c>
      <c r="I10" s="236">
        <f t="shared" si="0"/>
        <v>14528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1452.8000000000002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508.48000000000008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12566.72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2745.7627118644068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76.562413559322039</v>
      </c>
      <c r="P10" s="119">
        <f t="shared" si="2"/>
        <v>15389.045125423729</v>
      </c>
      <c r="R10" s="299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200</v>
      </c>
      <c r="I11" s="236">
        <f t="shared" si="0"/>
        <v>14528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1452.8000000000002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508.48000000000008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12566.72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2745.7627118644068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76.562413559322039</v>
      </c>
      <c r="P11" s="119">
        <f t="shared" si="2"/>
        <v>15389.045125423729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200</v>
      </c>
      <c r="I12" s="236">
        <f t="shared" si="0"/>
        <v>14528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1452.8000000000002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508.48000000000008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12566.72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2745.7627118644068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76.562413559322039</v>
      </c>
      <c r="P12" s="119">
        <f t="shared" si="2"/>
        <v>15389.045125423729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200</v>
      </c>
      <c r="I13" s="236">
        <f t="shared" si="0"/>
        <v>7846.0000000000009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392.30000000000007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274.61000000000007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400.14600000000002</v>
      </c>
      <c r="M13" s="230">
        <f t="shared" si="1"/>
        <v>6778.9440000000013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1525.4237288135585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41.521838644067806</v>
      </c>
      <c r="P13" s="119">
        <f t="shared" si="2"/>
        <v>8345.8895674576288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1">
        <f>COUNT(A7:A15)</f>
        <v>0</v>
      </c>
      <c r="B16" s="362"/>
      <c r="C16" s="362" t="s">
        <v>40</v>
      </c>
      <c r="D16" s="362"/>
      <c r="E16" s="362"/>
      <c r="F16" s="363"/>
      <c r="G16" s="117">
        <f t="shared" ref="G16:M16" si="3">SUM(G7:G15)</f>
        <v>0</v>
      </c>
      <c r="H16" s="113">
        <f t="shared" si="3"/>
        <v>1200</v>
      </c>
      <c r="I16" s="114">
        <f t="shared" si="3"/>
        <v>72415</v>
      </c>
      <c r="J16" s="274">
        <f>SUM(J7:J15)</f>
        <v>6849.2000000000007</v>
      </c>
      <c r="K16" s="275">
        <f t="shared" si="3"/>
        <v>2534.5250000000005</v>
      </c>
      <c r="L16" s="276">
        <f t="shared" si="3"/>
        <v>400.14600000000002</v>
      </c>
      <c r="M16" s="232">
        <f t="shared" si="3"/>
        <v>62631.129000000008</v>
      </c>
      <c r="N16" s="233">
        <f>SUM(N7:N15)</f>
        <v>13728.813559322032</v>
      </c>
      <c r="O16" s="101">
        <f>SUM(O7:O15)</f>
        <v>381.79971279661021</v>
      </c>
      <c r="P16" s="234">
        <f>SUM(P7:P15)</f>
        <v>76741.742272118659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64" t="s">
        <v>64</v>
      </c>
      <c r="C19" s="365"/>
      <c r="D19" s="365"/>
      <c r="E19" s="365"/>
      <c r="F19" s="365"/>
      <c r="G19" s="365"/>
      <c r="H19" s="365"/>
      <c r="I19" s="365"/>
      <c r="J19" s="365"/>
      <c r="K19" s="365"/>
      <c r="L19" s="366"/>
      <c r="N19" s="373" t="s">
        <v>60</v>
      </c>
      <c r="O19" s="374"/>
      <c r="P19" s="139">
        <f>I16</f>
        <v>72415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67"/>
      <c r="C20" s="368"/>
      <c r="D20" s="368"/>
      <c r="E20" s="368"/>
      <c r="F20" s="368"/>
      <c r="G20" s="368"/>
      <c r="H20" s="368"/>
      <c r="I20" s="368"/>
      <c r="J20" s="368"/>
      <c r="K20" s="368"/>
      <c r="L20" s="369"/>
      <c r="N20" s="375" t="s">
        <v>85</v>
      </c>
      <c r="O20" s="376"/>
      <c r="P20" s="140">
        <f>+J16</f>
        <v>6849.2000000000007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67"/>
      <c r="C21" s="368"/>
      <c r="D21" s="368"/>
      <c r="E21" s="368"/>
      <c r="F21" s="368"/>
      <c r="G21" s="368"/>
      <c r="H21" s="368"/>
      <c r="I21" s="368"/>
      <c r="J21" s="368"/>
      <c r="K21" s="368"/>
      <c r="L21" s="369"/>
      <c r="N21" s="375" t="s">
        <v>86</v>
      </c>
      <c r="O21" s="376"/>
      <c r="P21" s="140">
        <f>+K16+L16</f>
        <v>2934.6710000000007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67"/>
      <c r="C22" s="368"/>
      <c r="D22" s="368"/>
      <c r="E22" s="368"/>
      <c r="F22" s="368"/>
      <c r="G22" s="368"/>
      <c r="H22" s="368"/>
      <c r="I22" s="368"/>
      <c r="J22" s="368"/>
      <c r="K22" s="368"/>
      <c r="L22" s="369"/>
      <c r="M22" s="131"/>
      <c r="N22" s="375" t="s">
        <v>87</v>
      </c>
      <c r="O22" s="376"/>
      <c r="P22" s="140">
        <f>P19-P20-P21</f>
        <v>62631.129000000001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67"/>
      <c r="C23" s="368"/>
      <c r="D23" s="368"/>
      <c r="E23" s="368"/>
      <c r="F23" s="368"/>
      <c r="G23" s="368"/>
      <c r="H23" s="368"/>
      <c r="I23" s="368"/>
      <c r="J23" s="368"/>
      <c r="K23" s="368"/>
      <c r="L23" s="369"/>
      <c r="M23" s="131"/>
      <c r="N23" s="136" t="s">
        <v>61</v>
      </c>
      <c r="O23" s="133">
        <v>0.18</v>
      </c>
      <c r="P23" s="140">
        <f>+N16</f>
        <v>13728.813559322032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67"/>
      <c r="C24" s="368"/>
      <c r="D24" s="368"/>
      <c r="E24" s="368"/>
      <c r="F24" s="368"/>
      <c r="G24" s="368"/>
      <c r="H24" s="368"/>
      <c r="I24" s="368"/>
      <c r="J24" s="368"/>
      <c r="K24" s="368"/>
      <c r="L24" s="369"/>
      <c r="M24" s="131"/>
      <c r="N24" s="377" t="s">
        <v>76</v>
      </c>
      <c r="O24" s="378"/>
      <c r="P24" s="140">
        <f>P22+P23</f>
        <v>76359.942559322037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0"/>
      <c r="C25" s="371"/>
      <c r="D25" s="371"/>
      <c r="E25" s="371"/>
      <c r="F25" s="371"/>
      <c r="G25" s="371"/>
      <c r="H25" s="371"/>
      <c r="I25" s="371"/>
      <c r="J25" s="371"/>
      <c r="K25" s="371"/>
      <c r="L25" s="372"/>
      <c r="M25" s="99"/>
      <c r="N25" s="138" t="s">
        <v>83</v>
      </c>
      <c r="O25" s="137" t="e">
        <f>IF(#REF!="Filer",0.5%,2.5%)</f>
        <v>#REF!</v>
      </c>
      <c r="P25" s="140">
        <f>+O16</f>
        <v>381.79971279661021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34" t="s">
        <v>88</v>
      </c>
      <c r="O26" s="335"/>
      <c r="P26" s="297">
        <f>+P24+P25</f>
        <v>76741.742272118645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36"/>
      <c r="D27" s="336"/>
      <c r="E27" s="336"/>
      <c r="F27" s="336"/>
      <c r="G27" s="336"/>
      <c r="H27" s="336"/>
      <c r="I27" s="337"/>
      <c r="J27" s="338"/>
      <c r="K27" s="339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76741.742272118645</v>
      </c>
    </row>
    <row r="44" spans="2:20" x14ac:dyDescent="0.35">
      <c r="B44" t="s">
        <v>508</v>
      </c>
    </row>
    <row r="45" spans="2:20" x14ac:dyDescent="0.35">
      <c r="B45" t="s">
        <v>509</v>
      </c>
    </row>
    <row r="46" spans="2:20" x14ac:dyDescent="0.35">
      <c r="B46" t="s">
        <v>510</v>
      </c>
    </row>
    <row r="47" spans="2:20" x14ac:dyDescent="0.35">
      <c r="B47" t="s">
        <v>511</v>
      </c>
    </row>
    <row r="48" spans="2:20" x14ac:dyDescent="0.35">
      <c r="B48" t="s">
        <v>512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H6" sqref="H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v>46207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46206</v>
      </c>
      <c r="O5" s="359"/>
      <c r="P5" s="359"/>
      <c r="R5" s="85"/>
      <c r="S5" s="266"/>
    </row>
    <row r="6" spans="1:22 16383:16384" ht="17.25" customHeight="1" x14ac:dyDescent="0.4">
      <c r="A6" s="388" t="s">
        <v>514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200</v>
      </c>
      <c r="I16" s="235">
        <f>(G16*D16)*F16+H16*F16</f>
        <v>10492.5</v>
      </c>
      <c r="J16" s="271">
        <f>$I16*S16</f>
        <v>1049.25</v>
      </c>
      <c r="K16" s="127">
        <f>$I16*T16</f>
        <v>367.23750000000001</v>
      </c>
      <c r="L16" s="118">
        <f>$I16*U16</f>
        <v>0</v>
      </c>
      <c r="M16" s="229">
        <f>I16-SUM(J16:L16)</f>
        <v>9076.0125000000007</v>
      </c>
      <c r="N16" s="248">
        <f>+(G16*D16+H16)*V16</f>
        <v>1983.0508474576263</v>
      </c>
      <c r="O16" s="238">
        <f>(N16+M16)*$O$15</f>
        <v>55.29531673728814</v>
      </c>
      <c r="P16" s="118">
        <f>M16+N16+O16</f>
        <v>11114.358664194917</v>
      </c>
      <c r="Q16" s="142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200</v>
      </c>
      <c r="I17" s="236">
        <f t="shared" ref="I17:I23" si="0">(G17*D17)*F17+H17*F17</f>
        <v>10492.5</v>
      </c>
      <c r="J17" s="272">
        <f t="shared" ref="J17:L24" si="1">$I17*S17</f>
        <v>1049.25</v>
      </c>
      <c r="K17" s="128">
        <f>$I17*T17</f>
        <v>367.23750000000001</v>
      </c>
      <c r="L17" s="119">
        <f>$I17*U17</f>
        <v>0</v>
      </c>
      <c r="M17" s="230">
        <f t="shared" ref="M17:M24" si="2">I17-SUM(J17:L17)</f>
        <v>9076.0125000000007</v>
      </c>
      <c r="N17" s="277">
        <f t="shared" ref="N17:N24" si="3">+(G17*D17+H17)*V17</f>
        <v>1983.0508474576263</v>
      </c>
      <c r="O17" s="239">
        <f t="shared" ref="O17:O24" si="4">(N17+M17)*$O$15</f>
        <v>55.29531673728814</v>
      </c>
      <c r="P17" s="119">
        <f t="shared" ref="P17:P24" si="5">M17+N17+O17</f>
        <v>11114.358664194917</v>
      </c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200</v>
      </c>
      <c r="I19" s="236">
        <f t="shared" si="7"/>
        <v>14528</v>
      </c>
      <c r="J19" s="272">
        <f t="shared" si="1"/>
        <v>1452.8000000000002</v>
      </c>
      <c r="K19" s="128">
        <f t="shared" si="1"/>
        <v>508.48000000000008</v>
      </c>
      <c r="L19" s="119">
        <f t="shared" si="1"/>
        <v>0</v>
      </c>
      <c r="M19" s="230">
        <f t="shared" si="2"/>
        <v>12566.72</v>
      </c>
      <c r="N19" s="277">
        <f t="shared" si="3"/>
        <v>2745.7627118644068</v>
      </c>
      <c r="O19" s="239">
        <f t="shared" si="4"/>
        <v>76.562413559322039</v>
      </c>
      <c r="P19" s="119">
        <f t="shared" si="5"/>
        <v>15389.045125423729</v>
      </c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200</v>
      </c>
      <c r="I20" s="236">
        <f t="shared" si="7"/>
        <v>14528</v>
      </c>
      <c r="J20" s="272">
        <f t="shared" si="1"/>
        <v>1452.8000000000002</v>
      </c>
      <c r="K20" s="128">
        <f t="shared" si="1"/>
        <v>508.48000000000008</v>
      </c>
      <c r="L20" s="119">
        <f t="shared" si="1"/>
        <v>0</v>
      </c>
      <c r="M20" s="230">
        <f t="shared" si="2"/>
        <v>12566.72</v>
      </c>
      <c r="N20" s="277">
        <f t="shared" si="3"/>
        <v>2745.7627118644068</v>
      </c>
      <c r="O20" s="239">
        <f t="shared" si="4"/>
        <v>76.562413559322039</v>
      </c>
      <c r="P20" s="119">
        <f t="shared" si="5"/>
        <v>15389.045125423729</v>
      </c>
      <c r="R20">
        <f>P20/21</f>
        <v>732.81167263922521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</v>
      </c>
      <c r="I21" s="236">
        <f t="shared" si="7"/>
        <v>14528</v>
      </c>
      <c r="J21" s="272">
        <f t="shared" si="1"/>
        <v>1452.8000000000002</v>
      </c>
      <c r="K21" s="128">
        <f t="shared" si="1"/>
        <v>508.48000000000008</v>
      </c>
      <c r="L21" s="119">
        <f t="shared" si="1"/>
        <v>0</v>
      </c>
      <c r="M21" s="230">
        <f t="shared" si="2"/>
        <v>12566.72</v>
      </c>
      <c r="N21" s="277">
        <f t="shared" si="3"/>
        <v>2745.7627118644068</v>
      </c>
      <c r="O21" s="239">
        <f t="shared" si="4"/>
        <v>76.562413559322039</v>
      </c>
      <c r="P21" s="119">
        <f t="shared" si="5"/>
        <v>15389.045125423729</v>
      </c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200</v>
      </c>
      <c r="I22" s="236">
        <f t="shared" si="0"/>
        <v>7846.0000000000009</v>
      </c>
      <c r="J22" s="272">
        <f t="shared" si="1"/>
        <v>392.30000000000007</v>
      </c>
      <c r="K22" s="128">
        <f t="shared" si="1"/>
        <v>274.61000000000007</v>
      </c>
      <c r="L22" s="119">
        <f t="shared" si="1"/>
        <v>400.14600000000002</v>
      </c>
      <c r="M22" s="230">
        <f t="shared" si="2"/>
        <v>6778.9440000000013</v>
      </c>
      <c r="N22" s="277">
        <f t="shared" si="3"/>
        <v>1525.4237288135585</v>
      </c>
      <c r="O22" s="239">
        <f t="shared" si="4"/>
        <v>41.521838644067806</v>
      </c>
      <c r="P22" s="119">
        <f t="shared" si="5"/>
        <v>8345.8895674576288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" si="8">SUM(G16:G24)</f>
        <v>0</v>
      </c>
      <c r="H25" s="113">
        <f t="shared" ref="H25" si="9">SUM(H16:H24)</f>
        <v>1200</v>
      </c>
      <c r="I25" s="114">
        <f t="shared" ref="I25:M25" si="10">SUM(I16:I24)</f>
        <v>72415</v>
      </c>
      <c r="J25" s="274">
        <f>SUM(J16:J24)</f>
        <v>6849.2000000000007</v>
      </c>
      <c r="K25" s="275">
        <f t="shared" si="10"/>
        <v>2534.5250000000005</v>
      </c>
      <c r="L25" s="276">
        <f t="shared" si="10"/>
        <v>400.14600000000002</v>
      </c>
      <c r="M25" s="232">
        <f t="shared" si="10"/>
        <v>62631.129000000008</v>
      </c>
      <c r="N25" s="233">
        <f>SUM(N16:N24)</f>
        <v>13728.813559322032</v>
      </c>
      <c r="O25" s="101">
        <f>SUM(O16:O24)</f>
        <v>381.79971279661021</v>
      </c>
      <c r="P25" s="234">
        <f>SUM(P16:P24)</f>
        <v>76741.742272118659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72415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6849.2000000000007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2934.6710000000007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62631.129000000001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13728.813559322032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76359.942559322037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381.79971279661021</v>
      </c>
    </row>
    <row r="35" spans="2:16" ht="15.75" customHeight="1" thickBot="1" x14ac:dyDescent="0.4">
      <c r="N35" s="334" t="s">
        <v>88</v>
      </c>
      <c r="O35" s="335"/>
      <c r="P35" s="297">
        <f>+P33+P34</f>
        <v>76741.742272118645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46227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510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46227</v>
      </c>
      <c r="O5" s="359"/>
      <c r="P5" s="359"/>
      <c r="R5" s="85"/>
      <c r="S5" s="266"/>
    </row>
    <row r="6" spans="1:22 16383:16384" ht="18.75" customHeight="1" x14ac:dyDescent="0.4">
      <c r="A6" s="388" t="s">
        <v>501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46227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46227</v>
      </c>
      <c r="O5" s="359"/>
      <c r="P5" s="359"/>
      <c r="R5" s="85"/>
      <c r="S5" s="266"/>
    </row>
    <row r="6" spans="1:22 16383:16384" ht="15" customHeight="1" x14ac:dyDescent="0.4">
      <c r="A6" s="388" t="s">
        <v>502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46227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46227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46227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46227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46227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46227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46227</v>
      </c>
      <c r="O5" s="359"/>
      <c r="P5" s="359"/>
      <c r="R5" s="85"/>
      <c r="S5" s="266"/>
    </row>
    <row r="6" spans="1:22 16383:16384" ht="15" customHeight="1" x14ac:dyDescent="0.4">
      <c r="A6" s="388" t="s">
        <v>503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46227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46227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46227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46227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46227</v>
      </c>
      <c r="O5" s="359"/>
      <c r="P5" s="359"/>
      <c r="R5" s="85"/>
      <c r="S5" s="266"/>
    </row>
    <row r="6" spans="1:22 16383:16384" ht="15" customHeight="1" x14ac:dyDescent="0.4">
      <c r="A6" s="388" t="s">
        <v>504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46227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46227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46227</v>
      </c>
      <c r="O5" s="359"/>
      <c r="P5" s="359"/>
      <c r="R5" s="85"/>
      <c r="S5" s="266"/>
    </row>
    <row r="6" spans="1:22 16383:16384" ht="18.75" customHeight="1" x14ac:dyDescent="0.4">
      <c r="A6" s="388" t="s">
        <v>505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46227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46227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46227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46227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46227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46227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46227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46227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46227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46227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58" t="s">
        <v>91</v>
      </c>
      <c r="B2" s="358"/>
      <c r="C2" s="358"/>
    </row>
    <row r="3" spans="1:18 16382:16383" ht="15" customHeight="1" x14ac:dyDescent="0.35">
      <c r="A3" s="359" t="s">
        <v>92</v>
      </c>
      <c r="B3" s="359"/>
      <c r="C3" s="359"/>
      <c r="F3" s="85"/>
      <c r="G3" s="1"/>
      <c r="J3" s="360" t="s">
        <v>43</v>
      </c>
      <c r="K3" s="360"/>
      <c r="L3" s="360"/>
      <c r="M3" s="359"/>
      <c r="N3" s="359"/>
      <c r="O3" s="35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59" t="s">
        <v>65</v>
      </c>
      <c r="B4" s="359"/>
      <c r="C4" s="359"/>
      <c r="F4" s="85"/>
      <c r="G4" s="1"/>
      <c r="J4" s="360" t="s">
        <v>44</v>
      </c>
      <c r="K4" s="360"/>
      <c r="L4" s="360"/>
      <c r="M4" s="390">
        <f ca="1">TODAY()+1</f>
        <v>46228</v>
      </c>
      <c r="N4" s="390"/>
      <c r="O4" s="39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7" t="s">
        <v>93</v>
      </c>
      <c r="B5" s="387"/>
      <c r="C5" s="387"/>
      <c r="F5" s="85"/>
      <c r="G5" s="1"/>
      <c r="J5" s="360" t="s">
        <v>45</v>
      </c>
      <c r="K5" s="360"/>
      <c r="L5" s="360"/>
      <c r="M5" s="390">
        <f ca="1">M4-1</f>
        <v>46227</v>
      </c>
      <c r="N5" s="359"/>
      <c r="O5" s="359"/>
      <c r="Q5" s="85"/>
      <c r="R5" s="1"/>
    </row>
    <row r="6" spans="1:18 16382:16383" ht="15" customHeight="1" x14ac:dyDescent="0.35">
      <c r="A6" s="360" t="s">
        <v>94</v>
      </c>
      <c r="B6" s="360"/>
      <c r="C6" s="360"/>
      <c r="F6" s="85"/>
      <c r="G6" s="86"/>
      <c r="J6" s="360" t="s">
        <v>69</v>
      </c>
      <c r="K6" s="360"/>
      <c r="L6" s="360"/>
      <c r="M6" s="389" t="s">
        <v>62</v>
      </c>
      <c r="N6" s="389"/>
      <c r="O6" s="38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0" t="s">
        <v>73</v>
      </c>
      <c r="B7" s="360"/>
      <c r="C7" s="360"/>
      <c r="F7" s="85"/>
      <c r="G7" s="86"/>
      <c r="J7" s="360" t="s">
        <v>66</v>
      </c>
      <c r="K7" s="360"/>
      <c r="L7" s="360"/>
      <c r="M7" s="389" t="s">
        <v>70</v>
      </c>
      <c r="N7" s="389"/>
      <c r="O7" s="38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6" t="s">
        <v>95</v>
      </c>
      <c r="B8" s="386"/>
      <c r="C8" s="386"/>
      <c r="F8" s="85"/>
      <c r="G8" s="86"/>
      <c r="J8" s="360" t="s">
        <v>67</v>
      </c>
      <c r="K8" s="360"/>
      <c r="L8" s="360"/>
      <c r="M8" s="389" t="s">
        <v>71</v>
      </c>
      <c r="N8" s="389"/>
      <c r="O8" s="389"/>
      <c r="Q8" s="85"/>
      <c r="R8" s="86"/>
    </row>
    <row r="9" spans="1:18 16382:16383" x14ac:dyDescent="0.35">
      <c r="A9" s="386" t="s">
        <v>96</v>
      </c>
      <c r="B9" s="386"/>
      <c r="C9" s="386"/>
      <c r="F9" s="85"/>
      <c r="G9" s="86"/>
      <c r="J9" s="360" t="s">
        <v>68</v>
      </c>
      <c r="K9" s="360"/>
      <c r="L9" s="360"/>
      <c r="M9" s="389" t="s">
        <v>104</v>
      </c>
      <c r="N9" s="389"/>
      <c r="O9" s="389"/>
      <c r="Q9" s="85"/>
      <c r="R9" s="86"/>
      <c r="XFC9" t="s">
        <v>49</v>
      </c>
    </row>
    <row r="10" spans="1:18 16382:16383" x14ac:dyDescent="0.35">
      <c r="A10" s="386" t="s">
        <v>97</v>
      </c>
      <c r="B10" s="386"/>
      <c r="C10" s="386"/>
      <c r="F10" s="85"/>
      <c r="G10" s="1"/>
      <c r="J10" s="360" t="s">
        <v>46</v>
      </c>
      <c r="K10" s="360"/>
      <c r="L10" s="360"/>
      <c r="M10" s="359" t="s">
        <v>47</v>
      </c>
      <c r="N10" s="359"/>
      <c r="O10" s="35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0" t="s">
        <v>48</v>
      </c>
      <c r="K11" s="360"/>
      <c r="L11" s="360"/>
      <c r="M11" s="359" t="s">
        <v>49</v>
      </c>
      <c r="N11" s="359"/>
      <c r="O11" s="35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0" t="s">
        <v>50</v>
      </c>
      <c r="K12" s="360"/>
      <c r="L12" s="360"/>
      <c r="M12" s="359"/>
      <c r="N12" s="359"/>
      <c r="O12" s="35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79" t="s">
        <v>51</v>
      </c>
      <c r="B14" s="351"/>
      <c r="C14" s="381" t="s">
        <v>90</v>
      </c>
      <c r="D14" s="88" t="s">
        <v>52</v>
      </c>
      <c r="E14" s="95" t="s">
        <v>74</v>
      </c>
      <c r="F14" s="115" t="s">
        <v>53</v>
      </c>
      <c r="G14" s="355" t="s">
        <v>54</v>
      </c>
      <c r="H14" s="357"/>
      <c r="I14" s="385" t="s">
        <v>77</v>
      </c>
      <c r="J14" s="356" t="s">
        <v>55</v>
      </c>
      <c r="K14" s="357"/>
      <c r="L14" s="38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0"/>
      <c r="B15" s="352"/>
      <c r="C15" s="38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6"/>
      <c r="M28" s="373" t="s">
        <v>60</v>
      </c>
      <c r="N28" s="374"/>
      <c r="O28" s="139">
        <f>I25</f>
        <v>1452.8</v>
      </c>
    </row>
    <row r="29" spans="1:18 16383:16383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9"/>
      <c r="M29" s="375" t="s">
        <v>85</v>
      </c>
      <c r="N29" s="376"/>
      <c r="O29" s="140">
        <f>K25</f>
        <v>0</v>
      </c>
    </row>
    <row r="30" spans="1:18 16383:16383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9"/>
      <c r="M30" s="375" t="s">
        <v>86</v>
      </c>
      <c r="N30" s="376"/>
      <c r="O30" s="140">
        <f>J25</f>
        <v>50.848000000000006</v>
      </c>
    </row>
    <row r="31" spans="1:18 16383:16383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9"/>
      <c r="L31" s="131"/>
      <c r="M31" s="375" t="s">
        <v>87</v>
      </c>
      <c r="N31" s="376"/>
      <c r="O31" s="140">
        <f>O28-O29-O30</f>
        <v>1401.952</v>
      </c>
    </row>
    <row r="32" spans="1:18 16383:16383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9"/>
      <c r="L33" s="131"/>
      <c r="M33" s="377" t="s">
        <v>76</v>
      </c>
      <c r="N33" s="378"/>
      <c r="O33" s="140">
        <f>O31+O32</f>
        <v>1710.3814400000001</v>
      </c>
    </row>
    <row r="34" spans="2:15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34" t="s">
        <v>88</v>
      </c>
      <c r="N35" s="335"/>
      <c r="O35" s="141">
        <f>O28-O29+O31+O34</f>
        <v>2897.511536</v>
      </c>
    </row>
    <row r="36" spans="2:15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6" t="s">
        <v>438</v>
      </c>
      <c r="D1" s="393" t="s">
        <v>439</v>
      </c>
      <c r="E1" s="326" t="s">
        <v>58</v>
      </c>
      <c r="F1" s="326"/>
      <c r="G1" s="327" t="s">
        <v>440</v>
      </c>
      <c r="H1" s="327"/>
      <c r="I1" s="400" t="s">
        <v>441</v>
      </c>
      <c r="J1" s="400"/>
      <c r="K1" s="400" t="s">
        <v>442</v>
      </c>
      <c r="L1" s="400"/>
      <c r="M1" s="395" t="s">
        <v>484</v>
      </c>
      <c r="N1" s="396"/>
      <c r="O1" s="397"/>
    </row>
    <row r="2" spans="3:24" ht="29" x14ac:dyDescent="0.35">
      <c r="C2" s="326"/>
      <c r="D2" s="39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8" t="s">
        <v>476</v>
      </c>
      <c r="D6" s="398"/>
      <c r="E6" s="398"/>
      <c r="F6" s="398"/>
      <c r="G6" s="398"/>
      <c r="T6" s="257" t="s">
        <v>487</v>
      </c>
      <c r="U6" s="257" t="s">
        <v>488</v>
      </c>
    </row>
    <row r="7" spans="3:24" ht="14.5" customHeight="1" x14ac:dyDescent="0.35">
      <c r="C7" s="321" t="s">
        <v>438</v>
      </c>
      <c r="D7" s="325" t="s">
        <v>439</v>
      </c>
      <c r="E7" s="394" t="s">
        <v>58</v>
      </c>
      <c r="F7" s="394"/>
      <c r="G7" s="392" t="s">
        <v>440</v>
      </c>
      <c r="H7" s="327"/>
      <c r="I7" s="328" t="s">
        <v>441</v>
      </c>
      <c r="J7" s="329"/>
      <c r="K7" s="328" t="s">
        <v>442</v>
      </c>
      <c r="L7" s="329"/>
      <c r="M7" s="395" t="s">
        <v>484</v>
      </c>
      <c r="N7" s="396"/>
      <c r="O7" s="397"/>
      <c r="P7" s="256" t="s">
        <v>475</v>
      </c>
      <c r="Q7" s="242" t="s">
        <v>473</v>
      </c>
      <c r="R7" s="393" t="s">
        <v>475</v>
      </c>
      <c r="S7" s="393" t="s">
        <v>485</v>
      </c>
      <c r="T7" s="391" t="s">
        <v>486</v>
      </c>
      <c r="U7" s="391" t="s">
        <v>486</v>
      </c>
    </row>
    <row r="8" spans="3:24" ht="15" customHeight="1" thickBot="1" x14ac:dyDescent="0.4">
      <c r="C8" s="323"/>
      <c r="D8" s="32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3"/>
      <c r="S8" s="393"/>
      <c r="T8" s="392"/>
      <c r="U8" s="39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9" t="s">
        <v>477</v>
      </c>
      <c r="D12" s="399"/>
      <c r="E12" s="399"/>
      <c r="F12" s="399"/>
      <c r="G12" s="399"/>
    </row>
    <row r="13" spans="3:24" x14ac:dyDescent="0.35">
      <c r="C13" s="322" t="s">
        <v>438</v>
      </c>
      <c r="D13" s="324" t="s">
        <v>439</v>
      </c>
      <c r="E13" s="326" t="s">
        <v>58</v>
      </c>
      <c r="F13" s="326"/>
      <c r="G13" s="327" t="s">
        <v>440</v>
      </c>
      <c r="H13" s="327"/>
      <c r="I13" s="328" t="s">
        <v>441</v>
      </c>
      <c r="J13" s="329"/>
      <c r="K13" s="328" t="s">
        <v>442</v>
      </c>
      <c r="L13" s="329"/>
      <c r="M13" s="395" t="s">
        <v>484</v>
      </c>
      <c r="N13" s="396"/>
      <c r="O13" s="397"/>
      <c r="P13" s="256" t="s">
        <v>475</v>
      </c>
      <c r="Q13" s="242" t="s">
        <v>473</v>
      </c>
      <c r="R13" s="393" t="s">
        <v>475</v>
      </c>
      <c r="S13" s="393" t="s">
        <v>485</v>
      </c>
      <c r="T13" s="391" t="s">
        <v>486</v>
      </c>
      <c r="U13" s="391" t="s">
        <v>486</v>
      </c>
    </row>
    <row r="14" spans="3:24" ht="29.5" thickBot="1" x14ac:dyDescent="0.4">
      <c r="C14" s="323"/>
      <c r="D14" s="32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3"/>
      <c r="S14" s="393"/>
      <c r="T14" s="392"/>
      <c r="U14" s="39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8" t="s">
        <v>478</v>
      </c>
      <c r="D19" s="398"/>
      <c r="E19" s="398"/>
      <c r="F19" s="398"/>
      <c r="G19" s="398"/>
    </row>
    <row r="20" spans="3:21" x14ac:dyDescent="0.35">
      <c r="C20" s="322" t="s">
        <v>438</v>
      </c>
      <c r="D20" s="324" t="s">
        <v>439</v>
      </c>
      <c r="E20" s="326" t="s">
        <v>58</v>
      </c>
      <c r="F20" s="326"/>
      <c r="G20" s="327" t="s">
        <v>440</v>
      </c>
      <c r="H20" s="327"/>
      <c r="I20" s="328" t="s">
        <v>441</v>
      </c>
      <c r="J20" s="329"/>
      <c r="K20" s="328" t="s">
        <v>442</v>
      </c>
      <c r="L20" s="329"/>
      <c r="M20" s="395" t="s">
        <v>484</v>
      </c>
      <c r="N20" s="396"/>
      <c r="O20" s="397"/>
      <c r="P20" s="256" t="s">
        <v>475</v>
      </c>
      <c r="Q20" s="242" t="s">
        <v>473</v>
      </c>
      <c r="R20" s="393" t="s">
        <v>475</v>
      </c>
      <c r="S20" s="393" t="s">
        <v>485</v>
      </c>
      <c r="T20" s="391" t="s">
        <v>486</v>
      </c>
      <c r="U20" s="391" t="s">
        <v>486</v>
      </c>
    </row>
    <row r="21" spans="3:21" ht="29.5" thickBot="1" x14ac:dyDescent="0.4">
      <c r="C21" s="323"/>
      <c r="D21" s="32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3"/>
      <c r="S21" s="393"/>
      <c r="T21" s="392"/>
      <c r="U21" s="39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8" t="s">
        <v>479</v>
      </c>
      <c r="D26" s="398"/>
      <c r="E26" s="398"/>
      <c r="F26" s="398"/>
      <c r="G26" s="398"/>
    </row>
    <row r="27" spans="3:21" x14ac:dyDescent="0.35">
      <c r="C27" s="322" t="s">
        <v>438</v>
      </c>
      <c r="D27" s="324" t="s">
        <v>439</v>
      </c>
      <c r="E27" s="326" t="s">
        <v>58</v>
      </c>
      <c r="F27" s="326"/>
      <c r="G27" s="327" t="s">
        <v>440</v>
      </c>
      <c r="H27" s="327"/>
      <c r="I27" s="328" t="s">
        <v>441</v>
      </c>
      <c r="J27" s="329"/>
      <c r="K27" s="328" t="s">
        <v>442</v>
      </c>
      <c r="L27" s="329"/>
      <c r="M27" s="395" t="s">
        <v>484</v>
      </c>
      <c r="N27" s="396"/>
      <c r="O27" s="397"/>
      <c r="P27" s="256" t="s">
        <v>475</v>
      </c>
      <c r="Q27" s="242" t="s">
        <v>473</v>
      </c>
      <c r="R27" s="393" t="s">
        <v>475</v>
      </c>
      <c r="S27" s="393" t="s">
        <v>485</v>
      </c>
      <c r="T27" s="391" t="s">
        <v>486</v>
      </c>
      <c r="U27" s="391" t="s">
        <v>486</v>
      </c>
    </row>
    <row r="28" spans="3:21" ht="29.5" thickBot="1" x14ac:dyDescent="0.4">
      <c r="C28" s="323"/>
      <c r="D28" s="32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3"/>
      <c r="S28" s="393"/>
      <c r="T28" s="392"/>
      <c r="U28" s="39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6" t="s">
        <v>438</v>
      </c>
      <c r="C1" s="393" t="s">
        <v>439</v>
      </c>
      <c r="D1" s="326" t="s">
        <v>58</v>
      </c>
      <c r="E1" s="326"/>
      <c r="F1" s="327" t="s">
        <v>440</v>
      </c>
      <c r="G1" s="327"/>
      <c r="H1" s="400" t="s">
        <v>441</v>
      </c>
      <c r="I1" s="400"/>
      <c r="J1" s="400" t="s">
        <v>442</v>
      </c>
      <c r="K1" s="400"/>
      <c r="L1" s="395" t="s">
        <v>484</v>
      </c>
      <c r="M1" s="396"/>
      <c r="N1" s="397"/>
    </row>
    <row r="2" spans="2:17" ht="29" x14ac:dyDescent="0.35">
      <c r="B2" s="326"/>
      <c r="C2" s="39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2"/>
      <c r="G60" s="160" t="s">
        <v>195</v>
      </c>
      <c r="H60" s="161" t="s">
        <v>100</v>
      </c>
    </row>
    <row r="61" spans="5:8" x14ac:dyDescent="0.35">
      <c r="E61" s="159" t="s">
        <v>192</v>
      </c>
      <c r="F61" s="402"/>
      <c r="G61" s="160" t="s">
        <v>196</v>
      </c>
      <c r="H61" s="161" t="s">
        <v>98</v>
      </c>
    </row>
    <row r="62" spans="5:8" x14ac:dyDescent="0.35">
      <c r="E62" s="159" t="s">
        <v>192</v>
      </c>
      <c r="F62" s="402"/>
      <c r="G62" s="160" t="s">
        <v>197</v>
      </c>
      <c r="H62" s="161" t="s">
        <v>101</v>
      </c>
    </row>
    <row r="63" spans="5:8" x14ac:dyDescent="0.35">
      <c r="E63" s="159" t="s">
        <v>192</v>
      </c>
      <c r="F63" s="402"/>
      <c r="G63" s="160" t="s">
        <v>198</v>
      </c>
      <c r="H63" s="161" t="s">
        <v>102</v>
      </c>
    </row>
    <row r="64" spans="5:8" x14ac:dyDescent="0.35">
      <c r="E64" s="159" t="s">
        <v>192</v>
      </c>
      <c r="F64" s="402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2"/>
      <c r="G121" s="160" t="s">
        <v>273</v>
      </c>
      <c r="H121" s="161" t="s">
        <v>98</v>
      </c>
    </row>
    <row r="122" spans="5:8" x14ac:dyDescent="0.35">
      <c r="E122" s="159" t="s">
        <v>269</v>
      </c>
      <c r="F122" s="40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2"/>
      <c r="G241" s="160" t="s">
        <v>432</v>
      </c>
      <c r="H241" s="161" t="s">
        <v>98</v>
      </c>
    </row>
    <row r="242" spans="5:8" x14ac:dyDescent="0.35">
      <c r="E242" s="159" t="s">
        <v>428</v>
      </c>
      <c r="F242" s="40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2026-07-24T12:47:07Z</dcterms:modified>
</cp:coreProperties>
</file>