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0442F7A-52B9-4D65-8225-82619A27D3B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5"/>
  <c r="L18" i="16"/>
  <c r="L21" i="16"/>
  <c r="L21" i="15" s="1"/>
  <c r="K20" i="15"/>
  <c r="L20" i="16"/>
  <c r="L20" i="15" s="1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K19" i="15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16" i="16" l="1"/>
  <c r="N16" i="16" s="1"/>
  <c r="O16" i="16" s="1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<sst xmlns="http://schemas.openxmlformats.org/spreadsheetml/2006/main" count="1599" uniqueCount="111">
  <si>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</si>
  <si>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</si>
  <si>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</si>
  <si>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</si>
  <si>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</si>
  <si>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</si>
  <si>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</si>
  <si>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</si>
  <si>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</si>
  <si>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</si>
  <si>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</si>
  <si>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</si>
  <si>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</si>
  <si>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</si>
  <si>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</si>
  <si>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</si>
  <si>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</si>
  <si>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</si>
  <si>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</si>
  <si>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</si>
  <si>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</si>
  <si>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</si>
  <si>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</si>
  <si>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</si>
  <si>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</si>
  <si>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</si>
  <si>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</si>
  <si>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</si>
  <si>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</si>
  <si>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</si>
  <si>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</si>
  <si>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</si>
  <si>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</si>
  <si>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</si>
  <si>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</si>
  <si>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</si>
  <si>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</si>
  <si>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</si>
  <si>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</si>
  <si>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</si>
  <si>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</si>
  <si>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</si>
  <si>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</si>
  <si>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</si>
  <si>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</si>
  <si>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</si>
  <si>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</si>
  <si>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</si>
  <si>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</si>
  <si>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</si>
  <si>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</si>
  <si>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</si>
  <si>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</si>
  <si>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</si>
  <si>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</si>
  <si>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</si>
  <si>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</si>
  <si>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</si>
  <si>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</si>
  <si>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</si>
  <si>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</si>
  <si>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</si>
  <si>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</si>
  <si>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</si>
  <si>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</si>
  <si>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</si>
  <si>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</si>
  <si>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</si>
  <si>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</si>
  <si>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</si>
  <si>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</si>
  <si>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</si>
  <si>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</si>
  <si>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</si>
  <si>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</si>
  <si>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</si>
  <si>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</si>
  <si>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</si>
  <si>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</si>
  <si>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</si>
  <si>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</si>
  <si>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</si>
  <si>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</si>
  <si>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</si>
  <si>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</si>
  <si>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</si>
  <si>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</si>
  <si>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</si>
  <si>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</si>
  <si>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</si>
  <si>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</si>
  <si>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</si>
  <si>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</si>
  <si>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</si>
  <si>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</si>
  <si>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</si>
  <si>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</si>
  <si>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</si>
  <si>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</si>
  <si>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</si>
  <si>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</si>
  <si>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</si>
  <si>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</si>
  <si>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</si>
  <si>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</si>
  <si>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</si>
  <si>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</si>
  <si>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</si>
  <si>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</si>
  <si>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Customer Name : Jalal Sons  (Bahria Orchard)</t>
  </si>
  <si>
    <t>Address: Bahria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</si>
</sst>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43" t="s">
        <v>108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21 16383:16384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t="16.5" customHeight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102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27770.882032199999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8"/>
      <c r="J15" s="169" t="s">
        <v>78</v>
      </c>
      <c r="K15" s="169" t="s">
        <v>79</v>
      </c>
      <c r="L15" s="172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(Bahria Orchard)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146.89500000000001</v>
      </c>
      <c r="L16" s="173">
        <f>+'1'!L16+'2'!L16+'4'!L16+'3'!L16+'5'!L16+'6'!L16+'7'!L16+'8'!L16+'9'!L16+'10'!L16</f>
        <v>629.54999999999995</v>
      </c>
      <c r="M16" s="105">
        <f>I16-K16-L16</f>
        <v>3420.5550000000003</v>
      </c>
      <c r="N16" s="100">
        <f>+'1'!N16+'2'!N16+'4'!N16+'3'!N16+'5'!N16+'6'!N16+'7'!N16+'8'!N16+'9'!N16+'10'!N16</f>
        <v>615.69990000000007</v>
      </c>
      <c r="O16" s="100">
        <f>+'1'!O16+'2'!O16+'4'!O16+'3'!O16+'5'!O16+'6'!O16+'7'!O16+'8'!O16+'9'!O16+'10'!O16</f>
        <v>20.181274500000001</v>
      </c>
      <c r="P16" s="104">
        <f t="shared" ref="P16:P24" si="0">M16+N16+O16</f>
        <v>4056.4361745000006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146.89500000000001</v>
      </c>
      <c r="L17" s="173">
        <f>+'1'!L17+'2'!L17+'4'!L17+'3'!L17+'5'!L17+'6'!L17+'7'!L17+'8'!L17+'9'!L17+'10'!L17</f>
        <v>629.54999999999995</v>
      </c>
      <c r="M17" s="117">
        <f t="shared" ref="M17:M23" si="2">I17-K17-L17</f>
        <v>3420.5550000000003</v>
      </c>
      <c r="N17" s="100">
        <f>+'1'!N17+'2'!N17+'4'!N17+'3'!N17+'5'!N17+'6'!N17+'7'!N17+'8'!N17+'9'!N17+'10'!N17</f>
        <v>615.69990000000007</v>
      </c>
      <c r="O17" s="100">
        <f>+'1'!O17+'2'!O17+'4'!O17+'3'!O17+'5'!O17+'6'!O17+'7'!O17+'8'!O17+'9'!O17+'10'!O17</f>
        <v>20.181274500000001</v>
      </c>
      <c r="P17" s="119">
        <f t="shared" si="0"/>
        <v>4056.4361745000006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203.39200000000002</v>
      </c>
      <c r="L19" s="173">
        <f>+'1'!L19+'2'!L19+'4'!L19+'3'!L19+'5'!L19+'6'!L19+'7'!L19+'8'!L19+'9'!L19+'10'!L19</f>
        <v>871.68</v>
      </c>
      <c r="M19" s="117">
        <f t="shared" si="2"/>
        <v>4736.1279999999997</v>
      </c>
      <c r="N19" s="100">
        <f>+'1'!N19+'2'!N19+'4'!N19+'3'!N19+'5'!N19+'6'!N19+'7'!N19+'8'!N19+'9'!N19+'10'!N19</f>
        <v>852.50303999999994</v>
      </c>
      <c r="O19" s="100">
        <f>+'1'!O19+'2'!O19+'4'!O19+'3'!O19+'5'!O19+'6'!O19+'7'!O19+'8'!O19+'9'!O19+'10'!O19</f>
        <v>27.943155199999996</v>
      </c>
      <c r="P19" s="119">
        <f t="shared" si="0"/>
        <v>5616.5741951999989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203.39200000000002</v>
      </c>
      <c r="L20" s="173">
        <f>+'1'!L20+'2'!L20+'4'!L20+'3'!L20+'5'!L20+'6'!L20+'7'!L20+'8'!L20+'9'!L20+'10'!L20</f>
        <v>871.68</v>
      </c>
      <c r="M20" s="117">
        <f t="shared" si="2"/>
        <v>4736.1279999999997</v>
      </c>
      <c r="N20" s="100">
        <f>+'1'!N20+'2'!N20+'4'!N20+'3'!N20+'5'!N20+'6'!N20+'7'!N20+'8'!N20+'9'!N20+'10'!N20</f>
        <v>852.50303999999994</v>
      </c>
      <c r="O20" s="100">
        <f>+'1'!O20+'2'!O20+'4'!O20+'3'!O20+'5'!O20+'6'!O20+'7'!O20+'8'!O20+'9'!O20+'10'!O20</f>
        <v>27.943155199999996</v>
      </c>
      <c r="P20" s="119">
        <f t="shared" si="0"/>
        <v>5616.5741951999989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305.08800000000002</v>
      </c>
      <c r="L21" s="173">
        <f>+'1'!L21+'2'!L21+'4'!L21+'3'!L21+'5'!L21+'6'!L21+'7'!L21+'8'!L21+'9'!L21+'10'!L21</f>
        <v>1307.5199999999998</v>
      </c>
      <c r="M21" s="117">
        <f t="shared" si="2"/>
        <v>7104.192</v>
      </c>
      <c r="N21" s="100">
        <f>+'1'!N21+'2'!N21+'4'!N21+'3'!N21+'5'!N21+'6'!N21+'7'!N21+'8'!N21+'9'!N21+'10'!N21</f>
        <v>1278.7545599999999</v>
      </c>
      <c r="O21" s="100">
        <f>+'1'!O21+'2'!O21+'4'!O21+'3'!O21+'5'!O21+'6'!O21+'7'!O21+'8'!O21+'9'!O21+'10'!O21</f>
        <v>41.914732800000003</v>
      </c>
      <c r="P21" s="119">
        <f t="shared" si="0"/>
        <v>8424.8612928000002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11</v>
      </c>
      <c r="D25" s="204"/>
      <c r="E25" s="204"/>
      <c r="F25" s="204"/>
      <c r="G25" s="174">
        <f t="shared" ref="G25:M25" si="3">SUM(G16:G24)</f>
        <v>0</v>
      </c>
      <c r="H25" s="175">
        <f t="shared" si="3"/>
        <v>440</v>
      </c>
      <c r="I25" s="176">
        <f t="shared" si="3"/>
        <v>28733.200000000001</v>
      </c>
      <c r="J25" s="175">
        <f t="shared" si="3"/>
        <v>0</v>
      </c>
      <c r="K25" s="176">
        <f t="shared" si="3"/>
        <v>1005.662</v>
      </c>
      <c r="L25" s="177">
        <f t="shared" si="3"/>
        <v>4309.9799999999996</v>
      </c>
      <c r="M25" s="140">
        <f t="shared" si="3"/>
        <v>23417.558000000001</v>
      </c>
      <c r="N25" s="141">
        <f>SUM(N16:N24)</f>
        <v>4215.1604399999997</v>
      </c>
      <c r="O25" s="142">
        <f>SUM(O16:O24)</f>
        <v>138.16359219999998</v>
      </c>
      <c r="P25" s="143">
        <f>SUM(P16:P24)</f>
        <v>27770.882032199999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27770.882032199999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28733.200000000001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4309.9799999999996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1005.662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23417.558000000001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4215.1604399999997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27632.718440000001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690.81796100000008</v>
      </c>
    </row>
    <row r="39" spans="2:16" ht="15.75" customHeight="1" thickBot="1" x14ac:dyDescent="0.4">
      <c r="N39" s="202" t="s">
        <v>92</v>
      </c>
      <c r="O39" s="203"/>
      <c r="P39" s="159">
        <f>P37+P38</f>
        <v>28323.536401000001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107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I16*15%</f>
        <v>629.54999999999995</v>
      </c>
      <c r="M16" s="105">
        <f>I16-K16-L16</f>
        <v>3420.5550000000003</v>
      </c>
      <c r="N16" s="105">
        <f t="shared" ref="N16:N24" si="0">(M16*$N$15)+(J16*F16)*$N$15</f>
        <v>615.69990000000007</v>
      </c>
      <c r="O16" s="106">
        <f t="shared" ref="O16:O24" si="1">(N16+M16)*$O$15</f>
        <v>20.181274500000001</v>
      </c>
      <c r="P16" s="104">
        <f t="shared" ref="P16:P24" si="2">M16+N16+O16</f>
        <v>4056.4361745000006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1" si="4">I17*3.5%</f>
        <v>146.89500000000001</v>
      </c>
      <c r="L17" s="104">
        <f t="shared" ref="L17:L21" si="5">I17*15%</f>
        <v>629.54999999999995</v>
      </c>
      <c r="M17" s="117">
        <f t="shared" ref="M17:M23" si="6">I17-K17-L17</f>
        <v>3420.5550000000003</v>
      </c>
      <c r="N17" s="117">
        <f t="shared" si="0"/>
        <v>615.69990000000007</v>
      </c>
      <c r="O17" s="118">
        <f t="shared" si="1"/>
        <v>20.181274500000001</v>
      </c>
      <c r="P17" s="119">
        <f t="shared" si="2"/>
        <v>4056.4361745000006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871.68</v>
      </c>
      <c r="M19" s="117">
        <f t="shared" si="6"/>
        <v>4736.1279999999997</v>
      </c>
      <c r="N19" s="117">
        <f t="shared" si="0"/>
        <v>852.50303999999994</v>
      </c>
      <c r="O19" s="118">
        <f t="shared" si="1"/>
        <v>27.943155199999996</v>
      </c>
      <c r="P19" s="119">
        <f t="shared" si="2"/>
        <v>5616.5741951999989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871.68</v>
      </c>
      <c r="M20" s="117">
        <f t="shared" si="6"/>
        <v>4736.1279999999997</v>
      </c>
      <c r="N20" s="117">
        <f t="shared" si="0"/>
        <v>852.50303999999994</v>
      </c>
      <c r="O20" s="118">
        <f t="shared" si="1"/>
        <v>27.943155199999996</v>
      </c>
      <c r="P20" s="119">
        <f t="shared" si="2"/>
        <v>5616.5741951999989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1307.5199999999998</v>
      </c>
      <c r="M21" s="117">
        <f t="shared" si="6"/>
        <v>7104.192</v>
      </c>
      <c r="N21" s="117">
        <f t="shared" si="0"/>
        <v>1278.7545599999999</v>
      </c>
      <c r="O21" s="118">
        <f t="shared" si="1"/>
        <v>41.914732800000003</v>
      </c>
      <c r="P21" s="119">
        <f t="shared" si="2"/>
        <v>8424.8612928000002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440</v>
      </c>
      <c r="I25" s="136">
        <f t="shared" si="9"/>
        <v>28733.200000000001</v>
      </c>
      <c r="J25" s="137"/>
      <c r="K25" s="138">
        <f t="shared" si="9"/>
        <v>1005.662</v>
      </c>
      <c r="L25" s="139">
        <f t="shared" si="9"/>
        <v>4309.9799999999996</v>
      </c>
      <c r="M25" s="140">
        <f t="shared" si="9"/>
        <v>23417.558000000001</v>
      </c>
      <c r="N25" s="141">
        <f>SUM(N16:N24)</f>
        <v>4215.1604399999997</v>
      </c>
      <c r="O25" s="142">
        <f>SUM(O16:O24)</f>
        <v>138.16359219999998</v>
      </c>
      <c r="P25" s="143">
        <f>SUM(P16:P24)</f>
        <v>27770.882032199999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28733.200000000001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4309.9799999999996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1005.662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23417.558000000001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4215.1604399999997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27632.718440000001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138.16359220000001</v>
      </c>
    </row>
    <row r="35" spans="2:16" ht="15.75" customHeight="1" thickBot="1" x14ac:dyDescent="0.4">
      <c r="N35" s="202" t="s">
        <v>92</v>
      </c>
      <c r="O35" s="203"/>
      <c r="P35" s="159">
        <f>P33+P34</f>
        <v>27770.882032199999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4" workbookViewId="0">
      <selection activeCell="H18" sqref="H18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109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110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8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46224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46223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2026-07-21T05:53:30Z</dcterms:modified>
</cp:coreProperties>
</file>