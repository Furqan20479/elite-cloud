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9DD417A-3387-4895-B818-B6B37C02D043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8" i="16" l="1"/>
  <c r="K20" i="16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I20" i="16"/>
  <c r="I21" i="16"/>
  <c r="K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19" i="16" l="1"/>
  <c r="K19" i="16"/>
  <c r="L17" i="16"/>
  <c r="K17" i="16"/>
  <c r="L20" i="16"/>
  <c r="L21" i="16"/>
  <c r="L21" i="15" s="1"/>
  <c r="K18" i="15"/>
  <c r="L18" i="16"/>
  <c r="L18" i="15" s="1"/>
  <c r="K16" i="15"/>
  <c r="L16" i="16"/>
  <c r="K25" i="19"/>
  <c r="P30" i="19" s="1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<sst xmlns="http://schemas.openxmlformats.org/spreadsheetml/2006/main" count="1560" uniqueCount="108">
  <si>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</si>
  <si>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</si>
  <si>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</si>
  <si>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</si>
  <si>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</si>
  <si>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</si>
  <si>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</si>
  <si>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</si>
  <si>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</si>
  <si>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</si>
  <si>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</si>
  <si>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</si>
  <si>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</si>
  <si>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</si>
  <si>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</si>
  <si>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</si>
  <si>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</si>
  <si>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</si>
  <si>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</si>
  <si>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</si>
  <si>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</si>
  <si>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</si>
  <si>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</si>
  <si>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</si>
  <si>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</si>
  <si>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</si>
  <si>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</si>
  <si>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</si>
  <si>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</si>
  <si>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</si>
  <si>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</si>
  <si>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</si>
  <si>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</si>
  <si>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</si>
  <si>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</si>
  <si>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</si>
  <si>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</si>
  <si>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</si>
  <si>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</si>
  <si>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</si>
  <si>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</si>
  <si>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</si>
  <si>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</si>
  <si>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</si>
  <si>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</si>
  <si>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</si>
  <si>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</si>
  <si>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</si>
  <si>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</si>
  <si>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</si>
  <si>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</si>
  <si>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</si>
  <si>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</si>
  <si>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</si>
  <si>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</si>
  <si>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</si>
  <si>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</si>
  <si>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</si>
  <si>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</si>
  <si>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</si>
  <si>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</si>
  <si>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</si>
  <si>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</si>
  <si>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</si>
  <si>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</si>
  <si>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</si>
  <si>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</si>
  <si>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</si>
  <si>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</si>
  <si>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</si>
  <si>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</si>
  <si>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</si>
  <si>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</si>
  <si>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</si>
  <si>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</si>
  <si>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</si>
  <si>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</si>
  <si>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</si>
  <si>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</si>
  <si>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</si>
  <si>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</si>
  <si>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</si>
  <si>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</si>
  <si>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</si>
  <si>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</si>
  <si>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</si>
  <si>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</si>
  <si>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</si>
  <si>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</si>
  <si>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</si>
  <si>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</si>
  <si>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</si>
  <si>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</si>
  <si>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</si>
  <si>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</si>
  <si>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</si>
  <si>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</si>
  <si>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</si>
  <si>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</si>
  <si>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</si>
  <si>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</si>
  <si>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</si>
  <si>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</si>
  <si>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</si>
  <si>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 xml:space="preserve">Address: </t>
  </si>
  <si>
    <t>3344916-3</t>
  </si>
  <si>
    <t>Address: Behria Town</t>
  </si>
  <si>
    <t>Customer Name : Rainbow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</si>
</sst>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BT</v>
      </c>
      <c r="U14" s="163">
        <f>+'1'!P35</f>
        <v>12634.4422215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BT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293.79000000000002</v>
      </c>
      <c r="M16" s="105">
        <f>I16-K16-L16</f>
        <v>1731.2625</v>
      </c>
      <c r="N16" s="100">
        <f>+'1'!N16+'2'!N16+'4'!N16+'3'!N16+'5'!N16+'6'!N16+'7'!N16+'8'!N16+'9'!N16+'10'!N16</f>
        <v>311.62725</v>
      </c>
      <c r="O16" s="100">
        <f>+'1'!O16+'2'!O16+'4'!O16+'3'!O16+'5'!O16+'6'!O16+'7'!O16+'8'!O16+'9'!O16+'10'!O16</f>
        <v>10.214448750000001</v>
      </c>
      <c r="P16" s="104">
        <f t="shared" ref="P16:P24" si="0">M16+N16+O16</f>
        <v>2053.1041987500003</v>
      </c>
      <c r="Q16" s="107"/>
      <c r="T16" s="162" t="str">
        <f>+'4'!A5</f>
        <v>Customer Name : Rainbow BT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293.79000000000002</v>
      </c>
      <c r="M17" s="117">
        <f t="shared" ref="M17:M23" si="2">I17-K17-L17</f>
        <v>1731.2625</v>
      </c>
      <c r="N17" s="100">
        <f>+'1'!N17+'2'!N17+'4'!N17+'3'!N17+'5'!N17+'6'!N17+'7'!N17+'8'!N17+'9'!N17+'10'!N17</f>
        <v>311.62725</v>
      </c>
      <c r="O17" s="100">
        <f>+'1'!O17+'2'!O17+'4'!O17+'3'!O17+'5'!O17+'6'!O17+'7'!O17+'8'!O17+'9'!O17+'10'!O17</f>
        <v>10.214448750000001</v>
      </c>
      <c r="P17" s="119">
        <f t="shared" si="0"/>
        <v>2053.1041987500003</v>
      </c>
      <c r="S17" s="64"/>
      <c r="T17" s="162" t="str">
        <f>+'3'!A5</f>
        <v>Customer Name : Rainbow BT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BT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101.69600000000001</v>
      </c>
      <c r="L19" s="174">
        <f>+'1'!L19+'2'!L19+'4'!L19+'3'!L19+'5'!L19+'6'!L19+'7'!L19+'8'!L19+'9'!L19+'10'!L19</f>
        <v>406.78400000000005</v>
      </c>
      <c r="M19" s="117">
        <f t="shared" si="2"/>
        <v>2397.12</v>
      </c>
      <c r="N19" s="100">
        <f>+'1'!N19+'2'!N19+'4'!N19+'3'!N19+'5'!N19+'6'!N19+'7'!N19+'8'!N19+'9'!N19+'10'!N19</f>
        <v>431.48159999999996</v>
      </c>
      <c r="O19" s="100">
        <f>+'1'!O19+'2'!O19+'4'!O19+'3'!O19+'5'!O19+'6'!O19+'7'!O19+'8'!O19+'9'!O19+'10'!O19</f>
        <v>14.143008</v>
      </c>
      <c r="P19" s="119">
        <f t="shared" si="0"/>
        <v>2842.744608</v>
      </c>
      <c r="T19" s="162" t="str">
        <f>+'6'!A5</f>
        <v>Customer Name : Rainbow BT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Rainbow BT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203.39200000000002</v>
      </c>
      <c r="L21" s="174">
        <f>+'1'!L21+'2'!L21+'4'!L21+'3'!L21+'5'!L21+'6'!L21+'7'!L21+'8'!L21+'9'!L21+'10'!L21</f>
        <v>813.5680000000001</v>
      </c>
      <c r="M21" s="117">
        <f t="shared" si="2"/>
        <v>4794.24</v>
      </c>
      <c r="N21" s="100">
        <f>+'1'!N21+'2'!N21+'4'!N21+'3'!N21+'5'!N21+'6'!N21+'7'!N21+'8'!N21+'9'!N21+'10'!N21</f>
        <v>862.96319999999992</v>
      </c>
      <c r="O21" s="100">
        <f>+'1'!O21+'2'!O21+'4'!O21+'3'!O21+'5'!O21+'6'!O21+'7'!O21+'8'!O21+'9'!O21+'10'!O21</f>
        <v>28.286016</v>
      </c>
      <c r="P21" s="119">
        <f t="shared" si="0"/>
        <v>5685.4892159999999</v>
      </c>
      <c r="T21" s="162" t="str">
        <f>+'8'!A5</f>
        <v>Customer Name : Rainbow BT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BT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BT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BT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5</v>
      </c>
      <c r="D25" s="222"/>
      <c r="E25" s="222"/>
      <c r="F25" s="222"/>
      <c r="G25" s="175">
        <f t="shared" ref="G25:M25" si="3">SUM(G16:G24)</f>
        <v>0</v>
      </c>
      <c r="H25" s="176">
        <f t="shared" si="3"/>
        <v>200</v>
      </c>
      <c r="I25" s="177">
        <f t="shared" si="3"/>
        <v>12913.8</v>
      </c>
      <c r="J25" s="176">
        <f t="shared" si="3"/>
        <v>0</v>
      </c>
      <c r="K25" s="177">
        <f t="shared" si="3"/>
        <v>451.98300000000006</v>
      </c>
      <c r="L25" s="178">
        <f t="shared" si="3"/>
        <v>1807.9320000000002</v>
      </c>
      <c r="M25" s="140">
        <f t="shared" si="3"/>
        <v>10653.885</v>
      </c>
      <c r="N25" s="141">
        <f>SUM(N16:N24)</f>
        <v>1917.6993</v>
      </c>
      <c r="O25" s="142">
        <f>SUM(O16:O24)</f>
        <v>62.857921500000003</v>
      </c>
      <c r="P25" s="143">
        <f>SUM(P16:P24)</f>
        <v>12634.442221500001</v>
      </c>
      <c r="T25" s="162" t="str">
        <f>+'12'!A5</f>
        <v>Customer Name : Rainbow BT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BT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BT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BT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BT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BT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BT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12634.4422215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12913.8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1807.9320000000002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451.98300000000006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10653.884999999998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1917.6993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12571.584299999999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314.28960749999999</v>
      </c>
    </row>
    <row r="42" spans="1:21" ht="15.75" customHeight="1" thickBot="1" x14ac:dyDescent="0.4">
      <c r="N42" s="220" t="s">
        <v>92</v>
      </c>
      <c r="O42" s="221"/>
      <c r="P42" s="159">
        <f>P40+P41</f>
        <v>12885.873907499999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8" workbookViewId="0">
      <selection activeCell="I26" sqref="I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I16*3.5%</f>
        <v>73.447500000000005</v>
      </c>
      <c r="L16" s="104">
        <f>I16*14%</f>
        <v>293.79000000000002</v>
      </c>
      <c r="M16" s="105">
        <f>I16-K16-L16</f>
        <v>1731.2625</v>
      </c>
      <c r="N16" s="105">
        <f t="shared" ref="N16:N24" si="0">(M16*$N$15)+(J16*F16)*$N$15</f>
        <v>311.62725</v>
      </c>
      <c r="O16" s="106">
        <f t="shared" ref="O16:O24" si="1">(N16+M16)*$O$15</f>
        <v>10.214448750000001</v>
      </c>
      <c r="P16" s="104">
        <f t="shared" ref="P16:P24" si="2">M16+N16+O16</f>
        <v>2053.1041987500003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03">
        <f t="shared" ref="K17:K21" si="4">I17*3.5%</f>
        <v>73.447500000000005</v>
      </c>
      <c r="L17" s="104">
        <f t="shared" ref="L17:L21" si="5">I17*14%</f>
        <v>293.79000000000002</v>
      </c>
      <c r="M17" s="117">
        <f t="shared" ref="M17:M23" si="6">I17-K17-L17</f>
        <v>1731.2625</v>
      </c>
      <c r="N17" s="117">
        <f t="shared" si="0"/>
        <v>311.62725</v>
      </c>
      <c r="O17" s="118">
        <f t="shared" si="1"/>
        <v>10.214448750000001</v>
      </c>
      <c r="P17" s="119">
        <f t="shared" si="2"/>
        <v>2053.1041987500003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03">
        <f t="shared" si="4"/>
        <v>101.69600000000001</v>
      </c>
      <c r="L19" s="104">
        <f t="shared" si="5"/>
        <v>406.78400000000005</v>
      </c>
      <c r="M19" s="117">
        <f t="shared" si="6"/>
        <v>2397.12</v>
      </c>
      <c r="N19" s="117">
        <f t="shared" si="0"/>
        <v>431.48159999999996</v>
      </c>
      <c r="O19" s="118">
        <f t="shared" si="1"/>
        <v>14.143008</v>
      </c>
      <c r="P19" s="119">
        <f t="shared" si="2"/>
        <v>2842.744608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03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03">
        <f t="shared" si="4"/>
        <v>203.39200000000002</v>
      </c>
      <c r="L21" s="104">
        <f t="shared" si="5"/>
        <v>813.5680000000001</v>
      </c>
      <c r="M21" s="117">
        <f t="shared" si="6"/>
        <v>4794.24</v>
      </c>
      <c r="N21" s="117">
        <f t="shared" si="0"/>
        <v>862.96319999999992</v>
      </c>
      <c r="O21" s="118">
        <f t="shared" si="1"/>
        <v>28.286016</v>
      </c>
      <c r="P21" s="119">
        <f t="shared" si="2"/>
        <v>5685.4892159999999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</v>
      </c>
      <c r="J25" s="182">
        <f>SUM(J16:J21)</f>
        <v>0</v>
      </c>
      <c r="K25" s="138">
        <f t="shared" si="9"/>
        <v>451.98300000000006</v>
      </c>
      <c r="L25" s="139">
        <f t="shared" si="9"/>
        <v>1807.9320000000002</v>
      </c>
      <c r="M25" s="140">
        <f t="shared" si="9"/>
        <v>10653.885</v>
      </c>
      <c r="N25" s="141">
        <f>SUM(N16:N24)</f>
        <v>1917.6993</v>
      </c>
      <c r="O25" s="142">
        <f>SUM(O16:O24)</f>
        <v>62.857921500000003</v>
      </c>
      <c r="P25" s="143">
        <f>SUM(P16:P24)</f>
        <v>12634.442221500001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12913.8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1807.9320000000002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451.98300000000006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10653.884999999998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1917.6993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12571.584299999999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62.857921499999996</v>
      </c>
    </row>
    <row r="35" spans="2:16" ht="15.75" customHeight="1" thickBot="1" x14ac:dyDescent="0.4">
      <c r="N35" s="220" t="s">
        <v>92</v>
      </c>
      <c r="O35" s="221"/>
      <c r="P35" s="159">
        <f>P33+P34</f>
        <v>12634.4422215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2026-07-18T05:31:57Z</dcterms:modified>
</cp:coreProperties>
</file>