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69992E8-1B00-4892-8CEB-025604CFB16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8" i="17" l="1"/>
  <c r="L18" i="19"/>
  <c r="L18" i="18"/>
  <c r="L18" i="20"/>
  <c r="L18" i="21"/>
  <c r="L18" i="22"/>
  <c r="L18" i="23"/>
  <c r="L18" i="24"/>
  <c r="L18" i="25"/>
  <c r="L18" i="26"/>
  <c r="L18" i="27"/>
  <c r="L18" i="28"/>
  <c r="L18" i="29"/>
  <c r="L18" i="30"/>
  <c r="L18" i="31"/>
  <c r="L18" i="32"/>
  <c r="L18" i="33"/>
  <c r="L18" i="34"/>
  <c r="L18" i="35"/>
  <c r="L18" i="16"/>
  <c r="K18" i="17"/>
  <c r="K18" i="19"/>
  <c r="K18" i="18"/>
  <c r="K18" i="20"/>
  <c r="K18" i="21"/>
  <c r="K18" i="22"/>
  <c r="K18" i="23"/>
  <c r="K18" i="24"/>
  <c r="K18" i="25"/>
  <c r="K18" i="26"/>
  <c r="K18" i="27"/>
  <c r="K18" i="28"/>
  <c r="K18" i="29"/>
  <c r="K18" i="30"/>
  <c r="K18" i="31"/>
  <c r="K18" i="32"/>
  <c r="K18" i="33"/>
  <c r="K18" i="34"/>
  <c r="K18" i="35"/>
  <c r="K18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0" i="35" l="1"/>
  <c r="K20" i="35"/>
  <c r="L19" i="35"/>
  <c r="K19" i="35"/>
  <c r="L21" i="33"/>
  <c r="K21" i="33"/>
  <c r="L21" i="35"/>
  <c r="K21" i="35"/>
  <c r="L17" i="35"/>
  <c r="K17" i="35"/>
  <c r="L17" i="33"/>
  <c r="K17" i="33"/>
  <c r="M17" i="33" s="1"/>
  <c r="K16" i="35"/>
  <c r="L16" i="35"/>
  <c r="K22" i="35"/>
  <c r="L22" i="35"/>
  <c r="I16" i="28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K24" i="32"/>
  <c r="L24" i="32"/>
  <c r="K23" i="32"/>
  <c r="L23" i="32"/>
  <c r="M23" i="32" s="1"/>
  <c r="K24" i="31"/>
  <c r="L24" i="31"/>
  <c r="L23" i="31"/>
  <c r="L23" i="30"/>
  <c r="K24" i="30"/>
  <c r="L24" i="30"/>
  <c r="K24" i="29"/>
  <c r="M24" i="29" s="1"/>
  <c r="L24" i="29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32" l="1"/>
  <c r="L20" i="32"/>
  <c r="K20" i="27"/>
  <c r="L20" i="27"/>
  <c r="K20" i="29"/>
  <c r="L20" i="29"/>
  <c r="L20" i="31"/>
  <c r="K20" i="31"/>
  <c r="L20" i="30"/>
  <c r="K20" i="30"/>
  <c r="L20" i="28"/>
  <c r="K20" i="28"/>
  <c r="L20" i="34"/>
  <c r="K20" i="34"/>
  <c r="K20" i="33"/>
  <c r="L20" i="33"/>
  <c r="M20" i="33" s="1"/>
  <c r="N20" i="33" s="1"/>
  <c r="O20" i="33" s="1"/>
  <c r="L19" i="27"/>
  <c r="K19" i="27"/>
  <c r="L19" i="32"/>
  <c r="K19" i="32"/>
  <c r="L19" i="29"/>
  <c r="K19" i="29"/>
  <c r="M19" i="29" s="1"/>
  <c r="N19" i="29" s="1"/>
  <c r="O19" i="29" s="1"/>
  <c r="L19" i="31"/>
  <c r="K19" i="31"/>
  <c r="L19" i="30"/>
  <c r="K19" i="30"/>
  <c r="M19" i="30" s="1"/>
  <c r="N19" i="30" s="1"/>
  <c r="O19" i="30" s="1"/>
  <c r="P19" i="30" s="1"/>
  <c r="L19" i="28"/>
  <c r="K19" i="28"/>
  <c r="M19" i="28" s="1"/>
  <c r="N19" i="28" s="1"/>
  <c r="O19" i="28" s="1"/>
  <c r="L19" i="33"/>
  <c r="K19" i="33"/>
  <c r="M19" i="33" s="1"/>
  <c r="N19" i="33" s="1"/>
  <c r="O19" i="33" s="1"/>
  <c r="L19" i="34"/>
  <c r="K19" i="34"/>
  <c r="L21" i="32"/>
  <c r="K21" i="32"/>
  <c r="L21" i="29"/>
  <c r="K21" i="29"/>
  <c r="M21" i="29" s="1"/>
  <c r="N21" i="29" s="1"/>
  <c r="O21" i="29" s="1"/>
  <c r="L21" i="31"/>
  <c r="K21" i="31"/>
  <c r="L21" i="30"/>
  <c r="K21" i="30"/>
  <c r="M21" i="30" s="1"/>
  <c r="L21" i="28"/>
  <c r="K21" i="28"/>
  <c r="L21" i="34"/>
  <c r="K21" i="34"/>
  <c r="M21" i="34" s="1"/>
  <c r="N21" i="34" s="1"/>
  <c r="O21" i="34" s="1"/>
  <c r="L17" i="32"/>
  <c r="K17" i="32"/>
  <c r="I25" i="28"/>
  <c r="P28" i="28" s="1"/>
  <c r="L17" i="29"/>
  <c r="M17" i="29" s="1"/>
  <c r="N17" i="29" s="1"/>
  <c r="O17" i="29" s="1"/>
  <c r="P17" i="29" s="1"/>
  <c r="K17" i="29"/>
  <c r="L17" i="31"/>
  <c r="K17" i="31"/>
  <c r="M17" i="31" s="1"/>
  <c r="K17" i="30"/>
  <c r="M17" i="30" s="1"/>
  <c r="N17" i="30" s="1"/>
  <c r="O17" i="30" s="1"/>
  <c r="L17" i="30"/>
  <c r="K17" i="28"/>
  <c r="L17" i="28"/>
  <c r="L17" i="27"/>
  <c r="K17" i="27"/>
  <c r="L17" i="34"/>
  <c r="K17" i="34"/>
  <c r="L16" i="34"/>
  <c r="K16" i="34"/>
  <c r="L16" i="33"/>
  <c r="K16" i="33"/>
  <c r="K16" i="32"/>
  <c r="L16" i="32"/>
  <c r="I25" i="32"/>
  <c r="P28" i="32" s="1"/>
  <c r="K16" i="27"/>
  <c r="L16" i="27"/>
  <c r="K16" i="29"/>
  <c r="L16" i="29"/>
  <c r="K16" i="31"/>
  <c r="M16" i="31" s="1"/>
  <c r="L16" i="31"/>
  <c r="L16" i="30"/>
  <c r="K16" i="30"/>
  <c r="K16" i="28"/>
  <c r="M16" i="28" s="1"/>
  <c r="L16" i="28"/>
  <c r="M22" i="35"/>
  <c r="K22" i="34"/>
  <c r="M22" i="34" s="1"/>
  <c r="N22" i="34" s="1"/>
  <c r="O22" i="34" s="1"/>
  <c r="L22" i="34"/>
  <c r="L22" i="32"/>
  <c r="K22" i="32"/>
  <c r="K25" i="32" s="1"/>
  <c r="P30" i="32" s="1"/>
  <c r="K22" i="27"/>
  <c r="L22" i="27"/>
  <c r="K22" i="29"/>
  <c r="L22" i="29"/>
  <c r="K22" i="33"/>
  <c r="L22" i="33"/>
  <c r="K22" i="31"/>
  <c r="L22" i="31"/>
  <c r="L25" i="31" s="1"/>
  <c r="P29" i="31" s="1"/>
  <c r="K22" i="30"/>
  <c r="L22" i="30"/>
  <c r="K22" i="28"/>
  <c r="K25" i="28" s="1"/>
  <c r="P30" i="28" s="1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N18" i="33" s="1"/>
  <c r="O18" i="33" s="1"/>
  <c r="I25" i="30"/>
  <c r="P28" i="30" s="1"/>
  <c r="M24" i="3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4"/>
  <c r="N19" i="34" s="1"/>
  <c r="O19" i="34" s="1"/>
  <c r="M16" i="29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M21" i="32"/>
  <c r="N21" i="32" s="1"/>
  <c r="O21" i="32" s="1"/>
  <c r="M21" i="31"/>
  <c r="N21" i="31" s="1"/>
  <c r="O21" i="31" s="1"/>
  <c r="M21" i="28"/>
  <c r="N21" i="28" s="1"/>
  <c r="O21" i="28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7" i="33"/>
  <c r="O17" i="33" s="1"/>
  <c r="N23" i="32"/>
  <c r="O23" i="32" s="1"/>
  <c r="L25" i="32"/>
  <c r="P29" i="32" s="1"/>
  <c r="N24" i="31"/>
  <c r="O24" i="31" s="1"/>
  <c r="P24" i="31"/>
  <c r="N17" i="31"/>
  <c r="O17" i="31" s="1"/>
  <c r="N21" i="30"/>
  <c r="O21" i="30" s="1"/>
  <c r="N24" i="30"/>
  <c r="O24" i="30" s="1"/>
  <c r="P24" i="30" s="1"/>
  <c r="N23" i="30"/>
  <c r="O23" i="30" s="1"/>
  <c r="N16" i="29"/>
  <c r="N24" i="29"/>
  <c r="O24" i="29" s="1"/>
  <c r="P24" i="29" s="1"/>
  <c r="N24" i="28"/>
  <c r="O24" i="28" s="1"/>
  <c r="P24" i="28" s="1"/>
  <c r="N23" i="28"/>
  <c r="O23" i="28" s="1"/>
  <c r="P23" i="28" s="1"/>
  <c r="J25" i="15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L25" i="33" l="1"/>
  <c r="P29" i="33" s="1"/>
  <c r="K20" i="26"/>
  <c r="L20" i="26"/>
  <c r="L25" i="34"/>
  <c r="P29" i="34" s="1"/>
  <c r="L19" i="26"/>
  <c r="K19" i="26"/>
  <c r="K25" i="33"/>
  <c r="P30" i="33" s="1"/>
  <c r="L21" i="27"/>
  <c r="K21" i="27"/>
  <c r="L21" i="26"/>
  <c r="K21" i="26"/>
  <c r="M21" i="26" s="1"/>
  <c r="N21" i="26" s="1"/>
  <c r="O21" i="26" s="1"/>
  <c r="I25" i="27"/>
  <c r="P28" i="27" s="1"/>
  <c r="L17" i="26"/>
  <c r="K17" i="26"/>
  <c r="M17" i="28"/>
  <c r="N17" i="28" s="1"/>
  <c r="O17" i="28" s="1"/>
  <c r="K25" i="31"/>
  <c r="P30" i="31" s="1"/>
  <c r="M16" i="33"/>
  <c r="N16" i="33" s="1"/>
  <c r="L16" i="26"/>
  <c r="K16" i="26"/>
  <c r="K25" i="29"/>
  <c r="P30" i="29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0" i="22" l="1"/>
  <c r="L20" i="22"/>
  <c r="L19" i="22"/>
  <c r="K19" i="22"/>
  <c r="L21" i="22"/>
  <c r="K21" i="22"/>
  <c r="K17" i="22"/>
  <c r="L17" i="22"/>
  <c r="P31" i="29"/>
  <c r="P33" i="29" s="1"/>
  <c r="P34" i="29" s="1"/>
  <c r="P35" i="29" s="1"/>
  <c r="U27" i="15" s="1"/>
  <c r="K16" i="22"/>
  <c r="L16" i="22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1" l="1"/>
  <c r="K20" i="21"/>
  <c r="L20" i="17"/>
  <c r="K20" i="17"/>
  <c r="L20" i="20"/>
  <c r="K20" i="20"/>
  <c r="M20" i="20" s="1"/>
  <c r="N20" i="20" s="1"/>
  <c r="O20" i="20" s="1"/>
  <c r="L20" i="23"/>
  <c r="K20" i="23"/>
  <c r="L20" i="24"/>
  <c r="K20" i="24"/>
  <c r="M20" i="24" s="1"/>
  <c r="N20" i="24" s="1"/>
  <c r="O20" i="24" s="1"/>
  <c r="K20" i="18"/>
  <c r="L20" i="18"/>
  <c r="M20" i="18" s="1"/>
  <c r="N20" i="18" s="1"/>
  <c r="O20" i="18" s="1"/>
  <c r="K20" i="19"/>
  <c r="L20" i="19"/>
  <c r="L20" i="25"/>
  <c r="K20" i="25"/>
  <c r="L19" i="17"/>
  <c r="K19" i="17"/>
  <c r="L19" i="24"/>
  <c r="K19" i="24"/>
  <c r="L19" i="20"/>
  <c r="K19" i="20"/>
  <c r="L19" i="19"/>
  <c r="K19" i="19"/>
  <c r="L19" i="25"/>
  <c r="K19" i="25"/>
  <c r="L19" i="18"/>
  <c r="K19" i="18"/>
  <c r="L19" i="23"/>
  <c r="K19" i="23"/>
  <c r="L19" i="21"/>
  <c r="K19" i="21"/>
  <c r="M19" i="21" s="1"/>
  <c r="N19" i="21" s="1"/>
  <c r="O19" i="21" s="1"/>
  <c r="L21" i="25"/>
  <c r="K21" i="25"/>
  <c r="L21" i="20"/>
  <c r="K21" i="20"/>
  <c r="M21" i="20" s="1"/>
  <c r="N21" i="20" s="1"/>
  <c r="O21" i="20" s="1"/>
  <c r="L21" i="19"/>
  <c r="K21" i="19"/>
  <c r="K21" i="21"/>
  <c r="L21" i="21"/>
  <c r="M21" i="21" s="1"/>
  <c r="N21" i="21" s="1"/>
  <c r="L21" i="23"/>
  <c r="K21" i="23"/>
  <c r="L21" i="18"/>
  <c r="K21" i="18"/>
  <c r="L21" i="17"/>
  <c r="K21" i="17"/>
  <c r="L21" i="24"/>
  <c r="K21" i="24"/>
  <c r="M21" i="24" s="1"/>
  <c r="N21" i="24" s="1"/>
  <c r="O21" i="24" s="1"/>
  <c r="L17" i="17"/>
  <c r="K17" i="17"/>
  <c r="L17" i="20"/>
  <c r="K17" i="20"/>
  <c r="M17" i="20" s="1"/>
  <c r="N17" i="20" s="1"/>
  <c r="O17" i="20" s="1"/>
  <c r="L17" i="21"/>
  <c r="K17" i="21"/>
  <c r="L17" i="24"/>
  <c r="K17" i="24"/>
  <c r="M17" i="24" s="1"/>
  <c r="N17" i="24" s="1"/>
  <c r="O17" i="24" s="1"/>
  <c r="L17" i="19"/>
  <c r="K17" i="19"/>
  <c r="L17" i="25"/>
  <c r="K17" i="25"/>
  <c r="M17" i="25" s="1"/>
  <c r="N17" i="25" s="1"/>
  <c r="O17" i="25" s="1"/>
  <c r="L17" i="23"/>
  <c r="K17" i="23"/>
  <c r="L17" i="18"/>
  <c r="K17" i="18"/>
  <c r="M17" i="18" s="1"/>
  <c r="N17" i="18" s="1"/>
  <c r="O17" i="18" s="1"/>
  <c r="K16" i="18"/>
  <c r="L16" i="18"/>
  <c r="L16" i="19"/>
  <c r="K16" i="19"/>
  <c r="L16" i="25"/>
  <c r="K16" i="25"/>
  <c r="K16" i="23"/>
  <c r="L16" i="23"/>
  <c r="L16" i="17"/>
  <c r="K16" i="17"/>
  <c r="L16" i="21"/>
  <c r="K16" i="21"/>
  <c r="K16" i="24"/>
  <c r="L16" i="24"/>
  <c r="K16" i="20"/>
  <c r="L16" i="20"/>
  <c r="M16" i="20" s="1"/>
  <c r="N16" i="20" s="1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6" i="17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17" i="19"/>
  <c r="N17" i="19" s="1"/>
  <c r="O17" i="19" s="1"/>
  <c r="N24" i="19"/>
  <c r="O24" i="19" s="1"/>
  <c r="N24" i="18"/>
  <c r="O24" i="18" s="1"/>
  <c r="I23" i="15"/>
  <c r="K25" i="24" l="1"/>
  <c r="P30" i="24" s="1"/>
  <c r="K20" i="16"/>
  <c r="K20" i="15" s="1"/>
  <c r="L20" i="16"/>
  <c r="L25" i="19"/>
  <c r="P29" i="19" s="1"/>
  <c r="K19" i="16"/>
  <c r="L19" i="16"/>
  <c r="K21" i="16"/>
  <c r="L21" i="16"/>
  <c r="K17" i="16"/>
  <c r="L17" i="16"/>
  <c r="K16" i="16"/>
  <c r="K16" i="15" s="1"/>
  <c r="L16" i="16"/>
  <c r="L16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M23" i="22"/>
  <c r="N23" i="22" s="1"/>
  <c r="O23" i="22" s="1"/>
  <c r="L21" i="15"/>
  <c r="K25" i="19"/>
  <c r="P30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M22" i="23"/>
  <c r="N22" i="23" s="1"/>
  <c r="O22" i="23" s="1"/>
  <c r="M22" i="20"/>
  <c r="N22" i="20" s="1"/>
  <c r="O22" i="20" s="1"/>
  <c r="M25" i="24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9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9" l="1"/>
  <c r="P34" i="19" s="1"/>
  <c r="P35" i="19" s="1"/>
  <c r="U16" i="15" s="1"/>
  <c r="P33" i="18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<sst xmlns="http://schemas.openxmlformats.org/spreadsheetml/2006/main" count="1632" uniqueCount="123">
  <si>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</si>
  <si>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</si>
  <si>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</si>
  <si>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</si>
  <si>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</si>
  <si>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</si>
  <si>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</si>
  <si>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</si>
  <si>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</si>
  <si>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</si>
  <si>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</si>
  <si>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</si>
  <si>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</si>
  <si>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</si>
  <si>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</si>
  <si>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</si>
  <si>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</si>
  <si>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</si>
  <si>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</si>
  <si>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</si>
  <si>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</si>
  <si>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</si>
  <si>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</si>
  <si>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</si>
  <si>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</si>
  <si>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</si>
  <si>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</si>
  <si>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</si>
  <si>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</si>
  <si>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</si>
  <si>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</si>
  <si>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</si>
  <si>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</si>
  <si>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</si>
  <si>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</si>
  <si>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</si>
  <si>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</si>
  <si>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</si>
  <si>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</si>
  <si>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</si>
  <si>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</si>
  <si>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</si>
  <si>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</si>
  <si>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</si>
  <si>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</si>
  <si>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</si>
  <si>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</si>
  <si>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</si>
  <si>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</si>
  <si>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</si>
  <si>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</si>
  <si>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</si>
  <si>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</si>
  <si>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</si>
  <si>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</si>
  <si>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</si>
  <si>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</si>
  <si>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</si>
  <si>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</si>
  <si>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</si>
  <si>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</si>
  <si>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</si>
  <si>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</si>
  <si>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</si>
  <si>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</si>
  <si>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</si>
  <si>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</si>
  <si>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</si>
  <si>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</si>
  <si>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</si>
  <si>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</si>
  <si>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</si>
  <si>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</si>
  <si>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</si>
  <si>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</si>
  <si>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</si>
  <si>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</si>
  <si>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</si>
  <si>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</si>
  <si>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</si>
  <si>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</si>
  <si>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</si>
  <si>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</si>
  <si>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</si>
  <si>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</si>
  <si>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</si>
  <si>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</si>
  <si>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</si>
  <si>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</si>
  <si>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</si>
  <si>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</si>
  <si>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</si>
  <si>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</si>
  <si>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</si>
  <si>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</si>
  <si>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</si>
  <si>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</si>
  <si>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</si>
  <si>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</si>
  <si>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</si>
  <si>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</si>
  <si>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</si>
  <si>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</si>
  <si>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</si>
  <si>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</si>
  <si>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</si>
  <si>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</si>
  <si>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</si>
  <si>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</si>
  <si>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</si>
  <si>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</si>
  <si>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</si>
  <si>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</si>
  <si>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</si>
  <si>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</si>
  <si>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</si>
  <si>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</si>
  <si>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</si>
  <si>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</si>
  <si>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</si>
  <si>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Family Store</t>
  </si>
  <si>
    <t xml:space="preserve">Address: Valencia Town </t>
  </si>
  <si>
    <t>4130928-6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</si>
</sst>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102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103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Family Store</v>
      </c>
      <c r="U14" s="163">
        <f>+'1'!P35</f>
        <v>18359.659383975002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Family Store</v>
      </c>
      <c r="U15" s="163">
        <f>+'2'!P35</f>
        <v>21575.319259815002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400</v>
      </c>
      <c r="I16" s="1">
        <f>(G16*D16)*F16+H16*F16</f>
        <v>20985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1259.0999999999999</v>
      </c>
      <c r="M16" s="105">
        <f>I16-K16-L16</f>
        <v>19358.662500000002</v>
      </c>
      <c r="N16" s="100">
        <f>+'1'!N16+'2'!N16+'4'!N16+'3'!N16+'5'!N16+'6'!N16+'7'!N16+'8'!N16+'9'!N16+'10'!N16</f>
        <v>1879.6264500000004</v>
      </c>
      <c r="O16" s="100">
        <f>+'1'!O16+'2'!O16+'4'!O16+'3'!O16+'5'!O16+'6'!O16+'7'!O16+'8'!O16+'9'!O16+'10'!O16</f>
        <v>205.16300025000004</v>
      </c>
      <c r="P16" s="104">
        <f t="shared" ref="P16:P24" si="0">M16+N16+O16</f>
        <v>21443.451950250001</v>
      </c>
      <c r="Q16" s="107"/>
      <c r="T16" s="162" t="str">
        <f>+'3'!A5</f>
        <v>Customer Name : Family Store</v>
      </c>
      <c r="U16" s="163">
        <f>+'3'!P35</f>
        <v>22306.686014385003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1600</v>
      </c>
      <c r="I17" s="1">
        <f t="shared" ref="I17:I23" si="1">(G17*D17)*F17+H17*F17</f>
        <v>83940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1468.95</v>
      </c>
      <c r="L17" s="174">
        <f>+'1'!L17+'2'!L17+'4'!L17+'3'!L17+'5'!L17+'6'!L17+'7'!L17+'8'!L17+'9'!L17+'10'!L17</f>
        <v>5036.3999999999996</v>
      </c>
      <c r="M17" s="117">
        <f t="shared" ref="M17:M23" si="2">I17-K17-L17</f>
        <v>77434.650000000009</v>
      </c>
      <c r="N17" s="100">
        <f>+'1'!N17+'2'!N17+'4'!N17+'3'!N17+'5'!N17+'6'!N17+'7'!N17+'8'!N17+'9'!N17+'10'!N17</f>
        <v>7518.5058000000017</v>
      </c>
      <c r="O17" s="100">
        <f>+'1'!O17+'2'!O17+'4'!O17+'3'!O17+'5'!O17+'6'!O17+'7'!O17+'8'!O17+'9'!O17+'10'!O17</f>
        <v>820.65200100000015</v>
      </c>
      <c r="P17" s="119">
        <f t="shared" si="0"/>
        <v>85773.807801000003</v>
      </c>
      <c r="S17" s="64"/>
      <c r="T17" s="162" t="str">
        <f>+'4'!A5</f>
        <v>Customer Name : Family Store</v>
      </c>
      <c r="U17" s="163">
        <f>+'4'!P35</f>
        <v>22750.600163925003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Family Store</v>
      </c>
      <c r="U18" s="163">
        <f>+'5'!P35</f>
        <v>22750.600163925003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400</v>
      </c>
      <c r="I19" s="1">
        <f t="shared" si="1"/>
        <v>29056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508.48000000000008</v>
      </c>
      <c r="L19" s="174">
        <f>+'1'!L19+'2'!L19+'4'!L19+'3'!L19+'5'!L19+'6'!L19+'7'!L19+'8'!L19+'9'!L19+'10'!L19</f>
        <v>1743.36</v>
      </c>
      <c r="M19" s="117">
        <f t="shared" si="2"/>
        <v>26804.16</v>
      </c>
      <c r="N19" s="100">
        <f>+'1'!N19+'2'!N19+'4'!N19+'3'!N19+'5'!N19+'6'!N19+'7'!N19+'8'!N19+'9'!N19+'10'!N19</f>
        <v>2602.5459199999996</v>
      </c>
      <c r="O19" s="100">
        <f>+'1'!O19+'2'!O19+'4'!O19+'3'!O19+'5'!O19+'6'!O19+'7'!O19+'8'!O19+'9'!O19+'10'!O19</f>
        <v>284.07034239999996</v>
      </c>
      <c r="P19" s="119">
        <f t="shared" si="0"/>
        <v>29690.776262399999</v>
      </c>
      <c r="T19" s="162" t="str">
        <f>+'6'!A5</f>
        <v>Customer Name : Family Store</v>
      </c>
      <c r="U19" s="163">
        <f>+'6'!P35</f>
        <v>22750.600163925003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1600</v>
      </c>
      <c r="I20" s="1">
        <f t="shared" si="1"/>
        <v>116224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2033.9200000000003</v>
      </c>
      <c r="L20" s="174">
        <f>+'1'!L20+'2'!L20+'4'!L20+'3'!L20+'5'!L20+'6'!L20+'7'!L20+'8'!L20+'9'!L20+'10'!L20</f>
        <v>6973.44</v>
      </c>
      <c r="M20" s="117">
        <f t="shared" si="2"/>
        <v>107216.64</v>
      </c>
      <c r="N20" s="100">
        <f>+'1'!N20+'2'!N20+'4'!N20+'3'!N20+'5'!N20+'6'!N20+'7'!N20+'8'!N20+'9'!N20+'10'!N20</f>
        <v>10410.183679999998</v>
      </c>
      <c r="O20" s="100">
        <f>+'1'!O20+'2'!O20+'4'!O20+'3'!O20+'5'!O20+'6'!O20+'7'!O20+'8'!O20+'9'!O20+'10'!O20</f>
        <v>1136.2813695999998</v>
      </c>
      <c r="P20" s="119">
        <f t="shared" si="0"/>
        <v>118763.1050496</v>
      </c>
      <c r="T20" s="162" t="str">
        <f>+'7'!A5</f>
        <v>Customer Name : Family Store</v>
      </c>
      <c r="U20" s="163">
        <f>+'7'!P35</f>
        <v>22750.600163925003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1600</v>
      </c>
      <c r="I21" s="1">
        <f t="shared" si="1"/>
        <v>116224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2033.9200000000003</v>
      </c>
      <c r="L21" s="174">
        <f>+'1'!L21+'2'!L21+'4'!L21+'3'!L21+'5'!L21+'6'!L21+'7'!L21+'8'!L21+'9'!L21+'10'!L21</f>
        <v>6973.44</v>
      </c>
      <c r="M21" s="117">
        <f t="shared" si="2"/>
        <v>107216.64</v>
      </c>
      <c r="N21" s="100">
        <f>+'1'!N21+'2'!N21+'4'!N21+'3'!N21+'5'!N21+'6'!N21+'7'!N21+'8'!N21+'9'!N21+'10'!N21</f>
        <v>10410.183679999998</v>
      </c>
      <c r="O21" s="100">
        <f>+'1'!O21+'2'!O21+'4'!O21+'3'!O21+'5'!O21+'6'!O21+'7'!O21+'8'!O21+'9'!O21+'10'!O21</f>
        <v>1136.2813695999998</v>
      </c>
      <c r="P21" s="119">
        <f t="shared" si="0"/>
        <v>118763.1050496</v>
      </c>
      <c r="T21" s="162" t="str">
        <f>+'8'!A5</f>
        <v>Customer Name : Family Store</v>
      </c>
      <c r="U21" s="163">
        <f>+'8'!P35</f>
        <v>22750.600163925003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1520</v>
      </c>
      <c r="I22" s="1">
        <f t="shared" si="1"/>
        <v>59629.600000000006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2429.1215999999999</v>
      </c>
      <c r="L22" s="174">
        <f>+'1'!L22+'2'!L22+'4'!L22+'3'!L22+'5'!L22+'6'!L22+'7'!L22+'8'!L22+'9'!L22+'10'!L22</f>
        <v>1412.2800000000004</v>
      </c>
      <c r="M22" s="117">
        <f t="shared" si="2"/>
        <v>55788.198400000008</v>
      </c>
      <c r="N22" s="100">
        <f>+'1'!N22+'2'!N22+'4'!N22+'3'!N22+'5'!N22+'6'!N22+'7'!N22+'8'!N22+'9'!N22+'10'!N22</f>
        <v>5260.4605440000014</v>
      </c>
      <c r="O22" s="100">
        <f>+'1'!O22+'2'!O22+'4'!O22+'3'!O22+'5'!O22+'6'!O22+'7'!O22+'8'!O22+'9'!O22+'10'!O22</f>
        <v>611.46074880000037</v>
      </c>
      <c r="P22" s="119">
        <f t="shared" si="0"/>
        <v>61660.119692800014</v>
      </c>
      <c r="T22" s="162" t="str">
        <f>+'9'!A5</f>
        <v>Customer Name : Family Store</v>
      </c>
      <c r="U22" s="163">
        <f>+'9'!P35</f>
        <v>22750.600163925003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Family Store</v>
      </c>
      <c r="U23" s="163">
        <f>+'10'!P35</f>
        <v>22750.600163925003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Family Store</v>
      </c>
      <c r="U24" s="163">
        <f>+'11'!P35</f>
        <v>22750.600163925003</v>
      </c>
    </row>
    <row r="25" spans="1:21 16384:16384" ht="26.5" thickBot="1" x14ac:dyDescent="0.65">
      <c r="A25" s="235" t="s">
        <v>84</v>
      </c>
      <c r="B25" s="236"/>
      <c r="C25" s="237">
        <f>H25/40</f>
        <v>178</v>
      </c>
      <c r="D25" s="231"/>
      <c r="E25" s="231"/>
      <c r="F25" s="231"/>
      <c r="G25" s="175">
        <f t="shared" ref="G25:M25" si="3">SUM(G16:G24)</f>
        <v>0</v>
      </c>
      <c r="H25" s="176">
        <f t="shared" si="3"/>
        <v>7120</v>
      </c>
      <c r="I25" s="177">
        <f t="shared" si="3"/>
        <v>426058.6</v>
      </c>
      <c r="J25" s="176">
        <f t="shared" si="3"/>
        <v>0</v>
      </c>
      <c r="K25" s="177">
        <f t="shared" si="3"/>
        <v>8841.6291000000001</v>
      </c>
      <c r="L25" s="178">
        <f t="shared" si="3"/>
        <v>23398.019999999997</v>
      </c>
      <c r="M25" s="140">
        <f t="shared" si="3"/>
        <v>393818.9509</v>
      </c>
      <c r="N25" s="141">
        <f>SUM(N16:N24)</f>
        <v>38081.506074000004</v>
      </c>
      <c r="O25" s="142">
        <f>SUM(O16:O24)</f>
        <v>4193.9088316500001</v>
      </c>
      <c r="P25" s="143">
        <f>SUM(P16:P24)</f>
        <v>436094.36580565001</v>
      </c>
      <c r="T25" s="162" t="str">
        <f>+'12'!A5</f>
        <v>Customer Name : Family Store</v>
      </c>
      <c r="U25" s="163">
        <f>+'12'!P35</f>
        <v>22750.600163925003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Family Store</v>
      </c>
      <c r="U26" s="163">
        <f>+'13'!P35</f>
        <v>22750.600163925003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Family Store</v>
      </c>
      <c r="U27" s="163">
        <f>+'14'!P35</f>
        <v>22750.600163925003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Family Store</v>
      </c>
      <c r="U28" s="181">
        <f>+'15'!P35</f>
        <v>22750.600163925003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Family Store</v>
      </c>
      <c r="U29" s="181">
        <f>+'16'!P35</f>
        <v>22750.600163925003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Family Store</v>
      </c>
      <c r="U30" s="181">
        <f>+'17'!P35</f>
        <v>22750.600163925003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Family Store</v>
      </c>
      <c r="U31" s="181">
        <f>+'18'!P35</f>
        <v>22750.600163925003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Family Store</v>
      </c>
      <c r="U32" s="181">
        <f>+'19'!P35</f>
        <v>22750.600163925003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Family Store</v>
      </c>
      <c r="U33" s="181">
        <f>+'20'!P35</f>
        <v>22750.600163925003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449001.86744489986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426058.6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23398.019999999997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8841.6291000000001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393818.95089999994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38081.506074000004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431900.45697399997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10797.511424349999</v>
      </c>
    </row>
    <row r="43" spans="1:21" ht="15.75" customHeight="1" thickBot="1" x14ac:dyDescent="0.4">
      <c r="N43" s="229" t="s">
        <v>92</v>
      </c>
      <c r="O43" s="230"/>
      <c r="P43" s="159">
        <f>P41+P42</f>
        <v>442697.96839834994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6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159.590925</v>
      </c>
      <c r="O16" s="106">
        <f t="shared" ref="O16:O24" si="1">(N16+M16)*$O$15</f>
        <v>5.2310358749999999</v>
      </c>
      <c r="P16" s="104">
        <f t="shared" ref="P16:P24" si="2">M16+N16+O16</f>
        <v>1051.4382108750001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I17*12%</f>
        <v>503.64</v>
      </c>
      <c r="M17" s="117">
        <f t="shared" ref="M17:M23" si="6">I17-K17-L17</f>
        <v>3546.4650000000001</v>
      </c>
      <c r="N17" s="117">
        <f t="shared" si="0"/>
        <v>638.36369999999999</v>
      </c>
      <c r="O17" s="118">
        <f t="shared" si="1"/>
        <v>20.9241435</v>
      </c>
      <c r="P17" s="119">
        <f t="shared" si="2"/>
        <v>4205.7528435000004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3"/>
        <v>1452.8</v>
      </c>
      <c r="J19" s="116"/>
      <c r="K19" s="103">
        <f t="shared" si="4"/>
        <v>50.848000000000006</v>
      </c>
      <c r="L19" s="104">
        <f t="shared" si="5"/>
        <v>174.33599999999998</v>
      </c>
      <c r="M19" s="117">
        <f t="shared" si="6"/>
        <v>1227.616</v>
      </c>
      <c r="N19" s="117">
        <f t="shared" si="0"/>
        <v>220.97087999999999</v>
      </c>
      <c r="O19" s="118">
        <f t="shared" si="1"/>
        <v>7.2429344000000002</v>
      </c>
      <c r="P19" s="119">
        <f t="shared" si="2"/>
        <v>1455.8298144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697.34399999999994</v>
      </c>
      <c r="M20" s="117">
        <f t="shared" si="6"/>
        <v>4910.4639999999999</v>
      </c>
      <c r="N20" s="117">
        <f t="shared" si="0"/>
        <v>883.88351999999998</v>
      </c>
      <c r="O20" s="118">
        <f t="shared" si="1"/>
        <v>28.971737600000001</v>
      </c>
      <c r="P20" s="119">
        <f t="shared" si="2"/>
        <v>5823.3192576000001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697.34399999999994</v>
      </c>
      <c r="M21" s="117">
        <f t="shared" si="6"/>
        <v>4910.4639999999999</v>
      </c>
      <c r="N21" s="117">
        <f t="shared" si="0"/>
        <v>883.88351999999998</v>
      </c>
      <c r="O21" s="118">
        <f t="shared" si="1"/>
        <v>28.971737600000001</v>
      </c>
      <c r="P21" s="119">
        <f t="shared" si="2"/>
        <v>5823.3192576000001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280</v>
      </c>
      <c r="I25" s="136">
        <f t="shared" si="13"/>
        <v>18321.45</v>
      </c>
      <c r="J25" s="137"/>
      <c r="K25" s="138">
        <f t="shared" si="13"/>
        <v>641.25075000000004</v>
      </c>
      <c r="L25" s="139">
        <f t="shared" si="13"/>
        <v>2198.5740000000001</v>
      </c>
      <c r="M25" s="140">
        <f t="shared" si="13"/>
        <v>15481.625250000001</v>
      </c>
      <c r="N25" s="141">
        <f>SUM(N16:N24)</f>
        <v>2786.6925449999999</v>
      </c>
      <c r="O25" s="142">
        <f>SUM(O16:O24)</f>
        <v>91.341588974999993</v>
      </c>
      <c r="P25" s="143">
        <f>SUM(P16:P24)</f>
        <v>18359.659383974998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18321.45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2198.5740000000001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641.25075000000004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15481.625250000001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2786.6925449999999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18268.317795000003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91.341588975000022</v>
      </c>
    </row>
    <row r="35" spans="2:16" ht="15.75" customHeight="1" thickBot="1" x14ac:dyDescent="0.4">
      <c r="N35" s="229" t="s">
        <v>92</v>
      </c>
      <c r="O35" s="230"/>
      <c r="P35" s="159">
        <f>P33+P34</f>
        <v>18359.659383975002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159.590925</v>
      </c>
      <c r="O16" s="106">
        <f>(N16+M16)*$O$15</f>
        <v>5.2310358749999999</v>
      </c>
      <c r="P16" s="104">
        <f t="shared" ref="P16:P24" si="1">M16+N16+O16</f>
        <v>1051.4382108750001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638.36369999999999</v>
      </c>
      <c r="O17" s="118">
        <f t="shared" ref="O17:O24" si="6">(N17+M17)*$O$15</f>
        <v>20.9241435</v>
      </c>
      <c r="P17" s="119">
        <f t="shared" si="1"/>
        <v>4205.7528435000004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220.97087999999999</v>
      </c>
      <c r="O19" s="118">
        <f t="shared" si="6"/>
        <v>7.2429344000000002</v>
      </c>
      <c r="P19" s="119">
        <f t="shared" si="1"/>
        <v>1455.8298144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883.88351999999998</v>
      </c>
      <c r="O20" s="118">
        <f t="shared" si="6"/>
        <v>28.971737600000001</v>
      </c>
      <c r="P20" s="119">
        <f t="shared" si="1"/>
        <v>5823.3192576000001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883.88351999999998</v>
      </c>
      <c r="O21" s="118">
        <f t="shared" si="6"/>
        <v>28.971737600000001</v>
      </c>
      <c r="P21" s="119">
        <f t="shared" si="1"/>
        <v>5823.3192576000001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488.08396800000008</v>
      </c>
      <c r="O22" s="118">
        <f t="shared" si="6"/>
        <v>15.998307840000002</v>
      </c>
      <c r="P22" s="119">
        <f t="shared" si="1"/>
        <v>3215.6598758400005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3274.7765129999998</v>
      </c>
      <c r="O25" s="142">
        <f>SUM(O16:O24)</f>
        <v>107.339896815</v>
      </c>
      <c r="P25" s="143">
        <f>SUM(P16:P24)</f>
        <v>21575.319259814998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3274.7765129999998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21467.979363000002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107.33989681500002</v>
      </c>
    </row>
    <row r="35" spans="2:16" ht="15.75" customHeight="1" thickBot="1" x14ac:dyDescent="0.4">
      <c r="N35" s="229" t="s">
        <v>92</v>
      </c>
      <c r="O35" s="230"/>
      <c r="P35" s="159">
        <f>P33+P34</f>
        <v>21575.319259815002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5.4083591250000005</v>
      </c>
      <c r="P16" s="104">
        <f t="shared" ref="P16:P24" si="1">M16+N16+O16</f>
        <v>1087.0801841250002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21.633436500000002</v>
      </c>
      <c r="P17" s="119">
        <f t="shared" si="1"/>
        <v>4348.3207365000007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7.4884575999999994</v>
      </c>
      <c r="P19" s="119">
        <f t="shared" si="1"/>
        <v>1505.1799775999998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29.953830399999998</v>
      </c>
      <c r="P20" s="119">
        <f t="shared" si="1"/>
        <v>6020.7199103999992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29.953830399999998</v>
      </c>
      <c r="P21" s="119">
        <f t="shared" si="1"/>
        <v>6020.7199103999992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16.540623360000005</v>
      </c>
      <c r="P22" s="119">
        <f t="shared" si="1"/>
        <v>3324.665295360001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110.97853738500001</v>
      </c>
      <c r="P25" s="143">
        <f>SUM(P16:P24)</f>
        <v>22306.686014385003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110.97853738500002</v>
      </c>
    </row>
    <row r="35" spans="2:16" ht="15.75" customHeight="1" thickBot="1" x14ac:dyDescent="0.4">
      <c r="N35" s="229" t="s">
        <v>92</v>
      </c>
      <c r="O35" s="230"/>
      <c r="P35" s="159">
        <f>P33+P34</f>
        <v>22306.686014385003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I16*3.5%</f>
        <v>36.723750000000003</v>
      </c>
      <c r="L16" s="104">
        <f>I16*12%</f>
        <v>125.91</v>
      </c>
      <c r="M16" s="105">
        <f>I16-K16-L16</f>
        <v>886.61625000000004</v>
      </c>
      <c r="N16" s="105">
        <f t="shared" ref="N16:N24" si="0">(M16*$N$15)+(J16*F16)*$N$15</f>
        <v>195.055575</v>
      </c>
      <c r="O16" s="106">
        <f>(N16+M16)*$O$15</f>
        <v>27.041795625000006</v>
      </c>
      <c r="P16" s="104">
        <f t="shared" ref="P16:P24" si="1">M16+N16+O16</f>
        <v>1108.7136206250002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03">
        <f t="shared" ref="K17:K21" si="3">I17*3.5%</f>
        <v>146.89500000000001</v>
      </c>
      <c r="L17" s="104">
        <f t="shared" ref="L17:L21" si="4">I17*12%</f>
        <v>503.64</v>
      </c>
      <c r="M17" s="117">
        <f t="shared" ref="M17:M23" si="5">I17-K17-L17</f>
        <v>3546.4650000000001</v>
      </c>
      <c r="N17" s="117">
        <f t="shared" si="0"/>
        <v>780.22230000000002</v>
      </c>
      <c r="O17" s="118">
        <f t="shared" ref="O17:O24" si="6">(N17+M17)*$O$15</f>
        <v>108.16718250000002</v>
      </c>
      <c r="P17" s="119">
        <f t="shared" si="1"/>
        <v>4434.8544825000008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2"/>
        <v>1452.8</v>
      </c>
      <c r="J19" s="116"/>
      <c r="K19" s="103">
        <f t="shared" si="3"/>
        <v>50.848000000000006</v>
      </c>
      <c r="L19" s="104">
        <f t="shared" si="4"/>
        <v>174.33599999999998</v>
      </c>
      <c r="M19" s="117">
        <f t="shared" si="5"/>
        <v>1227.616</v>
      </c>
      <c r="N19" s="117">
        <f t="shared" si="0"/>
        <v>270.07551999999998</v>
      </c>
      <c r="O19" s="118">
        <f t="shared" si="6"/>
        <v>37.442287999999998</v>
      </c>
      <c r="P19" s="119">
        <f t="shared" si="1"/>
        <v>1535.1338079999998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03">
        <f t="shared" si="3"/>
        <v>203.39200000000002</v>
      </c>
      <c r="L20" s="104">
        <f t="shared" si="4"/>
        <v>697.34399999999994</v>
      </c>
      <c r="M20" s="117">
        <f t="shared" si="5"/>
        <v>4910.4639999999999</v>
      </c>
      <c r="N20" s="117">
        <f t="shared" si="0"/>
        <v>1080.3020799999999</v>
      </c>
      <c r="O20" s="118">
        <f t="shared" si="6"/>
        <v>149.76915199999999</v>
      </c>
      <c r="P20" s="119">
        <f t="shared" si="1"/>
        <v>6140.5352319999993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03">
        <f t="shared" si="3"/>
        <v>203.39200000000002</v>
      </c>
      <c r="L21" s="104">
        <f t="shared" si="4"/>
        <v>697.34399999999994</v>
      </c>
      <c r="M21" s="117">
        <f t="shared" si="5"/>
        <v>4910.4639999999999</v>
      </c>
      <c r="N21" s="117">
        <f t="shared" si="0"/>
        <v>1080.3020799999999</v>
      </c>
      <c r="O21" s="118">
        <f t="shared" si="6"/>
        <v>149.76915199999999</v>
      </c>
      <c r="P21" s="119">
        <f t="shared" si="1"/>
        <v>6140.5352319999993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03">
        <f>I22*8.6%</f>
        <v>269.9024</v>
      </c>
      <c r="L22" s="119">
        <f>I22*5%</f>
        <v>156.92000000000004</v>
      </c>
      <c r="M22" s="117">
        <f t="shared" si="5"/>
        <v>2711.5776000000005</v>
      </c>
      <c r="N22" s="117">
        <f t="shared" si="0"/>
        <v>596.54707200000007</v>
      </c>
      <c r="O22" s="118">
        <f t="shared" si="6"/>
        <v>82.703116800000032</v>
      </c>
      <c r="P22" s="119">
        <f t="shared" si="1"/>
        <v>3390.8277888000007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360</v>
      </c>
      <c r="I25" s="136">
        <f t="shared" si="9"/>
        <v>21459.850000000002</v>
      </c>
      <c r="J25" s="137"/>
      <c r="K25" s="138">
        <f t="shared" si="9"/>
        <v>911.1531500000001</v>
      </c>
      <c r="L25" s="139">
        <f t="shared" si="9"/>
        <v>2355.4940000000001</v>
      </c>
      <c r="M25" s="140">
        <f t="shared" si="9"/>
        <v>18193.202850000001</v>
      </c>
      <c r="N25" s="141">
        <f>SUM(N16:N24)</f>
        <v>4002.5046270000003</v>
      </c>
      <c r="O25" s="142">
        <f>SUM(O16:O24)</f>
        <v>554.89268692500013</v>
      </c>
      <c r="P25" s="143">
        <f>SUM(P16:P24)</f>
        <v>22750.600163924999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21459.850000000002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2355.4940000000001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911.1531500000001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18193.202850000001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4002.5046270000003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22195.707477000004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554.89268692500013</v>
      </c>
    </row>
    <row r="35" spans="2:16" ht="15.75" customHeight="1" thickBot="1" x14ac:dyDescent="0.4">
      <c r="N35" s="229" t="s">
        <v>92</v>
      </c>
      <c r="O35" s="230"/>
      <c r="P35" s="159">
        <f>P33+P34</f>
        <v>22750.600163925003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2026-07-13T12:36:56Z</dcterms:modified>
</cp:coreProperties>
</file>