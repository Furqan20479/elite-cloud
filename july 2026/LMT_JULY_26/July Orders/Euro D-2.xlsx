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92C8BFA-7912-4508-BDB5-E1AD63BF2A8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K21" i="33" s="1"/>
  <c r="I24" i="33"/>
  <c r="I16" i="35"/>
  <c r="K16" i="35" s="1"/>
  <c r="I17" i="35"/>
  <c r="K17" i="35" s="1"/>
  <c r="I18" i="35"/>
  <c r="K18" i="35" s="1"/>
  <c r="I19" i="35"/>
  <c r="K19" i="35" s="1"/>
  <c r="I20" i="35"/>
  <c r="K20" i="35" s="1"/>
  <c r="I21" i="35"/>
  <c r="K21" i="35" s="1"/>
  <c r="I22" i="35"/>
  <c r="I23" i="35"/>
  <c r="I24" i="35"/>
  <c r="K22" i="35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5" i="28" s="1"/>
  <c r="P28" i="28" s="1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K23" i="34" s="1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L16" i="35"/>
  <c r="L18" i="35"/>
  <c r="M18" i="35" s="1"/>
  <c r="L19" i="35"/>
  <c r="L20" i="35"/>
  <c r="K23" i="35"/>
  <c r="L23" i="35"/>
  <c r="K24" i="35"/>
  <c r="L24" i="35"/>
  <c r="L16" i="34"/>
  <c r="L17" i="34"/>
  <c r="L18" i="34"/>
  <c r="L21" i="34"/>
  <c r="L21" i="33"/>
  <c r="L20" i="33"/>
  <c r="K24" i="33"/>
  <c r="L24" i="33"/>
  <c r="M17" i="33"/>
  <c r="K24" i="32"/>
  <c r="L24" i="32"/>
  <c r="L16" i="32"/>
  <c r="L19" i="32"/>
  <c r="L20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19" i="33" l="1"/>
  <c r="K19" i="33"/>
  <c r="L18" i="31"/>
  <c r="K18" i="31"/>
  <c r="M18" i="31" s="1"/>
  <c r="N18" i="31" s="1"/>
  <c r="O18" i="31" s="1"/>
  <c r="L17" i="32"/>
  <c r="I25" i="35"/>
  <c r="P28" i="35" s="1"/>
  <c r="I25" i="32"/>
  <c r="P28" i="32" s="1"/>
  <c r="L21" i="32"/>
  <c r="L21" i="35"/>
  <c r="L17" i="35"/>
  <c r="M17" i="35" s="1"/>
  <c r="L16" i="33"/>
  <c r="K16" i="33"/>
  <c r="K25" i="33" s="1"/>
  <c r="P30" i="33" s="1"/>
  <c r="M23" i="30"/>
  <c r="M22" i="35"/>
  <c r="K22" i="34"/>
  <c r="L22" i="34"/>
  <c r="L22" i="32"/>
  <c r="K22" i="32"/>
  <c r="K25" i="32" s="1"/>
  <c r="P30" i="32" s="1"/>
  <c r="K22" i="27"/>
  <c r="L22" i="27"/>
  <c r="K22" i="29"/>
  <c r="L22" i="29"/>
  <c r="K22" i="33"/>
  <c r="L22" i="33"/>
  <c r="K22" i="31"/>
  <c r="L22" i="31"/>
  <c r="K22" i="30"/>
  <c r="L22" i="30"/>
  <c r="L25" i="30" s="1"/>
  <c r="P29" i="30" s="1"/>
  <c r="K22" i="28"/>
  <c r="L22" i="28"/>
  <c r="K23" i="28"/>
  <c r="M23" i="28" s="1"/>
  <c r="K23" i="29"/>
  <c r="M23" i="29" s="1"/>
  <c r="N23" i="29" s="1"/>
  <c r="O23" i="29" s="1"/>
  <c r="L19" i="30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M18" i="28" s="1"/>
  <c r="N18" i="28" s="1"/>
  <c r="O18" i="28" s="1"/>
  <c r="P18" i="28" s="1"/>
  <c r="L18" i="29"/>
  <c r="M24" i="30"/>
  <c r="L18" i="30"/>
  <c r="L18" i="32"/>
  <c r="L25" i="32" s="1"/>
  <c r="P29" i="32" s="1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19" i="34" s="1"/>
  <c r="N19" i="34" s="1"/>
  <c r="O19" i="34" s="1"/>
  <c r="M24" i="35"/>
  <c r="N24" i="35" s="1"/>
  <c r="O24" i="35" s="1"/>
  <c r="P24" i="35" s="1"/>
  <c r="L18" i="33"/>
  <c r="M18" i="33" s="1"/>
  <c r="I25" i="30"/>
  <c r="P28" i="30" s="1"/>
  <c r="M24" i="31"/>
  <c r="P24" i="31" s="1"/>
  <c r="M24" i="33"/>
  <c r="M23" i="35"/>
  <c r="M23" i="33"/>
  <c r="N23" i="33" s="1"/>
  <c r="O23" i="33" s="1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K23" i="26" s="1"/>
  <c r="I24" i="26"/>
  <c r="L24" i="26" s="1"/>
  <c r="I21" i="27"/>
  <c r="K21" i="27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1" i="33"/>
  <c r="N21" i="33" s="1"/>
  <c r="O21" i="33" s="1"/>
  <c r="M19" i="33"/>
  <c r="N19" i="33" s="1"/>
  <c r="O19" i="33" s="1"/>
  <c r="M19" i="28"/>
  <c r="M16" i="29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4"/>
  <c r="N18" i="34" s="1"/>
  <c r="O18" i="34" s="1"/>
  <c r="P18" i="34" s="1"/>
  <c r="M16" i="30"/>
  <c r="N16" i="30" s="1"/>
  <c r="M20" i="30"/>
  <c r="N20" i="30" s="1"/>
  <c r="O20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3"/>
  <c r="O24" i="33" s="1"/>
  <c r="N18" i="33"/>
  <c r="O18" i="33" s="1"/>
  <c r="N17" i="33"/>
  <c r="O17" i="33" s="1"/>
  <c r="N17" i="32"/>
  <c r="O17" i="32" s="1"/>
  <c r="N23" i="32"/>
  <c r="O23" i="32" s="1"/>
  <c r="N21" i="31"/>
  <c r="O21" i="31" s="1"/>
  <c r="N24" i="31"/>
  <c r="O24" i="31" s="1"/>
  <c r="N17" i="31"/>
  <c r="O17" i="31" s="1"/>
  <c r="M16" i="31"/>
  <c r="N19" i="31"/>
  <c r="O19" i="31" s="1"/>
  <c r="N21" i="30"/>
  <c r="O21" i="30" s="1"/>
  <c r="N24" i="30"/>
  <c r="O24" i="30" s="1"/>
  <c r="P24" i="30" s="1"/>
  <c r="N23" i="30"/>
  <c r="O23" i="30" s="1"/>
  <c r="N16" i="29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L25" i="34" l="1"/>
  <c r="P29" i="34" s="1"/>
  <c r="L23" i="26"/>
  <c r="M16" i="33"/>
  <c r="M25" i="33" s="1"/>
  <c r="M22" i="34"/>
  <c r="N22" i="34" s="1"/>
  <c r="O22" i="34" s="1"/>
  <c r="L25" i="28"/>
  <c r="P29" i="28" s="1"/>
  <c r="L25" i="31"/>
  <c r="P29" i="31" s="1"/>
  <c r="L19" i="26"/>
  <c r="M19" i="26" s="1"/>
  <c r="N19" i="26" s="1"/>
  <c r="O19" i="26" s="1"/>
  <c r="K25" i="31"/>
  <c r="P30" i="31" s="1"/>
  <c r="P31" i="31" s="1"/>
  <c r="M24" i="26"/>
  <c r="L20" i="26"/>
  <c r="K20" i="26"/>
  <c r="K25" i="29"/>
  <c r="P30" i="29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1" i="34"/>
  <c r="O16" i="34"/>
  <c r="P19" i="34"/>
  <c r="P18" i="33"/>
  <c r="P19" i="33"/>
  <c r="P20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N23" i="27"/>
  <c r="O23" i="27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16" i="33" l="1"/>
  <c r="P22" i="34"/>
  <c r="M25" i="34"/>
  <c r="L25" i="26"/>
  <c r="P29" i="26" s="1"/>
  <c r="I16" i="22"/>
  <c r="K16" i="22" s="1"/>
  <c r="I17" i="22"/>
  <c r="K17" i="22" s="1"/>
  <c r="I18" i="22"/>
  <c r="K18" i="22" s="1"/>
  <c r="I19" i="22"/>
  <c r="K19" i="22" s="1"/>
  <c r="I20" i="22"/>
  <c r="K20" i="22" s="1"/>
  <c r="I21" i="22"/>
  <c r="K21" i="22" s="1"/>
  <c r="I22" i="22"/>
  <c r="P31" i="29"/>
  <c r="P33" i="29" s="1"/>
  <c r="P34" i="29" s="1"/>
  <c r="P35" i="29" s="1"/>
  <c r="U27" i="15" s="1"/>
  <c r="M25" i="28"/>
  <c r="M22" i="26"/>
  <c r="N22" i="26" s="1"/>
  <c r="O22" i="26" s="1"/>
  <c r="P22" i="26" s="1"/>
  <c r="K25" i="26"/>
  <c r="P30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K23" i="25" s="1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K24" i="19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20" i="25"/>
  <c r="K24" i="25"/>
  <c r="L17" i="25"/>
  <c r="L23" i="25"/>
  <c r="L23" i="23"/>
  <c r="K23" i="23"/>
  <c r="L16" i="22"/>
  <c r="L18" i="22"/>
  <c r="L20" i="22"/>
  <c r="L17" i="22"/>
  <c r="L19" i="22"/>
  <c r="L21" i="22"/>
  <c r="L24" i="20"/>
  <c r="L20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20" l="1"/>
  <c r="K16" i="20"/>
  <c r="L18" i="23"/>
  <c r="K18" i="23"/>
  <c r="L16" i="18"/>
  <c r="K16" i="18"/>
  <c r="L16" i="19"/>
  <c r="K16" i="19"/>
  <c r="L19" i="24"/>
  <c r="K19" i="24"/>
  <c r="L16" i="25"/>
  <c r="L21" i="17"/>
  <c r="K21" i="17"/>
  <c r="L16" i="23"/>
  <c r="K16" i="23"/>
  <c r="L19" i="19"/>
  <c r="M19" i="19" s="1"/>
  <c r="N19" i="19" s="1"/>
  <c r="O19" i="19" s="1"/>
  <c r="K19" i="19"/>
  <c r="P31" i="26"/>
  <c r="L20" i="20"/>
  <c r="K20" i="20"/>
  <c r="L17" i="23"/>
  <c r="K17" i="23"/>
  <c r="L18" i="19"/>
  <c r="K18" i="19"/>
  <c r="L17" i="21"/>
  <c r="K17" i="21"/>
  <c r="L21" i="24"/>
  <c r="K21" i="24"/>
  <c r="K25" i="24" s="1"/>
  <c r="P30" i="24" s="1"/>
  <c r="L17" i="24"/>
  <c r="K17" i="24"/>
  <c r="L18" i="18"/>
  <c r="K18" i="18"/>
  <c r="M18" i="18" s="1"/>
  <c r="N18" i="18" s="1"/>
  <c r="O18" i="18" s="1"/>
  <c r="L21" i="18"/>
  <c r="K23" i="20"/>
  <c r="L18" i="25"/>
  <c r="L16" i="21"/>
  <c r="K16" i="21"/>
  <c r="L20" i="23"/>
  <c r="K20" i="23"/>
  <c r="L17" i="18"/>
  <c r="M17" i="18" s="1"/>
  <c r="N17" i="18" s="1"/>
  <c r="O17" i="18" s="1"/>
  <c r="K17" i="18"/>
  <c r="L17" i="19"/>
  <c r="K17" i="19"/>
  <c r="L21" i="25"/>
  <c r="K21" i="25"/>
  <c r="L16" i="24"/>
  <c r="K16" i="24"/>
  <c r="L21" i="20"/>
  <c r="K21" i="20"/>
  <c r="L20" i="18"/>
  <c r="K20" i="18"/>
  <c r="L21" i="19"/>
  <c r="M21" i="19" s="1"/>
  <c r="K21" i="19"/>
  <c r="K22" i="23"/>
  <c r="L22" i="23"/>
  <c r="K22" i="17"/>
  <c r="L22" i="17"/>
  <c r="K22" i="21"/>
  <c r="L22" i="21"/>
  <c r="K22" i="19"/>
  <c r="L22" i="19"/>
  <c r="L22" i="20"/>
  <c r="K22" i="20"/>
  <c r="L22" i="24"/>
  <c r="K22" i="24"/>
  <c r="K22" i="18"/>
  <c r="L22" i="18"/>
  <c r="K22" i="25"/>
  <c r="K25" i="25" s="1"/>
  <c r="P30" i="25" s="1"/>
  <c r="L22" i="25"/>
  <c r="L24" i="17"/>
  <c r="K23" i="24"/>
  <c r="M23" i="24" s="1"/>
  <c r="N23" i="24" s="1"/>
  <c r="O23" i="24" s="1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M23" i="18" s="1"/>
  <c r="N23" i="18" s="1"/>
  <c r="O23" i="18" s="1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K25" i="22"/>
  <c r="P30" i="22" s="1"/>
  <c r="M21" i="25"/>
  <c r="N21" i="25" s="1"/>
  <c r="O21" i="25" s="1"/>
  <c r="P21" i="25" s="1"/>
  <c r="M16" i="25"/>
  <c r="N23" i="25"/>
  <c r="O23" i="25" s="1"/>
  <c r="P23" i="25" s="1"/>
  <c r="N24" i="24"/>
  <c r="O24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18" l="1"/>
  <c r="N22" i="18" s="1"/>
  <c r="O22" i="18" s="1"/>
  <c r="M22" i="25"/>
  <c r="N22" i="25" s="1"/>
  <c r="O22" i="25" s="1"/>
  <c r="M22" i="24"/>
  <c r="N22" i="24" s="1"/>
  <c r="O22" i="24" s="1"/>
  <c r="L25" i="19"/>
  <c r="P29" i="19" s="1"/>
  <c r="M22" i="17"/>
  <c r="N22" i="17" s="1"/>
  <c r="O22" i="17" s="1"/>
  <c r="K17" i="16"/>
  <c r="L17" i="16"/>
  <c r="L17" i="15" s="1"/>
  <c r="K16" i="16"/>
  <c r="K16" i="15" s="1"/>
  <c r="L16" i="16"/>
  <c r="L16" i="15" s="1"/>
  <c r="K19" i="16"/>
  <c r="L19" i="16"/>
  <c r="K21" i="16"/>
  <c r="L21" i="16"/>
  <c r="L21" i="15" s="1"/>
  <c r="K20" i="16"/>
  <c r="L20" i="16"/>
  <c r="L18" i="16"/>
  <c r="L18" i="15" s="1"/>
  <c r="K18" i="16"/>
  <c r="K18" i="15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M23" i="22"/>
  <c r="N23" i="22" s="1"/>
  <c r="O23" i="22" s="1"/>
  <c r="K25" i="19"/>
  <c r="P30" i="19" s="1"/>
  <c r="L19" i="15"/>
  <c r="M19" i="18"/>
  <c r="N19" i="18" s="1"/>
  <c r="O19" i="18" s="1"/>
  <c r="L25" i="24"/>
  <c r="P29" i="24" s="1"/>
  <c r="P31" i="24" s="1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4" i="16" l="1"/>
  <c r="N24" i="16" s="1"/>
  <c r="M25" i="22"/>
  <c r="P23" i="22"/>
  <c r="P31" i="19"/>
  <c r="M21" i="15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33" i="19" l="1"/>
  <c r="P34" i="19" s="1"/>
  <c r="P35" i="19" s="1"/>
  <c r="U16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<sst xmlns="http://schemas.openxmlformats.org/spreadsheetml/2006/main" count="1651" uniqueCount="123">
  <si>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</si>
  <si>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</si>
  <si>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</si>
  <si>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</si>
  <si>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</si>
  <si>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</si>
  <si>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</si>
  <si>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</si>
  <si>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</si>
  <si>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</si>
  <si>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</si>
  <si>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</si>
  <si>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</si>
  <si>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</si>
  <si>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</si>
  <si>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</si>
  <si>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</si>
  <si>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</si>
  <si>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</si>
  <si>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</si>
  <si>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</si>
  <si>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</si>
  <si>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</si>
  <si>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</si>
  <si>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</si>
  <si>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</si>
  <si>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</si>
  <si>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</si>
  <si>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</si>
  <si>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</si>
  <si>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</si>
  <si>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</si>
  <si>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</si>
  <si>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</si>
  <si>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</si>
  <si>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</si>
  <si>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</si>
  <si>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</si>
  <si>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</si>
  <si>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</si>
  <si>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</si>
  <si>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</si>
  <si>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</si>
  <si>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</si>
  <si>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</si>
  <si>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</si>
  <si>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</si>
  <si>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</si>
  <si>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</si>
  <si>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</si>
  <si>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</si>
  <si>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</si>
  <si>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</si>
  <si>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</si>
  <si>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</si>
  <si>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</si>
  <si>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</si>
  <si>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</si>
  <si>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</si>
  <si>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</si>
  <si>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</si>
  <si>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</si>
  <si>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</si>
  <si>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</si>
  <si>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</si>
  <si>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</si>
  <si>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</si>
  <si>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</si>
  <si>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</si>
  <si>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</si>
  <si>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</si>
  <si>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</si>
  <si>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</si>
  <si>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</si>
  <si>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</si>
  <si>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</si>
  <si>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</si>
  <si>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</si>
  <si>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</si>
  <si>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</si>
  <si>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</si>
  <si>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</si>
  <si>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</si>
  <si>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</si>
  <si>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</si>
  <si>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</si>
  <si>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</si>
  <si>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</si>
  <si>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</si>
  <si>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</si>
  <si>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</si>
  <si>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</si>
  <si>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</si>
  <si>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</si>
  <si>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</si>
  <si>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</si>
  <si>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</si>
  <si>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</si>
  <si>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</si>
  <si>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</si>
  <si>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</si>
  <si>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</si>
  <si>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Vacant_01</t>
  </si>
  <si>
    <t>Shop Bill Summary (Vacant_01)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</si>
  <si>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</si>
  <si>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</si>
  <si>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</si>
  <si>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</si>
  <si>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</si>
  <si>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</si>
  <si>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</si>
  <si>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</si>
  <si>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</si>
  <si>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</si>
  <si>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</si>
  <si>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</si>
  <si>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</si>
  <si>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</si>
  <si>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</si>
  <si>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</si>
  <si>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Customer Name : Euro D-2</t>
  </si>
  <si>
    <t>Address: Wapda Town</t>
  </si>
  <si>
    <t>4890950-8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</si>
</sst>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8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4"/>
      <c r="B3" s="194"/>
      <c r="C3" s="194"/>
      <c r="D3" s="194"/>
      <c r="E3" s="194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</row>
    <row r="4" spans="1:29" x14ac:dyDescent="0.35">
      <c r="A4" s="196" t="s">
        <v>6</v>
      </c>
      <c r="B4" s="5" t="s">
        <v>7</v>
      </c>
      <c r="C4" s="5"/>
      <c r="D4" s="198" t="s">
        <v>8</v>
      </c>
      <c r="E4" s="200" t="s">
        <v>9</v>
      </c>
      <c r="F4" s="202" t="s">
        <v>3</v>
      </c>
      <c r="G4" s="202"/>
      <c r="H4" s="203" t="s">
        <v>10</v>
      </c>
      <c r="I4" s="203"/>
      <c r="J4" s="204" t="s">
        <v>11</v>
      </c>
      <c r="K4" s="205"/>
      <c r="L4" s="204" t="s">
        <v>12</v>
      </c>
      <c r="M4" s="205"/>
      <c r="N4" s="206" t="s">
        <v>13</v>
      </c>
      <c r="O4" s="206"/>
      <c r="P4" s="204" t="s">
        <v>4</v>
      </c>
      <c r="Q4" s="205"/>
      <c r="R4" s="204" t="s">
        <v>14</v>
      </c>
      <c r="S4" s="205"/>
      <c r="T4" s="207" t="s">
        <v>15</v>
      </c>
      <c r="U4" s="207"/>
      <c r="V4" s="208" t="s">
        <v>16</v>
      </c>
      <c r="W4" s="209"/>
      <c r="X4" s="208" t="s">
        <v>17</v>
      </c>
      <c r="Y4" s="209"/>
    </row>
    <row r="5" spans="1:29" ht="26.25" customHeight="1" thickBot="1" x14ac:dyDescent="0.4">
      <c r="A5" s="197"/>
      <c r="B5" s="7" t="s">
        <v>18</v>
      </c>
      <c r="C5" s="7" t="s">
        <v>8</v>
      </c>
      <c r="D5" s="199"/>
      <c r="E5" s="20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25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6" t="s">
        <v>45</v>
      </c>
      <c r="B2" s="256"/>
      <c r="C2" s="256"/>
    </row>
    <row r="3" spans="1:21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5" t="s">
        <v>102</v>
      </c>
      <c r="B5" s="255"/>
      <c r="C5" s="255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21 16383:16384" ht="15" customHeight="1" x14ac:dyDescent="0.35">
      <c r="A6" s="255"/>
      <c r="B6" s="255"/>
      <c r="C6" s="255"/>
      <c r="F6" s="70"/>
      <c r="G6" s="74"/>
      <c r="K6" s="240" t="s">
        <v>52</v>
      </c>
      <c r="L6" s="240"/>
      <c r="M6" s="240"/>
      <c r="N6" s="253" t="s">
        <v>42</v>
      </c>
      <c r="O6" s="253"/>
      <c r="P6" s="25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1 16383:16384" hidden="1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1 16383:16384" x14ac:dyDescent="0.35">
      <c r="A10" s="238"/>
      <c r="B10" s="75"/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1 16383:16384" ht="15" thickBot="1" x14ac:dyDescent="0.4">
      <c r="A11" s="238"/>
      <c r="B11" s="76"/>
      <c r="C11" s="77"/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1 16383:16384" ht="14.65" customHeight="1" x14ac:dyDescent="0.35">
      <c r="A12" s="238"/>
      <c r="B12" s="76"/>
      <c r="C12" s="77"/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T12" s="210" t="s">
        <v>103</v>
      </c>
      <c r="U12" s="211"/>
      <c r="XFD12" t="s">
        <v>62</v>
      </c>
    </row>
    <row r="13" spans="1:21 16383:16384" ht="15" thickBot="1" x14ac:dyDescent="0.4">
      <c r="A13" s="239"/>
      <c r="J13" s="78"/>
      <c r="K13" s="78"/>
      <c r="L13" s="79">
        <v>0.05</v>
      </c>
      <c r="T13" s="212"/>
      <c r="U13" s="213"/>
      <c r="XFD13" t="s">
        <v>63</v>
      </c>
    </row>
    <row r="14" spans="1:21 16383:16384" ht="29.25" customHeight="1" x14ac:dyDescent="0.6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49" t="s">
        <v>69</v>
      </c>
      <c r="J14" s="249" t="s">
        <v>70</v>
      </c>
      <c r="K14" s="249"/>
      <c r="L14" s="251"/>
      <c r="M14" s="24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Euro D-2</v>
      </c>
      <c r="U14" s="164">
        <f>+'1'!P35</f>
        <v>66235.106191499988</v>
      </c>
      <c r="XFD14" t="s">
        <v>75</v>
      </c>
    </row>
    <row r="15" spans="1:21 16383:16384" ht="29.25" customHeight="1" thickBot="1" x14ac:dyDescent="0.65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50"/>
      <c r="J15" s="171" t="s">
        <v>78</v>
      </c>
      <c r="K15" s="171" t="s">
        <v>79</v>
      </c>
      <c r="L15" s="174" t="s">
        <v>80</v>
      </c>
      <c r="M15" s="24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Euro D-2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200</v>
      </c>
      <c r="I16" s="1">
        <f>(G16*D16)*F16+H16*F16</f>
        <v>10492.5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367.23750000000001</v>
      </c>
      <c r="L16" s="175">
        <f>+'1'!L16+'2'!L16+'4'!L16+'3'!L16+'5'!L16+'6'!L16+'7'!L16+'8'!L16+'9'!L16+'10'!L16</f>
        <v>1049.25</v>
      </c>
      <c r="M16" s="106">
        <f>I16-K16-L16</f>
        <v>9076.0125000000007</v>
      </c>
      <c r="N16" s="101">
        <f>+'1'!N16+'2'!N16+'4'!N16+'3'!N16+'5'!N16+'6'!N16+'7'!N16+'8'!N16+'9'!N16+'10'!N16</f>
        <v>1633.6822500000001</v>
      </c>
      <c r="O16" s="101">
        <f>+'1'!O16+'2'!O16+'4'!O16+'3'!O16+'5'!O16+'6'!O16+'7'!O16+'8'!O16+'9'!O16+'10'!O16</f>
        <v>53.548473750000007</v>
      </c>
      <c r="P16" s="105">
        <f t="shared" ref="P16:P24" si="0">M16+N16+O16</f>
        <v>10763.24322375</v>
      </c>
      <c r="Q16" s="108"/>
      <c r="T16" s="163" t="str">
        <f>+'3'!A5</f>
        <v>Customer Name : Euro D-2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200</v>
      </c>
      <c r="I17" s="1">
        <f t="shared" ref="I17:I23" si="1">(G17*D17)*F17+H17*F17</f>
        <v>10492.5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367.23750000000001</v>
      </c>
      <c r="L17" s="175">
        <f>+'1'!L17+'2'!L17+'4'!L17+'3'!L17+'5'!L17+'6'!L17+'7'!L17+'8'!L17+'9'!L17+'10'!L17</f>
        <v>1049.25</v>
      </c>
      <c r="M17" s="118">
        <f t="shared" ref="M17:M23" si="2">I17-K17-L17</f>
        <v>9076.0125000000007</v>
      </c>
      <c r="N17" s="101">
        <f>+'1'!N17+'2'!N17+'4'!N17+'3'!N17+'5'!N17+'6'!N17+'7'!N17+'8'!N17+'9'!N17+'10'!N17</f>
        <v>1633.6822500000001</v>
      </c>
      <c r="O17" s="101">
        <f>+'1'!O17+'2'!O17+'4'!O17+'3'!O17+'5'!O17+'6'!O17+'7'!O17+'8'!O17+'9'!O17+'10'!O17</f>
        <v>53.548473750000007</v>
      </c>
      <c r="P17" s="120">
        <f t="shared" si="0"/>
        <v>10763.24322375</v>
      </c>
      <c r="S17" s="64"/>
      <c r="T17" s="163" t="str">
        <f>+'4'!A5</f>
        <v>Customer Name : Euro D-2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Euro D-2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200</v>
      </c>
      <c r="I19" s="1">
        <f t="shared" si="1"/>
        <v>14528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508.48000000000008</v>
      </c>
      <c r="L19" s="175">
        <f>+'1'!L19+'2'!L19+'4'!L19+'3'!L19+'5'!L19+'6'!L19+'7'!L19+'8'!L19+'9'!L19+'10'!L19</f>
        <v>1452.8000000000002</v>
      </c>
      <c r="M19" s="118">
        <f t="shared" si="2"/>
        <v>12566.720000000001</v>
      </c>
      <c r="N19" s="101">
        <f>+'1'!N19+'2'!N19+'4'!N19+'3'!N19+'5'!N19+'6'!N19+'7'!N19+'8'!N19+'9'!N19+'10'!N19</f>
        <v>2262.0096000000003</v>
      </c>
      <c r="O19" s="101">
        <f>+'1'!O19+'2'!O19+'4'!O19+'3'!O19+'5'!O19+'6'!O19+'7'!O19+'8'!O19+'9'!O19+'10'!O19</f>
        <v>74.143648000000013</v>
      </c>
      <c r="P19" s="120">
        <f t="shared" si="0"/>
        <v>14902.873248000002</v>
      </c>
      <c r="T19" s="163" t="str">
        <f>+'6'!A5</f>
        <v>Customer Name : Euro D-2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200</v>
      </c>
      <c r="I20" s="1">
        <f t="shared" si="1"/>
        <v>14528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508.48000000000008</v>
      </c>
      <c r="L20" s="175">
        <f>+'1'!L20+'2'!L20+'4'!L20+'3'!L20+'5'!L20+'6'!L20+'7'!L20+'8'!L20+'9'!L20+'10'!L20</f>
        <v>1452.8000000000002</v>
      </c>
      <c r="M20" s="118">
        <f t="shared" si="2"/>
        <v>12566.720000000001</v>
      </c>
      <c r="N20" s="101">
        <f>+'1'!N20+'2'!N20+'4'!N20+'3'!N20+'5'!N20+'6'!N20+'7'!N20+'8'!N20+'9'!N20+'10'!N20</f>
        <v>2262.0096000000003</v>
      </c>
      <c r="O20" s="101">
        <f>+'1'!O20+'2'!O20+'4'!O20+'3'!O20+'5'!O20+'6'!O20+'7'!O20+'8'!O20+'9'!O20+'10'!O20</f>
        <v>74.143648000000013</v>
      </c>
      <c r="P20" s="120">
        <f t="shared" si="0"/>
        <v>14902.873248000002</v>
      </c>
      <c r="T20" s="163" t="str">
        <f>+'7'!A5</f>
        <v>Customer Name : Euro D-2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200</v>
      </c>
      <c r="I21" s="1">
        <f t="shared" si="1"/>
        <v>14528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508.48000000000008</v>
      </c>
      <c r="L21" s="175">
        <f>+'1'!L21+'2'!L21+'4'!L21+'3'!L21+'5'!L21+'6'!L21+'7'!L21+'8'!L21+'9'!L21+'10'!L21</f>
        <v>1452.8000000000002</v>
      </c>
      <c r="M21" s="118">
        <f t="shared" si="2"/>
        <v>12566.720000000001</v>
      </c>
      <c r="N21" s="101">
        <f>+'1'!N21+'2'!N21+'4'!N21+'3'!N21+'5'!N21+'6'!N21+'7'!N21+'8'!N21+'9'!N21+'10'!N21</f>
        <v>2262.0096000000003</v>
      </c>
      <c r="O21" s="101">
        <f>+'1'!O21+'2'!O21+'4'!O21+'3'!O21+'5'!O21+'6'!O21+'7'!O21+'8'!O21+'9'!O21+'10'!O21</f>
        <v>74.143648000000013</v>
      </c>
      <c r="P21" s="120">
        <f t="shared" si="0"/>
        <v>14902.873248000002</v>
      </c>
      <c r="T21" s="163" t="str">
        <f>+'8'!A5</f>
        <v>Customer Name : Euro D-2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Euro D-2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Euro D-2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Euro D-2</v>
      </c>
      <c r="U24" s="164">
        <f>+'11'!P35</f>
        <v>0</v>
      </c>
    </row>
    <row r="25" spans="1:21 16384:16384" ht="26.5" thickBot="1" x14ac:dyDescent="0.65">
      <c r="A25" s="220" t="s">
        <v>84</v>
      </c>
      <c r="B25" s="221"/>
      <c r="C25" s="222">
        <f>H25/40</f>
        <v>25</v>
      </c>
      <c r="D25" s="216"/>
      <c r="E25" s="216"/>
      <c r="F25" s="216"/>
      <c r="G25" s="176">
        <f t="shared" ref="G25:M25" si="3">SUM(G16:G24)</f>
        <v>0</v>
      </c>
      <c r="H25" s="177">
        <f t="shared" si="3"/>
        <v>1000</v>
      </c>
      <c r="I25" s="178">
        <f t="shared" si="3"/>
        <v>64569</v>
      </c>
      <c r="J25" s="177">
        <f t="shared" si="3"/>
        <v>0</v>
      </c>
      <c r="K25" s="178">
        <f t="shared" si="3"/>
        <v>2259.9150000000004</v>
      </c>
      <c r="L25" s="179">
        <f t="shared" si="3"/>
        <v>6456.9000000000005</v>
      </c>
      <c r="M25" s="141">
        <f t="shared" si="3"/>
        <v>55852.185000000005</v>
      </c>
      <c r="N25" s="142">
        <f>SUM(N16:N24)</f>
        <v>10053.393300000002</v>
      </c>
      <c r="O25" s="143">
        <f>SUM(O16:O24)</f>
        <v>329.52789150000007</v>
      </c>
      <c r="P25" s="144">
        <f>SUM(P16:P24)</f>
        <v>66235.106191500003</v>
      </c>
      <c r="T25" s="163" t="str">
        <f>+'12'!A5</f>
        <v>Customer Name : Euro D-2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>Customer Name : Euro D-2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>Customer Name : Euro D-2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>Customer Name : Euro D-2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>Customer Name : Euro D-2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>Customer Name : Euro D-2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>Customer Name : Euro D-2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>Customer Name : Euro D-2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>Customer Name : Euro D-2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66235.106191499988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3" t="s">
        <v>85</v>
      </c>
      <c r="C36" s="224"/>
      <c r="D36" s="224"/>
      <c r="E36" s="224"/>
      <c r="F36" s="224"/>
      <c r="G36" s="224"/>
      <c r="H36" s="224"/>
      <c r="I36" s="224"/>
      <c r="J36" s="224"/>
      <c r="K36" s="224"/>
      <c r="L36" s="225"/>
      <c r="N36" s="232" t="s">
        <v>86</v>
      </c>
      <c r="O36" s="233"/>
      <c r="P36" s="152">
        <f>I25</f>
        <v>64569</v>
      </c>
    </row>
    <row r="37" spans="1:21" ht="15" customHeight="1" x14ac:dyDescent="0.35">
      <c r="B37" s="226"/>
      <c r="C37" s="227"/>
      <c r="D37" s="227"/>
      <c r="E37" s="227"/>
      <c r="F37" s="227"/>
      <c r="G37" s="227"/>
      <c r="H37" s="227"/>
      <c r="I37" s="227"/>
      <c r="J37" s="227"/>
      <c r="K37" s="227"/>
      <c r="L37" s="228"/>
      <c r="N37" s="234" t="s">
        <v>87</v>
      </c>
      <c r="O37" s="235"/>
      <c r="P37" s="153">
        <f>L25</f>
        <v>6456.9000000000005</v>
      </c>
    </row>
    <row r="38" spans="1:21" ht="15" customHeight="1" x14ac:dyDescent="0.35">
      <c r="B38" s="226"/>
      <c r="C38" s="227"/>
      <c r="D38" s="227"/>
      <c r="E38" s="227"/>
      <c r="F38" s="227"/>
      <c r="G38" s="227"/>
      <c r="H38" s="227"/>
      <c r="I38" s="227"/>
      <c r="J38" s="227"/>
      <c r="K38" s="227"/>
      <c r="L38" s="228"/>
      <c r="N38" s="234" t="s">
        <v>4</v>
      </c>
      <c r="O38" s="235"/>
      <c r="P38" s="154">
        <f>K25</f>
        <v>2259.9150000000004</v>
      </c>
    </row>
    <row r="39" spans="1:21" ht="15" customHeight="1" x14ac:dyDescent="0.35">
      <c r="B39" s="226"/>
      <c r="C39" s="227"/>
      <c r="D39" s="227"/>
      <c r="E39" s="227"/>
      <c r="F39" s="227"/>
      <c r="G39" s="227"/>
      <c r="H39" s="227"/>
      <c r="I39" s="227"/>
      <c r="J39" s="227"/>
      <c r="K39" s="227"/>
      <c r="L39" s="228"/>
      <c r="M39" s="2"/>
      <c r="N39" s="234" t="s">
        <v>88</v>
      </c>
      <c r="O39" s="235"/>
      <c r="P39" s="153">
        <f>P36-P37-P38</f>
        <v>55852.184999999998</v>
      </c>
    </row>
    <row r="40" spans="1:21" ht="15" customHeight="1" x14ac:dyDescent="0.35">
      <c r="B40" s="226"/>
      <c r="C40" s="227"/>
      <c r="D40" s="227"/>
      <c r="E40" s="227"/>
      <c r="F40" s="227"/>
      <c r="G40" s="227"/>
      <c r="H40" s="227"/>
      <c r="I40" s="227"/>
      <c r="J40" s="227"/>
      <c r="K40" s="227"/>
      <c r="L40" s="228"/>
      <c r="M40" s="2"/>
      <c r="N40" s="155" t="s">
        <v>89</v>
      </c>
      <c r="O40" s="156">
        <f>IF(B12="Registered",18%,22%)</f>
        <v>0.22</v>
      </c>
      <c r="P40" s="153">
        <f>N25</f>
        <v>10053.393300000002</v>
      </c>
    </row>
    <row r="41" spans="1:21" ht="15" customHeight="1" x14ac:dyDescent="0.35">
      <c r="B41" s="226"/>
      <c r="C41" s="227"/>
      <c r="D41" s="227"/>
      <c r="E41" s="227"/>
      <c r="F41" s="227"/>
      <c r="G41" s="227"/>
      <c r="H41" s="227"/>
      <c r="I41" s="227"/>
      <c r="J41" s="227"/>
      <c r="K41" s="227"/>
      <c r="L41" s="228"/>
      <c r="M41" s="2"/>
      <c r="N41" s="236" t="s">
        <v>90</v>
      </c>
      <c r="O41" s="237"/>
      <c r="P41" s="153">
        <f>P39+P40</f>
        <v>65905.578299999994</v>
      </c>
    </row>
    <row r="42" spans="1:21" ht="15" customHeight="1" thickBot="1" x14ac:dyDescent="0.4">
      <c r="B42" s="229"/>
      <c r="C42" s="230"/>
      <c r="D42" s="230"/>
      <c r="E42" s="230"/>
      <c r="F42" s="230"/>
      <c r="G42" s="230"/>
      <c r="H42" s="230"/>
      <c r="I42" s="230"/>
      <c r="J42" s="230"/>
      <c r="K42" s="230"/>
      <c r="L42" s="231"/>
      <c r="M42" s="157"/>
      <c r="N42" s="158" t="s">
        <v>91</v>
      </c>
      <c r="O42" s="159">
        <f>IF(B11="Filer",0.5%,2.5%)</f>
        <v>2.5000000000000001E-2</v>
      </c>
      <c r="P42" s="153">
        <f>O42*P41</f>
        <v>1647.6394574999999</v>
      </c>
    </row>
    <row r="43" spans="1:21" ht="15.75" customHeight="1" thickBot="1" x14ac:dyDescent="0.4">
      <c r="N43" s="214" t="s">
        <v>92</v>
      </c>
      <c r="O43" s="215"/>
      <c r="P43" s="160">
        <f>P41+P42</f>
        <v>67553.217757499995</v>
      </c>
    </row>
    <row r="44" spans="1:21" ht="15" thickBot="1" x14ac:dyDescent="0.4">
      <c r="B44" s="161" t="s">
        <v>93</v>
      </c>
      <c r="C44" s="216"/>
      <c r="D44" s="216"/>
      <c r="E44" s="216"/>
      <c r="F44" s="216"/>
      <c r="G44" s="216"/>
      <c r="H44" s="216"/>
      <c r="I44" s="217"/>
      <c r="J44" s="218"/>
      <c r="K44" s="219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G11" sqref="G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6" t="s">
        <v>45</v>
      </c>
      <c r="B2" s="256"/>
      <c r="C2" s="256"/>
    </row>
    <row r="3" spans="1:26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26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101</v>
      </c>
      <c r="O6" s="253"/>
      <c r="P6" s="25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26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26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26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26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26 16383:16384" ht="15" thickBot="1" x14ac:dyDescent="0.4">
      <c r="A13" s="239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S14" s="257" t="s">
        <v>117</v>
      </c>
      <c r="T14" s="257"/>
      <c r="U14" s="257"/>
      <c r="V14" s="257"/>
      <c r="W14" s="258" t="s">
        <v>119</v>
      </c>
      <c r="X14" s="258"/>
      <c r="Y14" s="258"/>
      <c r="Z14" s="258"/>
      <c r="XFD14" t="s">
        <v>75</v>
      </c>
    </row>
    <row r="15" spans="1:26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193">
        <v>0.1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200</v>
      </c>
      <c r="I16" s="102">
        <f>(G16*D16)*F16+H16*F16</f>
        <v>10492.5</v>
      </c>
      <c r="J16" s="103"/>
      <c r="K16" s="104">
        <f>I16*3.5%</f>
        <v>367.23750000000001</v>
      </c>
      <c r="L16" s="105">
        <f>I16*10%</f>
        <v>1049.25</v>
      </c>
      <c r="M16" s="106">
        <f>I16-K16-L16</f>
        <v>9076.0125000000007</v>
      </c>
      <c r="N16" s="106">
        <f t="shared" ref="N16:N24" si="0">(M16*$N$15)+(J16*F16)*$N$15</f>
        <v>1633.6822500000001</v>
      </c>
      <c r="O16" s="107">
        <f t="shared" ref="O16:O24" si="1">(N16+M16)*$O$15</f>
        <v>53.548473750000007</v>
      </c>
      <c r="P16" s="105">
        <f t="shared" ref="P16:P24" si="2">M16+N16+O16</f>
        <v>10763.24322375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200</v>
      </c>
      <c r="I17" s="116">
        <f t="shared" ref="I17:I23" si="3">(G17*D17)*F17+H17*F17</f>
        <v>10492.5</v>
      </c>
      <c r="J17" s="117"/>
      <c r="K17" s="104">
        <f t="shared" ref="K17:K21" si="4">I17*3.5%</f>
        <v>367.23750000000001</v>
      </c>
      <c r="L17" s="105">
        <f t="shared" ref="L17:L21" si="5">I17*10%</f>
        <v>1049.25</v>
      </c>
      <c r="M17" s="118">
        <f t="shared" ref="M17:M23" si="6">I17-K17-L17</f>
        <v>9076.0125000000007</v>
      </c>
      <c r="N17" s="118">
        <f t="shared" si="0"/>
        <v>1633.6822500000001</v>
      </c>
      <c r="O17" s="119">
        <f t="shared" si="1"/>
        <v>53.548473750000007</v>
      </c>
      <c r="P17" s="120">
        <f t="shared" si="2"/>
        <v>10763.24322375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200</v>
      </c>
      <c r="I19" s="116">
        <f t="shared" si="3"/>
        <v>14528</v>
      </c>
      <c r="J19" s="117"/>
      <c r="K19" s="104">
        <f t="shared" si="4"/>
        <v>508.48000000000008</v>
      </c>
      <c r="L19" s="105">
        <f t="shared" si="5"/>
        <v>1452.8000000000002</v>
      </c>
      <c r="M19" s="118">
        <f t="shared" si="6"/>
        <v>12566.720000000001</v>
      </c>
      <c r="N19" s="118">
        <f t="shared" si="0"/>
        <v>2262.0096000000003</v>
      </c>
      <c r="O19" s="119">
        <f t="shared" si="1"/>
        <v>74.143648000000013</v>
      </c>
      <c r="P19" s="120">
        <f t="shared" si="2"/>
        <v>14902.873248000002</v>
      </c>
      <c r="S19" s="259" t="s">
        <v>118</v>
      </c>
      <c r="T19" s="259"/>
      <c r="U19" s="259"/>
      <c r="V19" s="259"/>
      <c r="W19" s="260" t="s">
        <v>116</v>
      </c>
      <c r="X19" s="260"/>
      <c r="Y19" s="260"/>
      <c r="Z19" s="260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200</v>
      </c>
      <c r="I20" s="116">
        <f t="shared" si="3"/>
        <v>14528</v>
      </c>
      <c r="J20" s="117"/>
      <c r="K20" s="104">
        <f t="shared" si="4"/>
        <v>508.48000000000008</v>
      </c>
      <c r="L20" s="105">
        <f t="shared" si="5"/>
        <v>1452.8000000000002</v>
      </c>
      <c r="M20" s="118">
        <f t="shared" si="6"/>
        <v>12566.720000000001</v>
      </c>
      <c r="N20" s="118">
        <f t="shared" si="0"/>
        <v>2262.0096000000003</v>
      </c>
      <c r="O20" s="119">
        <f t="shared" si="1"/>
        <v>74.143648000000013</v>
      </c>
      <c r="P20" s="120">
        <f t="shared" si="2"/>
        <v>14902.873248000002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200</v>
      </c>
      <c r="I21" s="116">
        <f t="shared" si="3"/>
        <v>14528</v>
      </c>
      <c r="J21" s="117"/>
      <c r="K21" s="104">
        <f t="shared" si="4"/>
        <v>508.48000000000008</v>
      </c>
      <c r="L21" s="105">
        <f t="shared" si="5"/>
        <v>1452.8000000000002</v>
      </c>
      <c r="M21" s="118">
        <f t="shared" si="6"/>
        <v>12566.720000000001</v>
      </c>
      <c r="N21" s="118">
        <f t="shared" si="0"/>
        <v>2262.0096000000003</v>
      </c>
      <c r="O21" s="119">
        <f t="shared" si="1"/>
        <v>74.143648000000013</v>
      </c>
      <c r="P21" s="120">
        <f t="shared" si="2"/>
        <v>14902.873248000002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13">SUM(G16:G24)</f>
        <v>0</v>
      </c>
      <c r="H25" s="136">
        <f t="shared" si="13"/>
        <v>1000</v>
      </c>
      <c r="I25" s="137">
        <f t="shared" si="13"/>
        <v>64569</v>
      </c>
      <c r="J25" s="138"/>
      <c r="K25" s="139">
        <f t="shared" si="13"/>
        <v>2259.9150000000004</v>
      </c>
      <c r="L25" s="140">
        <f t="shared" si="13"/>
        <v>6456.9000000000005</v>
      </c>
      <c r="M25" s="141">
        <f t="shared" si="13"/>
        <v>55852.185000000005</v>
      </c>
      <c r="N25" s="142">
        <f>SUM(N16:N24)</f>
        <v>10053.393300000002</v>
      </c>
      <c r="O25" s="143">
        <f>SUM(O16:O24)</f>
        <v>329.52789150000007</v>
      </c>
      <c r="P25" s="144">
        <f>SUM(P16:P24)</f>
        <v>66235.106191500003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64569</v>
      </c>
    </row>
    <row r="29" spans="1:26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6456.9000000000005</v>
      </c>
    </row>
    <row r="30" spans="1:26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2259.9150000000004</v>
      </c>
    </row>
    <row r="31" spans="1:26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55852.184999999998</v>
      </c>
    </row>
    <row r="32" spans="1:26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10053.393300000002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65905.578299999994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329.52789149999995</v>
      </c>
    </row>
    <row r="35" spans="2:16" ht="15.75" customHeight="1" thickBot="1" x14ac:dyDescent="0.4">
      <c r="N35" s="214" t="s">
        <v>92</v>
      </c>
      <c r="O35" s="215"/>
      <c r="P35" s="160">
        <f>P33+P34</f>
        <v>66235.106191499988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2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4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48</v>
      </c>
      <c r="C11" s="77" t="str">
        <f>IF($O34&gt;2.49%,"No","Yes")</f>
        <v>Yes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3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5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6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7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9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8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9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67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41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180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6" t="s">
        <v>45</v>
      </c>
      <c r="B2" s="256"/>
      <c r="C2" s="256"/>
    </row>
    <row r="3" spans="1:19 16383:16384" ht="15" customHeight="1" x14ac:dyDescent="0.35">
      <c r="A3" s="241" t="s">
        <v>46</v>
      </c>
      <c r="B3" s="241"/>
      <c r="C3" s="241"/>
      <c r="F3" s="70"/>
      <c r="G3" s="71"/>
      <c r="K3" s="240" t="s">
        <v>47</v>
      </c>
      <c r="L3" s="240"/>
      <c r="M3" s="240"/>
      <c r="N3" s="241">
        <v>10</v>
      </c>
      <c r="O3" s="241"/>
      <c r="P3" s="24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1" t="s">
        <v>94</v>
      </c>
      <c r="B4" s="241"/>
      <c r="C4" s="241"/>
      <c r="F4" s="70"/>
      <c r="G4" s="71"/>
      <c r="K4" s="240" t="s">
        <v>49</v>
      </c>
      <c r="L4" s="240"/>
      <c r="M4" s="240"/>
      <c r="N4" s="254">
        <f ca="1">TODAY()</f>
        <v>46225</v>
      </c>
      <c r="O4" s="254"/>
      <c r="P4" s="25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7" t="s">
        <v>120</v>
      </c>
      <c r="B5" s="267"/>
      <c r="C5" s="267"/>
      <c r="F5" s="70"/>
      <c r="G5" s="71"/>
      <c r="K5" s="240" t="s">
        <v>51</v>
      </c>
      <c r="L5" s="240"/>
      <c r="M5" s="240"/>
      <c r="N5" s="254">
        <f ca="1">N4-1</f>
        <v>46224</v>
      </c>
      <c r="O5" s="241"/>
      <c r="P5" s="241"/>
      <c r="R5" s="70"/>
      <c r="S5" s="71"/>
    </row>
    <row r="6" spans="1:19 16383:16384" ht="15" customHeight="1" x14ac:dyDescent="0.35">
      <c r="A6" s="240" t="s">
        <v>121</v>
      </c>
      <c r="B6" s="240"/>
      <c r="C6" s="240"/>
      <c r="F6" s="70"/>
      <c r="G6" s="74"/>
      <c r="K6" s="240" t="s">
        <v>52</v>
      </c>
      <c r="L6" s="240"/>
      <c r="M6" s="240"/>
      <c r="N6" s="253" t="s">
        <v>97</v>
      </c>
      <c r="O6" s="253"/>
      <c r="P6" s="25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40"/>
      <c r="B7" s="240"/>
      <c r="C7" s="240"/>
      <c r="F7" s="70"/>
      <c r="G7" s="74"/>
      <c r="K7" s="240"/>
      <c r="L7" s="240"/>
      <c r="M7" s="240"/>
      <c r="N7" s="253"/>
      <c r="O7" s="253"/>
      <c r="P7" s="25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2"/>
      <c r="B8" s="252"/>
      <c r="C8" s="252"/>
      <c r="F8" s="70"/>
      <c r="G8" s="74"/>
      <c r="K8" s="240"/>
      <c r="L8" s="240"/>
      <c r="M8" s="240"/>
      <c r="N8" s="253"/>
      <c r="O8" s="253"/>
      <c r="P8" s="253"/>
      <c r="R8" s="70"/>
      <c r="S8" s="74"/>
    </row>
    <row r="9" spans="1:19 16383:16384" x14ac:dyDescent="0.35">
      <c r="A9" s="252"/>
      <c r="B9" s="252"/>
      <c r="C9" s="252"/>
      <c r="F9" s="70"/>
      <c r="G9" s="74"/>
      <c r="K9" s="240"/>
      <c r="L9" s="240"/>
      <c r="M9" s="240"/>
      <c r="N9" s="253"/>
      <c r="O9" s="253"/>
      <c r="P9" s="253"/>
      <c r="R9" s="70"/>
      <c r="S9" s="74"/>
      <c r="XFD9" t="s">
        <v>55</v>
      </c>
    </row>
    <row r="10" spans="1:19 16383:16384" x14ac:dyDescent="0.35">
      <c r="A10" s="238" t="s">
        <v>95</v>
      </c>
      <c r="B10" s="75" t="s">
        <v>122</v>
      </c>
      <c r="C10" s="75"/>
      <c r="F10" s="70"/>
      <c r="G10" s="71"/>
      <c r="K10" s="240" t="s">
        <v>56</v>
      </c>
      <c r="L10" s="240"/>
      <c r="M10" s="240"/>
      <c r="N10" s="241" t="s">
        <v>57</v>
      </c>
      <c r="O10" s="241"/>
      <c r="P10" s="241"/>
      <c r="R10" s="70"/>
      <c r="S10" s="71"/>
      <c r="XFD10" t="s">
        <v>58</v>
      </c>
    </row>
    <row r="11" spans="1:19 16383:16384" x14ac:dyDescent="0.35">
      <c r="A11" s="238"/>
      <c r="B11" s="76" t="s">
        <v>50</v>
      </c>
      <c r="C11" s="77" t="str">
        <f>IF($O34&gt;2.49%,"No","Yes")</f>
        <v>No</v>
      </c>
      <c r="F11" s="70"/>
      <c r="G11" s="71"/>
      <c r="K11" s="240" t="s">
        <v>59</v>
      </c>
      <c r="L11" s="240"/>
      <c r="M11" s="240"/>
      <c r="N11" s="241" t="s">
        <v>55</v>
      </c>
      <c r="O11" s="241"/>
      <c r="P11" s="241"/>
      <c r="R11" s="70"/>
      <c r="S11" s="71"/>
    </row>
    <row r="12" spans="1:19 16383:16384" ht="14.65" customHeight="1" x14ac:dyDescent="0.35">
      <c r="A12" s="238" t="s">
        <v>60</v>
      </c>
      <c r="B12" s="76" t="s">
        <v>54</v>
      </c>
      <c r="C12" s="77" t="str">
        <f>IF($O32&gt;21.99%,"No","Yes")</f>
        <v>No</v>
      </c>
      <c r="F12" s="70"/>
      <c r="G12" s="71"/>
      <c r="K12" s="240" t="s">
        <v>61</v>
      </c>
      <c r="L12" s="240"/>
      <c r="M12" s="240"/>
      <c r="N12" s="241"/>
      <c r="O12" s="241"/>
      <c r="P12" s="241"/>
      <c r="R12" s="70"/>
      <c r="S12" s="71"/>
      <c r="XFD12" t="s">
        <v>62</v>
      </c>
    </row>
    <row r="13" spans="1:19 16383:16384" ht="15" thickBot="1" x14ac:dyDescent="0.4">
      <c r="A13" s="23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2" t="s">
        <v>64</v>
      </c>
      <c r="B14" s="243"/>
      <c r="C14" s="246" t="s">
        <v>65</v>
      </c>
      <c r="D14" s="80" t="s">
        <v>2</v>
      </c>
      <c r="E14" s="81" t="s">
        <v>66</v>
      </c>
      <c r="F14" s="82" t="s">
        <v>67</v>
      </c>
      <c r="G14" s="262" t="s">
        <v>68</v>
      </c>
      <c r="H14" s="263"/>
      <c r="I14" s="264" t="s">
        <v>69</v>
      </c>
      <c r="J14" s="262" t="s">
        <v>70</v>
      </c>
      <c r="K14" s="266"/>
      <c r="L14" s="263"/>
      <c r="M14" s="26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45"/>
      <c r="C15" s="24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5"/>
      <c r="J15" s="88" t="s">
        <v>78</v>
      </c>
      <c r="K15" s="90" t="s">
        <v>79</v>
      </c>
      <c r="L15" s="91" t="s">
        <v>80</v>
      </c>
      <c r="M15" s="26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0" t="s">
        <v>84</v>
      </c>
      <c r="B25" s="221"/>
      <c r="C25" s="222"/>
      <c r="D25" s="216"/>
      <c r="E25" s="216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3" t="s">
        <v>85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5"/>
      <c r="N28" s="232" t="s">
        <v>86</v>
      </c>
      <c r="O28" s="233"/>
      <c r="P28" s="152">
        <f>I25</f>
        <v>0</v>
      </c>
    </row>
    <row r="29" spans="1:19 16384:16384" ht="15" customHeight="1" x14ac:dyDescent="0.35">
      <c r="B29" s="226"/>
      <c r="C29" s="227"/>
      <c r="D29" s="227"/>
      <c r="E29" s="227"/>
      <c r="F29" s="227"/>
      <c r="G29" s="227"/>
      <c r="H29" s="227"/>
      <c r="I29" s="227"/>
      <c r="J29" s="227"/>
      <c r="K29" s="227"/>
      <c r="L29" s="228"/>
      <c r="N29" s="234" t="s">
        <v>87</v>
      </c>
      <c r="O29" s="235"/>
      <c r="P29" s="153">
        <f>L25</f>
        <v>0</v>
      </c>
    </row>
    <row r="30" spans="1:19 16384:16384" ht="15" customHeight="1" x14ac:dyDescent="0.35">
      <c r="B30" s="226"/>
      <c r="C30" s="227"/>
      <c r="D30" s="227"/>
      <c r="E30" s="227"/>
      <c r="F30" s="227"/>
      <c r="G30" s="227"/>
      <c r="H30" s="227"/>
      <c r="I30" s="227"/>
      <c r="J30" s="227"/>
      <c r="K30" s="227"/>
      <c r="L30" s="228"/>
      <c r="N30" s="234" t="s">
        <v>4</v>
      </c>
      <c r="O30" s="235"/>
      <c r="P30" s="154">
        <f>K25</f>
        <v>0</v>
      </c>
    </row>
    <row r="31" spans="1:19 16384:16384" ht="15" customHeight="1" x14ac:dyDescent="0.35">
      <c r="B31" s="226"/>
      <c r="C31" s="227"/>
      <c r="D31" s="227"/>
      <c r="E31" s="227"/>
      <c r="F31" s="227"/>
      <c r="G31" s="227"/>
      <c r="H31" s="227"/>
      <c r="I31" s="227"/>
      <c r="J31" s="227"/>
      <c r="K31" s="227"/>
      <c r="L31" s="228"/>
      <c r="M31" s="2"/>
      <c r="N31" s="234" t="s">
        <v>88</v>
      </c>
      <c r="O31" s="235"/>
      <c r="P31" s="153">
        <f>P28-P29-P30</f>
        <v>0</v>
      </c>
    </row>
    <row r="32" spans="1:19 16384:16384" ht="15" customHeight="1" x14ac:dyDescent="0.35">
      <c r="B32" s="226"/>
      <c r="C32" s="227"/>
      <c r="D32" s="227"/>
      <c r="E32" s="227"/>
      <c r="F32" s="227"/>
      <c r="G32" s="227"/>
      <c r="H32" s="227"/>
      <c r="I32" s="227"/>
      <c r="J32" s="227"/>
      <c r="K32" s="227"/>
      <c r="L32" s="22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6"/>
      <c r="C33" s="227"/>
      <c r="D33" s="227"/>
      <c r="E33" s="227"/>
      <c r="F33" s="227"/>
      <c r="G33" s="227"/>
      <c r="H33" s="227"/>
      <c r="I33" s="227"/>
      <c r="J33" s="227"/>
      <c r="K33" s="227"/>
      <c r="L33" s="228"/>
      <c r="M33" s="2"/>
      <c r="N33" s="236" t="s">
        <v>90</v>
      </c>
      <c r="O33" s="237"/>
      <c r="P33" s="153">
        <f>P31+P32</f>
        <v>0</v>
      </c>
    </row>
    <row r="34" spans="2:16" ht="15" customHeight="1" thickBot="1" x14ac:dyDescent="0.4">
      <c r="B34" s="229"/>
      <c r="C34" s="230"/>
      <c r="D34" s="230"/>
      <c r="E34" s="230"/>
      <c r="F34" s="230"/>
      <c r="G34" s="230"/>
      <c r="H34" s="230"/>
      <c r="I34" s="230"/>
      <c r="J34" s="230"/>
      <c r="K34" s="230"/>
      <c r="L34" s="23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4" t="s">
        <v>92</v>
      </c>
      <c r="O35" s="215"/>
      <c r="P35" s="160">
        <f>P33+P34</f>
        <v>0</v>
      </c>
    </row>
    <row r="36" spans="2:16" ht="15" thickBot="1" x14ac:dyDescent="0.4">
      <c r="B36" s="161" t="s">
        <v>93</v>
      </c>
      <c r="C36" s="216"/>
      <c r="D36" s="216"/>
      <c r="E36" s="216"/>
      <c r="F36" s="216"/>
      <c r="G36" s="216"/>
      <c r="H36" s="216"/>
      <c r="I36" s="217"/>
      <c r="J36" s="218"/>
      <c r="K36" s="2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2026-07-22T06:17:32Z</dcterms:modified>
</cp:coreProperties>
</file>