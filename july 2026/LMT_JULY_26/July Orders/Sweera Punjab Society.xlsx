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62FE536-3336-4E03-B257-D69E310F0EA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4">'2'!$A$1:$Q$37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C21" i="33"/>
  <c r="B21" i="33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30" l="1"/>
  <c r="L16" i="30" s="1"/>
  <c r="I17" i="30"/>
  <c r="L17" i="30" s="1"/>
  <c r="I18" i="30"/>
  <c r="L18" i="30" s="1"/>
  <c r="I19" i="30"/>
  <c r="L19" i="30" s="1"/>
  <c r="I20" i="30"/>
  <c r="L20" i="30" s="1"/>
  <c r="I21" i="30"/>
  <c r="L21" i="30" s="1"/>
  <c r="I22" i="30"/>
  <c r="I23" i="30"/>
  <c r="L23" i="30" s="1"/>
  <c r="I24" i="30"/>
  <c r="K24" i="30" s="1"/>
  <c r="I16" i="32"/>
  <c r="L16" i="32" s="1"/>
  <c r="I17" i="32"/>
  <c r="L17" i="32" s="1"/>
  <c r="I18" i="32"/>
  <c r="L18" i="32" s="1"/>
  <c r="I19" i="32"/>
  <c r="L19" i="32" s="1"/>
  <c r="I20" i="32"/>
  <c r="L20" i="32" s="1"/>
  <c r="I21" i="32"/>
  <c r="L21" i="32" s="1"/>
  <c r="I16" i="28"/>
  <c r="L16" i="28" s="1"/>
  <c r="I17" i="28"/>
  <c r="L17" i="28" s="1"/>
  <c r="I18" i="28"/>
  <c r="L18" i="28" s="1"/>
  <c r="I19" i="28"/>
  <c r="L19" i="28" s="1"/>
  <c r="I20" i="28"/>
  <c r="L20" i="28" s="1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L20" i="33" s="1"/>
  <c r="I17" i="33"/>
  <c r="I21" i="33"/>
  <c r="L21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K22" i="31" s="1"/>
  <c r="I23" i="31"/>
  <c r="K23" i="31" s="1"/>
  <c r="I24" i="31"/>
  <c r="L24" i="31" s="1"/>
  <c r="I23" i="32"/>
  <c r="K23" i="32" s="1"/>
  <c r="I22" i="33"/>
  <c r="K22" i="33" s="1"/>
  <c r="I16" i="34"/>
  <c r="L16" i="34" s="1"/>
  <c r="I17" i="34"/>
  <c r="L17" i="34" s="1"/>
  <c r="I18" i="34"/>
  <c r="L18" i="34" s="1"/>
  <c r="I19" i="34"/>
  <c r="I20" i="34"/>
  <c r="I21" i="34"/>
  <c r="L21" i="34" s="1"/>
  <c r="I22" i="34"/>
  <c r="K22" i="34" s="1"/>
  <c r="I23" i="34"/>
  <c r="K23" i="34" s="1"/>
  <c r="I24" i="34"/>
  <c r="L24" i="34" s="1"/>
  <c r="I16" i="29"/>
  <c r="L16" i="29" s="1"/>
  <c r="I17" i="29"/>
  <c r="L17" i="29" s="1"/>
  <c r="I18" i="29"/>
  <c r="I19" i="29"/>
  <c r="I20" i="29"/>
  <c r="L20" i="29" s="1"/>
  <c r="I21" i="29"/>
  <c r="L21" i="29" s="1"/>
  <c r="I22" i="29"/>
  <c r="K22" i="29" s="1"/>
  <c r="I23" i="29"/>
  <c r="L23" i="29" s="1"/>
  <c r="I24" i="29"/>
  <c r="K24" i="29" s="1"/>
  <c r="I24" i="32"/>
  <c r="L24" i="32" s="1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K22" i="35"/>
  <c r="L22" i="35"/>
  <c r="K23" i="35"/>
  <c r="L23" i="35"/>
  <c r="K24" i="35"/>
  <c r="L24" i="35"/>
  <c r="K17" i="34"/>
  <c r="K18" i="34"/>
  <c r="L22" i="33"/>
  <c r="K23" i="33"/>
  <c r="K24" i="33"/>
  <c r="L24" i="33"/>
  <c r="K16" i="33"/>
  <c r="K24" i="32"/>
  <c r="K16" i="32"/>
  <c r="K17" i="32"/>
  <c r="K18" i="32"/>
  <c r="K19" i="32"/>
  <c r="K20" i="32"/>
  <c r="K21" i="32"/>
  <c r="L22" i="32"/>
  <c r="K24" i="31"/>
  <c r="K20" i="31"/>
  <c r="K18" i="30"/>
  <c r="K20" i="30"/>
  <c r="K21" i="30"/>
  <c r="K23" i="30"/>
  <c r="K16" i="30"/>
  <c r="K17" i="30"/>
  <c r="K19" i="30"/>
  <c r="K22" i="30"/>
  <c r="L22" i="30"/>
  <c r="K21" i="29"/>
  <c r="K17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16" i="29" l="1"/>
  <c r="K18" i="31"/>
  <c r="L23" i="34"/>
  <c r="M23" i="34" s="1"/>
  <c r="K20" i="28"/>
  <c r="I16" i="27"/>
  <c r="L16" i="27" s="1"/>
  <c r="I17" i="27"/>
  <c r="L17" i="27" s="1"/>
  <c r="I18" i="27"/>
  <c r="L18" i="27" s="1"/>
  <c r="I19" i="27"/>
  <c r="L19" i="27" s="1"/>
  <c r="K16" i="28"/>
  <c r="L24" i="29"/>
  <c r="L22" i="31"/>
  <c r="K17" i="28"/>
  <c r="M17" i="28" s="1"/>
  <c r="N17" i="28" s="1"/>
  <c r="O17" i="28" s="1"/>
  <c r="I25" i="30"/>
  <c r="P28" i="30" s="1"/>
  <c r="K21" i="28"/>
  <c r="M21" i="28" s="1"/>
  <c r="N21" i="28" s="1"/>
  <c r="O21" i="28" s="1"/>
  <c r="L24" i="30"/>
  <c r="M24" i="30" s="1"/>
  <c r="N24" i="30" s="1"/>
  <c r="O24" i="30" s="1"/>
  <c r="P24" i="30" s="1"/>
  <c r="K21" i="33"/>
  <c r="M22" i="35"/>
  <c r="I20" i="27"/>
  <c r="L20" i="27" s="1"/>
  <c r="I22" i="27"/>
  <c r="L22" i="27" s="1"/>
  <c r="I23" i="27"/>
  <c r="K23" i="27" s="1"/>
  <c r="I24" i="27"/>
  <c r="K23" i="29"/>
  <c r="L23" i="31"/>
  <c r="M23" i="31" s="1"/>
  <c r="N23" i="31" s="1"/>
  <c r="O23" i="31" s="1"/>
  <c r="K24" i="34"/>
  <c r="M23" i="35"/>
  <c r="M24" i="31"/>
  <c r="N24" i="31" s="1"/>
  <c r="O24" i="31" s="1"/>
  <c r="M24" i="32"/>
  <c r="N24" i="32" s="1"/>
  <c r="O24" i="32" s="1"/>
  <c r="P24" i="32" s="1"/>
  <c r="K23" i="28"/>
  <c r="M23" i="28" s="1"/>
  <c r="M24" i="33"/>
  <c r="K18" i="33"/>
  <c r="L18" i="33"/>
  <c r="M24" i="28"/>
  <c r="N24" i="28" s="1"/>
  <c r="O24" i="28" s="1"/>
  <c r="P24" i="28" s="1"/>
  <c r="L22" i="28"/>
  <c r="K19" i="28"/>
  <c r="M19" i="28" s="1"/>
  <c r="N19" i="28" s="1"/>
  <c r="O19" i="28" s="1"/>
  <c r="M24" i="29"/>
  <c r="N24" i="29" s="1"/>
  <c r="O24" i="29" s="1"/>
  <c r="P24" i="29" s="1"/>
  <c r="K16" i="31"/>
  <c r="M16" i="31" s="1"/>
  <c r="K21" i="31"/>
  <c r="L23" i="32"/>
  <c r="M23" i="32" s="1"/>
  <c r="N23" i="32" s="1"/>
  <c r="O23" i="32" s="1"/>
  <c r="I25" i="32"/>
  <c r="P28" i="32" s="1"/>
  <c r="K20" i="33"/>
  <c r="M20" i="33" s="1"/>
  <c r="N20" i="33" s="1"/>
  <c r="O20" i="33" s="1"/>
  <c r="L22" i="34"/>
  <c r="M22" i="34" s="1"/>
  <c r="N22" i="34" s="1"/>
  <c r="O22" i="34" s="1"/>
  <c r="K19" i="29"/>
  <c r="L19" i="29"/>
  <c r="M24" i="34"/>
  <c r="N24" i="34" s="1"/>
  <c r="O24" i="34" s="1"/>
  <c r="K20" i="34"/>
  <c r="L20" i="34"/>
  <c r="K19" i="31"/>
  <c r="L19" i="31"/>
  <c r="K18" i="28"/>
  <c r="I25" i="28"/>
  <c r="P28" i="28" s="1"/>
  <c r="K20" i="29"/>
  <c r="M20" i="29" s="1"/>
  <c r="N20" i="29" s="1"/>
  <c r="O20" i="29" s="1"/>
  <c r="M23" i="30"/>
  <c r="N23" i="30" s="1"/>
  <c r="O23" i="30" s="1"/>
  <c r="K17" i="31"/>
  <c r="K21" i="34"/>
  <c r="M21" i="34" s="1"/>
  <c r="N21" i="34" s="1"/>
  <c r="O21" i="34" s="1"/>
  <c r="M24" i="35"/>
  <c r="N24" i="35" s="1"/>
  <c r="O24" i="35" s="1"/>
  <c r="P24" i="35" s="1"/>
  <c r="K18" i="29"/>
  <c r="L18" i="29"/>
  <c r="K19" i="34"/>
  <c r="L19" i="34"/>
  <c r="K17" i="33"/>
  <c r="L17" i="33"/>
  <c r="M22" i="33"/>
  <c r="N22" i="33" s="1"/>
  <c r="O22" i="33" s="1"/>
  <c r="M21" i="30"/>
  <c r="N21" i="30" s="1"/>
  <c r="O21" i="30" s="1"/>
  <c r="K19" i="33"/>
  <c r="M19" i="33" s="1"/>
  <c r="N19" i="33" s="1"/>
  <c r="O19" i="33" s="1"/>
  <c r="I25" i="34"/>
  <c r="P28" i="34" s="1"/>
  <c r="M17" i="31"/>
  <c r="M22" i="29"/>
  <c r="M22" i="31"/>
  <c r="N22" i="31" s="1"/>
  <c r="O22" i="31" s="1"/>
  <c r="P22" i="31" s="1"/>
  <c r="M21" i="35"/>
  <c r="M23" i="33"/>
  <c r="N23" i="33" s="1"/>
  <c r="O23" i="33" s="1"/>
  <c r="I16" i="26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L23" i="26" s="1"/>
  <c r="I24" i="26"/>
  <c r="L24" i="26" s="1"/>
  <c r="I21" i="27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6" i="29"/>
  <c r="N16" i="29" s="1"/>
  <c r="M17" i="30"/>
  <c r="N17" i="30" s="1"/>
  <c r="O17" i="30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M20" i="32"/>
  <c r="N20" i="32" s="1"/>
  <c r="O20" i="32" s="1"/>
  <c r="L25" i="31"/>
  <c r="P29" i="31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19" i="30"/>
  <c r="N19" i="30" s="1"/>
  <c r="O19" i="30" s="1"/>
  <c r="P19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3" i="34"/>
  <c r="O23" i="34" s="1"/>
  <c r="P23" i="34" s="1"/>
  <c r="N24" i="33"/>
  <c r="O24" i="33" s="1"/>
  <c r="M16" i="33"/>
  <c r="K25" i="32"/>
  <c r="P30" i="32" s="1"/>
  <c r="N21" i="31"/>
  <c r="O21" i="31" s="1"/>
  <c r="N17" i="31"/>
  <c r="O17" i="31" s="1"/>
  <c r="K25" i="30"/>
  <c r="P30" i="30" s="1"/>
  <c r="N22" i="30"/>
  <c r="O22" i="30" s="1"/>
  <c r="P22" i="30" s="1"/>
  <c r="N22" i="29"/>
  <c r="O22" i="29" s="1"/>
  <c r="N23" i="28"/>
  <c r="O23" i="28" s="1"/>
  <c r="P23" i="28" s="1"/>
  <c r="L25" i="28"/>
  <c r="P29" i="28" s="1"/>
  <c r="M16" i="28"/>
  <c r="J25" i="15"/>
  <c r="K16" i="27"/>
  <c r="K17" i="27"/>
  <c r="L23" i="27"/>
  <c r="K24" i="27"/>
  <c r="L24" i="27"/>
  <c r="K18" i="27"/>
  <c r="L22" i="26"/>
  <c r="K23" i="26"/>
  <c r="K24" i="26"/>
  <c r="T23" i="15"/>
  <c r="T22" i="15"/>
  <c r="T21" i="15"/>
  <c r="T20" i="15"/>
  <c r="T19" i="15"/>
  <c r="T18" i="15"/>
  <c r="T17" i="15"/>
  <c r="T16" i="15"/>
  <c r="T15" i="15"/>
  <c r="T14" i="15"/>
  <c r="L25" i="30" l="1"/>
  <c r="P29" i="30" s="1"/>
  <c r="M19" i="34"/>
  <c r="N19" i="34" s="1"/>
  <c r="O19" i="34" s="1"/>
  <c r="M19" i="29"/>
  <c r="N19" i="29" s="1"/>
  <c r="O19" i="29" s="1"/>
  <c r="K19" i="27"/>
  <c r="M19" i="27" s="1"/>
  <c r="N19" i="27" s="1"/>
  <c r="O19" i="27" s="1"/>
  <c r="M19" i="31"/>
  <c r="N19" i="31" s="1"/>
  <c r="O19" i="31" s="1"/>
  <c r="L25" i="33"/>
  <c r="P29" i="33" s="1"/>
  <c r="K25" i="31"/>
  <c r="P30" i="31" s="1"/>
  <c r="P31" i="31" s="1"/>
  <c r="M18" i="33"/>
  <c r="N18" i="33" s="1"/>
  <c r="O18" i="33" s="1"/>
  <c r="K19" i="26"/>
  <c r="K22" i="27"/>
  <c r="P24" i="31"/>
  <c r="M17" i="33"/>
  <c r="N17" i="33" s="1"/>
  <c r="O17" i="33" s="1"/>
  <c r="M18" i="29"/>
  <c r="N18" i="29" s="1"/>
  <c r="O18" i="29" s="1"/>
  <c r="K25" i="28"/>
  <c r="P30" i="28" s="1"/>
  <c r="P31" i="28" s="1"/>
  <c r="K20" i="27"/>
  <c r="K25" i="33"/>
  <c r="P30" i="33" s="1"/>
  <c r="P31" i="33" s="1"/>
  <c r="M24" i="26"/>
  <c r="K16" i="26"/>
  <c r="L16" i="26"/>
  <c r="K20" i="26"/>
  <c r="K25" i="29"/>
  <c r="P30" i="29" s="1"/>
  <c r="L25" i="32"/>
  <c r="P29" i="32" s="1"/>
  <c r="L25" i="34"/>
  <c r="P29" i="34" s="1"/>
  <c r="P24" i="34"/>
  <c r="M18" i="28"/>
  <c r="N18" i="28" s="1"/>
  <c r="O18" i="28" s="1"/>
  <c r="P18" i="28" s="1"/>
  <c r="K18" i="26"/>
  <c r="L18" i="26"/>
  <c r="I25" i="27"/>
  <c r="P28" i="27" s="1"/>
  <c r="L21" i="27"/>
  <c r="K21" i="27"/>
  <c r="K17" i="26"/>
  <c r="K21" i="26"/>
  <c r="M21" i="26" s="1"/>
  <c r="N21" i="26" s="1"/>
  <c r="O21" i="26" s="1"/>
  <c r="L25" i="29"/>
  <c r="P29" i="29" s="1"/>
  <c r="P31" i="29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20" i="31"/>
  <c r="P20" i="34"/>
  <c r="P31" i="32"/>
  <c r="P18" i="31"/>
  <c r="P31" i="35"/>
  <c r="P21" i="30"/>
  <c r="M25" i="30"/>
  <c r="P31" i="30"/>
  <c r="P21" i="29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9" i="33"/>
  <c r="P20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20" i="26"/>
  <c r="N20" i="26" s="1"/>
  <c r="O20" i="26" s="1"/>
  <c r="M23" i="26"/>
  <c r="N23" i="26" s="1"/>
  <c r="O23" i="26" s="1"/>
  <c r="P23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M19" i="26"/>
  <c r="N19" i="26" s="1"/>
  <c r="O19" i="26" s="1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K25" i="27"/>
  <c r="P30" i="27" s="1"/>
  <c r="P18" i="33"/>
  <c r="M18" i="26"/>
  <c r="N18" i="26" s="1"/>
  <c r="O18" i="26" s="1"/>
  <c r="M16" i="26"/>
  <c r="M25" i="33"/>
  <c r="M20" i="27"/>
  <c r="N20" i="27" s="1"/>
  <c r="O20" i="27" s="1"/>
  <c r="P31" i="34"/>
  <c r="P33" i="34" s="1"/>
  <c r="P34" i="34" s="1"/>
  <c r="P35" i="34" s="1"/>
  <c r="M21" i="27"/>
  <c r="N21" i="27" s="1"/>
  <c r="I16" i="22"/>
  <c r="L16" i="22" s="1"/>
  <c r="I17" i="22"/>
  <c r="L17" i="22" s="1"/>
  <c r="I18" i="22"/>
  <c r="L18" i="22" s="1"/>
  <c r="I19" i="22"/>
  <c r="L19" i="22" s="1"/>
  <c r="I20" i="22"/>
  <c r="L20" i="22" s="1"/>
  <c r="I21" i="22"/>
  <c r="L21" i="22" s="1"/>
  <c r="I22" i="22"/>
  <c r="K22" i="22" s="1"/>
  <c r="L25" i="27"/>
  <c r="P29" i="27" s="1"/>
  <c r="M25" i="28"/>
  <c r="P33" i="32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L23" i="25" s="1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L22" i="19" s="1"/>
  <c r="I23" i="19"/>
  <c r="L23" i="19" s="1"/>
  <c r="I24" i="19"/>
  <c r="K24" i="19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K23" i="23" s="1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2" i="27"/>
  <c r="P17" i="27"/>
  <c r="P19" i="27"/>
  <c r="O16" i="27"/>
  <c r="P16" i="27" s="1"/>
  <c r="P20" i="26"/>
  <c r="P24" i="26"/>
  <c r="P21" i="26"/>
  <c r="P19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7" i="25"/>
  <c r="K23" i="25"/>
  <c r="K21" i="24"/>
  <c r="K16" i="22"/>
  <c r="K17" i="22"/>
  <c r="K20" i="19"/>
  <c r="K22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2" i="22" l="1"/>
  <c r="L24" i="19"/>
  <c r="L24" i="20"/>
  <c r="M24" i="20" s="1"/>
  <c r="N24" i="20" s="1"/>
  <c r="O24" i="20" s="1"/>
  <c r="L23" i="23"/>
  <c r="M23" i="23" s="1"/>
  <c r="N23" i="23" s="1"/>
  <c r="O23" i="23" s="1"/>
  <c r="K24" i="25"/>
  <c r="N25" i="27"/>
  <c r="P32" i="27" s="1"/>
  <c r="P20" i="27"/>
  <c r="K23" i="20"/>
  <c r="M23" i="20" s="1"/>
  <c r="N23" i="20" s="1"/>
  <c r="O23" i="20" s="1"/>
  <c r="P18" i="26"/>
  <c r="K21" i="18"/>
  <c r="K21" i="22"/>
  <c r="K18" i="22"/>
  <c r="K16" i="25"/>
  <c r="M25" i="26"/>
  <c r="M25" i="27"/>
  <c r="K20" i="22"/>
  <c r="K18" i="25"/>
  <c r="K18" i="21"/>
  <c r="L18" i="21"/>
  <c r="K19" i="22"/>
  <c r="M19" i="22" s="1"/>
  <c r="N19" i="22" s="1"/>
  <c r="O19" i="22" s="1"/>
  <c r="K17" i="24"/>
  <c r="M17" i="24" s="1"/>
  <c r="N17" i="24" s="1"/>
  <c r="O17" i="24" s="1"/>
  <c r="L22" i="25"/>
  <c r="L25" i="25" s="1"/>
  <c r="P29" i="25" s="1"/>
  <c r="K18" i="20"/>
  <c r="L18" i="20"/>
  <c r="K20" i="24"/>
  <c r="L20" i="24"/>
  <c r="K22" i="18"/>
  <c r="M22" i="18" s="1"/>
  <c r="N22" i="18" s="1"/>
  <c r="O22" i="18" s="1"/>
  <c r="K23" i="24"/>
  <c r="M23" i="24" s="1"/>
  <c r="N23" i="24" s="1"/>
  <c r="O23" i="24" s="1"/>
  <c r="K21" i="21"/>
  <c r="L21" i="21"/>
  <c r="K21" i="23"/>
  <c r="L21" i="23"/>
  <c r="K17" i="20"/>
  <c r="L17" i="20"/>
  <c r="K19" i="18"/>
  <c r="L19" i="18"/>
  <c r="K20" i="21"/>
  <c r="L20" i="21"/>
  <c r="K19" i="23"/>
  <c r="L19" i="23"/>
  <c r="K19" i="21"/>
  <c r="L19" i="21"/>
  <c r="K18" i="24"/>
  <c r="L18" i="24"/>
  <c r="K19" i="20"/>
  <c r="L19" i="20"/>
  <c r="K19" i="17"/>
  <c r="L19" i="17"/>
  <c r="K18" i="17"/>
  <c r="L18" i="17"/>
  <c r="K17" i="17"/>
  <c r="L17" i="17"/>
  <c r="K20" i="17"/>
  <c r="L20" i="17"/>
  <c r="K16" i="17"/>
  <c r="M16" i="17" s="1"/>
  <c r="L16" i="17"/>
  <c r="I25" i="25"/>
  <c r="P28" i="25" s="1"/>
  <c r="K18" i="19"/>
  <c r="M18" i="19" s="1"/>
  <c r="N18" i="19" s="1"/>
  <c r="O18" i="19" s="1"/>
  <c r="K17" i="23"/>
  <c r="M17" i="23" s="1"/>
  <c r="N17" i="23" s="1"/>
  <c r="O17" i="23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M19" i="25" s="1"/>
  <c r="N19" i="25" s="1"/>
  <c r="O1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24" i="21" s="1"/>
  <c r="N24" i="21" s="1"/>
  <c r="O24" i="21" s="1"/>
  <c r="P24" i="21" s="1"/>
  <c r="K17" i="19"/>
  <c r="M17" i="19" s="1"/>
  <c r="N17" i="19" s="1"/>
  <c r="O17" i="19" s="1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21" i="22"/>
  <c r="N21" i="22" s="1"/>
  <c r="O21" i="22" s="1"/>
  <c r="P21" i="22" s="1"/>
  <c r="M17" i="22"/>
  <c r="N17" i="22" s="1"/>
  <c r="O17" i="22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I25" i="23"/>
  <c r="P28" i="23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23" i="22"/>
  <c r="N23" i="22" s="1"/>
  <c r="O23" i="22" s="1"/>
  <c r="M24" i="19"/>
  <c r="N24" i="19" s="1"/>
  <c r="O24" i="19" s="1"/>
  <c r="M20" i="22"/>
  <c r="N20" i="22" s="1"/>
  <c r="O20" i="22" s="1"/>
  <c r="M23" i="18"/>
  <c r="N23" i="18" s="1"/>
  <c r="O23" i="18" s="1"/>
  <c r="N17" i="25"/>
  <c r="O17" i="25" s="1"/>
  <c r="M16" i="25"/>
  <c r="M16" i="22"/>
  <c r="M21" i="19"/>
  <c r="L25" i="19"/>
  <c r="P29" i="19" s="1"/>
  <c r="N24" i="18"/>
  <c r="O24" i="18" s="1"/>
  <c r="I23" i="15"/>
  <c r="M19" i="23" l="1"/>
  <c r="N19" i="23" s="1"/>
  <c r="O19" i="23" s="1"/>
  <c r="M18" i="20"/>
  <c r="N18" i="20" s="1"/>
  <c r="O18" i="20" s="1"/>
  <c r="M18" i="21"/>
  <c r="N18" i="21" s="1"/>
  <c r="O18" i="21" s="1"/>
  <c r="M17" i="17"/>
  <c r="N17" i="17" s="1"/>
  <c r="O17" i="17" s="1"/>
  <c r="M18" i="24"/>
  <c r="N18" i="24" s="1"/>
  <c r="O18" i="24" s="1"/>
  <c r="M21" i="23"/>
  <c r="N21" i="23" s="1"/>
  <c r="O21" i="23" s="1"/>
  <c r="K25" i="25"/>
  <c r="P30" i="25" s="1"/>
  <c r="M18" i="17"/>
  <c r="N18" i="17" s="1"/>
  <c r="O18" i="17" s="1"/>
  <c r="M19" i="20"/>
  <c r="N19" i="20" s="1"/>
  <c r="O19" i="20" s="1"/>
  <c r="M19" i="21"/>
  <c r="N19" i="21" s="1"/>
  <c r="O19" i="21" s="1"/>
  <c r="M20" i="21"/>
  <c r="N20" i="21" s="1"/>
  <c r="O20" i="21" s="1"/>
  <c r="M17" i="20"/>
  <c r="N17" i="20" s="1"/>
  <c r="O17" i="20" s="1"/>
  <c r="M21" i="21"/>
  <c r="N21" i="21" s="1"/>
  <c r="O21" i="21" s="1"/>
  <c r="P21" i="21" s="1"/>
  <c r="M20" i="24"/>
  <c r="N20" i="24" s="1"/>
  <c r="O20" i="24" s="1"/>
  <c r="K25" i="22"/>
  <c r="P30" i="22" s="1"/>
  <c r="M20" i="17"/>
  <c r="N20" i="17" s="1"/>
  <c r="O20" i="17" s="1"/>
  <c r="L19" i="16"/>
  <c r="L19" i="15" s="1"/>
  <c r="K19" i="16"/>
  <c r="K19" i="15" s="1"/>
  <c r="L17" i="16"/>
  <c r="K17" i="16"/>
  <c r="K17" i="15" s="1"/>
  <c r="L21" i="16"/>
  <c r="L21" i="15" s="1"/>
  <c r="L20" i="16"/>
  <c r="L20" i="15" s="1"/>
  <c r="K16" i="15"/>
  <c r="L16" i="16"/>
  <c r="L16" i="15" s="1"/>
  <c r="K18" i="15"/>
  <c r="L18" i="16"/>
  <c r="L18" i="15" s="1"/>
  <c r="K25" i="24"/>
  <c r="P30" i="24" s="1"/>
  <c r="K25" i="19"/>
  <c r="P30" i="19" s="1"/>
  <c r="P31" i="19" s="1"/>
  <c r="K22" i="15"/>
  <c r="M19" i="18"/>
  <c r="N19" i="18" s="1"/>
  <c r="O19" i="18" s="1"/>
  <c r="L25" i="24"/>
  <c r="P29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P23" i="22"/>
  <c r="I25" i="15"/>
  <c r="P32" i="15" s="1"/>
  <c r="K23" i="16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22" i="17"/>
  <c r="P17" i="17" l="1"/>
  <c r="P18" i="17"/>
  <c r="P20" i="17"/>
  <c r="P19" i="20"/>
  <c r="M24" i="16"/>
  <c r="N24" i="16" s="1"/>
  <c r="N25" i="21"/>
  <c r="P32" i="21" s="1"/>
  <c r="M25" i="21"/>
  <c r="M16" i="15"/>
  <c r="M16" i="16"/>
  <c r="N16" i="16" s="1"/>
  <c r="O16" i="16" s="1"/>
  <c r="M21" i="15"/>
  <c r="M22" i="15"/>
  <c r="M25" i="19"/>
  <c r="P22" i="20"/>
  <c r="M25" i="20"/>
  <c r="P19" i="18"/>
  <c r="M25" i="18"/>
  <c r="M18" i="15"/>
  <c r="P31" i="24"/>
  <c r="P33" i="24" s="1"/>
  <c r="P34" i="24" s="1"/>
  <c r="P35" i="24" s="1"/>
  <c r="U22" i="15" s="1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O16" i="17"/>
  <c r="O25" i="17" s="1"/>
  <c r="N25" i="17"/>
  <c r="P32" i="17" s="1"/>
  <c r="P25" i="20" l="1"/>
  <c r="O16" i="18"/>
  <c r="N16" i="15"/>
  <c r="N18" i="15"/>
  <c r="P33" i="20"/>
  <c r="P34" i="20" s="1"/>
  <c r="P35" i="20" s="1"/>
  <c r="U18" i="15" s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16" i="15" l="1"/>
  <c r="P33" i="16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<sst xmlns="http://schemas.openxmlformats.org/spreadsheetml/2006/main" count="1580" uniqueCount="107">
  <si>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</si>
  <si>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</si>
  <si>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</si>
  <si>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</si>
  <si>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</si>
  <si>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</si>
  <si>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</si>
  <si>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</si>
  <si>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</si>
  <si>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</si>
  <si>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</si>
  <si>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</si>
  <si>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</si>
  <si>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</si>
  <si>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</si>
  <si>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</si>
  <si>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</si>
  <si>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</si>
  <si>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</si>
  <si>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</si>
  <si>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</si>
  <si>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</si>
  <si>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</si>
  <si>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</si>
  <si>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</si>
  <si>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</si>
  <si>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</si>
  <si>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</si>
  <si>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</si>
  <si>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</si>
  <si>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</si>
  <si>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</si>
  <si>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</si>
  <si>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</si>
  <si>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</si>
  <si>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</si>
  <si>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</si>
  <si>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</si>
  <si>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</si>
  <si>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</si>
  <si>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</si>
  <si>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</si>
  <si>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</si>
  <si>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</si>
  <si>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</si>
  <si>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</si>
  <si>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</si>
  <si>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</si>
  <si>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</si>
  <si>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</si>
  <si>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</si>
  <si>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</si>
  <si>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</si>
  <si>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</si>
  <si>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</si>
  <si>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</si>
  <si>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</si>
  <si>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</si>
  <si>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</si>
  <si>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</si>
  <si>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</si>
  <si>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</si>
  <si>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</si>
  <si>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</si>
  <si>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</si>
  <si>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</si>
  <si>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</si>
  <si>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</si>
  <si>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</si>
  <si>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</si>
  <si>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</si>
  <si>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</si>
  <si>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</si>
  <si>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</si>
  <si>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</si>
  <si>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</si>
  <si>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</si>
  <si>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</si>
  <si>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</si>
  <si>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</si>
  <si>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</si>
  <si>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</si>
  <si>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</si>
  <si>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</si>
  <si>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</si>
  <si>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</si>
  <si>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</si>
  <si>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</si>
  <si>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</si>
  <si>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</si>
  <si>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</si>
  <si>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</si>
  <si>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</si>
  <si>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</si>
  <si>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</si>
  <si>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</si>
  <si>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</si>
  <si>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</si>
  <si>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</si>
  <si>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</si>
  <si>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</si>
  <si>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</si>
  <si>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Swera</t>
  </si>
  <si>
    <t>Shop Bill Summary (Swera)</t>
  </si>
  <si>
    <t>Customer Name : Swera</t>
  </si>
  <si>
    <t xml:space="preserve">1265416-7 </t>
  </si>
  <si>
    <t xml:space="preserve">Address: Punjab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</si>
</sst>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7" sqref="I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7" sqref="I7"/>
      <selection pane="topRight" activeCell="I7" sqref="I7"/>
      <selection pane="bottomLeft" activeCell="I7" sqref="I7"/>
      <selection pane="bottomRight" activeCell="I7" sqref="I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I7" sqref="I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102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Swera</v>
      </c>
      <c r="U14" s="163">
        <f>+'1'!P35</f>
        <v>50145.360505500008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Swera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200</v>
      </c>
      <c r="I16" s="1">
        <f>(G16*D16)*F16+H16*F16</f>
        <v>10492.5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367.23750000000001</v>
      </c>
      <c r="L16" s="174">
        <f>+'1'!L16+'2'!L16+'4'!L16+'3'!L16+'5'!L16+'6'!L16+'7'!L16+'8'!L16+'9'!L16+'10'!L16</f>
        <v>1259.0999999999999</v>
      </c>
      <c r="M16" s="105">
        <f>I16-K16-L16</f>
        <v>8866.1625000000004</v>
      </c>
      <c r="N16" s="100">
        <f>+'1'!N16+'2'!N16+'4'!N16+'3'!N16+'5'!N16+'6'!N16+'7'!N16+'8'!N16+'9'!N16+'10'!N16</f>
        <v>1595.9092499999999</v>
      </c>
      <c r="O16" s="100">
        <f>+'1'!O16+'2'!O16+'4'!O16+'3'!O16+'5'!O16+'6'!O16+'7'!O16+'8'!O16+'9'!O16+'10'!O16</f>
        <v>52.310358750000006</v>
      </c>
      <c r="P16" s="104">
        <f t="shared" ref="P16:P24" si="0">M16+N16+O16</f>
        <v>10514.382108750002</v>
      </c>
      <c r="Q16" s="107"/>
      <c r="T16" s="162" t="str">
        <f>+'4'!A5</f>
        <v>Customer Name : Swera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200</v>
      </c>
      <c r="I17" s="1">
        <f t="shared" ref="I17:I23" si="1">(G17*D17)*F17+H17*F17</f>
        <v>10492.5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367.23750000000001</v>
      </c>
      <c r="L17" s="174">
        <f>+'1'!L17+'2'!L17+'4'!L17+'3'!L17+'5'!L17+'6'!L17+'7'!L17+'8'!L17+'9'!L17+'10'!L17</f>
        <v>1259.0999999999999</v>
      </c>
      <c r="M17" s="117">
        <f t="shared" ref="M17:M23" si="2">I17-K17-L17</f>
        <v>8866.1625000000004</v>
      </c>
      <c r="N17" s="100">
        <f>+'1'!N17+'2'!N17+'4'!N17+'3'!N17+'5'!N17+'6'!N17+'7'!N17+'8'!N17+'9'!N17+'10'!N17</f>
        <v>1595.9092499999999</v>
      </c>
      <c r="O17" s="100">
        <f>+'1'!O17+'2'!O17+'4'!O17+'3'!O17+'5'!O17+'6'!O17+'7'!O17+'8'!O17+'9'!O17+'10'!O17</f>
        <v>52.310358750000006</v>
      </c>
      <c r="P17" s="119">
        <f t="shared" si="0"/>
        <v>10514.382108750002</v>
      </c>
      <c r="S17" s="64"/>
      <c r="T17" s="162" t="str">
        <f>+'3'!A5</f>
        <v>Customer Name : Swera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Swera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508.48000000000008</v>
      </c>
      <c r="L19" s="174">
        <f>+'1'!L19+'2'!L19+'4'!L19+'3'!L19+'5'!L19+'6'!L19+'7'!L19+'8'!L19+'9'!L19+'10'!L19</f>
        <v>1743.36</v>
      </c>
      <c r="M19" s="117">
        <f t="shared" si="2"/>
        <v>12276.16</v>
      </c>
      <c r="N19" s="100">
        <f>+'1'!N19+'2'!N19+'4'!N19+'3'!N19+'5'!N19+'6'!N19+'7'!N19+'8'!N19+'9'!N19+'10'!N19</f>
        <v>2209.7087999999999</v>
      </c>
      <c r="O19" s="100">
        <f>+'1'!O19+'2'!O19+'4'!O19+'3'!O19+'5'!O19+'6'!O19+'7'!O19+'8'!O19+'9'!O19+'10'!O19</f>
        <v>72.429344</v>
      </c>
      <c r="P19" s="119">
        <f t="shared" si="0"/>
        <v>14558.298144</v>
      </c>
      <c r="T19" s="162" t="str">
        <f>+'6'!A5</f>
        <v>Customer Name : Swera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Swera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1743.36</v>
      </c>
      <c r="M21" s="117">
        <f t="shared" si="2"/>
        <v>12276.16</v>
      </c>
      <c r="N21" s="100">
        <f>+'1'!N21+'2'!N21+'4'!N21+'3'!N21+'5'!N21+'6'!N21+'7'!N21+'8'!N21+'9'!N21+'10'!N21</f>
        <v>2209.7087999999999</v>
      </c>
      <c r="O21" s="100">
        <f>+'1'!O21+'2'!O21+'4'!O21+'3'!O21+'5'!O21+'6'!O21+'7'!O21+'8'!O21+'9'!O21+'10'!O21</f>
        <v>72.429344</v>
      </c>
      <c r="P21" s="119">
        <f t="shared" si="0"/>
        <v>14558.298144</v>
      </c>
      <c r="T21" s="162" t="str">
        <f>+'8'!A5</f>
        <v>Customer Name : Swera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Swera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Swera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Swera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20</v>
      </c>
      <c r="D25" s="221"/>
      <c r="E25" s="221"/>
      <c r="F25" s="221"/>
      <c r="G25" s="175">
        <f t="shared" ref="G25:M25" si="3">SUM(G16:G24)</f>
        <v>0</v>
      </c>
      <c r="H25" s="176">
        <f t="shared" si="3"/>
        <v>800</v>
      </c>
      <c r="I25" s="177">
        <f t="shared" si="3"/>
        <v>50041</v>
      </c>
      <c r="J25" s="176">
        <f t="shared" si="3"/>
        <v>0</v>
      </c>
      <c r="K25" s="177">
        <f t="shared" si="3"/>
        <v>1751.4350000000002</v>
      </c>
      <c r="L25" s="178">
        <f t="shared" si="3"/>
        <v>6004.9199999999992</v>
      </c>
      <c r="M25" s="140">
        <f t="shared" si="3"/>
        <v>42284.645000000004</v>
      </c>
      <c r="N25" s="141">
        <f>SUM(N16:N24)</f>
        <v>7611.2361000000001</v>
      </c>
      <c r="O25" s="142">
        <f>SUM(O16:O24)</f>
        <v>249.47940550000004</v>
      </c>
      <c r="P25" s="143">
        <f>SUM(P16:P24)</f>
        <v>50145.360505500008</v>
      </c>
      <c r="T25" s="162" t="str">
        <f>+'12'!A5</f>
        <v>Customer Name : Swera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Swera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Swera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Swera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50145.360505500008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50041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6004.9199999999992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1751.4350000000002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42284.645000000004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7611.2361000000001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49895.881100000006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1247.3970275000001</v>
      </c>
    </row>
    <row r="39" spans="2:16" ht="15.75" customHeight="1" thickBot="1" x14ac:dyDescent="0.4">
      <c r="N39" s="219" t="s">
        <v>92</v>
      </c>
      <c r="O39" s="220"/>
      <c r="P39" s="159">
        <f>P37+P38</f>
        <v>51143.278127500009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3" workbookViewId="0">
      <selection activeCell="G8" sqref="G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 t="s">
        <v>105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200</v>
      </c>
      <c r="I16" s="101">
        <f>(G16*D16)*F16+H16*F16</f>
        <v>10492.5</v>
      </c>
      <c r="J16" s="102"/>
      <c r="K16" s="103">
        <f>I16*3.5%</f>
        <v>367.23750000000001</v>
      </c>
      <c r="L16" s="104">
        <f>I16*12%</f>
        <v>1259.0999999999999</v>
      </c>
      <c r="M16" s="105">
        <f>I16-K16-L16</f>
        <v>8866.1625000000004</v>
      </c>
      <c r="N16" s="105">
        <f t="shared" ref="N16:N24" si="0">(M16*$N$15)+(J16*F16)*$N$15</f>
        <v>1595.9092499999999</v>
      </c>
      <c r="O16" s="106">
        <f t="shared" ref="O16:O24" si="1">(N16+M16)*$O$15</f>
        <v>52.310358750000006</v>
      </c>
      <c r="P16" s="104">
        <f t="shared" ref="P16:P24" si="2">M16+N16+O16</f>
        <v>10514.382108750002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200</v>
      </c>
      <c r="I17" s="115">
        <f t="shared" ref="I17:I23" si="3">(G17*D17)*F17+H17*F17</f>
        <v>10492.5</v>
      </c>
      <c r="J17" s="116"/>
      <c r="K17" s="103">
        <f t="shared" ref="K17:K21" si="4">I17*3.5%</f>
        <v>367.23750000000001</v>
      </c>
      <c r="L17" s="104">
        <f t="shared" ref="L17:L21" si="5">I17*12%</f>
        <v>1259.0999999999999</v>
      </c>
      <c r="M17" s="117">
        <f t="shared" ref="M17:M23" si="6">I17-K17-L17</f>
        <v>8866.1625000000004</v>
      </c>
      <c r="N17" s="117">
        <f t="shared" si="0"/>
        <v>1595.9092499999999</v>
      </c>
      <c r="O17" s="118">
        <f t="shared" si="1"/>
        <v>52.310358750000006</v>
      </c>
      <c r="P17" s="119">
        <f t="shared" si="2"/>
        <v>10514.382108750002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/>
      <c r="K19" s="103">
        <f t="shared" si="4"/>
        <v>508.48000000000008</v>
      </c>
      <c r="L19" s="104">
        <f t="shared" si="5"/>
        <v>1743.36</v>
      </c>
      <c r="M19" s="117">
        <f t="shared" si="6"/>
        <v>12276.16</v>
      </c>
      <c r="N19" s="117">
        <f t="shared" si="0"/>
        <v>2209.7087999999999</v>
      </c>
      <c r="O19" s="118">
        <f t="shared" si="1"/>
        <v>72.429344</v>
      </c>
      <c r="P19" s="119">
        <f t="shared" si="2"/>
        <v>14558.298144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16"/>
      <c r="K20" s="103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03">
        <f t="shared" si="4"/>
        <v>508.48000000000008</v>
      </c>
      <c r="L21" s="104">
        <f t="shared" si="5"/>
        <v>1743.36</v>
      </c>
      <c r="M21" s="117">
        <f t="shared" si="6"/>
        <v>12276.16</v>
      </c>
      <c r="N21" s="117">
        <f t="shared" si="0"/>
        <v>2209.7087999999999</v>
      </c>
      <c r="O21" s="118">
        <f t="shared" si="1"/>
        <v>72.429344</v>
      </c>
      <c r="P21" s="119">
        <f t="shared" si="2"/>
        <v>14558.298144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800</v>
      </c>
      <c r="I25" s="136">
        <f t="shared" si="9"/>
        <v>50041</v>
      </c>
      <c r="J25" s="137"/>
      <c r="K25" s="138">
        <f t="shared" si="9"/>
        <v>1751.4350000000002</v>
      </c>
      <c r="L25" s="139">
        <f t="shared" si="9"/>
        <v>6004.9199999999992</v>
      </c>
      <c r="M25" s="140">
        <f t="shared" si="9"/>
        <v>42284.645000000004</v>
      </c>
      <c r="N25" s="141">
        <f>SUM(N16:N24)</f>
        <v>7611.2361000000001</v>
      </c>
      <c r="O25" s="142">
        <f>SUM(O16:O24)</f>
        <v>249.47940550000004</v>
      </c>
      <c r="P25" s="143">
        <f>SUM(P16:P24)</f>
        <v>50145.360505500008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50041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6004.9199999999992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1751.4350000000002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42284.645000000004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7611.2361000000001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49895.881100000006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249.47940550000004</v>
      </c>
    </row>
    <row r="35" spans="2:16" ht="15.75" customHeight="1" thickBot="1" x14ac:dyDescent="0.4">
      <c r="N35" s="219" t="s">
        <v>92</v>
      </c>
      <c r="O35" s="220"/>
      <c r="P35" s="159">
        <f>P33+P34</f>
        <v>50145.360505500008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K17" sqref="K1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E12" sqref="E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46221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104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46220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105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3520268948847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0.12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2026-07-18T05:55:37Z</dcterms:modified>
</cp:coreProperties>
</file>