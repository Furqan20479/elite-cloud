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2348355-EF8A-4F92-B8E3-9735CE6F999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<sst xmlns="http://schemas.openxmlformats.org/spreadsheetml/2006/main" count="3913" uniqueCount="517">
  <si>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</si>
  <si>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</si>
  <si>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</si>
  <si>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</si>
  <si>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</si>
  <si>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</si>
  <si>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</si>
  <si>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</si>
  <si>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</si>
  <si>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</si>
  <si>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</si>
  <si>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</si>
  <si>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</si>
  <si>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</si>
  <si>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</si>
  <si>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</si>
  <si>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</si>
  <si>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</si>
  <si>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</si>
  <si>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</si>
  <si>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</si>
  <si>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</si>
  <si>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</si>
  <si>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</si>
  <si>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</si>
  <si>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</si>
  <si>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</si>
  <si>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</si>
  <si>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</si>
  <si>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</si>
  <si>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</si>
  <si>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</si>
  <si>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</si>
  <si>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</si>
  <si>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</si>
  <si>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</si>
  <si>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</si>
  <si>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</si>
  <si>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</si>
  <si>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</si>
  <si>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</si>
  <si>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</si>
  <si>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</si>
  <si>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</si>
  <si>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</si>
  <si>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</si>
  <si>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</si>
  <si>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</si>
  <si>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</si>
  <si>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</si>
  <si>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</si>
  <si>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</si>
  <si>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</si>
  <si>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</si>
  <si>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</si>
  <si>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</si>
  <si>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</si>
  <si>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</si>
  <si>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</si>
  <si>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</si>
  <si>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</si>
  <si>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</si>
  <si>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</si>
  <si>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</si>
  <si>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</si>
  <si>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</si>
  <si>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</si>
  <si>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</si>
  <si>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</si>
  <si>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</si>
  <si>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</si>
  <si>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</si>
  <si>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</si>
  <si>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</si>
  <si>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</si>
  <si>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</si>
  <si>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</si>
  <si>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</si>
  <si>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</si>
  <si>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</si>
  <si>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</si>
  <si>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</si>
  <si>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</si>
  <si>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</si>
  <si>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</si>
  <si>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</si>
  <si>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</si>
  <si>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</si>
  <si>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</si>
  <si>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</si>
  <si>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</si>
  <si>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</si>
  <si>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</si>
  <si>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</si>
  <si>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</si>
  <si>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</si>
  <si>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</si>
  <si>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</si>
  <si>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</si>
  <si>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</si>
  <si>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</si>
  <si>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</si>
  <si>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</si>
  <si>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</si>
  <si>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</si>
  <si>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</si>
  <si>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</si>
  <si>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</si>
  <si>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</si>
  <si>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</si>
  <si>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</si>
  <si>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</si>
  <si>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</si>
  <si>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</si>
  <si>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</si>
  <si>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</si>
  <si>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</si>
  <si>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</si>
  <si>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</si>
  <si>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</si>
  <si>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</si>
  <si>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</si>
  <si>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</si>
  <si>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</si>
  <si>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</si>
  <si>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</si>
  <si>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</si>
  <si>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</si>
  <si>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</si>
  <si>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</si>
  <si>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</si>
  <si>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</si>
  <si>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</si>
  <si>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</si>
  <si>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</si>
  <si>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</si>
  <si>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</si>
  <si>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</si>
  <si>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</si>
  <si>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</si>
  <si>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</si>
  <si>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</si>
  <si>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</si>
  <si>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</si>
  <si>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</si>
  <si>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</si>
  <si>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</si>
  <si>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</si>
  <si>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</si>
  <si>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</si>
  <si>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</si>
  <si>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</si>
  <si>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</si>
  <si>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</si>
  <si>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</si>
  <si>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</si>
  <si>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</si>
  <si>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</si>
  <si>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</si>
  <si>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</si>
  <si>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</si>
  <si>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</si>
  <si>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</si>
  <si>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</si>
  <si>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</si>
  <si>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</si>
  <si>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</si>
  <si>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</si>
  <si>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</si>
  <si>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</si>
  <si>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</si>
  <si>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</si>
  <si>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</si>
  <si>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</si>
  <si>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</si>
  <si>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</si>
  <si>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</si>
  <si>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</si>
  <si>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</si>
  <si>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</si>
  <si>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</si>
  <si>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</si>
  <si>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</si>
  <si>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</si>
  <si>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</si>
  <si>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</si>
  <si>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</si>
  <si>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</si>
  <si>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</si>
  <si>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</si>
  <si>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</si>
  <si>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</si>
  <si>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</si>
  <si>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</si>
  <si>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</si>
  <si>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</si>
  <si>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</si>
  <si>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</si>
  <si>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</si>
  <si>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</si>
  <si>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</si>
  <si>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</si>
  <si>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</si>
  <si>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</si>
  <si>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</si>
  <si>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</si>
  <si>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</si>
  <si>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</si>
  <si>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</si>
  <si>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</si>
  <si>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</si>
  <si>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</si>
  <si>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</si>
  <si>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</si>
  <si>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</si>
  <si>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</si>
  <si>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</si>
  <si>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</si>
  <si>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</si>
  <si>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</si>
  <si>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</si>
  <si>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</si>
  <si>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</si>
  <si>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</si>
  <si>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</si>
  <si>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</si>
  <si>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</si>
  <si>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</si>
  <si>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</si>
  <si>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</si>
  <si>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</si>
  <si>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</si>
  <si>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</si>
  <si>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</si>
  <si>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</si>
  <si>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</si>
  <si>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</si>
  <si>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</si>
  <si>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</si>
  <si>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</si>
  <si>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</si>
  <si>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</si>
  <si>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</si>
  <si>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</si>
  <si>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</si>
  <si>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</si>
  <si>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</si>
  <si>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</si>
  <si>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</si>
  <si>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</si>
  <si>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</si>
  <si>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</si>
  <si>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</si>
  <si>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</si>
  <si>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</si>
  <si>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</si>
  <si>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</si>
  <si>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</si>
  <si>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</si>
  <si>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</si>
  <si>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</si>
  <si>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</si>
  <si>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</si>
  <si>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</si>
  <si>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</si>
  <si>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</si>
  <si>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</si>
  <si>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</si>
  <si>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</si>
  <si>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</si>
  <si>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</si>
  <si>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</si>
  <si>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</si>
  <si>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</si>
  <si>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</si>
  <si>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</si>
  <si>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</si>
  <si>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</si>
  <si>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</si>
  <si>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</si>
  <si>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</si>
  <si>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</si>
  <si>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</si>
  <si>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</si>
  <si>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</si>
  <si>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</si>
  <si>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</si>
  <si>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</si>
  <si>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</si>
  <si>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</si>
  <si>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</si>
  <si>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</si>
  <si>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</si>
  <si>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</si>
  <si>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</si>
  <si>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</si>
  <si>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</si>
  <si>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</si>
  <si>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</si>
  <si>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</si>
  <si>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</si>
  <si>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</si>
  <si>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</si>
  <si>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</si>
  <si>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</si>
  <si>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</si>
  <si>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</si>
  <si>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</si>
  <si>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</si>
  <si>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</si>
  <si>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</si>
  <si>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</si>
  <si>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</si>
  <si>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</si>
  <si>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</si>
  <si>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</si>
  <si>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</si>
  <si>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</si>
  <si>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</si>
  <si>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</si>
  <si>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</si>
  <si>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</si>
  <si>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</si>
  <si>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</si>
  <si>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</si>
  <si>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</si>
  <si>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</si>
  <si>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</si>
  <si>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</si>
  <si>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</si>
  <si>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</si>
  <si>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</si>
  <si>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</si>
  <si>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</si>
  <si>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</si>
  <si>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</si>
  <si>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</si>
  <si>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</si>
  <si>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</si>
  <si>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</si>
  <si>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</si>
  <si>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</si>
  <si>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</si>
  <si>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</si>
  <si>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</si>
  <si>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</si>
  <si>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</si>
  <si>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</si>
  <si>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</si>
  <si>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</si>
  <si>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</si>
  <si>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</si>
  <si>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</si>
  <si>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</si>
  <si>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</si>
  <si>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</si>
  <si>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</si>
  <si>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</si>
  <si>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</si>
  <si>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</si>
  <si>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</si>
  <si>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</si>
  <si>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</si>
  <si>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</si>
  <si>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</si>
  <si>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</si>
  <si>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</si>
  <si>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</si>
  <si>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</si>
  <si>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</si>
  <si>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</si>
  <si>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</si>
  <si>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</si>
  <si>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</si>
  <si>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</si>
  <si>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</si>
  <si>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</si>
  <si>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</si>
  <si>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</si>
  <si>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</si>
  <si>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</si>
  <si>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</si>
  <si>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</si>
  <si>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</si>
  <si>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</si>
  <si>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</si>
  <si>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</si>
  <si>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</si>
  <si>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</si>
  <si>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</si>
  <si>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</si>
  <si>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</si>
  <si>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</si>
  <si>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</si>
  <si>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</si>
  <si>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</si>
  <si>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</si>
  <si>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</si>
  <si>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</si>
  <si>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</si>
  <si>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</si>
  <si>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</si>
  <si>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</si>
  <si>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</si>
  <si>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</si>
  <si>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</si>
  <si>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</si>
  <si>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</si>
  <si>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</si>
  <si>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</si>
  <si>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</si>
  <si>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</si>
  <si>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</si>
  <si>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</si>
  <si>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</si>
  <si>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</si>
  <si>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</si>
  <si>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</si>
  <si>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</si>
  <si>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</si>
  <si>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</si>
  <si>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</si>
  <si>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</si>
  <si>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</si>
  <si>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</si>
  <si>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</si>
  <si>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</si>
  <si>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</si>
  <si>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</si>
  <si>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</si>
  <si>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</si>
  <si>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</si>
  <si>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</si>
  <si>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</si>
  <si>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</si>
  <si>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</si>
  <si>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</si>
  <si>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</si>
  <si>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</si>
  <si>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</si>
  <si>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</si>
  <si>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</si>
  <si>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</si>
  <si>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</si>
  <si>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</si>
  <si>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</si>
  <si>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</si>
  <si>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</si>
  <si>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</si>
  <si>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</si>
  <si>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</si>
  <si>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</si>
  <si>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</si>
  <si>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</si>
  <si>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</si>
  <si>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</si>
  <si>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</si>
  <si>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</si>
  <si>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</si>
  <si>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</si>
  <si>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</si>
  <si>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</si>
  <si>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</si>
  <si>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</si>
  <si>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</si>
  <si>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</si>
  <si>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</si>
  <si>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</si>
  <si>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</si>
  <si>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</si>
  <si>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</si>
  <si>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</si>
  <si>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</si>
  <si>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</si>
  <si>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</si>
  <si>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</si>
  <si>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</si>
  <si>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</si>
  <si>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</si>
  <si>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</si>
  <si>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</si>
  <si>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</si>
  <si>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</si>
  <si>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</si>
  <si>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</si>
  <si>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</si>
  <si>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</si>
  <si>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</si>
  <si>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</si>
  <si>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</si>
  <si>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</si>
  <si>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</si>
  <si>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</si>
  <si>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</si>
  <si>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</si>
  <si>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</si>
  <si>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</si>
  <si>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</si>
  <si>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</si>
  <si>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</si>
  <si>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</si>
  <si>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</si>
  <si>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</si>
  <si>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</si>
  <si>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</si>
  <si>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</si>
  <si>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</si>
  <si>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</si>
  <si>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</si>
  <si>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</si>
  <si>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</si>
  <si>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</si>
  <si>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</si>
  <si>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</si>
  <si>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Park View Hotel</t>
  </si>
  <si>
    <t>CNIC #:</t>
  </si>
  <si>
    <t xml:space="preserve">Address: Shokat Khanam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</si>
</sst>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46232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Park View Hotel</v>
      </c>
      <c r="T3" s="301">
        <f>+'1'!P35</f>
        <v>48306.842014830509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723.98250000000007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5351.1750000000002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163.52513771186443</v>
      </c>
      <c r="P7" s="118">
        <f>M7+N7+O7</f>
        <v>6704.5306461864411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482.65500000000003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3567.45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109.01675847457625</v>
      </c>
      <c r="P8" s="119">
        <f t="shared" ref="P8:P15" si="2">M8+N8+O8</f>
        <v>4469.6870974576259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1336.576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9879.0399999999991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301.89125423728814</v>
      </c>
      <c r="P10" s="119">
        <f t="shared" si="2"/>
        <v>12377.541423728811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1336.576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9879.0399999999991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301.89125423728814</v>
      </c>
      <c r="P11" s="119">
        <f t="shared" si="2"/>
        <v>12377.541423728811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1336.576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9879.0399999999991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301.89125423728814</v>
      </c>
      <c r="P12" s="119">
        <f t="shared" si="2"/>
        <v>12377.541423728811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680</v>
      </c>
      <c r="I16" s="114">
        <f t="shared" si="3"/>
        <v>45359.700000000004</v>
      </c>
      <c r="J16" s="274">
        <f>SUM(J7:J15)</f>
        <v>5216.3654999999999</v>
      </c>
      <c r="K16" s="275">
        <f t="shared" si="3"/>
        <v>1587.5895000000003</v>
      </c>
      <c r="L16" s="276">
        <f t="shared" si="3"/>
        <v>0</v>
      </c>
      <c r="M16" s="232">
        <f t="shared" si="3"/>
        <v>38555.745000000003</v>
      </c>
      <c r="N16" s="233">
        <f>SUM(N7:N15)</f>
        <v>8572.8813559322025</v>
      </c>
      <c r="O16" s="101">
        <f>SUM(O7:O15)</f>
        <v>1178.2156588983053</v>
      </c>
      <c r="P16" s="234">
        <f>SUM(P7:P15)</f>
        <v>48306.842014830501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45359.700000000004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5216.3654999999999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1587.5895000000003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38555.745000000003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8572.8813559322025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47128.626355932203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1178.2156588983053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48306.842014830509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48306.842014830509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2" workbookViewId="0">
      <selection activeCell="J38" sqref="J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46231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515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723.98250000000007</v>
      </c>
      <c r="K16" s="127">
        <f>$I16*T16</f>
        <v>220.34250000000003</v>
      </c>
      <c r="L16" s="118">
        <f>$I16*U16</f>
        <v>0</v>
      </c>
      <c r="M16" s="229">
        <f>I16-SUM(J16:L16)</f>
        <v>5351.1750000000002</v>
      </c>
      <c r="N16" s="248">
        <f>+(G16*D16+H16)*V16</f>
        <v>1189.8305084745757</v>
      </c>
      <c r="O16" s="238">
        <f>(N16+M16)*$O$15</f>
        <v>163.52513771186443</v>
      </c>
      <c r="P16" s="118">
        <f>M16+N16+O16</f>
        <v>6704.5306461864411</v>
      </c>
      <c r="Q16" s="142"/>
      <c r="S16" s="270">
        <v>0.115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482.65500000000003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3567.45</v>
      </c>
      <c r="N17" s="277">
        <f t="shared" ref="N17:N24" si="3">+(G17*D17+H17)*V17</f>
        <v>793.22033898305051</v>
      </c>
      <c r="O17" s="239">
        <f t="shared" ref="O17:O24" si="4">(N17+M17)*$O$15</f>
        <v>109.01675847457625</v>
      </c>
      <c r="P17" s="119">
        <f t="shared" ref="P17:P24" si="5">M17+N17+O17</f>
        <v>4469.6870974576259</v>
      </c>
      <c r="S17" s="270">
        <v>0.115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70">
        <v>0.115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1336.576</v>
      </c>
      <c r="K19" s="128">
        <f t="shared" si="1"/>
        <v>406.78400000000005</v>
      </c>
      <c r="L19" s="119">
        <f t="shared" si="1"/>
        <v>0</v>
      </c>
      <c r="M19" s="230">
        <f t="shared" si="2"/>
        <v>9879.0399999999991</v>
      </c>
      <c r="N19" s="277">
        <f t="shared" si="3"/>
        <v>2196.6101694915255</v>
      </c>
      <c r="O19" s="239">
        <f t="shared" si="4"/>
        <v>301.89125423728814</v>
      </c>
      <c r="P19" s="119">
        <f t="shared" si="5"/>
        <v>12377.541423728811</v>
      </c>
      <c r="S19" s="270">
        <v>0.115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1336.576</v>
      </c>
      <c r="K20" s="128">
        <f t="shared" si="1"/>
        <v>406.78400000000005</v>
      </c>
      <c r="L20" s="119">
        <f t="shared" si="1"/>
        <v>0</v>
      </c>
      <c r="M20" s="230">
        <f t="shared" si="2"/>
        <v>9879.0399999999991</v>
      </c>
      <c r="N20" s="277">
        <f t="shared" si="3"/>
        <v>2196.6101694915255</v>
      </c>
      <c r="O20" s="239">
        <f t="shared" si="4"/>
        <v>301.89125423728814</v>
      </c>
      <c r="P20" s="119">
        <f t="shared" si="5"/>
        <v>12377.541423728811</v>
      </c>
      <c r="R20">
        <f>P20/21</f>
        <v>589.40673446327673</v>
      </c>
      <c r="S20" s="270">
        <v>0.115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1336.576</v>
      </c>
      <c r="K21" s="128">
        <f t="shared" si="1"/>
        <v>406.78400000000005</v>
      </c>
      <c r="L21" s="119">
        <f t="shared" si="1"/>
        <v>0</v>
      </c>
      <c r="M21" s="230">
        <f t="shared" si="2"/>
        <v>9879.0399999999991</v>
      </c>
      <c r="N21" s="277">
        <f t="shared" si="3"/>
        <v>2196.6101694915255</v>
      </c>
      <c r="O21" s="239">
        <f t="shared" si="4"/>
        <v>301.89125423728814</v>
      </c>
      <c r="P21" s="119">
        <f t="shared" si="5"/>
        <v>12377.541423728811</v>
      </c>
      <c r="S21" s="270">
        <v>0.115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680</v>
      </c>
      <c r="I25" s="114">
        <f t="shared" ref="I25:M25" si="10">SUM(I16:I24)</f>
        <v>45359.700000000004</v>
      </c>
      <c r="J25" s="274">
        <f>SUM(J16:J24)</f>
        <v>5216.3654999999999</v>
      </c>
      <c r="K25" s="275">
        <f t="shared" si="10"/>
        <v>1587.5895000000003</v>
      </c>
      <c r="L25" s="276">
        <f t="shared" si="10"/>
        <v>0</v>
      </c>
      <c r="M25" s="232">
        <f t="shared" si="10"/>
        <v>38555.745000000003</v>
      </c>
      <c r="N25" s="233">
        <f>SUM(N16:N24)</f>
        <v>8572.8813559322025</v>
      </c>
      <c r="O25" s="101">
        <f>SUM(O16:O24)</f>
        <v>1178.2156588983053</v>
      </c>
      <c r="P25" s="234">
        <f>SUM(P16:P24)</f>
        <v>48306.842014830501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45359.700000000004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5216.3654999999999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1587.5895000000003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38555.745000000003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8572.8813559322025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47128.626355932203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2.5000000000000001E-2</v>
      </c>
      <c r="P34" s="140">
        <f>O34*P33</f>
        <v>1178.215658898305</v>
      </c>
    </row>
    <row r="35" spans="2:16" ht="15.75" customHeight="1" thickBot="1" x14ac:dyDescent="0.4">
      <c r="N35" s="334" t="s">
        <v>88</v>
      </c>
      <c r="O35" s="335"/>
      <c r="P35" s="297">
        <f>+P33+P34</f>
        <v>48306.842014830509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510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46233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46232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2026-07-29T10:53:00Z</dcterms:modified>
</cp:coreProperties>
</file>