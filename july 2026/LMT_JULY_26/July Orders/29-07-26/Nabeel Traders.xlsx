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39200EC-6DFC-449E-BCE6-BA73A3975CC4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<sst xmlns="http://schemas.openxmlformats.org/spreadsheetml/2006/main" count="3913" uniqueCount="516">
  <si>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</si>
  <si>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</si>
  <si>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</si>
  <si>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</si>
  <si>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</si>
  <si>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</si>
  <si>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</si>
  <si>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</si>
  <si>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</si>
  <si>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</si>
  <si>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</si>
  <si>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</si>
  <si>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</si>
  <si>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</si>
  <si>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</si>
  <si>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</si>
  <si>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</si>
  <si>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</si>
  <si>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</si>
  <si>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</si>
  <si>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</si>
  <si>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</si>
  <si>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</si>
  <si>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</si>
  <si>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</si>
  <si>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</si>
  <si>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</si>
  <si>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</si>
  <si>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</si>
  <si>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</si>
  <si>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</si>
  <si>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</si>
  <si>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</si>
  <si>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</si>
  <si>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</si>
  <si>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</si>
  <si>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</si>
  <si>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</si>
  <si>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</si>
  <si>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</si>
  <si>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</si>
  <si>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</si>
  <si>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</si>
  <si>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</si>
  <si>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</si>
  <si>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</si>
  <si>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</si>
  <si>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</si>
  <si>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</si>
  <si>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</si>
  <si>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</si>
  <si>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</si>
  <si>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</si>
  <si>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</si>
  <si>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</si>
  <si>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</si>
  <si>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</si>
  <si>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</si>
  <si>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</si>
  <si>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</si>
  <si>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</si>
  <si>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</si>
  <si>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</si>
  <si>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</si>
  <si>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</si>
  <si>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</si>
  <si>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</si>
  <si>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</si>
  <si>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</si>
  <si>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</si>
  <si>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</si>
  <si>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</si>
  <si>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</si>
  <si>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</si>
  <si>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</si>
  <si>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</si>
  <si>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</si>
  <si>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</si>
  <si>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</si>
  <si>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</si>
  <si>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</si>
  <si>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</si>
  <si>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</si>
  <si>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</si>
  <si>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</si>
  <si>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</si>
  <si>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</si>
  <si>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</si>
  <si>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</si>
  <si>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</si>
  <si>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</si>
  <si>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</si>
  <si>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</si>
  <si>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</si>
  <si>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</si>
  <si>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</si>
  <si>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</si>
  <si>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</si>
  <si>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</si>
  <si>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</si>
  <si>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</si>
  <si>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</si>
  <si>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</si>
  <si>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</si>
  <si>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</si>
  <si>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</si>
  <si>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</si>
  <si>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</si>
  <si>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</si>
  <si>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</si>
  <si>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</si>
  <si>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</si>
  <si>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</si>
  <si>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</si>
  <si>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</si>
  <si>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</si>
  <si>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</si>
  <si>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</si>
  <si>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</si>
  <si>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</si>
  <si>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</si>
  <si>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</si>
  <si>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</si>
  <si>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</si>
  <si>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</si>
  <si>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</si>
  <si>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</si>
  <si>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</si>
  <si>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</si>
  <si>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</si>
  <si>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</si>
  <si>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</si>
  <si>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</si>
  <si>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</si>
  <si>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</si>
  <si>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</si>
  <si>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</si>
  <si>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</si>
  <si>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</si>
  <si>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</si>
  <si>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</si>
  <si>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</si>
  <si>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</si>
  <si>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</si>
  <si>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</si>
  <si>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</si>
  <si>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</si>
  <si>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</si>
  <si>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</si>
  <si>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</si>
  <si>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</si>
  <si>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</si>
  <si>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</si>
  <si>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</si>
  <si>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</si>
  <si>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</si>
  <si>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</si>
  <si>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</si>
  <si>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</si>
  <si>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</si>
  <si>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</si>
  <si>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</si>
  <si>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</si>
  <si>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</si>
  <si>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</si>
  <si>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</si>
  <si>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</si>
  <si>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</si>
  <si>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</si>
  <si>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</si>
  <si>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</si>
  <si>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</si>
  <si>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</si>
  <si>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</si>
  <si>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</si>
  <si>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</si>
  <si>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</si>
  <si>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</si>
  <si>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</si>
  <si>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</si>
  <si>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</si>
  <si>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</si>
  <si>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</si>
  <si>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</si>
  <si>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</si>
  <si>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</si>
  <si>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</si>
  <si>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</si>
  <si>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</si>
  <si>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</si>
  <si>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</si>
  <si>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</si>
  <si>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</si>
  <si>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</si>
  <si>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</si>
  <si>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</si>
  <si>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</si>
  <si>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</si>
  <si>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</si>
  <si>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</si>
  <si>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</si>
  <si>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</si>
  <si>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</si>
  <si>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</si>
  <si>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</si>
  <si>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</si>
  <si>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</si>
  <si>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</si>
  <si>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</si>
  <si>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</si>
  <si>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</si>
  <si>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</si>
  <si>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</si>
  <si>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</si>
  <si>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</si>
  <si>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</si>
  <si>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</si>
  <si>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</si>
  <si>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</si>
  <si>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</si>
  <si>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</si>
  <si>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</si>
  <si>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</si>
  <si>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</si>
  <si>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</si>
  <si>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</si>
  <si>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</si>
  <si>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</si>
  <si>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</si>
  <si>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</si>
  <si>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</si>
  <si>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</si>
  <si>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</si>
  <si>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</si>
  <si>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</si>
  <si>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</si>
  <si>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</si>
  <si>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</si>
  <si>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</si>
  <si>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</si>
  <si>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</si>
  <si>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</si>
  <si>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</si>
  <si>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</si>
  <si>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</si>
  <si>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</si>
  <si>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</si>
  <si>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</si>
  <si>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</si>
  <si>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</si>
  <si>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</si>
  <si>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</si>
  <si>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</si>
  <si>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</si>
  <si>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</si>
  <si>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</si>
  <si>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</si>
  <si>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</si>
  <si>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</si>
  <si>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</si>
  <si>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</si>
  <si>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</si>
  <si>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</si>
  <si>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</si>
  <si>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</si>
  <si>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</si>
  <si>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</si>
  <si>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</si>
  <si>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</si>
  <si>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</si>
  <si>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</si>
  <si>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</si>
  <si>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</si>
  <si>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</si>
  <si>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</si>
  <si>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</si>
  <si>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</si>
  <si>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</si>
  <si>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</si>
  <si>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</si>
  <si>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</si>
  <si>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</si>
  <si>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</si>
  <si>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</si>
  <si>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</si>
  <si>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</si>
  <si>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</si>
  <si>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</si>
  <si>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</si>
  <si>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</si>
  <si>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</si>
  <si>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</si>
  <si>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</si>
  <si>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</si>
  <si>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</si>
  <si>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</si>
  <si>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</si>
  <si>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</si>
  <si>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</si>
  <si>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</si>
  <si>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</si>
  <si>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</si>
  <si>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</si>
  <si>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</si>
  <si>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</si>
  <si>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</si>
  <si>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</si>
  <si>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</si>
  <si>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</si>
  <si>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</si>
  <si>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</si>
  <si>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</si>
  <si>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</si>
  <si>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</si>
  <si>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</si>
  <si>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</si>
  <si>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</si>
  <si>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</si>
  <si>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</si>
  <si>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</si>
  <si>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</si>
  <si>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</si>
  <si>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</si>
  <si>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</si>
  <si>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</si>
  <si>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</si>
  <si>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</si>
  <si>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</si>
  <si>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</si>
  <si>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</si>
  <si>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</si>
  <si>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</si>
  <si>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</si>
  <si>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</si>
  <si>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</si>
  <si>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</si>
  <si>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</si>
  <si>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</si>
  <si>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</si>
  <si>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</si>
  <si>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</si>
  <si>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</si>
  <si>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</si>
  <si>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</si>
  <si>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</si>
  <si>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</si>
  <si>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</si>
  <si>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</si>
  <si>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</si>
  <si>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</si>
  <si>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</si>
  <si>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</si>
  <si>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</si>
  <si>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</si>
  <si>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</si>
  <si>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</si>
  <si>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</si>
  <si>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</si>
  <si>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</si>
  <si>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</si>
  <si>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</si>
  <si>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</si>
  <si>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</si>
  <si>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</si>
  <si>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</si>
  <si>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</si>
  <si>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</si>
  <si>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</si>
  <si>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</si>
  <si>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</si>
  <si>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</si>
  <si>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</si>
  <si>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</si>
  <si>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</si>
  <si>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</si>
  <si>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</si>
  <si>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</si>
  <si>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</si>
  <si>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</si>
  <si>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</si>
  <si>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</si>
  <si>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</si>
  <si>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</si>
  <si>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</si>
  <si>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</si>
  <si>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</si>
  <si>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</si>
  <si>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</si>
  <si>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</si>
  <si>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</si>
  <si>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</si>
  <si>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</si>
  <si>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</si>
  <si>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</si>
  <si>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</si>
  <si>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</si>
  <si>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</si>
  <si>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</si>
  <si>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</si>
  <si>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</si>
  <si>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</si>
  <si>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</si>
  <si>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</si>
  <si>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</si>
  <si>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</si>
  <si>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</si>
  <si>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</si>
  <si>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</si>
  <si>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</si>
  <si>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</si>
  <si>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</si>
  <si>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</si>
  <si>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</si>
  <si>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</si>
  <si>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</si>
  <si>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</si>
  <si>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</si>
  <si>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</si>
  <si>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</si>
  <si>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</si>
  <si>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</si>
  <si>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</si>
  <si>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</si>
  <si>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</si>
  <si>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</si>
  <si>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</si>
  <si>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</si>
  <si>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</si>
  <si>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</si>
  <si>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</si>
  <si>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</si>
  <si>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</si>
  <si>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</si>
  <si>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</si>
  <si>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</si>
  <si>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</si>
  <si>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</si>
  <si>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</si>
  <si>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</si>
  <si>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</si>
  <si>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</si>
  <si>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</si>
  <si>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</si>
  <si>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</si>
  <si>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</si>
  <si>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</si>
  <si>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</si>
  <si>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</si>
  <si>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</si>
  <si>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</si>
  <si>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</si>
  <si>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</si>
  <si>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</si>
  <si>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</si>
  <si>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</si>
  <si>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</si>
  <si>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</si>
  <si>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</si>
  <si>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</si>
  <si>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</si>
  <si>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</si>
  <si>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</si>
  <si>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</si>
  <si>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</si>
  <si>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</si>
  <si>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</si>
  <si>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</si>
  <si>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</si>
  <si>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</si>
  <si>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</si>
  <si>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</si>
  <si>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</si>
  <si>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</si>
  <si>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</si>
  <si>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</si>
  <si>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</si>
  <si>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</si>
  <si>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</si>
  <si>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</si>
  <si>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</si>
  <si>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</si>
  <si>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</si>
  <si>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</si>
  <si>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</si>
  <si>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</si>
  <si>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</si>
  <si>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</si>
  <si>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</si>
  <si>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</si>
  <si>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</si>
  <si>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</si>
  <si>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</si>
  <si>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</si>
  <si>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</si>
  <si>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</si>
  <si>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</si>
  <si>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</si>
  <si>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</si>
  <si>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</si>
  <si>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</si>
  <si>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</si>
  <si>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</si>
  <si>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</si>
  <si>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</si>
  <si>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</si>
  <si>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</si>
  <si>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</si>
  <si>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</si>
  <si>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</si>
  <si>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</si>
  <si>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</si>
  <si>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</si>
  <si>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</si>
  <si>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</si>
  <si>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Nabeel Traders </t>
  </si>
  <si>
    <t xml:space="preserve">Address: Mughalpura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</si>
</sst>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46207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Nabeel Traders </v>
      </c>
      <c r="T3" s="301">
        <f>+'1'!P35</f>
        <v>737975.78436610173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70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203392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32542.720000000001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7118.72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163730.56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38440.677966101699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1010.8561898305086</v>
      </c>
      <c r="P10" s="119">
        <f t="shared" si="2"/>
        <v>203182.09415593222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60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174336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27893.760000000002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6101.76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140340.47999999998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32949.152542372882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866.44816271186426</v>
      </c>
      <c r="P11" s="119">
        <f t="shared" si="2"/>
        <v>174156.08070508472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70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203392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32542.720000000001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7118.72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163730.56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38440.677966101699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1010.8561898305086</v>
      </c>
      <c r="P12" s="119">
        <f t="shared" si="2"/>
        <v>203182.09415593222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100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156920.00000000003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17261.200000000004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5492.2000000000016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8002.920000000001</v>
      </c>
      <c r="M13" s="230">
        <f t="shared" si="1"/>
        <v>126163.68000000002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30508.474576271168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783.36077288135596</v>
      </c>
      <c r="P13" s="119">
        <f t="shared" si="2"/>
        <v>157455.51534915256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300</v>
      </c>
      <c r="H16" s="113">
        <f t="shared" si="3"/>
        <v>0</v>
      </c>
      <c r="I16" s="114">
        <f t="shared" si="3"/>
        <v>738040</v>
      </c>
      <c r="J16" s="274">
        <f>SUM(J7:J15)</f>
        <v>110240.40000000002</v>
      </c>
      <c r="K16" s="275">
        <f t="shared" si="3"/>
        <v>25831.4</v>
      </c>
      <c r="L16" s="276">
        <f t="shared" si="3"/>
        <v>8002.920000000001</v>
      </c>
      <c r="M16" s="232">
        <f t="shared" si="3"/>
        <v>593965.28</v>
      </c>
      <c r="N16" s="233">
        <f>SUM(N7:N15)</f>
        <v>140338.98305084746</v>
      </c>
      <c r="O16" s="101">
        <f>SUM(O7:O15)</f>
        <v>3671.5213152542374</v>
      </c>
      <c r="P16" s="234">
        <f>SUM(P7:P15)</f>
        <v>737975.78436610173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738040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110240.40000000002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33834.32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593965.28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140338.98305084746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734304.26305084745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3671.5213152542374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737975.78436610173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737975.78436610173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R16" sqref="R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3.36328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46207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46206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3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70</v>
      </c>
      <c r="H19" s="96"/>
      <c r="I19" s="236">
        <f t="shared" si="7"/>
        <v>203392</v>
      </c>
      <c r="J19" s="272">
        <f t="shared" si="1"/>
        <v>32542.720000000001</v>
      </c>
      <c r="K19" s="128">
        <f t="shared" si="1"/>
        <v>7118.72</v>
      </c>
      <c r="L19" s="119">
        <f t="shared" si="1"/>
        <v>0</v>
      </c>
      <c r="M19" s="230">
        <f t="shared" si="2"/>
        <v>163730.56</v>
      </c>
      <c r="N19" s="277">
        <f t="shared" si="3"/>
        <v>38440.677966101699</v>
      </c>
      <c r="O19" s="239">
        <f t="shared" si="4"/>
        <v>1010.8561898305086</v>
      </c>
      <c r="P19" s="119">
        <f t="shared" si="5"/>
        <v>203182.09415593222</v>
      </c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60</v>
      </c>
      <c r="H20" s="96"/>
      <c r="I20" s="236">
        <f t="shared" si="7"/>
        <v>174336</v>
      </c>
      <c r="J20" s="272">
        <f t="shared" si="1"/>
        <v>27893.760000000002</v>
      </c>
      <c r="K20" s="128">
        <f t="shared" si="1"/>
        <v>6101.76</v>
      </c>
      <c r="L20" s="119">
        <f t="shared" si="1"/>
        <v>0</v>
      </c>
      <c r="M20" s="230">
        <f t="shared" si="2"/>
        <v>140340.47999999998</v>
      </c>
      <c r="N20" s="277">
        <f t="shared" si="3"/>
        <v>32949.152542372882</v>
      </c>
      <c r="O20" s="239">
        <f t="shared" si="4"/>
        <v>866.44816271186426</v>
      </c>
      <c r="P20" s="119">
        <f t="shared" si="5"/>
        <v>174156.08070508472</v>
      </c>
      <c r="R20">
        <f>P20/21</f>
        <v>8293.1467002421305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70</v>
      </c>
      <c r="H21" s="96"/>
      <c r="I21" s="236">
        <f t="shared" si="7"/>
        <v>203392</v>
      </c>
      <c r="J21" s="272">
        <f t="shared" si="1"/>
        <v>32542.720000000001</v>
      </c>
      <c r="K21" s="128">
        <f t="shared" si="1"/>
        <v>7118.72</v>
      </c>
      <c r="L21" s="119">
        <f t="shared" si="1"/>
        <v>0</v>
      </c>
      <c r="M21" s="230">
        <f t="shared" si="2"/>
        <v>163730.56</v>
      </c>
      <c r="N21" s="277">
        <f t="shared" si="3"/>
        <v>38440.677966101699</v>
      </c>
      <c r="O21" s="239">
        <f t="shared" si="4"/>
        <v>1010.8561898305086</v>
      </c>
      <c r="P21" s="119">
        <f t="shared" si="5"/>
        <v>203182.09415593222</v>
      </c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100</v>
      </c>
      <c r="H22" s="96"/>
      <c r="I22" s="236">
        <f t="shared" si="0"/>
        <v>156920.00000000003</v>
      </c>
      <c r="J22" s="272">
        <f t="shared" si="1"/>
        <v>17261.200000000004</v>
      </c>
      <c r="K22" s="128">
        <f t="shared" si="1"/>
        <v>5492.2000000000016</v>
      </c>
      <c r="L22" s="119">
        <f t="shared" si="1"/>
        <v>8002.920000000001</v>
      </c>
      <c r="M22" s="230">
        <f t="shared" si="2"/>
        <v>126163.68000000002</v>
      </c>
      <c r="N22" s="277">
        <f t="shared" si="3"/>
        <v>30508.474576271168</v>
      </c>
      <c r="O22" s="239">
        <f t="shared" si="4"/>
        <v>783.36077288135596</v>
      </c>
      <c r="P22" s="119">
        <f t="shared" si="5"/>
        <v>157455.51534915256</v>
      </c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300</v>
      </c>
      <c r="H25" s="113">
        <f t="shared" ref="H25" si="9">SUM(H16:H24)</f>
        <v>0</v>
      </c>
      <c r="I25" s="114">
        <f t="shared" ref="I25:M25" si="10">SUM(I16:I24)</f>
        <v>738040</v>
      </c>
      <c r="J25" s="274">
        <f>SUM(J16:J24)</f>
        <v>110240.40000000002</v>
      </c>
      <c r="K25" s="275">
        <f t="shared" si="10"/>
        <v>25831.4</v>
      </c>
      <c r="L25" s="276">
        <f t="shared" si="10"/>
        <v>8002.920000000001</v>
      </c>
      <c r="M25" s="232">
        <f t="shared" si="10"/>
        <v>593965.28</v>
      </c>
      <c r="N25" s="233">
        <f>SUM(N16:N24)</f>
        <v>140338.98305084746</v>
      </c>
      <c r="O25" s="101">
        <f>SUM(O16:O24)</f>
        <v>3671.5213152542374</v>
      </c>
      <c r="P25" s="234">
        <f>SUM(P16:P24)</f>
        <v>737975.78436610173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738040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110240.40000000002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33834.32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593965.28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140338.98305084746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734304.26305084745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3671.5213152542374</v>
      </c>
    </row>
    <row r="35" spans="2:16" ht="15.75" customHeight="1" thickBot="1" x14ac:dyDescent="0.4">
      <c r="N35" s="363" t="s">
        <v>88</v>
      </c>
      <c r="O35" s="364"/>
      <c r="P35" s="297">
        <f>+P33+P34</f>
        <v>737975.78436610173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510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46233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46232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2026-07-29T06:10:18Z</dcterms:modified>
</cp:coreProperties>
</file>