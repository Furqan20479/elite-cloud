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54C2F0E-CA41-4135-B0BD-C41B37B7CE64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M20" i="43" s="1"/>
  <c r="O20" i="43" s="1"/>
  <c r="P20" i="43" s="1"/>
  <c r="R20" i="43" s="1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3" l="1"/>
  <c r="O21" i="43" s="1"/>
  <c r="P21" i="43" s="1"/>
  <c r="J7" i="62"/>
  <c r="M20" i="53"/>
  <c r="O20" i="53" s="1"/>
  <c r="P20" i="53" s="1"/>
  <c r="R20" i="53" s="1"/>
  <c r="M21" i="52"/>
  <c r="O21" i="52" s="1"/>
  <c r="P21" i="52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25" i="70" s="1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<sst xmlns="http://schemas.openxmlformats.org/spreadsheetml/2006/main" count="3913" uniqueCount="510">
  <si>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</si>
  <si>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</si>
  <si>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</si>
  <si>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</si>
  <si>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</si>
  <si>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</si>
  <si>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</si>
  <si>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</si>
  <si>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</si>
  <si>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</si>
  <si>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</si>
  <si>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</si>
  <si>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</si>
  <si>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</si>
  <si>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</si>
  <si>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</si>
  <si>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</si>
  <si>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</si>
  <si>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</si>
  <si>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</si>
  <si>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</si>
  <si>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</si>
  <si>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</si>
  <si>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</si>
  <si>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</si>
  <si>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</si>
  <si>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</si>
  <si>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</si>
  <si>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</si>
  <si>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</si>
  <si>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</si>
  <si>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</si>
  <si>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</si>
  <si>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</si>
  <si>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</si>
  <si>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</si>
  <si>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</si>
  <si>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</si>
  <si>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</si>
  <si>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</si>
  <si>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</si>
  <si>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</si>
  <si>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</si>
  <si>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</si>
  <si>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</si>
  <si>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</si>
  <si>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</si>
  <si>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</si>
  <si>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</si>
  <si>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</si>
  <si>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</si>
  <si>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</si>
  <si>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</si>
  <si>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</si>
  <si>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</si>
  <si>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</si>
  <si>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</si>
  <si>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</si>
  <si>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</si>
  <si>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</si>
  <si>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</si>
  <si>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</si>
  <si>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</si>
  <si>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</si>
  <si>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</si>
  <si>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</si>
  <si>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</si>
  <si>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</si>
  <si>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</si>
  <si>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</si>
  <si>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</si>
  <si>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</si>
  <si>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</si>
  <si>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</si>
  <si>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</si>
  <si>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</si>
  <si>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</si>
  <si>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</si>
  <si>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</si>
  <si>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</si>
  <si>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</si>
  <si>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</si>
  <si>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</si>
  <si>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</si>
  <si>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</si>
  <si>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</si>
  <si>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</si>
  <si>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</si>
  <si>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</si>
  <si>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</si>
  <si>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</si>
  <si>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</si>
  <si>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</si>
  <si>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</si>
  <si>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</si>
  <si>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</si>
  <si>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</si>
  <si>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</si>
  <si>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</si>
  <si>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</si>
  <si>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</si>
  <si>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</si>
  <si>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</si>
  <si>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</si>
  <si>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</si>
  <si>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</si>
  <si>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</si>
  <si>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</si>
  <si>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</si>
  <si>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</si>
  <si>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</si>
  <si>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</si>
  <si>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</si>
  <si>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</si>
  <si>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</si>
  <si>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</si>
  <si>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</si>
  <si>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</si>
  <si>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</si>
  <si>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</si>
  <si>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</si>
  <si>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</si>
  <si>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</si>
  <si>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</si>
  <si>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</si>
  <si>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</si>
  <si>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</si>
  <si>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</si>
  <si>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</si>
  <si>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</si>
  <si>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</si>
  <si>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</si>
  <si>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</si>
  <si>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</si>
  <si>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</si>
  <si>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</si>
  <si>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</si>
  <si>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</si>
  <si>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</si>
  <si>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</si>
  <si>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</si>
  <si>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</si>
  <si>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</si>
  <si>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</si>
  <si>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</si>
  <si>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</si>
  <si>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</si>
  <si>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</si>
  <si>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</si>
  <si>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</si>
  <si>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</si>
  <si>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</si>
  <si>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</si>
  <si>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</si>
  <si>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</si>
  <si>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</si>
  <si>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</si>
  <si>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</si>
  <si>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</si>
  <si>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</si>
  <si>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</si>
  <si>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</si>
  <si>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</si>
  <si>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</si>
  <si>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</si>
  <si>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</si>
  <si>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</si>
  <si>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</si>
  <si>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</si>
  <si>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</si>
  <si>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</si>
  <si>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</si>
  <si>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</si>
  <si>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</si>
  <si>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</si>
  <si>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</si>
  <si>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</si>
  <si>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</si>
  <si>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</si>
  <si>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</si>
  <si>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</si>
  <si>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</si>
  <si>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</si>
  <si>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</si>
  <si>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</si>
  <si>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</si>
  <si>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</si>
  <si>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</si>
  <si>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</si>
  <si>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</si>
  <si>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</si>
  <si>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</si>
  <si>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</si>
  <si>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</si>
  <si>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</si>
  <si>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</si>
  <si>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</si>
  <si>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</si>
  <si>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</si>
  <si>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</si>
  <si>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</si>
  <si>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</si>
  <si>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</si>
  <si>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</si>
  <si>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</si>
  <si>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</si>
  <si>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</si>
  <si>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</si>
  <si>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</si>
  <si>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</si>
  <si>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</si>
  <si>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</si>
  <si>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</si>
  <si>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</si>
  <si>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</si>
  <si>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</si>
  <si>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</si>
  <si>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</si>
  <si>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</si>
  <si>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</si>
  <si>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</si>
  <si>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</si>
  <si>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</si>
  <si>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</si>
  <si>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</si>
  <si>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</si>
  <si>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</si>
  <si>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</si>
  <si>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</si>
  <si>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</si>
  <si>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</si>
  <si>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</si>
  <si>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</si>
  <si>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</si>
  <si>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</si>
  <si>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</si>
  <si>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</si>
  <si>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</si>
  <si>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</si>
  <si>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</si>
  <si>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</si>
  <si>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</si>
  <si>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</si>
  <si>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</si>
  <si>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</si>
  <si>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</si>
  <si>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</si>
  <si>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</si>
  <si>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</si>
  <si>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</si>
  <si>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</si>
  <si>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</si>
  <si>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</si>
  <si>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</si>
  <si>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</si>
  <si>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</si>
  <si>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</si>
  <si>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</si>
  <si>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</si>
  <si>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</si>
  <si>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</si>
  <si>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</si>
  <si>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</si>
  <si>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</si>
  <si>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</si>
  <si>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</si>
  <si>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</si>
  <si>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</si>
  <si>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</si>
  <si>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</si>
  <si>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</si>
  <si>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</si>
  <si>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</si>
  <si>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</si>
  <si>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</si>
  <si>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</si>
  <si>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</si>
  <si>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</si>
  <si>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</si>
  <si>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</si>
  <si>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</si>
  <si>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</si>
  <si>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</si>
  <si>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</si>
  <si>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</si>
  <si>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</si>
  <si>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</si>
  <si>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</si>
  <si>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</si>
  <si>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</si>
  <si>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</si>
  <si>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</si>
  <si>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</si>
  <si>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</si>
  <si>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</si>
  <si>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</si>
  <si>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</si>
  <si>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</si>
  <si>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</si>
  <si>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</si>
  <si>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</si>
  <si>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</si>
  <si>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</si>
  <si>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</si>
  <si>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</si>
  <si>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</si>
  <si>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</si>
  <si>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</si>
  <si>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</si>
  <si>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</si>
  <si>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</si>
  <si>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</si>
  <si>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</si>
  <si>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</si>
  <si>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</si>
  <si>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</si>
  <si>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</si>
  <si>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</si>
  <si>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</si>
  <si>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</si>
  <si>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</si>
  <si>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</si>
  <si>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</si>
  <si>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</si>
  <si>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</si>
  <si>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</si>
  <si>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</si>
  <si>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</si>
  <si>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</si>
  <si>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</si>
  <si>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</si>
  <si>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</si>
  <si>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</si>
  <si>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</si>
  <si>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</si>
  <si>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</si>
  <si>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</si>
  <si>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</si>
  <si>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</si>
  <si>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</si>
  <si>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</si>
  <si>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</si>
  <si>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</si>
  <si>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</si>
  <si>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</si>
  <si>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</si>
  <si>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</si>
  <si>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</si>
  <si>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</si>
  <si>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</si>
  <si>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</si>
  <si>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</si>
  <si>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</si>
  <si>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</si>
  <si>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</si>
  <si>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</si>
  <si>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</si>
  <si>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</si>
  <si>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</si>
  <si>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</si>
  <si>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</si>
  <si>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</si>
  <si>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</si>
  <si>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</si>
  <si>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</si>
  <si>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</si>
  <si>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</si>
  <si>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</si>
  <si>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</si>
  <si>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</si>
  <si>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</si>
  <si>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</si>
  <si>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</si>
  <si>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</si>
  <si>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</si>
  <si>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</si>
  <si>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</si>
  <si>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</si>
  <si>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</si>
  <si>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</si>
  <si>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</si>
  <si>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</si>
  <si>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</si>
  <si>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</si>
  <si>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</si>
  <si>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</si>
  <si>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</si>
  <si>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</si>
  <si>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</si>
  <si>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</si>
  <si>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</si>
  <si>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</si>
  <si>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</si>
  <si>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</si>
  <si>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</si>
  <si>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</si>
  <si>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</si>
  <si>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</si>
  <si>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</si>
  <si>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</si>
  <si>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</si>
  <si>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</si>
  <si>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</si>
  <si>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</si>
  <si>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</si>
  <si>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</si>
  <si>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</si>
  <si>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</si>
  <si>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</si>
  <si>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</si>
  <si>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</si>
  <si>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</si>
  <si>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</si>
  <si>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</si>
  <si>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</si>
  <si>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</si>
  <si>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</si>
  <si>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</si>
  <si>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</si>
  <si>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</si>
  <si>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</si>
  <si>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</si>
  <si>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</si>
  <si>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</si>
  <si>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</si>
  <si>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</si>
  <si>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</si>
  <si>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</si>
  <si>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</si>
  <si>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</si>
  <si>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</si>
  <si>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</si>
  <si>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</si>
  <si>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</si>
  <si>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</si>
  <si>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</si>
  <si>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</si>
  <si>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</si>
  <si>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</si>
  <si>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</si>
  <si>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</si>
  <si>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</si>
  <si>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</si>
  <si>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</si>
  <si>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</si>
  <si>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</si>
  <si>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</si>
  <si>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</si>
  <si>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</si>
  <si>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</si>
  <si>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</si>
  <si>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</si>
  <si>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</si>
  <si>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</si>
  <si>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</si>
  <si>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</si>
  <si>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</si>
  <si>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</si>
  <si>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</si>
  <si>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</si>
  <si>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</si>
  <si>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</si>
  <si>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</si>
  <si>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</si>
  <si>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</si>
  <si>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</si>
  <si>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</si>
  <si>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</si>
  <si>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</si>
  <si>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</si>
  <si>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</si>
  <si>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</si>
  <si>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</si>
  <si>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</si>
  <si>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</si>
  <si>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</si>
  <si>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</si>
  <si>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</si>
  <si>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</si>
  <si>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</si>
  <si>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</si>
  <si>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</si>
  <si>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</si>
  <si>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</si>
  <si>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</si>
  <si>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</si>
  <si>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</si>
  <si>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</si>
  <si>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</si>
  <si>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</si>
  <si>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</si>
  <si>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</si>
  <si>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</si>
  <si>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</si>
  <si>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</si>
  <si>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</si>
  <si>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</si>
  <si>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</si>
  <si>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</si>
  <si>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</si>
  <si>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</si>
  <si>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</si>
  <si>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</si>
  <si>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</si>
  <si>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</si>
  <si>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</si>
  <si>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</si>
  <si>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Zubida Traders </t>
  </si>
  <si>
    <t>Address: Attari Darbaar</t>
  </si>
  <si>
    <t>Zubaida Associates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</si>
</sst>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5" t="s">
        <v>498</v>
      </c>
      <c r="F2" s="346"/>
      <c r="G2" s="346"/>
      <c r="H2" s="343" t="s">
        <v>509</v>
      </c>
      <c r="I2" s="343"/>
      <c r="J2" s="344"/>
      <c r="R2" s="340" t="s">
        <v>497</v>
      </c>
      <c r="S2" s="341"/>
      <c r="T2" s="342"/>
    </row>
    <row r="3" spans="1:20 16377:16378" ht="21.75" customHeight="1" thickBot="1" x14ac:dyDescent="0.4">
      <c r="A3" s="359" t="s">
        <v>92</v>
      </c>
      <c r="B3" s="359"/>
      <c r="C3" s="359"/>
      <c r="E3" s="349" t="s">
        <v>499</v>
      </c>
      <c r="F3" s="350"/>
      <c r="G3" s="350"/>
      <c r="H3" s="347">
        <f>+'1'!N4:N4</f>
        <v>46207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 xml:space="preserve">Zubida Traders </v>
      </c>
      <c r="T3" s="301">
        <f>+'1'!P35</f>
        <v>816127.61005487281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Zubida Traders </v>
      </c>
      <c r="T4" s="301">
        <f>+'2'!P35</f>
        <v>500895.44655381353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Zubida Traders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 xml:space="preserve">Zubida Traders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2000</v>
      </c>
      <c r="I7" s="235">
        <f>(G7*D7)*F7+H7*F7</f>
        <v>104925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18886.5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3672.375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82366.125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19830.508474576265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510.98316737288133</v>
      </c>
      <c r="P7" s="118">
        <f>M7+N7+O7</f>
        <v>102707.61664194913</v>
      </c>
      <c r="Q7" s="142"/>
      <c r="R7" s="299">
        <v>5</v>
      </c>
      <c r="S7" s="300" t="str">
        <f>+'5'!A6:A6</f>
        <v xml:space="preserve">Zubida Traders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2600</v>
      </c>
      <c r="I8" s="236">
        <f t="shared" ref="I8:I14" si="0">(G8*D8)*F8+H8*F8</f>
        <v>136402.5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24552.449999999997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4774.0875000000005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107075.96249999999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25779.66101694914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664.27811758474581</v>
      </c>
      <c r="P8" s="119">
        <f t="shared" ref="P8:P15" si="2">M8+N8+O8</f>
        <v>133519.90163453386</v>
      </c>
      <c r="R8" s="299">
        <v>6</v>
      </c>
      <c r="S8" s="300" t="str">
        <f>+'6'!A6:A6</f>
        <v xml:space="preserve">Zubida Traders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 xml:space="preserve">Zubida Traders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4000</v>
      </c>
      <c r="I10" s="236">
        <f t="shared" si="0"/>
        <v>290560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52300.800000000003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10169.6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228089.60000000001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54915.254237288136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1415.0242711864407</v>
      </c>
      <c r="P10" s="119">
        <f t="shared" si="2"/>
        <v>284419.87850847456</v>
      </c>
      <c r="R10" s="299">
        <v>8</v>
      </c>
      <c r="S10" s="300" t="str">
        <f>+'8'!A6:A6</f>
        <v xml:space="preserve">Zubida Traders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4400</v>
      </c>
      <c r="I11" s="236">
        <f t="shared" si="0"/>
        <v>319616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57530.879999999997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11186.560000000001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250898.56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60406.779661016946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1556.5266983050847</v>
      </c>
      <c r="P11" s="119">
        <f t="shared" si="2"/>
        <v>312861.86635932204</v>
      </c>
      <c r="R11" s="299">
        <v>9</v>
      </c>
      <c r="S11" s="300" t="str">
        <f>+'9'!A6:A6</f>
        <v xml:space="preserve">Zubida Traders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6800</v>
      </c>
      <c r="I12" s="236">
        <f t="shared" si="0"/>
        <v>493952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88911.360000000001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17288.32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387752.32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93355.932203389835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2405.5412610169492</v>
      </c>
      <c r="P12" s="119">
        <f t="shared" si="2"/>
        <v>483513.7934644068</v>
      </c>
      <c r="R12" s="299">
        <v>10</v>
      </c>
      <c r="S12" s="300" t="str">
        <f>+'10'!A6:A6</f>
        <v xml:space="preserve">Zubida Traders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 xml:space="preserve">Zubida Traders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 xml:space="preserve">Zubida Traders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 xml:space="preserve">Zubida Traders 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 t="shared" ref="G16:M16" si="3">SUM(G7:G15)</f>
        <v>0</v>
      </c>
      <c r="H16" s="113">
        <f t="shared" si="3"/>
        <v>19800</v>
      </c>
      <c r="I16" s="114">
        <f t="shared" si="3"/>
        <v>1345455.5</v>
      </c>
      <c r="J16" s="274">
        <f>SUM(J7:J15)</f>
        <v>242181.99</v>
      </c>
      <c r="K16" s="275">
        <f t="shared" si="3"/>
        <v>47090.942500000005</v>
      </c>
      <c r="L16" s="276">
        <f t="shared" si="3"/>
        <v>0</v>
      </c>
      <c r="M16" s="232">
        <f t="shared" si="3"/>
        <v>1056182.5675000001</v>
      </c>
      <c r="N16" s="233">
        <f>SUM(N7:N15)</f>
        <v>254288.1355932203</v>
      </c>
      <c r="O16" s="101">
        <f>SUM(O7:O15)</f>
        <v>6552.3535154661022</v>
      </c>
      <c r="P16" s="234">
        <f>SUM(P7:P15)</f>
        <v>1317023.0566086865</v>
      </c>
      <c r="R16" s="299">
        <v>14</v>
      </c>
      <c r="S16" s="300" t="str">
        <f>+'14'!A6:A6</f>
        <v xml:space="preserve">Zubida Traders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Zubida Traders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Zubida Traders 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1345455.5</v>
      </c>
      <c r="R19" s="299">
        <v>17</v>
      </c>
      <c r="S19" s="300" t="str">
        <f>+'17'!A6:A6</f>
        <v xml:space="preserve">Zubida Traders 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242181.99</v>
      </c>
      <c r="R20" s="299">
        <v>18</v>
      </c>
      <c r="S20" s="300" t="str">
        <f>+'18'!A6:A6</f>
        <v xml:space="preserve">Zubida Traders 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47090.942500000005</v>
      </c>
      <c r="R21" s="299">
        <v>19</v>
      </c>
      <c r="S21" s="300" t="str">
        <f>+'19'!A6:A6</f>
        <v xml:space="preserve">Zubida Traders 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1056182.5674999999</v>
      </c>
      <c r="R22" s="299">
        <v>20</v>
      </c>
      <c r="S22" s="300" t="str">
        <f>+'20'!A6:A6</f>
        <v xml:space="preserve">Zubida Traders 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254288.1355932203</v>
      </c>
      <c r="R23" s="299">
        <v>21</v>
      </c>
      <c r="S23" s="300" t="str">
        <f>+'21'!A6:A6</f>
        <v xml:space="preserve">Zubida Traders 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1310470.7030932202</v>
      </c>
      <c r="R24" s="299">
        <v>22</v>
      </c>
      <c r="S24" s="300" t="str">
        <f>+'22'!A6:A6</f>
        <v xml:space="preserve">Zubida Traders 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6552.3535154661022</v>
      </c>
      <c r="R25" s="299">
        <v>23</v>
      </c>
      <c r="S25" s="300" t="str">
        <f>+'23'!A6:A6</f>
        <v xml:space="preserve">Zubida Traders </v>
      </c>
      <c r="T25" s="301">
        <f>+'23'!P35</f>
        <v>0</v>
      </c>
    </row>
    <row r="26" spans="1:20" ht="21.75" customHeight="1" thickBot="1" x14ac:dyDescent="0.4">
      <c r="N26" s="334" t="s">
        <v>88</v>
      </c>
      <c r="O26" s="335"/>
      <c r="P26" s="297">
        <f>+P24+P25</f>
        <v>1317023.0566086865</v>
      </c>
      <c r="R26" s="299">
        <v>24</v>
      </c>
      <c r="S26" s="300" t="str">
        <f>+'24'!A6:A6</f>
        <v xml:space="preserve">Zubida Traders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6"/>
      <c r="D27" s="336"/>
      <c r="E27" s="336"/>
      <c r="F27" s="336"/>
      <c r="G27" s="336"/>
      <c r="H27" s="336"/>
      <c r="I27" s="337"/>
      <c r="J27" s="338"/>
      <c r="K27" s="339"/>
      <c r="R27" s="299">
        <v>25</v>
      </c>
      <c r="S27" s="300" t="str">
        <f>+'25'!A6:A6</f>
        <v xml:space="preserve">Zubida Traders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Zubida Traders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Zubida Traders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Zubida Traders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Zubida Traders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Zubida Traders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1317023.0566086862</v>
      </c>
    </row>
    <row r="44" spans="2:20" x14ac:dyDescent="0.35">
      <c r="B44" t="s">
        <v>501</v>
      </c>
    </row>
    <row r="45" spans="2:20" x14ac:dyDescent="0.35">
      <c r="B45" t="s">
        <v>502</v>
      </c>
    </row>
    <row r="46" spans="2:20" x14ac:dyDescent="0.35">
      <c r="B46" t="s">
        <v>503</v>
      </c>
    </row>
    <row r="47" spans="2:20" x14ac:dyDescent="0.35">
      <c r="B47" t="s">
        <v>504</v>
      </c>
    </row>
    <row r="48" spans="2:20" x14ac:dyDescent="0.35">
      <c r="B48" t="s">
        <v>505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9" workbookViewId="0">
      <selection activeCell="G12" sqref="G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9.36328125" bestFit="1" customWidth="1"/>
    <col min="10" max="11" width="8.36328125" bestFit="1" customWidth="1"/>
    <col min="12" max="12" width="4.36328125" bestFit="1" customWidth="1"/>
    <col min="13" max="13" width="6.8164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v>46207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46206</v>
      </c>
      <c r="O5" s="359"/>
      <c r="P5" s="359"/>
      <c r="R5" s="85"/>
      <c r="S5" s="266"/>
    </row>
    <row r="6" spans="1:22 16383:16384" ht="17.2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501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1200</v>
      </c>
      <c r="I16" s="235">
        <f>(G16*D16)*F16+H16*F16</f>
        <v>62955</v>
      </c>
      <c r="J16" s="271">
        <f>$I16*S16</f>
        <v>11331.9</v>
      </c>
      <c r="K16" s="127">
        <f>$I16*T16</f>
        <v>2203.4250000000002</v>
      </c>
      <c r="L16" s="118">
        <f>$I16*U16</f>
        <v>0</v>
      </c>
      <c r="M16" s="229">
        <f>I16-SUM(J16:L16)</f>
        <v>49419.675000000003</v>
      </c>
      <c r="N16" s="248">
        <f>+(G16*D16+H16)*V16</f>
        <v>11898.305084745758</v>
      </c>
      <c r="O16" s="238">
        <f>(N16+M16)*$O$15</f>
        <v>306.58990042372881</v>
      </c>
      <c r="P16" s="118">
        <f>M16+N16+O16</f>
        <v>61624.569985169488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1400</v>
      </c>
      <c r="I17" s="236">
        <f t="shared" ref="I17:I23" si="0">(G17*D17)*F17+H17*F17</f>
        <v>73447.5</v>
      </c>
      <c r="J17" s="272">
        <f t="shared" ref="J17:L24" si="1">$I17*S17</f>
        <v>13220.55</v>
      </c>
      <c r="K17" s="128">
        <f>$I17*T17</f>
        <v>2570.6625000000004</v>
      </c>
      <c r="L17" s="119">
        <f>$I17*U17</f>
        <v>0</v>
      </c>
      <c r="M17" s="230">
        <f t="shared" ref="M17:M24" si="2">I17-SUM(J17:L17)</f>
        <v>57656.287499999999</v>
      </c>
      <c r="N17" s="277">
        <f t="shared" ref="N17:N24" si="3">+(G17*D17+H17)*V17</f>
        <v>13881.355932203383</v>
      </c>
      <c r="O17" s="239">
        <f t="shared" ref="O17:O24" si="4">(N17+M17)*$O$15</f>
        <v>357.68821716101695</v>
      </c>
      <c r="P17" s="119">
        <f t="shared" ref="P17:P24" si="5">M17+N17+O17</f>
        <v>71895.331649364409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2400</v>
      </c>
      <c r="I19" s="236">
        <f t="shared" si="7"/>
        <v>174336</v>
      </c>
      <c r="J19" s="272">
        <f t="shared" si="1"/>
        <v>31380.48</v>
      </c>
      <c r="K19" s="128">
        <f t="shared" si="1"/>
        <v>6101.76</v>
      </c>
      <c r="L19" s="119">
        <f t="shared" si="1"/>
        <v>0</v>
      </c>
      <c r="M19" s="230">
        <f t="shared" si="2"/>
        <v>136853.76000000001</v>
      </c>
      <c r="N19" s="277">
        <f t="shared" si="3"/>
        <v>32949.152542372882</v>
      </c>
      <c r="O19" s="239">
        <f t="shared" si="4"/>
        <v>849.01456271186441</v>
      </c>
      <c r="P19" s="119">
        <f t="shared" si="5"/>
        <v>170651.92710508476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2400</v>
      </c>
      <c r="I20" s="236">
        <f t="shared" si="7"/>
        <v>174336</v>
      </c>
      <c r="J20" s="272">
        <f t="shared" si="1"/>
        <v>31380.48</v>
      </c>
      <c r="K20" s="128">
        <f t="shared" si="1"/>
        <v>6101.76</v>
      </c>
      <c r="L20" s="119">
        <f t="shared" si="1"/>
        <v>0</v>
      </c>
      <c r="M20" s="230">
        <f t="shared" si="2"/>
        <v>136853.76000000001</v>
      </c>
      <c r="N20" s="277">
        <f t="shared" si="3"/>
        <v>32949.152542372882</v>
      </c>
      <c r="O20" s="239">
        <f t="shared" si="4"/>
        <v>849.01456271186441</v>
      </c>
      <c r="P20" s="119">
        <f t="shared" si="5"/>
        <v>170651.92710508476</v>
      </c>
      <c r="R20">
        <f>P20/21</f>
        <v>8126.2822430992746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4800</v>
      </c>
      <c r="I21" s="236">
        <f t="shared" si="7"/>
        <v>348672</v>
      </c>
      <c r="J21" s="272">
        <f t="shared" si="1"/>
        <v>62760.959999999999</v>
      </c>
      <c r="K21" s="128">
        <f t="shared" si="1"/>
        <v>12203.52</v>
      </c>
      <c r="L21" s="119">
        <f t="shared" si="1"/>
        <v>0</v>
      </c>
      <c r="M21" s="230">
        <f t="shared" si="2"/>
        <v>273707.52000000002</v>
      </c>
      <c r="N21" s="277">
        <f t="shared" si="3"/>
        <v>65898.305084745763</v>
      </c>
      <c r="O21" s="239">
        <f t="shared" si="4"/>
        <v>1698.0291254237288</v>
      </c>
      <c r="P21" s="119">
        <f t="shared" si="5"/>
        <v>341303.85421016952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12200</v>
      </c>
      <c r="I25" s="114">
        <f t="shared" ref="I25:M25" si="10">SUM(I16:I24)</f>
        <v>833746.5</v>
      </c>
      <c r="J25" s="274">
        <f>SUM(J16:J24)</f>
        <v>150074.37</v>
      </c>
      <c r="K25" s="275">
        <f t="shared" si="10"/>
        <v>29181.127499999999</v>
      </c>
      <c r="L25" s="276">
        <f t="shared" si="10"/>
        <v>0</v>
      </c>
      <c r="M25" s="232">
        <f t="shared" si="10"/>
        <v>654491.00250000006</v>
      </c>
      <c r="N25" s="233">
        <f>SUM(N16:N24)</f>
        <v>157576.27118644066</v>
      </c>
      <c r="O25" s="101">
        <f>SUM(O16:O24)</f>
        <v>4060.3363684322039</v>
      </c>
      <c r="P25" s="234">
        <f>SUM(P16:P24)</f>
        <v>816127.61005487293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833746.5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150074.37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29181.127499999999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654491.00250000006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157576.27118644066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812067.27368644066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4060.3363684322035</v>
      </c>
    </row>
    <row r="35" spans="2:16" ht="15.75" customHeight="1" thickBot="1" x14ac:dyDescent="0.4">
      <c r="N35" s="334" t="s">
        <v>88</v>
      </c>
      <c r="O35" s="335"/>
      <c r="P35" s="297">
        <f>+P33+P34</f>
        <v>816127.61005487281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XFD38"/>
  <sheetViews>
    <sheetView topLeftCell="A10" workbookViewId="0">
      <selection activeCell="H26" sqref="H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0" width="8.36328125" bestFit="1" customWidth="1"/>
    <col min="11" max="11" width="7.36328125" bestFit="1" customWidth="1"/>
    <col min="12" max="12" width="4.36328125" bestFit="1" customWidth="1"/>
    <col min="13" max="13" width="6.8164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503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800</v>
      </c>
      <c r="I16" s="235">
        <f>(G16*D16)*F16+H16*F16</f>
        <v>41970</v>
      </c>
      <c r="J16" s="271">
        <f>$I16*S16</f>
        <v>7554.5999999999995</v>
      </c>
      <c r="K16" s="127">
        <f>$I16*T16</f>
        <v>1468.95</v>
      </c>
      <c r="L16" s="118">
        <f>$I16*U16</f>
        <v>0</v>
      </c>
      <c r="M16" s="229">
        <f>I16-SUM(J16:L16)</f>
        <v>32946.449999999997</v>
      </c>
      <c r="N16" s="248">
        <f>+(G16*D16+H16)*V16</f>
        <v>7932.2033898305053</v>
      </c>
      <c r="O16" s="238">
        <f>(N16+M16)*$O$15</f>
        <v>204.39326694915255</v>
      </c>
      <c r="P16" s="118">
        <f>M16+N16+O16</f>
        <v>41083.046656779661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1200</v>
      </c>
      <c r="I17" s="236">
        <f t="shared" ref="I17:I23" si="0">(G17*D17)*F17+H17*F17</f>
        <v>62955</v>
      </c>
      <c r="J17" s="272">
        <f t="shared" ref="J17:L24" si="1">$I17*S17</f>
        <v>11331.9</v>
      </c>
      <c r="K17" s="128">
        <f>$I17*T17</f>
        <v>2203.4250000000002</v>
      </c>
      <c r="L17" s="119">
        <f>$I17*U17</f>
        <v>0</v>
      </c>
      <c r="M17" s="230">
        <f t="shared" ref="M17:M24" si="2">I17-SUM(J17:L17)</f>
        <v>49419.675000000003</v>
      </c>
      <c r="N17" s="277">
        <f t="shared" ref="N17:N24" si="3">+(G17*D17+H17)*V17</f>
        <v>11898.305084745758</v>
      </c>
      <c r="O17" s="239">
        <f t="shared" ref="O17:O24" si="4">(N17+M17)*$O$15</f>
        <v>306.58990042372881</v>
      </c>
      <c r="P17" s="119">
        <f t="shared" ref="P17:P24" si="5">M17+N17+O17</f>
        <v>61624.569985169488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1600</v>
      </c>
      <c r="I19" s="236">
        <f t="shared" si="0"/>
        <v>116224</v>
      </c>
      <c r="J19" s="272">
        <f t="shared" si="1"/>
        <v>20920.32</v>
      </c>
      <c r="K19" s="128">
        <f t="shared" si="1"/>
        <v>4067.8400000000006</v>
      </c>
      <c r="L19" s="119">
        <f t="shared" si="1"/>
        <v>0</v>
      </c>
      <c r="M19" s="230">
        <f t="shared" si="2"/>
        <v>91235.839999999997</v>
      </c>
      <c r="N19" s="277">
        <f t="shared" si="3"/>
        <v>21966.101694915254</v>
      </c>
      <c r="O19" s="239">
        <f t="shared" si="4"/>
        <v>566.00970847457631</v>
      </c>
      <c r="P19" s="119">
        <f t="shared" si="5"/>
        <v>113767.95140338983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2000</v>
      </c>
      <c r="I20" s="236">
        <f t="shared" si="0"/>
        <v>145280</v>
      </c>
      <c r="J20" s="272">
        <f t="shared" si="1"/>
        <v>26150.399999999998</v>
      </c>
      <c r="K20" s="128">
        <f t="shared" si="1"/>
        <v>5084.8</v>
      </c>
      <c r="L20" s="119">
        <f t="shared" si="1"/>
        <v>0</v>
      </c>
      <c r="M20" s="230">
        <f t="shared" si="2"/>
        <v>114044.8</v>
      </c>
      <c r="N20" s="277">
        <f t="shared" si="3"/>
        <v>27457.627118644068</v>
      </c>
      <c r="O20" s="239">
        <f t="shared" si="4"/>
        <v>707.51213559322036</v>
      </c>
      <c r="P20" s="119">
        <f t="shared" si="5"/>
        <v>142209.93925423728</v>
      </c>
      <c r="R20">
        <f>P20/21</f>
        <v>6771.9018692493946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2000</v>
      </c>
      <c r="I21" s="236">
        <f t="shared" si="0"/>
        <v>145280</v>
      </c>
      <c r="J21" s="272">
        <f t="shared" si="1"/>
        <v>26150.399999999998</v>
      </c>
      <c r="K21" s="128">
        <f t="shared" si="1"/>
        <v>5084.8</v>
      </c>
      <c r="L21" s="119">
        <f t="shared" si="1"/>
        <v>0</v>
      </c>
      <c r="M21" s="230">
        <f t="shared" si="2"/>
        <v>114044.8</v>
      </c>
      <c r="N21" s="277">
        <f t="shared" si="3"/>
        <v>27457.627118644068</v>
      </c>
      <c r="O21" s="239">
        <f t="shared" si="4"/>
        <v>707.51213559322036</v>
      </c>
      <c r="P21" s="119">
        <f t="shared" si="5"/>
        <v>142209.93925423728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7600</v>
      </c>
      <c r="I25" s="114">
        <f t="shared" si="7"/>
        <v>511709</v>
      </c>
      <c r="J25" s="274">
        <f>SUM(J16:J24)</f>
        <v>92107.62</v>
      </c>
      <c r="K25" s="275">
        <f t="shared" si="7"/>
        <v>17909.814999999999</v>
      </c>
      <c r="L25" s="276">
        <f t="shared" si="7"/>
        <v>0</v>
      </c>
      <c r="M25" s="232">
        <f t="shared" si="7"/>
        <v>401691.565</v>
      </c>
      <c r="N25" s="233">
        <f>SUM(N16:N24)</f>
        <v>96711.864406779656</v>
      </c>
      <c r="O25" s="101">
        <f>SUM(O16:O24)</f>
        <v>2492.0171470338983</v>
      </c>
      <c r="P25" s="234">
        <f>SUM(P16:P24)</f>
        <v>500895.44655381353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511709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92107.62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17909.814999999999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401691.565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96711.864406779656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498403.42940677964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2492.0171470338983</v>
      </c>
    </row>
    <row r="35" spans="2:16" ht="15.75" customHeight="1" thickBot="1" x14ac:dyDescent="0.4">
      <c r="N35" s="334" t="s">
        <v>88</v>
      </c>
      <c r="O35" s="335"/>
      <c r="P35" s="297">
        <f>+P33+P34</f>
        <v>500895.44655381353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8.7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8.7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500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507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506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508</v>
      </c>
      <c r="B8" s="386"/>
      <c r="C8" s="386"/>
      <c r="F8" s="85"/>
      <c r="G8" s="86"/>
      <c r="K8" s="360" t="s">
        <v>67</v>
      </c>
      <c r="L8" s="360"/>
      <c r="M8" s="360"/>
      <c r="N8" s="389" t="s">
        <v>506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46233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46232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4" t="s">
        <v>88</v>
      </c>
      <c r="N35" s="335"/>
      <c r="O35" s="141">
        <f>O28-O29+O31+O34</f>
        <v>2897.511536</v>
      </c>
    </row>
    <row r="36" spans="2:15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3" t="s">
        <v>439</v>
      </c>
      <c r="E1" s="326" t="s">
        <v>58</v>
      </c>
      <c r="F1" s="326"/>
      <c r="G1" s="327" t="s">
        <v>440</v>
      </c>
      <c r="H1" s="327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6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4" t="s">
        <v>58</v>
      </c>
      <c r="F7" s="394"/>
      <c r="G7" s="392" t="s">
        <v>440</v>
      </c>
      <c r="H7" s="327"/>
      <c r="I7" s="328" t="s">
        <v>441</v>
      </c>
      <c r="J7" s="329"/>
      <c r="K7" s="328" t="s">
        <v>442</v>
      </c>
      <c r="L7" s="329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3" t="s">
        <v>439</v>
      </c>
      <c r="D1" s="326" t="s">
        <v>58</v>
      </c>
      <c r="E1" s="326"/>
      <c r="F1" s="327" t="s">
        <v>440</v>
      </c>
      <c r="G1" s="327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6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2026-07-29T06:43:45Z</dcterms:modified>
</cp:coreProperties>
</file>