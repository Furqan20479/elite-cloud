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216F37-F1CD-4087-8081-AD0934E87307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<sst xmlns="http://schemas.openxmlformats.org/spreadsheetml/2006/main" count="3913" uniqueCount="518">
  <si>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</si>
  <si>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</si>
  <si>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</si>
  <si>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</si>
  <si>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</si>
  <si>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</si>
  <si>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</si>
  <si>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</si>
  <si>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</si>
  <si>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</si>
  <si>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</si>
  <si>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</si>
  <si>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</si>
  <si>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</si>
  <si>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</si>
  <si>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</si>
  <si>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</si>
  <si>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</si>
  <si>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</si>
  <si>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</si>
  <si>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</si>
  <si>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</si>
  <si>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</si>
  <si>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</si>
  <si>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</si>
  <si>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</si>
  <si>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</si>
  <si>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</si>
  <si>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</si>
  <si>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</si>
  <si>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</si>
  <si>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</si>
  <si>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</si>
  <si>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</si>
  <si>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</si>
  <si>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</si>
  <si>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</si>
  <si>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</si>
  <si>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</si>
  <si>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</si>
  <si>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</si>
  <si>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</si>
  <si>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</si>
  <si>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</si>
  <si>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</si>
  <si>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</si>
  <si>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</si>
  <si>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</si>
  <si>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</si>
  <si>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</si>
  <si>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</si>
  <si>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</si>
  <si>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</si>
  <si>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</si>
  <si>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</si>
  <si>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</si>
  <si>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</si>
  <si>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</si>
  <si>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</si>
  <si>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</si>
  <si>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</si>
  <si>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</si>
  <si>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</si>
  <si>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</si>
  <si>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</si>
  <si>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</si>
  <si>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</si>
  <si>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</si>
  <si>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</si>
  <si>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</si>
  <si>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</si>
  <si>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</si>
  <si>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</si>
  <si>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</si>
  <si>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</si>
  <si>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</si>
  <si>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</si>
  <si>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</si>
  <si>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</si>
  <si>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</si>
  <si>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</si>
  <si>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</si>
  <si>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</si>
  <si>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</si>
  <si>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</si>
  <si>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</si>
  <si>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</si>
  <si>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</si>
  <si>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</si>
  <si>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</si>
  <si>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</si>
  <si>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</si>
  <si>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</si>
  <si>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</si>
  <si>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</si>
  <si>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</si>
  <si>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</si>
  <si>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</si>
  <si>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</si>
  <si>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</si>
  <si>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</si>
  <si>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</si>
  <si>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</si>
  <si>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</si>
  <si>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</si>
  <si>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</si>
  <si>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</si>
  <si>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</si>
  <si>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</si>
  <si>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</si>
  <si>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</si>
  <si>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</si>
  <si>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</si>
  <si>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</si>
  <si>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</si>
  <si>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</si>
  <si>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</si>
  <si>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</si>
  <si>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</si>
  <si>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</si>
  <si>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</si>
  <si>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</si>
  <si>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</si>
  <si>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</si>
  <si>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</si>
  <si>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</si>
  <si>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</si>
  <si>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</si>
  <si>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</si>
  <si>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</si>
  <si>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</si>
  <si>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</si>
  <si>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</si>
  <si>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</si>
  <si>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</si>
  <si>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</si>
  <si>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</si>
  <si>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</si>
  <si>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</si>
  <si>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</si>
  <si>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</si>
  <si>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</si>
  <si>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</si>
  <si>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</si>
  <si>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</si>
  <si>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</si>
  <si>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</si>
  <si>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</si>
  <si>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</si>
  <si>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</si>
  <si>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</si>
  <si>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</si>
  <si>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</si>
  <si>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</si>
  <si>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</si>
  <si>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</si>
  <si>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</si>
  <si>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</si>
  <si>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</si>
  <si>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</si>
  <si>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</si>
  <si>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</si>
  <si>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</si>
  <si>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</si>
  <si>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</si>
  <si>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</si>
  <si>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</si>
  <si>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</si>
  <si>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</si>
  <si>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</si>
  <si>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</si>
  <si>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</si>
  <si>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</si>
  <si>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</si>
  <si>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</si>
  <si>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</si>
  <si>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</si>
  <si>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</si>
  <si>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</si>
  <si>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</si>
  <si>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</si>
  <si>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</si>
  <si>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</si>
  <si>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</si>
  <si>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</si>
  <si>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</si>
  <si>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</si>
  <si>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</si>
  <si>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</si>
  <si>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</si>
  <si>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</si>
  <si>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</si>
  <si>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</si>
  <si>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</si>
  <si>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</si>
  <si>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</si>
  <si>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</si>
  <si>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</si>
  <si>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</si>
  <si>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</si>
  <si>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</si>
  <si>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</si>
  <si>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</si>
  <si>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</si>
  <si>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</si>
  <si>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</si>
  <si>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</si>
  <si>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</si>
  <si>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</si>
  <si>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</si>
  <si>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</si>
  <si>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</si>
  <si>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</si>
  <si>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</si>
  <si>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</si>
  <si>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</si>
  <si>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</si>
  <si>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</si>
  <si>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</si>
  <si>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</si>
  <si>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</si>
  <si>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</si>
  <si>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</si>
  <si>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</si>
  <si>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</si>
  <si>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</si>
  <si>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</si>
  <si>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</si>
  <si>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</si>
  <si>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</si>
  <si>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</si>
  <si>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</si>
  <si>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</si>
  <si>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</si>
  <si>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</si>
  <si>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</si>
  <si>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</si>
  <si>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</si>
  <si>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</si>
  <si>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</si>
  <si>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</si>
  <si>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</si>
  <si>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</si>
  <si>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</si>
  <si>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</si>
  <si>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</si>
  <si>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</si>
  <si>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</si>
  <si>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</si>
  <si>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</si>
  <si>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</si>
  <si>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</si>
  <si>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</si>
  <si>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</si>
  <si>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</si>
  <si>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</si>
  <si>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</si>
  <si>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</si>
  <si>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</si>
  <si>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</si>
  <si>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</si>
  <si>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</si>
  <si>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</si>
  <si>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</si>
  <si>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</si>
  <si>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</si>
  <si>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</si>
  <si>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</si>
  <si>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</si>
  <si>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</si>
  <si>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</si>
  <si>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</si>
  <si>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</si>
  <si>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</si>
  <si>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</si>
  <si>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</si>
  <si>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</si>
  <si>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</si>
  <si>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</si>
  <si>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</si>
  <si>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</si>
  <si>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</si>
  <si>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</si>
  <si>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</si>
  <si>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</si>
  <si>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</si>
  <si>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</si>
  <si>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</si>
  <si>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</si>
  <si>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</si>
  <si>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</si>
  <si>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</si>
  <si>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</si>
  <si>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</si>
  <si>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</si>
  <si>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</si>
  <si>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</si>
  <si>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</si>
  <si>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</si>
  <si>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</si>
  <si>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</si>
  <si>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</si>
  <si>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</si>
  <si>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</si>
  <si>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</si>
  <si>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</si>
  <si>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</si>
  <si>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</si>
  <si>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</si>
  <si>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</si>
  <si>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</si>
  <si>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</si>
  <si>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</si>
  <si>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</si>
  <si>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</si>
  <si>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</si>
  <si>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</si>
  <si>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</si>
  <si>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</si>
  <si>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</si>
  <si>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</si>
  <si>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</si>
  <si>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</si>
  <si>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</si>
  <si>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</si>
  <si>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</si>
  <si>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</si>
  <si>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</si>
  <si>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</si>
  <si>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</si>
  <si>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</si>
  <si>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</si>
  <si>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</si>
  <si>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</si>
  <si>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</si>
  <si>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</si>
  <si>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</si>
  <si>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</si>
  <si>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</si>
  <si>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</si>
  <si>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</si>
  <si>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</si>
  <si>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</si>
  <si>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</si>
  <si>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</si>
  <si>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</si>
  <si>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</si>
  <si>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</si>
  <si>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</si>
  <si>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</si>
  <si>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</si>
  <si>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</si>
  <si>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</si>
  <si>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</si>
  <si>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</si>
  <si>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</si>
  <si>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</si>
  <si>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</si>
  <si>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</si>
  <si>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</si>
  <si>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</si>
  <si>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</si>
  <si>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</si>
  <si>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</si>
  <si>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</si>
  <si>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</si>
  <si>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</si>
  <si>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</si>
  <si>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</si>
  <si>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</si>
  <si>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</si>
  <si>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</si>
  <si>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</si>
  <si>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</si>
  <si>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</si>
  <si>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</si>
  <si>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</si>
  <si>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</si>
  <si>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</si>
  <si>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</si>
  <si>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</si>
  <si>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</si>
  <si>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</si>
  <si>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</si>
  <si>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</si>
  <si>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</si>
  <si>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</si>
  <si>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</si>
  <si>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</si>
  <si>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</si>
  <si>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</si>
  <si>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</si>
  <si>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</si>
  <si>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</si>
  <si>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</si>
  <si>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</si>
  <si>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</si>
  <si>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</si>
  <si>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</si>
  <si>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</si>
  <si>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</si>
  <si>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</si>
  <si>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</si>
  <si>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</si>
  <si>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</si>
  <si>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</si>
  <si>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</si>
  <si>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</si>
  <si>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</si>
  <si>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</si>
  <si>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</si>
  <si>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</si>
  <si>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</si>
  <si>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</si>
  <si>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</si>
  <si>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</si>
  <si>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</si>
  <si>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</si>
  <si>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</si>
  <si>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</si>
  <si>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</si>
  <si>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</si>
  <si>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</si>
  <si>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</si>
  <si>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</si>
  <si>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</si>
  <si>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</si>
  <si>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</si>
  <si>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</si>
  <si>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</si>
  <si>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</si>
  <si>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</si>
  <si>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</si>
  <si>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</si>
  <si>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</si>
  <si>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</si>
  <si>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</si>
  <si>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</si>
  <si>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</si>
  <si>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</si>
  <si>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</si>
  <si>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</si>
  <si>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</si>
  <si>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</si>
  <si>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</si>
  <si>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</si>
  <si>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</si>
  <si>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</si>
  <si>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</si>
  <si>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</si>
  <si>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</si>
  <si>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</si>
  <si>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</si>
  <si>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</si>
  <si>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</si>
  <si>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</si>
  <si>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</si>
  <si>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</si>
  <si>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</si>
  <si>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</si>
  <si>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</si>
  <si>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</si>
  <si>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</si>
  <si>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</si>
  <si>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</si>
  <si>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</si>
  <si>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</si>
  <si>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</si>
  <si>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</si>
  <si>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</si>
  <si>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</si>
  <si>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</si>
  <si>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</si>
  <si>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</si>
  <si>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</si>
  <si>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</si>
  <si>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</si>
  <si>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</si>
  <si>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</si>
  <si>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</si>
  <si>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</si>
  <si>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</si>
  <si>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</si>
  <si>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</si>
  <si>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</si>
  <si>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</si>
  <si>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</si>
  <si>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</si>
  <si>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</si>
  <si>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</si>
  <si>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</si>
  <si>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</si>
  <si>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</si>
  <si>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</si>
  <si>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</si>
  <si>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</si>
  <si>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</si>
  <si>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</si>
  <si>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</si>
  <si>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</si>
  <si>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</si>
  <si>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</si>
  <si>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</si>
  <si>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</si>
  <si>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</si>
  <si>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</si>
  <si>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</si>
  <si>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</si>
  <si>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</si>
  <si>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</si>
  <si>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</si>
  <si>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</si>
  <si>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</si>
  <si>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</si>
  <si>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Address: Manawan </t>
  </si>
  <si>
    <t>SB Traders</t>
  </si>
  <si>
    <t>CB TRADERS</t>
  </si>
  <si>
    <t xml:space="preserve">Address:Shadbagh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</si>
</sst>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506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>+'1'!N4:N4</f>
        <v>46207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CB TRADERS</v>
      </c>
      <c r="T3" s="301">
        <f>+'1'!P35</f>
        <v>23688.031240677963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SB Traders</v>
      </c>
      <c r="T4" s="301">
        <f>+'2'!P35</f>
        <v>5922.0078101694908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73.656813559322018</v>
      </c>
      <c r="P11" s="119">
        <f t="shared" si="2"/>
        <v>14805.01952542373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119">
        <f t="shared" si="2"/>
        <v>5922.0078101694908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400</v>
      </c>
      <c r="I16" s="114">
        <f t="shared" si="3"/>
        <v>29056</v>
      </c>
      <c r="J16" s="274">
        <f>SUM(J7:J15)</f>
        <v>4067.84</v>
      </c>
      <c r="K16" s="275">
        <f t="shared" si="3"/>
        <v>1016.96</v>
      </c>
      <c r="L16" s="276">
        <f t="shared" si="3"/>
        <v>0</v>
      </c>
      <c r="M16" s="232">
        <f t="shared" si="3"/>
        <v>23971.199999999997</v>
      </c>
      <c r="N16" s="233">
        <f>SUM(N7:N15)</f>
        <v>5491.5254237288136</v>
      </c>
      <c r="O16" s="101">
        <f>SUM(O7:O15)</f>
        <v>147.31362711864404</v>
      </c>
      <c r="P16" s="234">
        <f>SUM(P7:P15)</f>
        <v>29610.039050847452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29056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4067.84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1016.96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23971.200000000001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5491.5254237288136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29462.725423728814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147.31362711864404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29610.039050847459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29610.039050847452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v>46207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46206</v>
      </c>
      <c r="O5" s="359"/>
      <c r="P5" s="359"/>
      <c r="R5" s="85"/>
      <c r="S5" s="266"/>
    </row>
    <row r="6" spans="1:22 16383:16384" ht="17.2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23244.799999999999</v>
      </c>
      <c r="J25" s="274">
        <f>SUM(J16:J24)</f>
        <v>3254.2720000000004</v>
      </c>
      <c r="K25" s="275">
        <f t="shared" si="10"/>
        <v>813.5680000000001</v>
      </c>
      <c r="L25" s="276">
        <f t="shared" si="10"/>
        <v>0</v>
      </c>
      <c r="M25" s="232">
        <f t="shared" si="10"/>
        <v>19176.96</v>
      </c>
      <c r="N25" s="233">
        <f>SUM(N16:N24)</f>
        <v>4393.2203389830511</v>
      </c>
      <c r="O25" s="101">
        <f>SUM(O16:O24)</f>
        <v>117.85090169491524</v>
      </c>
      <c r="P25" s="234">
        <f>SUM(P16:P24)</f>
        <v>23688.031240677963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23244.799999999999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3254.2720000000004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813.5680000000001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19176.96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4393.2203389830511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23570.180338983049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117.85090169491525</v>
      </c>
    </row>
    <row r="35" spans="2:16" ht="15.75" customHeight="1" thickBot="1" x14ac:dyDescent="0.4">
      <c r="N35" s="334" t="s">
        <v>88</v>
      </c>
      <c r="O35" s="335"/>
      <c r="P35" s="297">
        <f>+P33+P34</f>
        <v>23688.031240677963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813.5680000000001</v>
      </c>
      <c r="K25" s="275">
        <f t="shared" si="7"/>
        <v>203.39200000000002</v>
      </c>
      <c r="L25" s="276">
        <f t="shared" si="7"/>
        <v>0</v>
      </c>
      <c r="M25" s="232">
        <f t="shared" si="7"/>
        <v>4794.24</v>
      </c>
      <c r="N25" s="233">
        <f>SUM(N16:N24)</f>
        <v>1098.3050847457628</v>
      </c>
      <c r="O25" s="101">
        <f>SUM(O16:O24)</f>
        <v>29.462725423728813</v>
      </c>
      <c r="P25" s="234">
        <f>SUM(P16:P24)</f>
        <v>5922.0078101694908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5811.2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813.5680000000001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203.39200000000002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4794.24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5892.5450847457623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29.462725423728813</v>
      </c>
    </row>
    <row r="35" spans="2:16" ht="15.75" customHeight="1" thickBot="1" x14ac:dyDescent="0.4">
      <c r="N35" s="334" t="s">
        <v>88</v>
      </c>
      <c r="O35" s="335"/>
      <c r="P35" s="297">
        <f>+P33+P34</f>
        <v>5922.0078101694908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504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505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507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513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513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2026-07-27T05:29:54Z</dcterms:modified>
</cp:coreProperties>
</file>