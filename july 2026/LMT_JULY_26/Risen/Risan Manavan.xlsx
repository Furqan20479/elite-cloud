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5CE777C-0726-49E7-9263-18723605717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6" i="15" l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<sst xmlns="http://schemas.openxmlformats.org/spreadsheetml/2006/main" count="1580" uniqueCount="107">
  <si>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</si>
  <si>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</si>
  <si>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</si>
  <si>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</si>
  <si>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</si>
  <si>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</si>
  <si>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</si>
  <si>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</si>
  <si>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</si>
  <si>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</si>
  <si>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</si>
  <si>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</si>
  <si>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</si>
  <si>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</si>
  <si>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</si>
  <si>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</si>
  <si>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</si>
  <si>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</si>
  <si>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</si>
  <si>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</si>
  <si>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</si>
  <si>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</si>
  <si>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</si>
  <si>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</si>
  <si>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</si>
  <si>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</si>
  <si>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</si>
  <si>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</si>
  <si>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</si>
  <si>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</si>
  <si>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</si>
  <si>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</si>
  <si>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</si>
  <si>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</si>
  <si>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</si>
  <si>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</si>
  <si>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</si>
  <si>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</si>
  <si>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</si>
  <si>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</si>
  <si>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</si>
  <si>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</si>
  <si>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</si>
  <si>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</si>
  <si>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</si>
  <si>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</si>
  <si>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</si>
  <si>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</si>
  <si>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</si>
  <si>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</si>
  <si>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</si>
  <si>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</si>
  <si>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</si>
  <si>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</si>
  <si>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</si>
  <si>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</si>
  <si>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</si>
  <si>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</si>
  <si>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</si>
  <si>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</si>
  <si>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</si>
  <si>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</si>
  <si>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</si>
  <si>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</si>
  <si>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</si>
  <si>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</si>
  <si>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</si>
  <si>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</si>
  <si>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</si>
  <si>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</si>
  <si>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</si>
  <si>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</si>
  <si>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</si>
  <si>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</si>
  <si>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</si>
  <si>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</si>
  <si>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</si>
  <si>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</si>
  <si>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</si>
  <si>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</si>
  <si>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</si>
  <si>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</si>
  <si>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</si>
  <si>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</si>
  <si>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</si>
  <si>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</si>
  <si>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</si>
  <si>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</si>
  <si>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</si>
  <si>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</si>
  <si>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</si>
  <si>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</si>
  <si>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</si>
  <si>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</si>
  <si>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</si>
  <si>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</si>
  <si>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</si>
  <si>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</si>
  <si>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</si>
  <si>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</si>
  <si>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</si>
  <si>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</si>
  <si>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</si>
  <si>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Manavan (Risen)</t>
  </si>
  <si>
    <t>Shop Bill Summary (Manavan (Risen))</t>
  </si>
  <si>
    <t>Customer Name : Manawa (Risen)</t>
  </si>
  <si>
    <t>Address: Manawan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</si>
</sst>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Manawa (Risen)</v>
      </c>
      <c r="U14" s="163">
        <f>+'1'!P35</f>
        <v>25744.067839499996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6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881.37000000000012</v>
      </c>
      <c r="M16" s="105">
        <f>I16-K16-L16</f>
        <v>5414.13</v>
      </c>
      <c r="N16" s="100">
        <f>+'1'!N16+'2'!N16+'4'!N16+'3'!N16+'5'!N16+'6'!N16+'7'!N16+'8'!N16+'9'!N16+'10'!N16</f>
        <v>1031.2029</v>
      </c>
      <c r="O16" s="100">
        <f>+'1'!O16+'2'!O16+'4'!O16+'3'!O16+'5'!O16+'6'!O16+'7'!O16+'8'!O16+'9'!O16+'10'!O16</f>
        <v>32.226664500000005</v>
      </c>
      <c r="P16" s="104">
        <f t="shared" ref="P16:P24" si="0">M16+N16+O16</f>
        <v>6477.5595645000003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475.93727999999993</v>
      </c>
      <c r="O20" s="100">
        <f>+'1'!O20+'2'!O20+'4'!O20+'3'!O20+'5'!O20+'6'!O20+'7'!O20+'8'!O20+'9'!O20+'10'!O20</f>
        <v>14.873766399999999</v>
      </c>
      <c r="P20" s="119">
        <f t="shared" si="0"/>
        <v>2989.6270463999999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1427.8118399999998</v>
      </c>
      <c r="O21" s="100">
        <f>+'1'!O21+'2'!O21+'4'!O21+'3'!O21+'5'!O21+'6'!O21+'7'!O21+'8'!O21+'9'!O21+'10'!O21</f>
        <v>44.621299199999996</v>
      </c>
      <c r="P21" s="119">
        <f t="shared" si="0"/>
        <v>8968.8811391999989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10</v>
      </c>
      <c r="D25" s="221"/>
      <c r="E25" s="221"/>
      <c r="F25" s="221"/>
      <c r="G25" s="175">
        <f t="shared" ref="G25:M25" si="3">SUM(G16:G24)</f>
        <v>0</v>
      </c>
      <c r="H25" s="176">
        <f t="shared" si="3"/>
        <v>400</v>
      </c>
      <c r="I25" s="177">
        <f t="shared" si="3"/>
        <v>25020.5</v>
      </c>
      <c r="J25" s="176">
        <f t="shared" si="3"/>
        <v>20</v>
      </c>
      <c r="K25" s="177">
        <f t="shared" si="3"/>
        <v>0</v>
      </c>
      <c r="L25" s="178">
        <f t="shared" si="3"/>
        <v>3502.8700000000008</v>
      </c>
      <c r="M25" s="140">
        <f t="shared" si="3"/>
        <v>21517.629999999997</v>
      </c>
      <c r="N25" s="141">
        <f>SUM(N16:N24)</f>
        <v>4098.3579</v>
      </c>
      <c r="O25" s="142">
        <f>SUM(O16:O24)</f>
        <v>128.07993949999999</v>
      </c>
      <c r="P25" s="143">
        <f>SUM(P16:P24)</f>
        <v>25744.0678395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25744.067839499996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25020.5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3502.8700000000008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21517.629999999997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4098.3579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25615.987899999996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640.3996975</v>
      </c>
    </row>
    <row r="39" spans="2:16" ht="15.75" customHeight="1" thickBot="1" x14ac:dyDescent="0.4">
      <c r="N39" s="219" t="s">
        <v>92</v>
      </c>
      <c r="O39" s="220"/>
      <c r="P39" s="159">
        <f>P37+P38</f>
        <v>26256.387597499997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8" workbookViewId="0">
      <selection activeCell="R21" sqref="R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6</v>
      </c>
      <c r="K16" s="103">
        <f>I16*$K$13</f>
        <v>0</v>
      </c>
      <c r="L16" s="104">
        <f>I16*14%</f>
        <v>881.37000000000012</v>
      </c>
      <c r="M16" s="105">
        <f>I16-K16-L16</f>
        <v>5414.13</v>
      </c>
      <c r="N16" s="105">
        <f t="shared" ref="N16:N24" si="0">(M16*$N$15)+(J16*F16)*$N$15</f>
        <v>1031.2029</v>
      </c>
      <c r="O16" s="106">
        <f t="shared" ref="O16:O24" si="1">(N16+M16)*$O$15</f>
        <v>32.226664500000005</v>
      </c>
      <c r="P16" s="104">
        <f t="shared" ref="P16:P24" si="2">M16+N16+O16</f>
        <v>6477.5595645000003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475.93727999999993</v>
      </c>
      <c r="O20" s="118">
        <f t="shared" si="1"/>
        <v>14.873766399999999</v>
      </c>
      <c r="P20" s="119">
        <f t="shared" si="2"/>
        <v>2989.6270463999999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>
        <v>6</v>
      </c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400</v>
      </c>
      <c r="I25" s="136">
        <f t="shared" si="9"/>
        <v>25020.5</v>
      </c>
      <c r="J25" s="137"/>
      <c r="K25" s="138">
        <f t="shared" si="9"/>
        <v>0</v>
      </c>
      <c r="L25" s="139">
        <f t="shared" si="9"/>
        <v>3502.8700000000008</v>
      </c>
      <c r="M25" s="140">
        <f t="shared" si="9"/>
        <v>21517.629999999997</v>
      </c>
      <c r="N25" s="141">
        <f>SUM(N16:N24)</f>
        <v>4098.3579</v>
      </c>
      <c r="O25" s="142">
        <f>SUM(O16:O24)</f>
        <v>128.07993949999999</v>
      </c>
      <c r="P25" s="143">
        <f>SUM(P16:P24)</f>
        <v>25744.0678395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25020.5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3502.8700000000008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21517.629999999997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4098.3579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25615.987899999996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128.07993949999999</v>
      </c>
    </row>
    <row r="35" spans="2:16" ht="15.75" customHeight="1" thickBot="1" x14ac:dyDescent="0.4">
      <c r="N35" s="219" t="s">
        <v>92</v>
      </c>
      <c r="O35" s="220"/>
      <c r="P35" s="159">
        <f>P33+P34</f>
        <v>25744.067839499996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2026-07-02T04:09:40Z</dcterms:modified>
</cp:coreProperties>
</file>