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307841E-3118-4843-B367-9363C844300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6" i="16"/>
  <c r="K16" i="15" s="1"/>
  <c r="L16" i="16"/>
  <c r="L16" i="15" s="1"/>
  <c r="K18" i="16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O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<sst xmlns="http://schemas.openxmlformats.org/spreadsheetml/2006/main" count="1579" uniqueCount="109">
  <si>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</si>
  <si>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</si>
  <si>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</si>
  <si>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</si>
  <si>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</si>
  <si>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</si>
  <si>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</si>
  <si>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</si>
  <si>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</si>
  <si>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</si>
  <si>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</si>
  <si>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</si>
  <si>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</si>
  <si>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</si>
  <si>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</si>
  <si>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</si>
  <si>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</si>
  <si>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</si>
  <si>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</si>
  <si>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</si>
  <si>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</si>
  <si>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</si>
  <si>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</si>
  <si>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</si>
  <si>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</si>
  <si>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</si>
  <si>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</si>
  <si>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</si>
  <si>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</si>
  <si>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</si>
  <si>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</si>
  <si>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</si>
  <si>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</si>
  <si>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</si>
  <si>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</si>
  <si>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</si>
  <si>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</si>
  <si>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</si>
  <si>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</si>
  <si>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</si>
  <si>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</si>
  <si>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</si>
  <si>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</si>
  <si>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</si>
  <si>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</si>
  <si>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</si>
  <si>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</si>
  <si>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</si>
  <si>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</si>
  <si>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</si>
  <si>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</si>
  <si>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</si>
  <si>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</si>
  <si>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</si>
  <si>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</si>
  <si>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</si>
  <si>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</si>
  <si>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</si>
  <si>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</si>
  <si>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</si>
  <si>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</si>
  <si>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</si>
  <si>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</si>
  <si>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</si>
  <si>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</si>
  <si>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</si>
  <si>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</si>
  <si>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</si>
  <si>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</si>
  <si>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</si>
  <si>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</si>
  <si>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</si>
  <si>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</si>
  <si>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</si>
  <si>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</si>
  <si>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</si>
  <si>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</si>
  <si>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</si>
  <si>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</si>
  <si>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</si>
  <si>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</si>
  <si>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</si>
  <si>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</si>
  <si>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</si>
  <si>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</si>
  <si>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</si>
  <si>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</si>
  <si>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</si>
  <si>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</si>
  <si>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</si>
  <si>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</si>
  <si>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</si>
  <si>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</si>
  <si>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</si>
  <si>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</si>
  <si>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</si>
  <si>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</si>
  <si>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</si>
  <si>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</si>
  <si>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</si>
  <si>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</si>
  <si>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</si>
  <si>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</si>
  <si>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Customer Name : Manawa (Risen)</t>
  </si>
  <si>
    <t>Address: Manawan</t>
  </si>
  <si>
    <t>Customer Name : Shadbagh (Risen)</t>
  </si>
  <si>
    <t>Address: Shadbagh</t>
  </si>
  <si>
    <t>Shadbagh (Risen)</t>
  </si>
  <si>
    <t>Shop Bill Summary (Shadbagh (Risen))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</si>
</sst>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107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108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Shadbagh (Risen)</v>
      </c>
      <c r="U14" s="163">
        <f>+'1'!P35</f>
        <v>27574.184678399997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1220.3520000000001</v>
      </c>
      <c r="M19" s="117">
        <f t="shared" si="2"/>
        <v>7496.4479999999994</v>
      </c>
      <c r="N19" s="100">
        <f>+'1'!N19+'2'!N19+'4'!N19+'3'!N19+'5'!N19+'6'!N19+'7'!N19+'8'!N19+'9'!N19+'10'!N19</f>
        <v>1649.2185599999998</v>
      </c>
      <c r="O19" s="100">
        <f>+'1'!O19+'2'!O19+'4'!O19+'3'!O19+'5'!O19+'6'!O19+'7'!O19+'8'!O19+'9'!O19+'10'!O19</f>
        <v>45.728332799999997</v>
      </c>
      <c r="P19" s="119">
        <f t="shared" si="0"/>
        <v>9191.3948927999991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1649.2185599999998</v>
      </c>
      <c r="O20" s="100">
        <f>+'1'!O20+'2'!O20+'4'!O20+'3'!O20+'5'!O20+'6'!O20+'7'!O20+'8'!O20+'9'!O20+'10'!O20</f>
        <v>45.728332799999997</v>
      </c>
      <c r="P20" s="119">
        <f t="shared" si="0"/>
        <v>9191.3948927999991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1220.3520000000001</v>
      </c>
      <c r="M21" s="117">
        <f t="shared" si="2"/>
        <v>7496.4479999999994</v>
      </c>
      <c r="N21" s="100">
        <f>+'1'!N21+'2'!N21+'4'!N21+'3'!N21+'5'!N21+'6'!N21+'7'!N21+'8'!N21+'9'!N21+'10'!N21</f>
        <v>1649.2185599999998</v>
      </c>
      <c r="O21" s="100">
        <f>+'1'!O21+'2'!O21+'4'!O21+'3'!O21+'5'!O21+'6'!O21+'7'!O21+'8'!O21+'9'!O21+'10'!O21</f>
        <v>45.728332799999997</v>
      </c>
      <c r="P21" s="119">
        <f t="shared" si="0"/>
        <v>9191.3948927999991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9</v>
      </c>
      <c r="D25" s="205"/>
      <c r="E25" s="205"/>
      <c r="F25" s="205"/>
      <c r="G25" s="175">
        <f t="shared" ref="G25:M25" si="3">SUM(G16:G24)</f>
        <v>0</v>
      </c>
      <c r="H25" s="176">
        <f t="shared" si="3"/>
        <v>360</v>
      </c>
      <c r="I25" s="177">
        <f t="shared" si="3"/>
        <v>26150.399999999998</v>
      </c>
      <c r="J25" s="176">
        <f t="shared" si="3"/>
        <v>0</v>
      </c>
      <c r="K25" s="177">
        <f t="shared" si="3"/>
        <v>0</v>
      </c>
      <c r="L25" s="178">
        <f t="shared" si="3"/>
        <v>3661.0560000000005</v>
      </c>
      <c r="M25" s="140">
        <f t="shared" si="3"/>
        <v>22489.343999999997</v>
      </c>
      <c r="N25" s="141">
        <f>SUM(N16:N24)</f>
        <v>4947.6556799999998</v>
      </c>
      <c r="O25" s="142">
        <f>SUM(O16:O24)</f>
        <v>137.18499839999998</v>
      </c>
      <c r="P25" s="143">
        <f>SUM(P16:P24)</f>
        <v>27574.184678399997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27574.184678399997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26150.399999999998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3661.0560000000005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22489.343999999997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4947.6556799999998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27436.999679999997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685.92499199999997</v>
      </c>
    </row>
    <row r="39" spans="2:16" ht="15.75" customHeight="1" thickBot="1" x14ac:dyDescent="0.4">
      <c r="N39" s="203" t="s">
        <v>92</v>
      </c>
      <c r="O39" s="204"/>
      <c r="P39" s="159">
        <f>P37+P38</f>
        <v>28122.924671999997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/>
      <c r="K19" s="1">
        <f t="shared" si="4"/>
        <v>0</v>
      </c>
      <c r="L19" s="104">
        <f t="shared" si="5"/>
        <v>1220.3520000000001</v>
      </c>
      <c r="M19" s="117">
        <f t="shared" si="6"/>
        <v>7496.4479999999994</v>
      </c>
      <c r="N19" s="117">
        <f t="shared" si="0"/>
        <v>1649.2185599999998</v>
      </c>
      <c r="O19" s="118">
        <f t="shared" si="1"/>
        <v>45.728332799999997</v>
      </c>
      <c r="P19" s="119">
        <f t="shared" si="2"/>
        <v>9191.3948927999991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/>
      <c r="K20" s="1">
        <f t="shared" si="4"/>
        <v>0</v>
      </c>
      <c r="L20" s="104">
        <f t="shared" si="5"/>
        <v>1220.3520000000001</v>
      </c>
      <c r="M20" s="117">
        <f t="shared" si="6"/>
        <v>7496.4479999999994</v>
      </c>
      <c r="N20" s="117">
        <f t="shared" si="0"/>
        <v>1649.2185599999998</v>
      </c>
      <c r="O20" s="118">
        <f t="shared" si="1"/>
        <v>45.728332799999997</v>
      </c>
      <c r="P20" s="119">
        <f t="shared" si="2"/>
        <v>9191.3948927999991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/>
      <c r="K21" s="1">
        <f t="shared" si="4"/>
        <v>0</v>
      </c>
      <c r="L21" s="104">
        <f t="shared" si="5"/>
        <v>1220.3520000000001</v>
      </c>
      <c r="M21" s="117">
        <f t="shared" si="6"/>
        <v>7496.4479999999994</v>
      </c>
      <c r="N21" s="117">
        <f t="shared" si="0"/>
        <v>1649.2185599999998</v>
      </c>
      <c r="O21" s="118">
        <f t="shared" si="1"/>
        <v>45.728332799999997</v>
      </c>
      <c r="P21" s="119">
        <f t="shared" si="2"/>
        <v>9191.3948927999991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360</v>
      </c>
      <c r="I25" s="136">
        <f t="shared" si="9"/>
        <v>26150.399999999998</v>
      </c>
      <c r="J25" s="137"/>
      <c r="K25" s="138">
        <f t="shared" si="9"/>
        <v>0</v>
      </c>
      <c r="L25" s="139">
        <f t="shared" si="9"/>
        <v>3661.0560000000005</v>
      </c>
      <c r="M25" s="140">
        <f t="shared" si="9"/>
        <v>22489.343999999997</v>
      </c>
      <c r="N25" s="141">
        <f>SUM(N16:N24)</f>
        <v>4947.6556799999998</v>
      </c>
      <c r="O25" s="142">
        <f>SUM(O16:O24)</f>
        <v>137.18499839999998</v>
      </c>
      <c r="P25" s="143">
        <f>SUM(P16:P24)</f>
        <v>27574.184678399997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26150.399999999998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3661.0560000000005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22489.343999999997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4947.6556799999998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27436.999679999997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137.18499839999998</v>
      </c>
    </row>
    <row r="35" spans="2:16" ht="15.75" customHeight="1" thickBot="1" x14ac:dyDescent="0.4">
      <c r="N35" s="203" t="s">
        <v>92</v>
      </c>
      <c r="O35" s="204"/>
      <c r="P35" s="159">
        <f>P33+P34</f>
        <v>27574.184678399997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2026-07-01T11:34:49Z</dcterms:modified>
</cp:coreProperties>
</file>