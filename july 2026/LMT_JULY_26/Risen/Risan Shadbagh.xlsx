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3A13CFF-FA77-4153-898C-83A68BBE0C0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6" i="16"/>
  <c r="K16" i="15" s="1"/>
  <c r="L16" i="16"/>
  <c r="L16" i="15" s="1"/>
  <c r="K18" i="16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O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<sst xmlns="http://schemas.openxmlformats.org/spreadsheetml/2006/main" count="1580" uniqueCount="109">
  <si>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</si>
  <si>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</si>
  <si>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</si>
  <si>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</si>
  <si>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</si>
  <si>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</si>
  <si>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</si>
  <si>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</si>
  <si>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</si>
  <si>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</si>
  <si>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</si>
  <si>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</si>
  <si>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</si>
  <si>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</si>
  <si>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</si>
  <si>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</si>
  <si>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</si>
  <si>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</si>
  <si>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</si>
  <si>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</si>
  <si>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</si>
  <si>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</si>
  <si>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</si>
  <si>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</si>
  <si>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</si>
  <si>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</si>
  <si>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</si>
  <si>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</si>
  <si>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</si>
  <si>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</si>
  <si>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</si>
  <si>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</si>
  <si>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</si>
  <si>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</si>
  <si>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</si>
  <si>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</si>
  <si>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</si>
  <si>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</si>
  <si>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</si>
  <si>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</si>
  <si>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</si>
  <si>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</si>
  <si>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</si>
  <si>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</si>
  <si>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</si>
  <si>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</si>
  <si>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</si>
  <si>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</si>
  <si>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</si>
  <si>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</si>
  <si>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</si>
  <si>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</si>
  <si>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</si>
  <si>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</si>
  <si>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</si>
  <si>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</si>
  <si>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</si>
  <si>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</si>
  <si>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</si>
  <si>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</si>
  <si>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</si>
  <si>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</si>
  <si>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</si>
  <si>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</si>
  <si>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</si>
  <si>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</si>
  <si>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</si>
  <si>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</si>
  <si>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</si>
  <si>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</si>
  <si>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</si>
  <si>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</si>
  <si>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</si>
  <si>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</si>
  <si>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</si>
  <si>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</si>
  <si>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</si>
  <si>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</si>
  <si>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</si>
  <si>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</si>
  <si>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</si>
  <si>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</si>
  <si>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</si>
  <si>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</si>
  <si>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</si>
  <si>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</si>
  <si>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</si>
  <si>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</si>
  <si>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</si>
  <si>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</si>
  <si>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</si>
  <si>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</si>
  <si>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</si>
  <si>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</si>
  <si>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</si>
  <si>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</si>
  <si>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</si>
  <si>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</si>
  <si>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</si>
  <si>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</si>
  <si>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</si>
  <si>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</si>
  <si>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</si>
  <si>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Customer Name : Manawa (Risen)</t>
  </si>
  <si>
    <t>Address: Manawan</t>
  </si>
  <si>
    <t>Customer Name : Shadbagh (Risen)</t>
  </si>
  <si>
    <t>Address: Shadbagh</t>
  </si>
  <si>
    <t>Shadbagh (Risen)</t>
  </si>
  <si>
    <t>Shop Bill Summary (Shadbagh (Risen))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</si>
</sst>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107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108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Shadbagh (Risen)</v>
      </c>
      <c r="U14" s="163">
        <f>+'1'!P35</f>
        <v>26906.643417599997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120</v>
      </c>
      <c r="I19" s="1">
        <f t="shared" si="1"/>
        <v>8716.7999999999993</v>
      </c>
      <c r="J19" s="171">
        <f>+'1'!J19+'2'!J19+'4'!J19+'3'!J19+'5'!J19+'6'!J19+'7'!J19+'8'!J19+'9'!J19+'10'!J19+'11'!J19+'12'!J19+'13'!J19+'14'!J19+'15'!J19+'16'!J19+'17'!J19+'18'!J19</f>
        <v>6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1220.3520000000001</v>
      </c>
      <c r="M19" s="117">
        <f t="shared" si="2"/>
        <v>7496.4479999999994</v>
      </c>
      <c r="N19" s="100">
        <f>+'1'!N19+'2'!N19+'4'!N19+'3'!N19+'5'!N19+'6'!N19+'7'!N19+'8'!N19+'9'!N19+'10'!N19</f>
        <v>1427.8118399999998</v>
      </c>
      <c r="O19" s="100">
        <f>+'1'!O19+'2'!O19+'4'!O19+'3'!O19+'5'!O19+'6'!O19+'7'!O19+'8'!O19+'9'!O19+'10'!O19</f>
        <v>44.621299199999996</v>
      </c>
      <c r="P19" s="119">
        <f t="shared" si="0"/>
        <v>8968.8811391999989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1220.3520000000001</v>
      </c>
      <c r="M20" s="117">
        <f t="shared" si="2"/>
        <v>7496.4479999999994</v>
      </c>
      <c r="N20" s="100">
        <f>+'1'!N20+'2'!N20+'4'!N20+'3'!N20+'5'!N20+'6'!N20+'7'!N20+'8'!N20+'9'!N20+'10'!N20</f>
        <v>1427.8118399999998</v>
      </c>
      <c r="O20" s="100">
        <f>+'1'!O20+'2'!O20+'4'!O20+'3'!O20+'5'!O20+'6'!O20+'7'!O20+'8'!O20+'9'!O20+'10'!O20</f>
        <v>44.621299199999996</v>
      </c>
      <c r="P20" s="119">
        <f t="shared" si="0"/>
        <v>8968.8811391999989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1">
        <f>+'1'!J21+'2'!J21+'4'!J21+'3'!J21+'5'!J21+'6'!J21+'7'!J21+'8'!J21+'9'!J21+'10'!J21+'11'!J21+'12'!J21+'13'!J21+'14'!J21+'15'!J21+'16'!J21+'17'!J21+'18'!J21</f>
        <v>6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1220.3520000000001</v>
      </c>
      <c r="M21" s="117">
        <f t="shared" si="2"/>
        <v>7496.4479999999994</v>
      </c>
      <c r="N21" s="100">
        <f>+'1'!N21+'2'!N21+'4'!N21+'3'!N21+'5'!N21+'6'!N21+'7'!N21+'8'!N21+'9'!N21+'10'!N21</f>
        <v>1427.8118399999998</v>
      </c>
      <c r="O21" s="100">
        <f>+'1'!O21+'2'!O21+'4'!O21+'3'!O21+'5'!O21+'6'!O21+'7'!O21+'8'!O21+'9'!O21+'10'!O21</f>
        <v>44.621299199999996</v>
      </c>
      <c r="P21" s="119">
        <f t="shared" si="0"/>
        <v>8968.8811391999989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9</v>
      </c>
      <c r="D25" s="221"/>
      <c r="E25" s="221"/>
      <c r="F25" s="221"/>
      <c r="G25" s="175">
        <f t="shared" ref="G25:M25" si="3">SUM(G16:G24)</f>
        <v>0</v>
      </c>
      <c r="H25" s="176">
        <f t="shared" si="3"/>
        <v>360</v>
      </c>
      <c r="I25" s="177">
        <f t="shared" si="3"/>
        <v>26150.399999999998</v>
      </c>
      <c r="J25" s="176">
        <f t="shared" si="3"/>
        <v>18</v>
      </c>
      <c r="K25" s="177">
        <f t="shared" si="3"/>
        <v>0</v>
      </c>
      <c r="L25" s="178">
        <f t="shared" si="3"/>
        <v>3661.0560000000005</v>
      </c>
      <c r="M25" s="140">
        <f t="shared" si="3"/>
        <v>22489.343999999997</v>
      </c>
      <c r="N25" s="141">
        <f>SUM(N16:N24)</f>
        <v>4283.4355199999991</v>
      </c>
      <c r="O25" s="142">
        <f>SUM(O16:O24)</f>
        <v>133.86389759999997</v>
      </c>
      <c r="P25" s="143">
        <f>SUM(P16:P24)</f>
        <v>26906.643417599997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26906.643417599997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26150.399999999998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3661.0560000000005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22489.343999999997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4283.4355199999991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26772.779519999996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669.31948799999998</v>
      </c>
    </row>
    <row r="39" spans="2:16" ht="15.75" customHeight="1" thickBot="1" x14ac:dyDescent="0.4">
      <c r="N39" s="219" t="s">
        <v>92</v>
      </c>
      <c r="O39" s="220"/>
      <c r="P39" s="159">
        <f>P37+P38</f>
        <v>27442.099007999997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3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120</v>
      </c>
      <c r="I19" s="115">
        <f t="shared" si="3"/>
        <v>8716.7999999999993</v>
      </c>
      <c r="J19" s="116">
        <v>6</v>
      </c>
      <c r="K19" s="1">
        <f t="shared" si="4"/>
        <v>0</v>
      </c>
      <c r="L19" s="104">
        <f t="shared" si="5"/>
        <v>1220.3520000000001</v>
      </c>
      <c r="M19" s="117">
        <f t="shared" si="6"/>
        <v>7496.4479999999994</v>
      </c>
      <c r="N19" s="117">
        <f t="shared" si="0"/>
        <v>1427.8118399999998</v>
      </c>
      <c r="O19" s="118">
        <f t="shared" si="1"/>
        <v>44.621299199999996</v>
      </c>
      <c r="P19" s="119">
        <f t="shared" si="2"/>
        <v>8968.8811391999989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>
        <v>6</v>
      </c>
      <c r="K20" s="1">
        <f t="shared" si="4"/>
        <v>0</v>
      </c>
      <c r="L20" s="104">
        <f t="shared" si="5"/>
        <v>1220.3520000000001</v>
      </c>
      <c r="M20" s="117">
        <f t="shared" si="6"/>
        <v>7496.4479999999994</v>
      </c>
      <c r="N20" s="117">
        <f t="shared" si="0"/>
        <v>1427.8118399999998</v>
      </c>
      <c r="O20" s="118">
        <f t="shared" si="1"/>
        <v>44.621299199999996</v>
      </c>
      <c r="P20" s="119">
        <f t="shared" si="2"/>
        <v>8968.8811391999989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>
        <v>6</v>
      </c>
      <c r="K21" s="1">
        <f t="shared" si="4"/>
        <v>0</v>
      </c>
      <c r="L21" s="104">
        <f t="shared" si="5"/>
        <v>1220.3520000000001</v>
      </c>
      <c r="M21" s="117">
        <f t="shared" si="6"/>
        <v>7496.4479999999994</v>
      </c>
      <c r="N21" s="117">
        <f t="shared" si="0"/>
        <v>1427.8118399999998</v>
      </c>
      <c r="O21" s="118">
        <f t="shared" si="1"/>
        <v>44.621299199999996</v>
      </c>
      <c r="P21" s="119">
        <f t="shared" si="2"/>
        <v>8968.8811391999989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360</v>
      </c>
      <c r="I25" s="136">
        <f t="shared" si="9"/>
        <v>26150.399999999998</v>
      </c>
      <c r="J25" s="137"/>
      <c r="K25" s="138">
        <f t="shared" si="9"/>
        <v>0</v>
      </c>
      <c r="L25" s="139">
        <f t="shared" si="9"/>
        <v>3661.0560000000005</v>
      </c>
      <c r="M25" s="140">
        <f t="shared" si="9"/>
        <v>22489.343999999997</v>
      </c>
      <c r="N25" s="141">
        <f>SUM(N16:N24)</f>
        <v>4283.4355199999991</v>
      </c>
      <c r="O25" s="142">
        <f>SUM(O16:O24)</f>
        <v>133.86389759999997</v>
      </c>
      <c r="P25" s="143">
        <f>SUM(P16:P24)</f>
        <v>26906.643417599997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26150.399999999998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3661.0560000000005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22489.343999999997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4283.4355199999991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26772.779519999996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133.86389759999997</v>
      </c>
    </row>
    <row r="35" spans="2:16" ht="15.75" customHeight="1" thickBot="1" x14ac:dyDescent="0.4">
      <c r="N35" s="219" t="s">
        <v>92</v>
      </c>
      <c r="O35" s="220"/>
      <c r="P35" s="159">
        <f>P33+P34</f>
        <v>26906.643417599997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2026-07-02T04:10:47Z</dcterms:modified>
</cp:coreProperties>
</file>