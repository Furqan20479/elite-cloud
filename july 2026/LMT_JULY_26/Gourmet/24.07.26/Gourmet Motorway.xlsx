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5F6E0EE9-44BD-46BB-BA46-A1BE1B735309}" xr6:coauthVersionLast="47" xr6:coauthVersionMax="47" xr10:uidLastSave="{00000000-0000-0000-0000-000000000000}"/>
  <bookViews>
    <workbookView xWindow="-110" yWindow="-110" windowWidth="19420" windowHeight="10420" tabRatio="594" firstSheet="3" activeTab="4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N4" i="11" l="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5" i="11" l="1"/>
  <c r="H3" i="62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4" i="72"/>
  <c r="N5" i="72" s="1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4" i="71"/>
  <c r="N5" i="71" s="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4" i="70"/>
  <c r="N5" i="70" s="1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4" i="69"/>
  <c r="N5" i="69" s="1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4" i="68"/>
  <c r="N5" i="68" s="1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4" i="67"/>
  <c r="N5" i="67" s="1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4" i="66"/>
  <c r="N5" i="66" s="1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4" i="65"/>
  <c r="N5" i="65" s="1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64"/>
  <c r="N5" i="64" s="1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4" i="63"/>
  <c r="N5" i="63" s="1"/>
  <c r="S22" i="62"/>
  <c r="S21" i="62"/>
  <c r="S20" i="62"/>
  <c r="S19" i="62"/>
  <c r="S18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G16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4" i="61"/>
  <c r="N5" i="61" s="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4" i="60"/>
  <c r="N5" i="60" s="1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4" i="59"/>
  <c r="N5" i="59" s="1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4" i="58"/>
  <c r="N5" i="58" s="1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4" i="57"/>
  <c r="N5" i="57" s="1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4" i="56"/>
  <c r="N5" i="56" s="1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4" i="55"/>
  <c r="N5" i="55" s="1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4" i="54"/>
  <c r="N5" i="54" s="1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4" i="53"/>
  <c r="N5" i="53" s="1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4" i="52"/>
  <c r="N5" i="52" s="1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4" i="51"/>
  <c r="N5" i="51" s="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4" i="50"/>
  <c r="N5" i="50" s="1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4" i="49"/>
  <c r="N5" i="49" s="1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4" i="48"/>
  <c r="N5" i="48" s="1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4" i="47"/>
  <c r="N5" i="47" s="1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4" i="46"/>
  <c r="N5" i="46" s="1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4" i="45"/>
  <c r="N5" i="45" s="1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4" i="44"/>
  <c r="N5" i="44" s="1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4" i="43"/>
  <c r="N5" i="43" s="1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M20" i="46" s="1"/>
  <c r="O20" i="46" s="1"/>
  <c r="P20" i="46" s="1"/>
  <c r="R20" i="46" s="1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17" i="45" l="1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<sst xmlns="http://schemas.openxmlformats.org/spreadsheetml/2006/main" count="3913" uniqueCount="515">
  <si>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</si>
  <si>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</si>
  <si>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</si>
  <si>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</si>
  <si>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</si>
  <si>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</si>
  <si>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</si>
  <si>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</si>
  <si>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</si>
  <si>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</si>
  <si>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</si>
  <si>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</si>
  <si>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</si>
  <si>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</si>
  <si>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</si>
  <si>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</si>
  <si>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</si>
  <si>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</si>
  <si>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</si>
  <si>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</si>
  <si>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</si>
  <si>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</si>
  <si>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</si>
  <si>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</si>
  <si>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</si>
  <si>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</si>
  <si>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</si>
  <si>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</si>
  <si>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</si>
  <si>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</si>
  <si>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</si>
  <si>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</si>
  <si>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</si>
  <si>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</si>
  <si>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</si>
  <si>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</si>
  <si>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</si>
  <si>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</si>
  <si>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</si>
  <si>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</si>
  <si>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</si>
  <si>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</si>
  <si>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</si>
  <si>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</si>
  <si>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</si>
  <si>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</si>
  <si>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</si>
  <si>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</si>
  <si>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</si>
  <si>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</si>
  <si>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</si>
  <si>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</si>
  <si>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</si>
  <si>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</si>
  <si>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</si>
  <si>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</si>
  <si>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</si>
  <si>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</si>
  <si>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</si>
  <si>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</si>
  <si>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</si>
  <si>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</si>
  <si>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</si>
  <si>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</si>
  <si>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</si>
  <si>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</si>
  <si>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</si>
  <si>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</si>
  <si>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</si>
  <si>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</si>
  <si>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</si>
  <si>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</si>
  <si>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</si>
  <si>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</si>
  <si>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</si>
  <si>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</si>
  <si>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</si>
  <si>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</si>
  <si>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</si>
  <si>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</si>
  <si>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</si>
  <si>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</si>
  <si>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</si>
  <si>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</si>
  <si>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</si>
  <si>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</si>
  <si>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</si>
  <si>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</si>
  <si>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</si>
  <si>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</si>
  <si>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</si>
  <si>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</si>
  <si>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</si>
  <si>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</si>
  <si>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</si>
  <si>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</si>
  <si>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</si>
  <si>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</si>
  <si>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</si>
  <si>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</si>
  <si>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</si>
  <si>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</si>
  <si>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</si>
  <si>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</si>
  <si>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</si>
  <si>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</si>
  <si>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</si>
  <si>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</si>
  <si>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</si>
  <si>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</si>
  <si>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</si>
  <si>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</si>
  <si>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</si>
  <si>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</si>
  <si>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</si>
  <si>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</si>
  <si>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</si>
  <si>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</si>
  <si>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</si>
  <si>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</si>
  <si>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</si>
  <si>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</si>
  <si>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</si>
  <si>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</si>
  <si>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</si>
  <si>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</si>
  <si>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</si>
  <si>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</si>
  <si>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</si>
  <si>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</si>
  <si>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</si>
  <si>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</si>
  <si>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</si>
  <si>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</si>
  <si>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</si>
  <si>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</si>
  <si>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</si>
  <si>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</si>
  <si>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</si>
  <si>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</si>
  <si>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</si>
  <si>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</si>
  <si>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</si>
  <si>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</si>
  <si>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</si>
  <si>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</si>
  <si>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</si>
  <si>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</si>
  <si>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</si>
  <si>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</si>
  <si>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</si>
  <si>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</si>
  <si>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</si>
  <si>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</si>
  <si>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</si>
  <si>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</si>
  <si>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</si>
  <si>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</si>
  <si>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</si>
  <si>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</si>
  <si>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</si>
  <si>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</si>
  <si>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</si>
  <si>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</si>
  <si>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</si>
  <si>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</si>
  <si>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</si>
  <si>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</si>
  <si>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</si>
  <si>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</si>
  <si>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</si>
  <si>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</si>
  <si>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</si>
  <si>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</si>
  <si>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</si>
  <si>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</si>
  <si>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</si>
  <si>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</si>
  <si>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</si>
  <si>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</si>
  <si>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</si>
  <si>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</si>
  <si>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</si>
  <si>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</si>
  <si>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</si>
  <si>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</si>
  <si>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</si>
  <si>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</si>
  <si>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</si>
  <si>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</si>
  <si>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</si>
  <si>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</si>
  <si>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</si>
  <si>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</si>
  <si>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</si>
  <si>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</si>
  <si>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</si>
  <si>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</si>
  <si>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</si>
  <si>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</si>
  <si>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</si>
  <si>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</si>
  <si>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</si>
  <si>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</si>
  <si>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</si>
  <si>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</si>
  <si>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</si>
  <si>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</si>
  <si>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</si>
  <si>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</si>
  <si>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</si>
  <si>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</si>
  <si>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</si>
  <si>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</si>
  <si>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</si>
  <si>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</si>
  <si>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</si>
  <si>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</si>
  <si>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</si>
  <si>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</si>
  <si>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</si>
  <si>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</si>
  <si>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</si>
  <si>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</si>
  <si>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</si>
  <si>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</si>
  <si>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</si>
  <si>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</si>
  <si>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</si>
  <si>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</si>
  <si>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</si>
  <si>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</si>
  <si>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</si>
  <si>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</si>
  <si>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</si>
  <si>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</si>
  <si>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</si>
  <si>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</si>
  <si>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</si>
  <si>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</si>
  <si>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</si>
  <si>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</si>
  <si>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</si>
  <si>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</si>
  <si>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</si>
  <si>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</si>
  <si>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</si>
  <si>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</si>
  <si>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</si>
  <si>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</si>
  <si>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</si>
  <si>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</si>
  <si>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</si>
  <si>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</si>
  <si>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</si>
  <si>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</si>
  <si>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</si>
  <si>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</si>
  <si>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</si>
  <si>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</si>
  <si>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</si>
  <si>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</si>
  <si>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</si>
  <si>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</si>
  <si>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</si>
  <si>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</si>
  <si>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</si>
  <si>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</si>
  <si>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</si>
  <si>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</si>
  <si>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</si>
  <si>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</si>
  <si>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</si>
  <si>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</si>
  <si>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</si>
  <si>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</si>
  <si>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</si>
  <si>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</si>
  <si>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</si>
  <si>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</si>
  <si>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</si>
  <si>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</si>
  <si>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</si>
  <si>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</si>
  <si>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</si>
  <si>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</si>
  <si>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</si>
  <si>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</si>
  <si>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</si>
  <si>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</si>
  <si>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</si>
  <si>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</si>
  <si>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</si>
  <si>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</si>
  <si>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</si>
  <si>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</si>
  <si>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</si>
  <si>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</si>
  <si>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</si>
  <si>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</si>
  <si>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</si>
  <si>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</si>
  <si>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</si>
  <si>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</si>
  <si>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</si>
  <si>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</si>
  <si>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</si>
  <si>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</si>
  <si>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</si>
  <si>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</si>
  <si>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</si>
  <si>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</si>
  <si>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</si>
  <si>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</si>
  <si>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</si>
  <si>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</si>
  <si>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</si>
  <si>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</si>
  <si>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</si>
  <si>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</si>
  <si>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</si>
  <si>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</si>
  <si>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</si>
  <si>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</si>
  <si>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</si>
  <si>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</si>
  <si>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</si>
  <si>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</si>
  <si>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</si>
  <si>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</si>
  <si>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</si>
  <si>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</si>
  <si>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</si>
  <si>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</si>
  <si>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</si>
  <si>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</si>
  <si>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</si>
  <si>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</si>
  <si>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</si>
  <si>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</si>
  <si>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</si>
  <si>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</si>
  <si>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</si>
  <si>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</si>
  <si>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</si>
  <si>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</si>
  <si>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</si>
  <si>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</si>
  <si>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</si>
  <si>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</si>
  <si>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</si>
  <si>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</si>
  <si>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</si>
  <si>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</si>
  <si>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</si>
  <si>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</si>
  <si>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</si>
  <si>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</si>
  <si>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</si>
  <si>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</si>
  <si>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</si>
  <si>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</si>
  <si>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</si>
  <si>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</si>
  <si>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</si>
  <si>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</si>
  <si>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</si>
  <si>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</si>
  <si>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</si>
  <si>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</si>
  <si>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</si>
  <si>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</si>
  <si>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</si>
  <si>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</si>
  <si>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</si>
  <si>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</si>
  <si>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</si>
  <si>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</si>
  <si>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</si>
  <si>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</si>
  <si>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</si>
  <si>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</si>
  <si>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</si>
  <si>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</si>
  <si>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</si>
  <si>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</si>
  <si>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</si>
  <si>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</si>
  <si>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</si>
  <si>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</si>
  <si>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</si>
  <si>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</si>
  <si>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</si>
  <si>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</si>
  <si>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</si>
  <si>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</si>
  <si>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</si>
  <si>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</si>
  <si>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</si>
  <si>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</si>
  <si>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</si>
  <si>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</si>
  <si>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</si>
  <si>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</si>
  <si>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</si>
  <si>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</si>
  <si>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</si>
  <si>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</si>
  <si>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</si>
  <si>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</si>
  <si>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</si>
  <si>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</si>
  <si>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</si>
  <si>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</si>
  <si>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</si>
  <si>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</si>
  <si>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</si>
  <si>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</si>
  <si>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</si>
  <si>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</si>
  <si>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</si>
  <si>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</si>
  <si>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</si>
  <si>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</si>
  <si>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</si>
  <si>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</si>
  <si>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</si>
  <si>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</si>
  <si>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</si>
  <si>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</si>
  <si>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</si>
  <si>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</si>
  <si>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</si>
  <si>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</si>
  <si>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</si>
  <si>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</si>
  <si>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</si>
  <si>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</si>
  <si>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</si>
  <si>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</si>
  <si>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</si>
  <si>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</si>
  <si>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</si>
  <si>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</si>
  <si>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</si>
  <si>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</si>
  <si>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</si>
  <si>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</si>
  <si>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</si>
  <si>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</si>
  <si>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</si>
  <si>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</si>
  <si>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</si>
  <si>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</si>
  <si>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</si>
  <si>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</si>
  <si>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</si>
  <si>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</si>
  <si>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</si>
  <si>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</si>
  <si>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</si>
  <si>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</si>
  <si>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</si>
  <si>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</si>
  <si>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</si>
  <si>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</si>
  <si>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</si>
  <si>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</si>
  <si>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</si>
  <si>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</si>
  <si>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</si>
  <si>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</si>
  <si>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</si>
  <si>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</si>
  <si>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</si>
  <si>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</si>
  <si>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</si>
  <si>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</si>
  <si>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</si>
  <si>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</si>
  <si>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</si>
  <si>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</si>
  <si>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</si>
  <si>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</si>
  <si>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</si>
  <si>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</si>
  <si>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</si>
  <si>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</si>
  <si>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</si>
  <si>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</si>
  <si>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</si>
  <si>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</si>
  <si>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</si>
  <si>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</si>
  <si>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</si>
  <si>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</si>
  <si>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Fine Dedical Store</t>
  </si>
  <si>
    <t>Total Amount</t>
  </si>
  <si>
    <t>Booker Name</t>
  </si>
  <si>
    <t>Date</t>
  </si>
  <si>
    <t xml:space="preserve">Mart Cash </t>
  </si>
  <si>
    <t>Golden Cash</t>
  </si>
  <si>
    <t>Pak Madina</t>
  </si>
  <si>
    <t>Watto Store</t>
  </si>
  <si>
    <t>Faheem Store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</si>
  <si>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</si>
  <si>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</si>
  <si>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</si>
  <si>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</si>
  <si>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</si>
  <si>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</si>
  <si>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</si>
  <si>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>Shakoor</t>
  </si>
  <si>
    <t>Shop Summary Shakoor</t>
  </si>
  <si>
    <t>Gourmet Motorway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</si>
</sst>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3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399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10" xfId="0" applyBorder="1" applyAlignment="1">
      <alignment horizontal="center"/>
    </xf>
    <xf numFmtId="167" fontId="0" fillId="0" borderId="14" xfId="0" applyNumberFormat="1" applyBorder="1" applyAlignment="1">
      <alignment horizontal="center"/>
    </xf>
    <xf numFmtId="167" fontId="0" fillId="0" borderId="21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08" t="s">
        <v>24</v>
      </c>
      <c r="B2" s="308"/>
      <c r="C2" s="308"/>
      <c r="D2" s="308"/>
      <c r="E2" s="308"/>
      <c r="F2" s="308"/>
      <c r="G2" s="308"/>
      <c r="H2" s="308"/>
    </row>
    <row r="3" spans="1:21" ht="18" thickBot="1" x14ac:dyDescent="0.35">
      <c r="A3" s="309" t="s">
        <v>15</v>
      </c>
      <c r="B3" s="309"/>
      <c r="C3" s="309"/>
      <c r="D3" s="309"/>
      <c r="E3" s="309"/>
      <c r="F3" s="309"/>
      <c r="G3" s="309"/>
      <c r="H3" s="309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10" t="s">
        <v>37</v>
      </c>
      <c r="P3" s="311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12" t="s">
        <v>25</v>
      </c>
      <c r="D4" s="313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06" t="s">
        <v>30</v>
      </c>
      <c r="H13" s="307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06" t="s">
        <v>30</v>
      </c>
      <c r="H26" s="307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06" t="s">
        <v>30</v>
      </c>
      <c r="H37" s="307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08" t="s">
        <v>24</v>
      </c>
      <c r="B2" s="308"/>
      <c r="C2" s="308"/>
      <c r="D2" s="308"/>
      <c r="E2" s="308"/>
      <c r="F2" s="308"/>
      <c r="G2" s="308"/>
      <c r="H2" s="308"/>
    </row>
    <row r="3" spans="1:21" ht="18" thickBot="1" x14ac:dyDescent="0.35">
      <c r="A3" s="309" t="s">
        <v>15</v>
      </c>
      <c r="B3" s="309"/>
      <c r="C3" s="309"/>
      <c r="D3" s="309"/>
      <c r="E3" s="309"/>
      <c r="F3" s="309"/>
      <c r="G3" s="309"/>
      <c r="H3" s="309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10" t="s">
        <v>37</v>
      </c>
      <c r="P3" s="311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12" t="s">
        <v>25</v>
      </c>
      <c r="D4" s="313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06" t="s">
        <v>30</v>
      </c>
      <c r="H13" s="307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06" t="s">
        <v>30</v>
      </c>
      <c r="H26" s="307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06" t="s">
        <v>30</v>
      </c>
      <c r="H37" s="307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14"/>
      <c r="B3" s="314"/>
      <c r="C3" s="314"/>
      <c r="D3" s="314"/>
      <c r="E3" s="314"/>
      <c r="F3" s="315"/>
      <c r="G3" s="315"/>
      <c r="H3" s="315"/>
      <c r="I3" s="315"/>
      <c r="J3" s="315"/>
      <c r="K3" s="315"/>
      <c r="L3" s="315"/>
      <c r="M3" s="315"/>
      <c r="N3" s="315"/>
      <c r="O3" s="315"/>
      <c r="P3" s="315"/>
      <c r="Q3" s="315"/>
      <c r="R3" s="315"/>
      <c r="S3" s="315"/>
      <c r="T3" s="315"/>
      <c r="U3" s="315"/>
      <c r="V3" s="315"/>
      <c r="W3" s="315"/>
      <c r="X3" s="315"/>
      <c r="Y3" s="315"/>
    </row>
    <row r="4" spans="1:29" x14ac:dyDescent="0.35">
      <c r="A4" s="316" t="s">
        <v>436</v>
      </c>
      <c r="B4" s="165" t="s">
        <v>437</v>
      </c>
      <c r="C4" s="165"/>
      <c r="D4" s="318" t="s">
        <v>438</v>
      </c>
      <c r="E4" s="320" t="s">
        <v>439</v>
      </c>
      <c r="F4" s="322" t="s">
        <v>58</v>
      </c>
      <c r="G4" s="322"/>
      <c r="H4" s="323" t="s">
        <v>440</v>
      </c>
      <c r="I4" s="323"/>
      <c r="J4" s="324" t="s">
        <v>441</v>
      </c>
      <c r="K4" s="325"/>
      <c r="L4" s="324" t="s">
        <v>442</v>
      </c>
      <c r="M4" s="325"/>
      <c r="N4" s="326" t="s">
        <v>443</v>
      </c>
      <c r="O4" s="326"/>
      <c r="P4" s="324" t="s">
        <v>86</v>
      </c>
      <c r="Q4" s="325"/>
      <c r="R4" s="324" t="s">
        <v>444</v>
      </c>
      <c r="S4" s="325"/>
      <c r="T4" s="327" t="s">
        <v>445</v>
      </c>
      <c r="U4" s="327"/>
      <c r="V4" s="328" t="s">
        <v>446</v>
      </c>
      <c r="W4" s="329"/>
      <c r="X4" s="328" t="s">
        <v>447</v>
      </c>
      <c r="Y4" s="329"/>
    </row>
    <row r="5" spans="1:29" ht="26.25" customHeight="1" thickBot="1" x14ac:dyDescent="0.4">
      <c r="A5" s="317"/>
      <c r="B5" s="167" t="s">
        <v>448</v>
      </c>
      <c r="C5" s="167" t="s">
        <v>438</v>
      </c>
      <c r="D5" s="319"/>
      <c r="E5" s="321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EX48"/>
  <sheetViews>
    <sheetView workbookViewId="0">
      <selection activeCell="R3" sqref="R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77" t="s">
        <v>91</v>
      </c>
      <c r="B2" s="377"/>
      <c r="C2" s="377"/>
      <c r="E2" s="370" t="s">
        <v>498</v>
      </c>
      <c r="F2" s="368"/>
      <c r="G2" s="368"/>
      <c r="H2" s="368" t="s">
        <v>512</v>
      </c>
      <c r="I2" s="368"/>
      <c r="J2" s="369"/>
      <c r="R2" s="365" t="s">
        <v>513</v>
      </c>
      <c r="S2" s="366"/>
      <c r="T2" s="367"/>
    </row>
    <row r="3" spans="1:20 16377:16378" ht="21.75" customHeight="1" thickBot="1" x14ac:dyDescent="0.4">
      <c r="A3" s="378" t="s">
        <v>92</v>
      </c>
      <c r="B3" s="378"/>
      <c r="C3" s="378"/>
      <c r="E3" s="373" t="s">
        <v>499</v>
      </c>
      <c r="F3" s="374"/>
      <c r="G3" s="374"/>
      <c r="H3" s="371">
        <f ca="1">+'1'!N4:N4</f>
        <v>46227</v>
      </c>
      <c r="I3" s="371"/>
      <c r="J3" s="372"/>
      <c r="K3" s="379" t="s">
        <v>43</v>
      </c>
      <c r="L3" s="379"/>
      <c r="M3" s="379"/>
      <c r="N3" s="378"/>
      <c r="O3" s="378"/>
      <c r="P3" s="378"/>
      <c r="R3" s="299">
        <v>1</v>
      </c>
      <c r="S3" s="300" t="str">
        <f>+'1'!A6:A6</f>
        <v>Gourmet Motorway</v>
      </c>
      <c r="T3" s="301">
        <f>+'1'!P35</f>
        <v>6969.3689604661022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00" t="str">
        <f>+'2'!A6:A6</f>
        <v>Fine Dedical Store</v>
      </c>
      <c r="T4" s="301">
        <f>+'2'!P35</f>
        <v>0</v>
      </c>
      <c r="XEX4" t="s">
        <v>105</v>
      </c>
    </row>
    <row r="5" spans="1:20 16377:16378" ht="21.75" customHeight="1" thickBot="1" x14ac:dyDescent="0.4">
      <c r="A5" s="330" t="s">
        <v>51</v>
      </c>
      <c r="B5" s="331"/>
      <c r="C5" s="334" t="s">
        <v>90</v>
      </c>
      <c r="D5" s="115" t="s">
        <v>52</v>
      </c>
      <c r="E5" s="336" t="s">
        <v>58</v>
      </c>
      <c r="F5" s="337"/>
      <c r="G5" s="338" t="s">
        <v>54</v>
      </c>
      <c r="H5" s="339"/>
      <c r="I5" s="340" t="s">
        <v>77</v>
      </c>
      <c r="J5" s="376" t="s">
        <v>55</v>
      </c>
      <c r="K5" s="338"/>
      <c r="L5" s="339"/>
      <c r="M5" s="331" t="s">
        <v>84</v>
      </c>
      <c r="N5" s="375" t="s">
        <v>495</v>
      </c>
      <c r="O5" s="103" t="s">
        <v>89</v>
      </c>
      <c r="P5" s="89" t="s">
        <v>56</v>
      </c>
      <c r="R5" s="299">
        <v>3</v>
      </c>
      <c r="S5" s="300" t="str">
        <f>+'3'!A6:A6</f>
        <v xml:space="preserve">Mart Cash 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32"/>
      <c r="B6" s="333"/>
      <c r="C6" s="335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41"/>
      <c r="J6" s="143" t="s">
        <v>59</v>
      </c>
      <c r="K6" s="144" t="s">
        <v>39</v>
      </c>
      <c r="L6" s="145" t="s">
        <v>493</v>
      </c>
      <c r="M6" s="333"/>
      <c r="N6" s="341"/>
      <c r="O6" s="228" t="e">
        <f>IF(#REF!="Filer",0.5%,2.5%)</f>
        <v>#REF!</v>
      </c>
      <c r="P6" s="91" t="s">
        <v>38</v>
      </c>
      <c r="R6" s="299">
        <v>4</v>
      </c>
      <c r="S6" s="300" t="str">
        <f>+'4'!A6:A6</f>
        <v>Fine Dedical Store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108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286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20</v>
      </c>
      <c r="I7" s="235">
        <f>(G7*D7)*F7+H7*F7</f>
        <v>1049.25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83.94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36.723750000000003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928.58625000000006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198.30508474576263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5.6344566737288133</v>
      </c>
      <c r="P7" s="118">
        <f>M7+N7+O7</f>
        <v>1132.5257914194915</v>
      </c>
      <c r="Q7" s="142"/>
      <c r="R7" s="299">
        <v>5</v>
      </c>
      <c r="S7" s="300" t="str">
        <f>+'5'!A6:A6</f>
        <v>Golden Cash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109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286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20</v>
      </c>
      <c r="I8" s="236">
        <f t="shared" ref="I8:I14" si="0">(G8*D8)*F8+H8*F8</f>
        <v>1049.25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83.94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36.723750000000003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928.58625000000006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198.30508474576263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5.6344566737288133</v>
      </c>
      <c r="P8" s="119">
        <f t="shared" ref="P8:P15" si="2">M8+N8+O8</f>
        <v>1132.5257914194915</v>
      </c>
      <c r="R8" s="299">
        <v>6</v>
      </c>
      <c r="S8" s="300" t="str">
        <f>+'6'!A6:A6</f>
        <v>Fine Dedical Store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109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286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0</v>
      </c>
      <c r="I9" s="236">
        <f t="shared" si="0"/>
        <v>0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0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0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0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0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0</v>
      </c>
      <c r="P9" s="119">
        <f t="shared" si="2"/>
        <v>0</v>
      </c>
      <c r="R9" s="299">
        <v>7</v>
      </c>
      <c r="S9" s="300" t="str">
        <f>+'7'!A6:A6</f>
        <v>Fine Dedical Store</v>
      </c>
      <c r="T9" s="301">
        <f>+'7'!P35</f>
        <v>0</v>
      </c>
    </row>
    <row r="10" spans="1:20 16377:16378" ht="21.75" customHeight="1" x14ac:dyDescent="0.35">
      <c r="A10" s="82" t="s">
        <v>459</v>
      </c>
      <c r="B10" s="109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286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20</v>
      </c>
      <c r="I10" s="236">
        <f t="shared" si="0"/>
        <v>1452.8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116.224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50.848000000000006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1285.7280000000001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274.57627118644069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7.8015213559322039</v>
      </c>
      <c r="P10" s="119">
        <f t="shared" si="2"/>
        <v>1568.1057925423729</v>
      </c>
      <c r="R10" s="299">
        <v>8</v>
      </c>
      <c r="S10" s="300" t="str">
        <f>+'8'!A6:A6</f>
        <v>Fine Dedical Store</v>
      </c>
      <c r="T10" s="301">
        <f>+'8'!P35</f>
        <v>0</v>
      </c>
    </row>
    <row r="11" spans="1:20 16377:16378" ht="21.75" customHeight="1" x14ac:dyDescent="0.35">
      <c r="A11" s="82" t="s">
        <v>461</v>
      </c>
      <c r="B11" s="109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286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20</v>
      </c>
      <c r="I11" s="236">
        <f t="shared" si="0"/>
        <v>1452.8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116.224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50.848000000000006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1285.7280000000001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274.57627118644069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7.8015213559322039</v>
      </c>
      <c r="P11" s="119">
        <f t="shared" si="2"/>
        <v>1568.1057925423729</v>
      </c>
      <c r="R11" s="299">
        <v>9</v>
      </c>
      <c r="S11" s="300" t="str">
        <f>+'9'!A6:A6</f>
        <v>Fine Dedical Store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109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286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20</v>
      </c>
      <c r="I12" s="236">
        <f t="shared" si="0"/>
        <v>1452.8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116.224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50.848000000000006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1285.7280000000001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274.57627118644069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7.8015213559322039</v>
      </c>
      <c r="P12" s="119">
        <f t="shared" si="2"/>
        <v>1568.1057925423729</v>
      </c>
      <c r="R12" s="299">
        <v>10</v>
      </c>
      <c r="S12" s="300" t="str">
        <f>+'10'!A6:A6</f>
        <v>Fine Dedical Store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109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286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119">
        <f t="shared" si="2"/>
        <v>0</v>
      </c>
      <c r="R13" s="299">
        <v>11</v>
      </c>
      <c r="S13" s="300" t="str">
        <f>+'11'!A6:A6</f>
        <v>Fine Dedical Store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109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286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119">
        <f t="shared" si="2"/>
        <v>0</v>
      </c>
      <c r="R14" s="299">
        <v>12</v>
      </c>
      <c r="S14" s="300" t="str">
        <f>+'12'!A6:A6</f>
        <v>Pak Madina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110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286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120">
        <f t="shared" si="2"/>
        <v>0</v>
      </c>
      <c r="R15" s="299">
        <v>13</v>
      </c>
      <c r="S15" s="300" t="str">
        <f>+'13'!A6:A6</f>
        <v>Fine Dedical Store</v>
      </c>
      <c r="T15" s="301">
        <f>+'13'!P35</f>
        <v>0</v>
      </c>
    </row>
    <row r="16" spans="1:20 16377:16378" ht="21.75" customHeight="1" thickBot="1" x14ac:dyDescent="0.4">
      <c r="A16" s="380">
        <f>COUNT(A7:A15)</f>
        <v>0</v>
      </c>
      <c r="B16" s="342"/>
      <c r="C16" s="342" t="s">
        <v>40</v>
      </c>
      <c r="D16" s="342"/>
      <c r="E16" s="342"/>
      <c r="F16" s="343"/>
      <c r="G16" s="117">
        <f t="shared" ref="G16:M16" si="3">SUM(G7:G15)</f>
        <v>0</v>
      </c>
      <c r="H16" s="113">
        <f t="shared" si="3"/>
        <v>100</v>
      </c>
      <c r="I16" s="114">
        <f t="shared" si="3"/>
        <v>6456.9000000000005</v>
      </c>
      <c r="J16" s="274">
        <f>SUM(J7:J15)</f>
        <v>516.55200000000002</v>
      </c>
      <c r="K16" s="275">
        <f t="shared" si="3"/>
        <v>225.99150000000003</v>
      </c>
      <c r="L16" s="276">
        <f t="shared" si="3"/>
        <v>0</v>
      </c>
      <c r="M16" s="232">
        <f t="shared" si="3"/>
        <v>5714.3565000000008</v>
      </c>
      <c r="N16" s="233">
        <f>SUM(N7:N15)</f>
        <v>1220.3389830508472</v>
      </c>
      <c r="O16" s="101">
        <f>SUM(O7:O15)</f>
        <v>34.673477415254233</v>
      </c>
      <c r="P16" s="234">
        <f>SUM(P7:P15)</f>
        <v>6969.3689604661022</v>
      </c>
      <c r="R16" s="299">
        <v>14</v>
      </c>
      <c r="S16" s="300" t="str">
        <f>+'14'!A6:A6</f>
        <v>Fine Dedical Store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Fine Dedical Store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Fine Dedical Store</v>
      </c>
      <c r="T18" s="301">
        <f>+'16'!P35</f>
        <v>0</v>
      </c>
    </row>
    <row r="19" spans="1:20" ht="21.75" customHeight="1" x14ac:dyDescent="0.35">
      <c r="B19" s="344" t="s">
        <v>64</v>
      </c>
      <c r="C19" s="345"/>
      <c r="D19" s="345"/>
      <c r="E19" s="345"/>
      <c r="F19" s="345"/>
      <c r="G19" s="345"/>
      <c r="H19" s="345"/>
      <c r="I19" s="345"/>
      <c r="J19" s="345"/>
      <c r="K19" s="345"/>
      <c r="L19" s="346"/>
      <c r="N19" s="353" t="s">
        <v>60</v>
      </c>
      <c r="O19" s="354"/>
      <c r="P19" s="139">
        <f>I16</f>
        <v>6456.9000000000005</v>
      </c>
      <c r="R19" s="299">
        <v>17</v>
      </c>
      <c r="S19" s="300" t="str">
        <f>+'17'!A6:A6</f>
        <v>Watto Store</v>
      </c>
      <c r="T19" s="301">
        <f>+'17'!P35</f>
        <v>0</v>
      </c>
    </row>
    <row r="20" spans="1:20" ht="21.75" customHeight="1" x14ac:dyDescent="0.35">
      <c r="B20" s="347"/>
      <c r="C20" s="348"/>
      <c r="D20" s="348"/>
      <c r="E20" s="348"/>
      <c r="F20" s="348"/>
      <c r="G20" s="348"/>
      <c r="H20" s="348"/>
      <c r="I20" s="348"/>
      <c r="J20" s="348"/>
      <c r="K20" s="348"/>
      <c r="L20" s="349"/>
      <c r="N20" s="355" t="s">
        <v>85</v>
      </c>
      <c r="O20" s="356"/>
      <c r="P20" s="140">
        <f>+J16</f>
        <v>516.55200000000002</v>
      </c>
      <c r="R20" s="299">
        <v>18</v>
      </c>
      <c r="S20" s="300" t="str">
        <f>+'18'!A6:A6</f>
        <v>Fine Dedical Store</v>
      </c>
      <c r="T20" s="301">
        <f>+'18'!P35</f>
        <v>0</v>
      </c>
    </row>
    <row r="21" spans="1:20" ht="21.75" customHeight="1" x14ac:dyDescent="0.35">
      <c r="B21" s="347"/>
      <c r="C21" s="348"/>
      <c r="D21" s="348"/>
      <c r="E21" s="348"/>
      <c r="F21" s="348"/>
      <c r="G21" s="348"/>
      <c r="H21" s="348"/>
      <c r="I21" s="348"/>
      <c r="J21" s="348"/>
      <c r="K21" s="348"/>
      <c r="L21" s="349"/>
      <c r="N21" s="355" t="s">
        <v>86</v>
      </c>
      <c r="O21" s="356"/>
      <c r="P21" s="140">
        <f>+K16+L16</f>
        <v>225.99150000000003</v>
      </c>
      <c r="R21" s="299">
        <v>19</v>
      </c>
      <c r="S21" s="300" t="str">
        <f>+'19'!A6:A6</f>
        <v>Fine Dedical Store</v>
      </c>
      <c r="T21" s="301">
        <f>+'19'!P35</f>
        <v>0</v>
      </c>
    </row>
    <row r="22" spans="1:20" ht="21.75" customHeight="1" x14ac:dyDescent="0.35">
      <c r="B22" s="347"/>
      <c r="C22" s="348"/>
      <c r="D22" s="348"/>
      <c r="E22" s="348"/>
      <c r="F22" s="348"/>
      <c r="G22" s="348"/>
      <c r="H22" s="348"/>
      <c r="I22" s="348"/>
      <c r="J22" s="348"/>
      <c r="K22" s="348"/>
      <c r="L22" s="349"/>
      <c r="M22" s="131"/>
      <c r="N22" s="355" t="s">
        <v>87</v>
      </c>
      <c r="O22" s="356"/>
      <c r="P22" s="140">
        <f>P19-P20-P21</f>
        <v>5714.3565000000008</v>
      </c>
      <c r="R22" s="299">
        <v>20</v>
      </c>
      <c r="S22" s="300" t="str">
        <f>+'20'!A6:A6</f>
        <v>Faheem Store</v>
      </c>
      <c r="T22" s="301">
        <f>+'20'!P35</f>
        <v>0</v>
      </c>
    </row>
    <row r="23" spans="1:20" ht="21.75" customHeight="1" x14ac:dyDescent="0.35">
      <c r="B23" s="347"/>
      <c r="C23" s="348"/>
      <c r="D23" s="348"/>
      <c r="E23" s="348"/>
      <c r="F23" s="348"/>
      <c r="G23" s="348"/>
      <c r="H23" s="348"/>
      <c r="I23" s="348"/>
      <c r="J23" s="348"/>
      <c r="K23" s="348"/>
      <c r="L23" s="349"/>
      <c r="M23" s="131"/>
      <c r="N23" s="136" t="s">
        <v>61</v>
      </c>
      <c r="O23" s="133">
        <v>0.18</v>
      </c>
      <c r="P23" s="140">
        <f>+N16</f>
        <v>1220.3389830508472</v>
      </c>
      <c r="R23" s="299">
        <v>21</v>
      </c>
      <c r="S23" s="300" t="str">
        <f>+'21'!A6:A6</f>
        <v>Fine Dedical Store</v>
      </c>
      <c r="T23" s="301">
        <f>+'21'!P35</f>
        <v>0</v>
      </c>
    </row>
    <row r="24" spans="1:20" ht="21.75" customHeight="1" x14ac:dyDescent="0.35">
      <c r="B24" s="347"/>
      <c r="C24" s="348"/>
      <c r="D24" s="348"/>
      <c r="E24" s="348"/>
      <c r="F24" s="348"/>
      <c r="G24" s="348"/>
      <c r="H24" s="348"/>
      <c r="I24" s="348"/>
      <c r="J24" s="348"/>
      <c r="K24" s="348"/>
      <c r="L24" s="349"/>
      <c r="M24" s="131"/>
      <c r="N24" s="357" t="s">
        <v>76</v>
      </c>
      <c r="O24" s="358"/>
      <c r="P24" s="140">
        <f>P22+P23</f>
        <v>6934.6954830508475</v>
      </c>
      <c r="R24" s="299">
        <v>22</v>
      </c>
      <c r="S24" s="300" t="str">
        <f>+'22'!A6:A6</f>
        <v>Fine Dedical Store</v>
      </c>
      <c r="T24" s="301">
        <f>+'22'!P35</f>
        <v>0</v>
      </c>
    </row>
    <row r="25" spans="1:20" ht="21.75" customHeight="1" thickBot="1" x14ac:dyDescent="0.4">
      <c r="B25" s="350"/>
      <c r="C25" s="351"/>
      <c r="D25" s="351"/>
      <c r="E25" s="351"/>
      <c r="F25" s="351"/>
      <c r="G25" s="351"/>
      <c r="H25" s="351"/>
      <c r="I25" s="351"/>
      <c r="J25" s="351"/>
      <c r="K25" s="351"/>
      <c r="L25" s="352"/>
      <c r="M25" s="99"/>
      <c r="N25" s="138" t="s">
        <v>83</v>
      </c>
      <c r="O25" s="137" t="e">
        <f>IF(#REF!="Filer",0.5%,2.5%)</f>
        <v>#REF!</v>
      </c>
      <c r="P25" s="140">
        <f>+O16</f>
        <v>34.673477415254233</v>
      </c>
      <c r="R25" s="299">
        <v>23</v>
      </c>
      <c r="S25" s="300" t="str">
        <f>+'23'!A6:A6</f>
        <v>Fine Dedical Store</v>
      </c>
      <c r="T25" s="301">
        <f>+'23'!P35</f>
        <v>0</v>
      </c>
    </row>
    <row r="26" spans="1:20" ht="21.75" customHeight="1" thickBot="1" x14ac:dyDescent="0.4">
      <c r="N26" s="359" t="s">
        <v>88</v>
      </c>
      <c r="O26" s="360"/>
      <c r="P26" s="297">
        <f>+P24+P25</f>
        <v>6969.3689604661022</v>
      </c>
      <c r="R26" s="299">
        <v>24</v>
      </c>
      <c r="S26" s="300" t="str">
        <f>+'24'!A6:A6</f>
        <v>Fine Dedical Store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61"/>
      <c r="D27" s="361"/>
      <c r="E27" s="361"/>
      <c r="F27" s="361"/>
      <c r="G27" s="361"/>
      <c r="H27" s="361"/>
      <c r="I27" s="362"/>
      <c r="J27" s="363"/>
      <c r="K27" s="364"/>
      <c r="R27" s="299">
        <v>25</v>
      </c>
      <c r="S27" s="300" t="str">
        <f>+'25'!A6:A6</f>
        <v>Fine Dedical Store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Fine Dedical Store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Fine Dedical Store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Fine Dedical Store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Fine Dedical Store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Fine Dedical Store</v>
      </c>
      <c r="T32" s="301">
        <f>+'30'!P35</f>
        <v>0</v>
      </c>
    </row>
    <row r="33" spans="2:20" ht="21.75" customHeight="1" thickBot="1" x14ac:dyDescent="0.6">
      <c r="R33" s="303"/>
      <c r="S33" s="302" t="s">
        <v>497</v>
      </c>
      <c r="T33" s="304">
        <f>SUM(T3:T32)</f>
        <v>6969.3689604661022</v>
      </c>
    </row>
    <row r="44" spans="2:20" x14ac:dyDescent="0.35">
      <c r="B44" t="s">
        <v>506</v>
      </c>
    </row>
    <row r="45" spans="2:20" x14ac:dyDescent="0.35">
      <c r="B45" t="s">
        <v>507</v>
      </c>
    </row>
    <row r="46" spans="2:20" x14ac:dyDescent="0.35">
      <c r="B46" t="s">
        <v>508</v>
      </c>
    </row>
    <row r="47" spans="2:20" x14ac:dyDescent="0.35">
      <c r="B47" t="s">
        <v>509</v>
      </c>
    </row>
    <row r="48" spans="2:20" x14ac:dyDescent="0.35">
      <c r="B48" t="s">
        <v>510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XFD38"/>
  <sheetViews>
    <sheetView tabSelected="1" topLeftCell="A10"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7" t="s">
        <v>91</v>
      </c>
      <c r="B2" s="377"/>
      <c r="C2" s="377"/>
    </row>
    <row r="3" spans="1:22 16383:16384" ht="15" customHeight="1" x14ac:dyDescent="0.35">
      <c r="A3" s="378" t="s">
        <v>92</v>
      </c>
      <c r="B3" s="378"/>
      <c r="C3" s="378"/>
      <c r="F3" s="85"/>
      <c r="G3" s="1"/>
      <c r="K3" s="379" t="s">
        <v>43</v>
      </c>
      <c r="L3" s="379"/>
      <c r="M3" s="379"/>
      <c r="N3" s="378"/>
      <c r="O3" s="378"/>
      <c r="P3" s="37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8" t="s">
        <v>505</v>
      </c>
      <c r="B4" s="378"/>
      <c r="C4" s="378"/>
      <c r="F4" s="85"/>
      <c r="G4" s="1"/>
      <c r="K4" s="379" t="s">
        <v>44</v>
      </c>
      <c r="L4" s="379"/>
      <c r="M4" s="379"/>
      <c r="N4" s="382">
        <f ca="1">TODAY()+1</f>
        <v>46227</v>
      </c>
      <c r="O4" s="382"/>
      <c r="P4" s="38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3" t="s">
        <v>492</v>
      </c>
      <c r="B5" s="383"/>
      <c r="C5" s="383"/>
      <c r="F5" s="85"/>
      <c r="G5" s="1"/>
      <c r="K5" s="379" t="s">
        <v>45</v>
      </c>
      <c r="L5" s="379"/>
      <c r="M5" s="379"/>
      <c r="N5" s="382">
        <f ca="1">N4-1</f>
        <v>46226</v>
      </c>
      <c r="O5" s="378"/>
      <c r="P5" s="378"/>
      <c r="R5" s="85"/>
      <c r="S5" s="266"/>
    </row>
    <row r="6" spans="1:22 16383:16384" ht="17.25" customHeight="1" x14ac:dyDescent="0.4">
      <c r="A6" s="384" t="s">
        <v>514</v>
      </c>
      <c r="B6" s="384"/>
      <c r="C6" s="384"/>
      <c r="F6" s="85"/>
      <c r="G6" s="86"/>
      <c r="K6" s="379" t="s">
        <v>69</v>
      </c>
      <c r="L6" s="379"/>
      <c r="M6" s="379"/>
      <c r="N6" s="381" t="s">
        <v>508</v>
      </c>
      <c r="O6" s="381"/>
      <c r="P6" s="38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9" t="s">
        <v>73</v>
      </c>
      <c r="B7" s="379"/>
      <c r="C7" s="379"/>
      <c r="F7" s="85"/>
      <c r="G7" s="86"/>
      <c r="K7" s="379" t="s">
        <v>66</v>
      </c>
      <c r="L7" s="379"/>
      <c r="M7" s="379"/>
      <c r="N7" s="381" t="s">
        <v>511</v>
      </c>
      <c r="O7" s="381"/>
      <c r="P7" s="38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5" t="s">
        <v>95</v>
      </c>
      <c r="B8" s="385"/>
      <c r="C8" s="385"/>
      <c r="F8" s="85"/>
      <c r="G8" s="86"/>
      <c r="K8" s="379" t="s">
        <v>67</v>
      </c>
      <c r="L8" s="379"/>
      <c r="M8" s="379"/>
      <c r="N8" s="381" t="s">
        <v>511</v>
      </c>
      <c r="O8" s="381"/>
      <c r="P8" s="381"/>
      <c r="R8" s="85"/>
      <c r="S8" s="267"/>
    </row>
    <row r="9" spans="1:22 16383:16384" x14ac:dyDescent="0.35">
      <c r="A9" s="385" t="s">
        <v>96</v>
      </c>
      <c r="B9" s="385"/>
      <c r="C9" s="385"/>
      <c r="F9" s="85"/>
      <c r="G9" s="86"/>
      <c r="K9" s="379" t="s">
        <v>68</v>
      </c>
      <c r="L9" s="379"/>
      <c r="M9" s="379"/>
      <c r="N9" s="381" t="s">
        <v>104</v>
      </c>
      <c r="O9" s="381"/>
      <c r="P9" s="381"/>
      <c r="R9" s="85"/>
      <c r="S9" s="267"/>
      <c r="XFD9" t="s">
        <v>49</v>
      </c>
    </row>
    <row r="10" spans="1:22 16383:16384" x14ac:dyDescent="0.35">
      <c r="A10" s="385" t="s">
        <v>97</v>
      </c>
      <c r="B10" s="385"/>
      <c r="C10" s="385"/>
      <c r="F10" s="85"/>
      <c r="G10" s="1"/>
      <c r="K10" s="379" t="s">
        <v>46</v>
      </c>
      <c r="L10" s="379"/>
      <c r="M10" s="379"/>
      <c r="N10" s="378" t="s">
        <v>47</v>
      </c>
      <c r="O10" s="378"/>
      <c r="P10" s="37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9" t="s">
        <v>48</v>
      </c>
      <c r="L11" s="379"/>
      <c r="M11" s="379"/>
      <c r="N11" s="381" t="s">
        <v>49</v>
      </c>
      <c r="O11" s="381"/>
      <c r="P11" s="38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9" t="s">
        <v>50</v>
      </c>
      <c r="L12" s="379"/>
      <c r="M12" s="379"/>
      <c r="N12" s="378"/>
      <c r="O12" s="378"/>
      <c r="P12" s="37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0" t="s">
        <v>51</v>
      </c>
      <c r="B14" s="331"/>
      <c r="C14" s="334" t="s">
        <v>90</v>
      </c>
      <c r="D14" s="115" t="s">
        <v>52</v>
      </c>
      <c r="E14" s="336" t="s">
        <v>58</v>
      </c>
      <c r="F14" s="337"/>
      <c r="G14" s="338" t="s">
        <v>54</v>
      </c>
      <c r="H14" s="339"/>
      <c r="I14" s="340" t="s">
        <v>77</v>
      </c>
      <c r="J14" s="376" t="s">
        <v>55</v>
      </c>
      <c r="K14" s="338"/>
      <c r="L14" s="339"/>
      <c r="M14" s="331" t="s">
        <v>84</v>
      </c>
      <c r="N14" s="37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2"/>
      <c r="B15" s="333"/>
      <c r="C15" s="33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1"/>
      <c r="J15" s="143" t="s">
        <v>59</v>
      </c>
      <c r="K15" s="144" t="s">
        <v>39</v>
      </c>
      <c r="L15" s="145" t="s">
        <v>493</v>
      </c>
      <c r="M15" s="333"/>
      <c r="N15" s="341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20</v>
      </c>
      <c r="I16" s="235">
        <f>(G16*D16)*F16+H16*F16</f>
        <v>1049.25</v>
      </c>
      <c r="J16" s="271">
        <f>$I16*S16</f>
        <v>83.94</v>
      </c>
      <c r="K16" s="127">
        <f>$I16*T16</f>
        <v>36.723750000000003</v>
      </c>
      <c r="L16" s="118">
        <f>$I16*U16</f>
        <v>0</v>
      </c>
      <c r="M16" s="229">
        <f>I16-SUM(J16:L16)</f>
        <v>928.58625000000006</v>
      </c>
      <c r="N16" s="248">
        <f>+(G16*D16+H16)*V16</f>
        <v>198.30508474576263</v>
      </c>
      <c r="O16" s="238">
        <f>(N16+M16)*$O$15</f>
        <v>5.6344566737288133</v>
      </c>
      <c r="P16" s="118">
        <f>M16+N16+O16</f>
        <v>1132.5257914194915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20</v>
      </c>
      <c r="I17" s="236">
        <f t="shared" ref="I17:I23" si="0">(G17*D17)*F17+H17*F17</f>
        <v>1049.25</v>
      </c>
      <c r="J17" s="272">
        <f t="shared" ref="J17:L24" si="1">$I17*S17</f>
        <v>83.94</v>
      </c>
      <c r="K17" s="128">
        <f>$I17*T17</f>
        <v>36.723750000000003</v>
      </c>
      <c r="L17" s="119">
        <f>$I17*U17</f>
        <v>0</v>
      </c>
      <c r="M17" s="230">
        <f t="shared" ref="M17:M24" si="2">I17-SUM(J17:L17)</f>
        <v>928.58625000000006</v>
      </c>
      <c r="N17" s="277">
        <f t="shared" ref="N17:N24" si="3">+(G17*D17+H17)*V17</f>
        <v>198.30508474576263</v>
      </c>
      <c r="O17" s="239">
        <f t="shared" ref="O17:O24" si="4">(N17+M17)*$O$15</f>
        <v>5.6344566737288133</v>
      </c>
      <c r="P17" s="119">
        <f t="shared" ref="P17:P24" si="5">M17+N17+O17</f>
        <v>1132.5257914194915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20</v>
      </c>
      <c r="I19" s="236">
        <f t="shared" si="7"/>
        <v>1452.8</v>
      </c>
      <c r="J19" s="272">
        <f t="shared" si="1"/>
        <v>116.224</v>
      </c>
      <c r="K19" s="128">
        <f t="shared" si="1"/>
        <v>50.848000000000006</v>
      </c>
      <c r="L19" s="119">
        <f t="shared" si="1"/>
        <v>0</v>
      </c>
      <c r="M19" s="230">
        <f t="shared" si="2"/>
        <v>1285.7280000000001</v>
      </c>
      <c r="N19" s="277">
        <f t="shared" si="3"/>
        <v>274.57627118644069</v>
      </c>
      <c r="O19" s="239">
        <f t="shared" si="4"/>
        <v>7.8015213559322039</v>
      </c>
      <c r="P19" s="119">
        <f t="shared" si="5"/>
        <v>1568.1057925423729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20</v>
      </c>
      <c r="I20" s="236">
        <f t="shared" si="7"/>
        <v>1452.8</v>
      </c>
      <c r="J20" s="272">
        <f t="shared" si="1"/>
        <v>116.224</v>
      </c>
      <c r="K20" s="128">
        <f t="shared" si="1"/>
        <v>50.848000000000006</v>
      </c>
      <c r="L20" s="119">
        <f t="shared" si="1"/>
        <v>0</v>
      </c>
      <c r="M20" s="230">
        <f t="shared" si="2"/>
        <v>1285.7280000000001</v>
      </c>
      <c r="N20" s="277">
        <f t="shared" si="3"/>
        <v>274.57627118644069</v>
      </c>
      <c r="O20" s="239">
        <f t="shared" si="4"/>
        <v>7.8015213559322039</v>
      </c>
      <c r="P20" s="119">
        <f t="shared" si="5"/>
        <v>1568.1057925423729</v>
      </c>
      <c r="R20">
        <f>P20/21</f>
        <v>74.671704406779668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20</v>
      </c>
      <c r="I21" s="236">
        <f t="shared" si="7"/>
        <v>1452.8</v>
      </c>
      <c r="J21" s="272">
        <f t="shared" si="1"/>
        <v>116.224</v>
      </c>
      <c r="K21" s="128">
        <f t="shared" si="1"/>
        <v>50.848000000000006</v>
      </c>
      <c r="L21" s="119">
        <f t="shared" si="1"/>
        <v>0</v>
      </c>
      <c r="M21" s="230">
        <f t="shared" si="2"/>
        <v>1285.7280000000001</v>
      </c>
      <c r="N21" s="277">
        <f t="shared" si="3"/>
        <v>274.57627118644069</v>
      </c>
      <c r="O21" s="239">
        <f t="shared" si="4"/>
        <v>7.8015213559322039</v>
      </c>
      <c r="P21" s="119">
        <f t="shared" si="5"/>
        <v>1568.1057925423729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0">
        <f>COUNT(A16:A24)</f>
        <v>0</v>
      </c>
      <c r="B25" s="342"/>
      <c r="C25" s="342" t="s">
        <v>40</v>
      </c>
      <c r="D25" s="342"/>
      <c r="E25" s="342"/>
      <c r="F25" s="343"/>
      <c r="G25" s="117">
        <f t="shared" ref="G25" si="8">SUM(G16:G24)</f>
        <v>0</v>
      </c>
      <c r="H25" s="113">
        <f t="shared" ref="H25" si="9">SUM(H16:H24)</f>
        <v>100</v>
      </c>
      <c r="I25" s="114">
        <f t="shared" ref="I25:M25" si="10">SUM(I16:I24)</f>
        <v>6456.9000000000005</v>
      </c>
      <c r="J25" s="274">
        <f>SUM(J16:J24)</f>
        <v>516.55200000000002</v>
      </c>
      <c r="K25" s="275">
        <f t="shared" si="10"/>
        <v>225.99150000000003</v>
      </c>
      <c r="L25" s="276">
        <f t="shared" si="10"/>
        <v>0</v>
      </c>
      <c r="M25" s="232">
        <f t="shared" si="10"/>
        <v>5714.3565000000008</v>
      </c>
      <c r="N25" s="233">
        <f>SUM(N16:N24)</f>
        <v>1220.3389830508472</v>
      </c>
      <c r="O25" s="101">
        <f>SUM(O16:O24)</f>
        <v>34.673477415254233</v>
      </c>
      <c r="P25" s="234">
        <f>SUM(P16:P24)</f>
        <v>6969.3689604661022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4" t="s">
        <v>64</v>
      </c>
      <c r="C28" s="345"/>
      <c r="D28" s="345"/>
      <c r="E28" s="345"/>
      <c r="F28" s="345"/>
      <c r="G28" s="345"/>
      <c r="H28" s="345"/>
      <c r="I28" s="345"/>
      <c r="J28" s="345"/>
      <c r="K28" s="345"/>
      <c r="L28" s="346"/>
      <c r="N28" s="353" t="s">
        <v>60</v>
      </c>
      <c r="O28" s="354"/>
      <c r="P28" s="139">
        <f>I25</f>
        <v>6456.9000000000005</v>
      </c>
    </row>
    <row r="29" spans="1:22 16384:16384" ht="15" customHeight="1" x14ac:dyDescent="0.35">
      <c r="B29" s="347"/>
      <c r="C29" s="348"/>
      <c r="D29" s="348"/>
      <c r="E29" s="348"/>
      <c r="F29" s="348"/>
      <c r="G29" s="348"/>
      <c r="H29" s="348"/>
      <c r="I29" s="348"/>
      <c r="J29" s="348"/>
      <c r="K29" s="348"/>
      <c r="L29" s="349"/>
      <c r="N29" s="355" t="s">
        <v>85</v>
      </c>
      <c r="O29" s="356"/>
      <c r="P29" s="140">
        <f>+J25</f>
        <v>516.55200000000002</v>
      </c>
    </row>
    <row r="30" spans="1:22 16384:16384" ht="15" customHeight="1" x14ac:dyDescent="0.35">
      <c r="B30" s="347"/>
      <c r="C30" s="348"/>
      <c r="D30" s="348"/>
      <c r="E30" s="348"/>
      <c r="F30" s="348"/>
      <c r="G30" s="348"/>
      <c r="H30" s="348"/>
      <c r="I30" s="348"/>
      <c r="J30" s="348"/>
      <c r="K30" s="348"/>
      <c r="L30" s="349"/>
      <c r="N30" s="355" t="s">
        <v>86</v>
      </c>
      <c r="O30" s="356"/>
      <c r="P30" s="140">
        <f>+K25+L25</f>
        <v>225.99150000000003</v>
      </c>
    </row>
    <row r="31" spans="1:22 16384:16384" ht="15" customHeight="1" x14ac:dyDescent="0.35">
      <c r="B31" s="347"/>
      <c r="C31" s="348"/>
      <c r="D31" s="348"/>
      <c r="E31" s="348"/>
      <c r="F31" s="348"/>
      <c r="G31" s="348"/>
      <c r="H31" s="348"/>
      <c r="I31" s="348"/>
      <c r="J31" s="348"/>
      <c r="K31" s="348"/>
      <c r="L31" s="349"/>
      <c r="M31" s="131"/>
      <c r="N31" s="355" t="s">
        <v>87</v>
      </c>
      <c r="O31" s="356"/>
      <c r="P31" s="140">
        <f>P28-P29-P30</f>
        <v>5714.3565000000008</v>
      </c>
    </row>
    <row r="32" spans="1:22 16384:16384" ht="15" customHeight="1" x14ac:dyDescent="0.35">
      <c r="B32" s="347"/>
      <c r="C32" s="348"/>
      <c r="D32" s="348"/>
      <c r="E32" s="348"/>
      <c r="F32" s="348"/>
      <c r="G32" s="348"/>
      <c r="H32" s="348"/>
      <c r="I32" s="348"/>
      <c r="J32" s="348"/>
      <c r="K32" s="348"/>
      <c r="L32" s="349"/>
      <c r="M32" s="131"/>
      <c r="N32" s="136" t="s">
        <v>61</v>
      </c>
      <c r="O32" s="133">
        <v>0.18</v>
      </c>
      <c r="P32" s="140">
        <f>+N25</f>
        <v>1220.3389830508472</v>
      </c>
    </row>
    <row r="33" spans="2:16" ht="15" customHeight="1" x14ac:dyDescent="0.35">
      <c r="B33" s="347"/>
      <c r="C33" s="348"/>
      <c r="D33" s="348"/>
      <c r="E33" s="348"/>
      <c r="F33" s="348"/>
      <c r="G33" s="348"/>
      <c r="H33" s="348"/>
      <c r="I33" s="348"/>
      <c r="J33" s="348"/>
      <c r="K33" s="348"/>
      <c r="L33" s="349"/>
      <c r="M33" s="131"/>
      <c r="N33" s="357" t="s">
        <v>76</v>
      </c>
      <c r="O33" s="358"/>
      <c r="P33" s="140">
        <f>P31+P32</f>
        <v>6934.6954830508475</v>
      </c>
    </row>
    <row r="34" spans="2:16" ht="15" customHeight="1" thickBot="1" x14ac:dyDescent="0.4">
      <c r="B34" s="350"/>
      <c r="C34" s="351"/>
      <c r="D34" s="351"/>
      <c r="E34" s="351"/>
      <c r="F34" s="351"/>
      <c r="G34" s="351"/>
      <c r="H34" s="351"/>
      <c r="I34" s="351"/>
      <c r="J34" s="351"/>
      <c r="K34" s="351"/>
      <c r="L34" s="352"/>
      <c r="M34" s="99"/>
      <c r="N34" s="138" t="s">
        <v>83</v>
      </c>
      <c r="O34" s="137">
        <f>IF(B11="Filer",0.5%,2.5%)</f>
        <v>5.0000000000000001E-3</v>
      </c>
      <c r="P34" s="140">
        <f>O34*P33</f>
        <v>34.67347741525424</v>
      </c>
    </row>
    <row r="35" spans="2:16" ht="15.75" customHeight="1" thickBot="1" x14ac:dyDescent="0.4">
      <c r="N35" s="359" t="s">
        <v>88</v>
      </c>
      <c r="O35" s="360"/>
      <c r="P35" s="297">
        <f>+P33+P34</f>
        <v>6969.3689604661022</v>
      </c>
    </row>
    <row r="36" spans="2:16" ht="15" thickBot="1" x14ac:dyDescent="0.4">
      <c r="B36" s="121" t="s">
        <v>63</v>
      </c>
      <c r="C36" s="361"/>
      <c r="D36" s="361"/>
      <c r="E36" s="361"/>
      <c r="F36" s="361"/>
      <c r="G36" s="361"/>
      <c r="H36" s="361"/>
      <c r="I36" s="362"/>
      <c r="J36" s="363"/>
      <c r="K36" s="364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7" t="s">
        <v>91</v>
      </c>
      <c r="B2" s="377"/>
      <c r="C2" s="377"/>
    </row>
    <row r="3" spans="1:22 16383:16384" ht="15" customHeight="1" x14ac:dyDescent="0.35">
      <c r="A3" s="378" t="s">
        <v>92</v>
      </c>
      <c r="B3" s="378"/>
      <c r="C3" s="378"/>
      <c r="F3" s="85"/>
      <c r="G3" s="1"/>
      <c r="K3" s="379" t="s">
        <v>43</v>
      </c>
      <c r="L3" s="379"/>
      <c r="M3" s="379"/>
      <c r="N3" s="378"/>
      <c r="O3" s="378"/>
      <c r="P3" s="37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8" t="s">
        <v>505</v>
      </c>
      <c r="B4" s="378"/>
      <c r="C4" s="378"/>
      <c r="F4" s="85"/>
      <c r="G4" s="1"/>
      <c r="K4" s="379" t="s">
        <v>44</v>
      </c>
      <c r="L4" s="379"/>
      <c r="M4" s="379"/>
      <c r="N4" s="382">
        <f ca="1">TODAY()+1</f>
        <v>46227</v>
      </c>
      <c r="O4" s="382"/>
      <c r="P4" s="38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3" t="s">
        <v>492</v>
      </c>
      <c r="B5" s="383"/>
      <c r="C5" s="383"/>
      <c r="F5" s="85"/>
      <c r="G5" s="1"/>
      <c r="K5" s="379" t="s">
        <v>45</v>
      </c>
      <c r="L5" s="379"/>
      <c r="M5" s="379"/>
      <c r="N5" s="382">
        <f ca="1">N4-1</f>
        <v>46226</v>
      </c>
      <c r="O5" s="378"/>
      <c r="P5" s="378"/>
      <c r="R5" s="85"/>
      <c r="S5" s="266"/>
    </row>
    <row r="6" spans="1:22 16383:16384" ht="15" customHeight="1" x14ac:dyDescent="0.4">
      <c r="A6" s="384" t="s">
        <v>496</v>
      </c>
      <c r="B6" s="384"/>
      <c r="C6" s="384"/>
      <c r="F6" s="85"/>
      <c r="G6" s="86"/>
      <c r="K6" s="379" t="s">
        <v>69</v>
      </c>
      <c r="L6" s="379"/>
      <c r="M6" s="379"/>
      <c r="N6" s="381" t="s">
        <v>508</v>
      </c>
      <c r="O6" s="381"/>
      <c r="P6" s="38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9" t="s">
        <v>73</v>
      </c>
      <c r="B7" s="379"/>
      <c r="C7" s="379"/>
      <c r="F7" s="85"/>
      <c r="G7" s="86"/>
      <c r="K7" s="379" t="s">
        <v>66</v>
      </c>
      <c r="L7" s="379"/>
      <c r="M7" s="379"/>
      <c r="N7" s="381" t="s">
        <v>511</v>
      </c>
      <c r="O7" s="381"/>
      <c r="P7" s="38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5" t="s">
        <v>95</v>
      </c>
      <c r="B8" s="385"/>
      <c r="C8" s="385"/>
      <c r="F8" s="85"/>
      <c r="G8" s="86"/>
      <c r="K8" s="379" t="s">
        <v>67</v>
      </c>
      <c r="L8" s="379"/>
      <c r="M8" s="379"/>
      <c r="N8" s="381" t="s">
        <v>511</v>
      </c>
      <c r="O8" s="381"/>
      <c r="P8" s="381"/>
      <c r="R8" s="85"/>
      <c r="S8" s="267"/>
    </row>
    <row r="9" spans="1:22 16383:16384" x14ac:dyDescent="0.35">
      <c r="A9" s="385" t="s">
        <v>96</v>
      </c>
      <c r="B9" s="385"/>
      <c r="C9" s="385"/>
      <c r="F9" s="85"/>
      <c r="G9" s="86"/>
      <c r="K9" s="379" t="s">
        <v>68</v>
      </c>
      <c r="L9" s="379"/>
      <c r="M9" s="379"/>
      <c r="N9" s="381" t="s">
        <v>104</v>
      </c>
      <c r="O9" s="381"/>
      <c r="P9" s="381"/>
      <c r="R9" s="85"/>
      <c r="S9" s="267"/>
      <c r="XFD9" t="s">
        <v>49</v>
      </c>
    </row>
    <row r="10" spans="1:22 16383:16384" x14ac:dyDescent="0.35">
      <c r="A10" s="385" t="s">
        <v>97</v>
      </c>
      <c r="B10" s="385"/>
      <c r="C10" s="385"/>
      <c r="F10" s="85"/>
      <c r="G10" s="1"/>
      <c r="K10" s="379" t="s">
        <v>46</v>
      </c>
      <c r="L10" s="379"/>
      <c r="M10" s="379"/>
      <c r="N10" s="378" t="s">
        <v>47</v>
      </c>
      <c r="O10" s="378"/>
      <c r="P10" s="37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9" t="s">
        <v>48</v>
      </c>
      <c r="L11" s="379"/>
      <c r="M11" s="379"/>
      <c r="N11" s="381" t="s">
        <v>49</v>
      </c>
      <c r="O11" s="381"/>
      <c r="P11" s="38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9" t="s">
        <v>50</v>
      </c>
      <c r="L12" s="379"/>
      <c r="M12" s="379"/>
      <c r="N12" s="378"/>
      <c r="O12" s="378"/>
      <c r="P12" s="37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0" t="s">
        <v>51</v>
      </c>
      <c r="B14" s="331"/>
      <c r="C14" s="334" t="s">
        <v>90</v>
      </c>
      <c r="D14" s="115" t="s">
        <v>52</v>
      </c>
      <c r="E14" s="336" t="s">
        <v>58</v>
      </c>
      <c r="F14" s="337"/>
      <c r="G14" s="338" t="s">
        <v>54</v>
      </c>
      <c r="H14" s="339"/>
      <c r="I14" s="340" t="s">
        <v>77</v>
      </c>
      <c r="J14" s="376" t="s">
        <v>55</v>
      </c>
      <c r="K14" s="338"/>
      <c r="L14" s="339"/>
      <c r="M14" s="331" t="s">
        <v>84</v>
      </c>
      <c r="N14" s="37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2"/>
      <c r="B15" s="333"/>
      <c r="C15" s="33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1"/>
      <c r="J15" s="143" t="s">
        <v>59</v>
      </c>
      <c r="K15" s="144" t="s">
        <v>39</v>
      </c>
      <c r="L15" s="145" t="s">
        <v>493</v>
      </c>
      <c r="M15" s="333"/>
      <c r="N15" s="341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0">
        <f>COUNT(A16:A24)</f>
        <v>0</v>
      </c>
      <c r="B25" s="342"/>
      <c r="C25" s="342" t="s">
        <v>40</v>
      </c>
      <c r="D25" s="342"/>
      <c r="E25" s="342"/>
      <c r="F25" s="34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4" t="s">
        <v>64</v>
      </c>
      <c r="C28" s="345"/>
      <c r="D28" s="345"/>
      <c r="E28" s="345"/>
      <c r="F28" s="345"/>
      <c r="G28" s="345"/>
      <c r="H28" s="345"/>
      <c r="I28" s="345"/>
      <c r="J28" s="345"/>
      <c r="K28" s="345"/>
      <c r="L28" s="346"/>
      <c r="N28" s="353" t="s">
        <v>60</v>
      </c>
      <c r="O28" s="354"/>
      <c r="P28" s="139">
        <f>I25</f>
        <v>0</v>
      </c>
    </row>
    <row r="29" spans="1:22 16384:16384" ht="15" customHeight="1" x14ac:dyDescent="0.35">
      <c r="B29" s="347"/>
      <c r="C29" s="348"/>
      <c r="D29" s="348"/>
      <c r="E29" s="348"/>
      <c r="F29" s="348"/>
      <c r="G29" s="348"/>
      <c r="H29" s="348"/>
      <c r="I29" s="348"/>
      <c r="J29" s="348"/>
      <c r="K29" s="348"/>
      <c r="L29" s="349"/>
      <c r="N29" s="355" t="s">
        <v>85</v>
      </c>
      <c r="O29" s="356"/>
      <c r="P29" s="140">
        <f>+J25</f>
        <v>0</v>
      </c>
    </row>
    <row r="30" spans="1:22 16384:16384" ht="15" customHeight="1" x14ac:dyDescent="0.35">
      <c r="B30" s="347"/>
      <c r="C30" s="348"/>
      <c r="D30" s="348"/>
      <c r="E30" s="348"/>
      <c r="F30" s="348"/>
      <c r="G30" s="348"/>
      <c r="H30" s="348"/>
      <c r="I30" s="348"/>
      <c r="J30" s="348"/>
      <c r="K30" s="348"/>
      <c r="L30" s="349"/>
      <c r="N30" s="355" t="s">
        <v>86</v>
      </c>
      <c r="O30" s="356"/>
      <c r="P30" s="140">
        <f>+K25+L25</f>
        <v>0</v>
      </c>
    </row>
    <row r="31" spans="1:22 16384:16384" ht="15" customHeight="1" x14ac:dyDescent="0.35">
      <c r="B31" s="347"/>
      <c r="C31" s="348"/>
      <c r="D31" s="348"/>
      <c r="E31" s="348"/>
      <c r="F31" s="348"/>
      <c r="G31" s="348"/>
      <c r="H31" s="348"/>
      <c r="I31" s="348"/>
      <c r="J31" s="348"/>
      <c r="K31" s="348"/>
      <c r="L31" s="349"/>
      <c r="M31" s="131"/>
      <c r="N31" s="355" t="s">
        <v>87</v>
      </c>
      <c r="O31" s="356"/>
      <c r="P31" s="140">
        <f>P28-P29-P30</f>
        <v>0</v>
      </c>
    </row>
    <row r="32" spans="1:22 16384:16384" ht="15" customHeight="1" x14ac:dyDescent="0.35">
      <c r="B32" s="347"/>
      <c r="C32" s="348"/>
      <c r="D32" s="348"/>
      <c r="E32" s="348"/>
      <c r="F32" s="348"/>
      <c r="G32" s="348"/>
      <c r="H32" s="348"/>
      <c r="I32" s="348"/>
      <c r="J32" s="348"/>
      <c r="K32" s="348"/>
      <c r="L32" s="34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47"/>
      <c r="C33" s="348"/>
      <c r="D33" s="348"/>
      <c r="E33" s="348"/>
      <c r="F33" s="348"/>
      <c r="G33" s="348"/>
      <c r="H33" s="348"/>
      <c r="I33" s="348"/>
      <c r="J33" s="348"/>
      <c r="K33" s="348"/>
      <c r="L33" s="349"/>
      <c r="M33" s="131"/>
      <c r="N33" s="357" t="s">
        <v>76</v>
      </c>
      <c r="O33" s="358"/>
      <c r="P33" s="140">
        <f>P31+P32</f>
        <v>0</v>
      </c>
    </row>
    <row r="34" spans="2:16" ht="15" customHeight="1" thickBot="1" x14ac:dyDescent="0.4">
      <c r="B34" s="350"/>
      <c r="C34" s="351"/>
      <c r="D34" s="351"/>
      <c r="E34" s="351"/>
      <c r="F34" s="351"/>
      <c r="G34" s="351"/>
      <c r="H34" s="351"/>
      <c r="I34" s="351"/>
      <c r="J34" s="351"/>
      <c r="K34" s="351"/>
      <c r="L34" s="35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59" t="s">
        <v>88</v>
      </c>
      <c r="O35" s="360"/>
      <c r="P35" s="297">
        <f>+P33+P34</f>
        <v>0</v>
      </c>
    </row>
    <row r="36" spans="2:16" ht="15" thickBot="1" x14ac:dyDescent="0.4">
      <c r="B36" s="121" t="s">
        <v>63</v>
      </c>
      <c r="C36" s="361"/>
      <c r="D36" s="361"/>
      <c r="E36" s="361"/>
      <c r="F36" s="361"/>
      <c r="G36" s="361"/>
      <c r="H36" s="361"/>
      <c r="I36" s="362"/>
      <c r="J36" s="363"/>
      <c r="K36" s="364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7" t="s">
        <v>91</v>
      </c>
      <c r="B2" s="377"/>
      <c r="C2" s="377"/>
    </row>
    <row r="3" spans="1:22 16383:16384" ht="15" customHeight="1" x14ac:dyDescent="0.35">
      <c r="A3" s="378" t="s">
        <v>92</v>
      </c>
      <c r="B3" s="378"/>
      <c r="C3" s="378"/>
      <c r="F3" s="85"/>
      <c r="G3" s="1"/>
      <c r="K3" s="379" t="s">
        <v>43</v>
      </c>
      <c r="L3" s="379"/>
      <c r="M3" s="379"/>
      <c r="N3" s="378"/>
      <c r="O3" s="378"/>
      <c r="P3" s="37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8" t="s">
        <v>505</v>
      </c>
      <c r="B4" s="378"/>
      <c r="C4" s="378"/>
      <c r="F4" s="85"/>
      <c r="G4" s="1"/>
      <c r="K4" s="379" t="s">
        <v>44</v>
      </c>
      <c r="L4" s="379"/>
      <c r="M4" s="379"/>
      <c r="N4" s="382">
        <f ca="1">TODAY()+1</f>
        <v>46227</v>
      </c>
      <c r="O4" s="382"/>
      <c r="P4" s="38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3" t="s">
        <v>492</v>
      </c>
      <c r="B5" s="383"/>
      <c r="C5" s="383"/>
      <c r="F5" s="85"/>
      <c r="G5" s="1"/>
      <c r="K5" s="379" t="s">
        <v>45</v>
      </c>
      <c r="L5" s="379"/>
      <c r="M5" s="379"/>
      <c r="N5" s="382">
        <f ca="1">N4-1</f>
        <v>46226</v>
      </c>
      <c r="O5" s="378"/>
      <c r="P5" s="378"/>
      <c r="R5" s="85"/>
      <c r="S5" s="266"/>
    </row>
    <row r="6" spans="1:22 16383:16384" ht="18.75" customHeight="1" x14ac:dyDescent="0.4">
      <c r="A6" s="384" t="s">
        <v>500</v>
      </c>
      <c r="B6" s="384"/>
      <c r="C6" s="384"/>
      <c r="F6" s="85"/>
      <c r="G6" s="86"/>
      <c r="K6" s="379" t="s">
        <v>69</v>
      </c>
      <c r="L6" s="379"/>
      <c r="M6" s="379"/>
      <c r="N6" s="381" t="s">
        <v>62</v>
      </c>
      <c r="O6" s="381"/>
      <c r="P6" s="38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9" t="s">
        <v>73</v>
      </c>
      <c r="B7" s="379"/>
      <c r="C7" s="379"/>
      <c r="F7" s="85"/>
      <c r="G7" s="86"/>
      <c r="K7" s="379" t="s">
        <v>66</v>
      </c>
      <c r="L7" s="379"/>
      <c r="M7" s="379"/>
      <c r="N7" s="381" t="s">
        <v>511</v>
      </c>
      <c r="O7" s="381"/>
      <c r="P7" s="38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5" t="s">
        <v>95</v>
      </c>
      <c r="B8" s="385"/>
      <c r="C8" s="385"/>
      <c r="F8" s="85"/>
      <c r="G8" s="86"/>
      <c r="K8" s="379" t="s">
        <v>67</v>
      </c>
      <c r="L8" s="379"/>
      <c r="M8" s="379"/>
      <c r="N8" s="381" t="s">
        <v>511</v>
      </c>
      <c r="O8" s="381"/>
      <c r="P8" s="381"/>
      <c r="R8" s="85"/>
      <c r="S8" s="267"/>
    </row>
    <row r="9" spans="1:22 16383:16384" x14ac:dyDescent="0.35">
      <c r="A9" s="385" t="s">
        <v>96</v>
      </c>
      <c r="B9" s="385"/>
      <c r="C9" s="385"/>
      <c r="F9" s="85"/>
      <c r="G9" s="86"/>
      <c r="K9" s="379" t="s">
        <v>68</v>
      </c>
      <c r="L9" s="379"/>
      <c r="M9" s="379"/>
      <c r="N9" s="381" t="s">
        <v>104</v>
      </c>
      <c r="O9" s="381"/>
      <c r="P9" s="381"/>
      <c r="R9" s="85"/>
      <c r="S9" s="267"/>
      <c r="XFD9" t="s">
        <v>49</v>
      </c>
    </row>
    <row r="10" spans="1:22 16383:16384" x14ac:dyDescent="0.35">
      <c r="A10" s="385" t="s">
        <v>97</v>
      </c>
      <c r="B10" s="385"/>
      <c r="C10" s="385"/>
      <c r="F10" s="85"/>
      <c r="G10" s="1"/>
      <c r="K10" s="379" t="s">
        <v>46</v>
      </c>
      <c r="L10" s="379"/>
      <c r="M10" s="379"/>
      <c r="N10" s="378" t="s">
        <v>47</v>
      </c>
      <c r="O10" s="378"/>
      <c r="P10" s="37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9" t="s">
        <v>48</v>
      </c>
      <c r="L11" s="379"/>
      <c r="M11" s="379"/>
      <c r="N11" s="381" t="s">
        <v>49</v>
      </c>
      <c r="O11" s="381"/>
      <c r="P11" s="38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9" t="s">
        <v>50</v>
      </c>
      <c r="L12" s="379"/>
      <c r="M12" s="379"/>
      <c r="N12" s="378"/>
      <c r="O12" s="378"/>
      <c r="P12" s="37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0" t="s">
        <v>51</v>
      </c>
      <c r="B14" s="331"/>
      <c r="C14" s="334" t="s">
        <v>90</v>
      </c>
      <c r="D14" s="115" t="s">
        <v>52</v>
      </c>
      <c r="E14" s="336" t="s">
        <v>58</v>
      </c>
      <c r="F14" s="337"/>
      <c r="G14" s="338" t="s">
        <v>54</v>
      </c>
      <c r="H14" s="339"/>
      <c r="I14" s="340" t="s">
        <v>77</v>
      </c>
      <c r="J14" s="376" t="s">
        <v>55</v>
      </c>
      <c r="K14" s="338"/>
      <c r="L14" s="339"/>
      <c r="M14" s="331" t="s">
        <v>84</v>
      </c>
      <c r="N14" s="37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2"/>
      <c r="B15" s="333"/>
      <c r="C15" s="33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1"/>
      <c r="J15" s="143" t="s">
        <v>59</v>
      </c>
      <c r="K15" s="144" t="s">
        <v>39</v>
      </c>
      <c r="L15" s="145" t="s">
        <v>493</v>
      </c>
      <c r="M15" s="333"/>
      <c r="N15" s="341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0">
        <f>COUNT(A16:A24)</f>
        <v>0</v>
      </c>
      <c r="B25" s="342"/>
      <c r="C25" s="342" t="s">
        <v>40</v>
      </c>
      <c r="D25" s="342"/>
      <c r="E25" s="342"/>
      <c r="F25" s="34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4" t="s">
        <v>64</v>
      </c>
      <c r="C28" s="345"/>
      <c r="D28" s="345"/>
      <c r="E28" s="345"/>
      <c r="F28" s="345"/>
      <c r="G28" s="345"/>
      <c r="H28" s="345"/>
      <c r="I28" s="345"/>
      <c r="J28" s="345"/>
      <c r="K28" s="345"/>
      <c r="L28" s="346"/>
      <c r="N28" s="353" t="s">
        <v>60</v>
      </c>
      <c r="O28" s="354"/>
      <c r="P28" s="139">
        <f>I25</f>
        <v>0</v>
      </c>
    </row>
    <row r="29" spans="1:22 16384:16384" ht="15" customHeight="1" x14ac:dyDescent="0.35">
      <c r="B29" s="347"/>
      <c r="C29" s="348"/>
      <c r="D29" s="348"/>
      <c r="E29" s="348"/>
      <c r="F29" s="348"/>
      <c r="G29" s="348"/>
      <c r="H29" s="348"/>
      <c r="I29" s="348"/>
      <c r="J29" s="348"/>
      <c r="K29" s="348"/>
      <c r="L29" s="349"/>
      <c r="N29" s="355" t="s">
        <v>85</v>
      </c>
      <c r="O29" s="356"/>
      <c r="P29" s="140">
        <f>+J25</f>
        <v>0</v>
      </c>
    </row>
    <row r="30" spans="1:22 16384:16384" ht="15" customHeight="1" x14ac:dyDescent="0.35">
      <c r="B30" s="347"/>
      <c r="C30" s="348"/>
      <c r="D30" s="348"/>
      <c r="E30" s="348"/>
      <c r="F30" s="348"/>
      <c r="G30" s="348"/>
      <c r="H30" s="348"/>
      <c r="I30" s="348"/>
      <c r="J30" s="348"/>
      <c r="K30" s="348"/>
      <c r="L30" s="349"/>
      <c r="N30" s="355" t="s">
        <v>86</v>
      </c>
      <c r="O30" s="356"/>
      <c r="P30" s="140">
        <f>+K25+L25</f>
        <v>0</v>
      </c>
    </row>
    <row r="31" spans="1:22 16384:16384" ht="15" customHeight="1" x14ac:dyDescent="0.35">
      <c r="B31" s="347"/>
      <c r="C31" s="348"/>
      <c r="D31" s="348"/>
      <c r="E31" s="348"/>
      <c r="F31" s="348"/>
      <c r="G31" s="348"/>
      <c r="H31" s="348"/>
      <c r="I31" s="348"/>
      <c r="J31" s="348"/>
      <c r="K31" s="348"/>
      <c r="L31" s="349"/>
      <c r="M31" s="131"/>
      <c r="N31" s="355" t="s">
        <v>87</v>
      </c>
      <c r="O31" s="356"/>
      <c r="P31" s="140">
        <f>P28-P29-P30</f>
        <v>0</v>
      </c>
    </row>
    <row r="32" spans="1:22 16384:16384" ht="15" customHeight="1" x14ac:dyDescent="0.35">
      <c r="B32" s="347"/>
      <c r="C32" s="348"/>
      <c r="D32" s="348"/>
      <c r="E32" s="348"/>
      <c r="F32" s="348"/>
      <c r="G32" s="348"/>
      <c r="H32" s="348"/>
      <c r="I32" s="348"/>
      <c r="J32" s="348"/>
      <c r="K32" s="348"/>
      <c r="L32" s="34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47"/>
      <c r="C33" s="348"/>
      <c r="D33" s="348"/>
      <c r="E33" s="348"/>
      <c r="F33" s="348"/>
      <c r="G33" s="348"/>
      <c r="H33" s="348"/>
      <c r="I33" s="348"/>
      <c r="J33" s="348"/>
      <c r="K33" s="348"/>
      <c r="L33" s="349"/>
      <c r="M33" s="131"/>
      <c r="N33" s="357" t="s">
        <v>76</v>
      </c>
      <c r="O33" s="358"/>
      <c r="P33" s="140">
        <f>P31+P32</f>
        <v>0</v>
      </c>
    </row>
    <row r="34" spans="2:16" ht="15" customHeight="1" thickBot="1" x14ac:dyDescent="0.4">
      <c r="B34" s="350"/>
      <c r="C34" s="351"/>
      <c r="D34" s="351"/>
      <c r="E34" s="351"/>
      <c r="F34" s="351"/>
      <c r="G34" s="351"/>
      <c r="H34" s="351"/>
      <c r="I34" s="351"/>
      <c r="J34" s="351"/>
      <c r="K34" s="351"/>
      <c r="L34" s="35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59" t="s">
        <v>88</v>
      </c>
      <c r="O35" s="360"/>
      <c r="P35" s="297">
        <f>+P33+P34</f>
        <v>0</v>
      </c>
    </row>
    <row r="36" spans="2:16" ht="15" thickBot="1" x14ac:dyDescent="0.4">
      <c r="B36" s="121" t="s">
        <v>63</v>
      </c>
      <c r="C36" s="361"/>
      <c r="D36" s="361"/>
      <c r="E36" s="361"/>
      <c r="F36" s="361"/>
      <c r="G36" s="361"/>
      <c r="H36" s="361"/>
      <c r="I36" s="362"/>
      <c r="J36" s="363"/>
      <c r="K36" s="364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7" t="s">
        <v>91</v>
      </c>
      <c r="B2" s="377"/>
      <c r="C2" s="377"/>
    </row>
    <row r="3" spans="1:22 16383:16384" ht="15" customHeight="1" x14ac:dyDescent="0.35">
      <c r="A3" s="378" t="s">
        <v>92</v>
      </c>
      <c r="B3" s="378"/>
      <c r="C3" s="378"/>
      <c r="F3" s="85"/>
      <c r="G3" s="1"/>
      <c r="K3" s="379" t="s">
        <v>43</v>
      </c>
      <c r="L3" s="379"/>
      <c r="M3" s="379"/>
      <c r="N3" s="378"/>
      <c r="O3" s="378"/>
      <c r="P3" s="37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8" t="s">
        <v>505</v>
      </c>
      <c r="B4" s="378"/>
      <c r="C4" s="378"/>
      <c r="F4" s="85"/>
      <c r="G4" s="1"/>
      <c r="K4" s="379" t="s">
        <v>44</v>
      </c>
      <c r="L4" s="379"/>
      <c r="M4" s="379"/>
      <c r="N4" s="382">
        <f ca="1">TODAY()+1</f>
        <v>46227</v>
      </c>
      <c r="O4" s="382"/>
      <c r="P4" s="38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3" t="s">
        <v>492</v>
      </c>
      <c r="B5" s="383"/>
      <c r="C5" s="383"/>
      <c r="F5" s="85"/>
      <c r="G5" s="1"/>
      <c r="K5" s="379" t="s">
        <v>45</v>
      </c>
      <c r="L5" s="379"/>
      <c r="M5" s="379"/>
      <c r="N5" s="382">
        <f ca="1">N4-1</f>
        <v>46226</v>
      </c>
      <c r="O5" s="378"/>
      <c r="P5" s="378"/>
      <c r="R5" s="85"/>
      <c r="S5" s="266"/>
    </row>
    <row r="6" spans="1:22 16383:16384" ht="15" customHeight="1" x14ac:dyDescent="0.4">
      <c r="A6" s="384" t="s">
        <v>496</v>
      </c>
      <c r="B6" s="384"/>
      <c r="C6" s="384"/>
      <c r="F6" s="85"/>
      <c r="G6" s="86"/>
      <c r="K6" s="379" t="s">
        <v>69</v>
      </c>
      <c r="L6" s="379"/>
      <c r="M6" s="379"/>
      <c r="N6" s="381" t="s">
        <v>62</v>
      </c>
      <c r="O6" s="381"/>
      <c r="P6" s="38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9" t="s">
        <v>73</v>
      </c>
      <c r="B7" s="379"/>
      <c r="C7" s="379"/>
      <c r="F7" s="85"/>
      <c r="G7" s="86"/>
      <c r="K7" s="379" t="s">
        <v>66</v>
      </c>
      <c r="L7" s="379"/>
      <c r="M7" s="379"/>
      <c r="N7" s="381" t="s">
        <v>511</v>
      </c>
      <c r="O7" s="381"/>
      <c r="P7" s="38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5" t="s">
        <v>95</v>
      </c>
      <c r="B8" s="385"/>
      <c r="C8" s="385"/>
      <c r="F8" s="85"/>
      <c r="G8" s="86"/>
      <c r="K8" s="379" t="s">
        <v>67</v>
      </c>
      <c r="L8" s="379"/>
      <c r="M8" s="379"/>
      <c r="N8" s="381" t="s">
        <v>511</v>
      </c>
      <c r="O8" s="381"/>
      <c r="P8" s="381"/>
      <c r="R8" s="85"/>
      <c r="S8" s="267"/>
    </row>
    <row r="9" spans="1:22 16383:16384" x14ac:dyDescent="0.35">
      <c r="A9" s="385" t="s">
        <v>96</v>
      </c>
      <c r="B9" s="385"/>
      <c r="C9" s="385"/>
      <c r="F9" s="85"/>
      <c r="G9" s="86"/>
      <c r="K9" s="379" t="s">
        <v>68</v>
      </c>
      <c r="L9" s="379"/>
      <c r="M9" s="379"/>
      <c r="N9" s="381" t="s">
        <v>104</v>
      </c>
      <c r="O9" s="381"/>
      <c r="P9" s="381"/>
      <c r="R9" s="85"/>
      <c r="S9" s="267"/>
      <c r="XFD9" t="s">
        <v>49</v>
      </c>
    </row>
    <row r="10" spans="1:22 16383:16384" x14ac:dyDescent="0.35">
      <c r="A10" s="385" t="s">
        <v>97</v>
      </c>
      <c r="B10" s="385"/>
      <c r="C10" s="385"/>
      <c r="F10" s="85"/>
      <c r="G10" s="1"/>
      <c r="K10" s="379" t="s">
        <v>46</v>
      </c>
      <c r="L10" s="379"/>
      <c r="M10" s="379"/>
      <c r="N10" s="378" t="s">
        <v>47</v>
      </c>
      <c r="O10" s="378"/>
      <c r="P10" s="37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9" t="s">
        <v>48</v>
      </c>
      <c r="L11" s="379"/>
      <c r="M11" s="379"/>
      <c r="N11" s="381" t="s">
        <v>49</v>
      </c>
      <c r="O11" s="381"/>
      <c r="P11" s="38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9" t="s">
        <v>50</v>
      </c>
      <c r="L12" s="379"/>
      <c r="M12" s="379"/>
      <c r="N12" s="378"/>
      <c r="O12" s="378"/>
      <c r="P12" s="37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0" t="s">
        <v>51</v>
      </c>
      <c r="B14" s="331"/>
      <c r="C14" s="334" t="s">
        <v>90</v>
      </c>
      <c r="D14" s="115" t="s">
        <v>52</v>
      </c>
      <c r="E14" s="336" t="s">
        <v>58</v>
      </c>
      <c r="F14" s="337"/>
      <c r="G14" s="338" t="s">
        <v>54</v>
      </c>
      <c r="H14" s="339"/>
      <c r="I14" s="340" t="s">
        <v>77</v>
      </c>
      <c r="J14" s="376" t="s">
        <v>55</v>
      </c>
      <c r="K14" s="338"/>
      <c r="L14" s="339"/>
      <c r="M14" s="331" t="s">
        <v>84</v>
      </c>
      <c r="N14" s="37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2"/>
      <c r="B15" s="333"/>
      <c r="C15" s="33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1"/>
      <c r="J15" s="143" t="s">
        <v>59</v>
      </c>
      <c r="K15" s="144" t="s">
        <v>39</v>
      </c>
      <c r="L15" s="145" t="s">
        <v>493</v>
      </c>
      <c r="M15" s="333"/>
      <c r="N15" s="341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0">
        <f>COUNT(A16:A24)</f>
        <v>0</v>
      </c>
      <c r="B25" s="342"/>
      <c r="C25" s="342" t="s">
        <v>40</v>
      </c>
      <c r="D25" s="342"/>
      <c r="E25" s="342"/>
      <c r="F25" s="34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4" t="s">
        <v>64</v>
      </c>
      <c r="C28" s="345"/>
      <c r="D28" s="345"/>
      <c r="E28" s="345"/>
      <c r="F28" s="345"/>
      <c r="G28" s="345"/>
      <c r="H28" s="345"/>
      <c r="I28" s="345"/>
      <c r="J28" s="345"/>
      <c r="K28" s="345"/>
      <c r="L28" s="346"/>
      <c r="N28" s="353" t="s">
        <v>60</v>
      </c>
      <c r="O28" s="354"/>
      <c r="P28" s="139">
        <f>I25</f>
        <v>0</v>
      </c>
    </row>
    <row r="29" spans="1:22 16384:16384" ht="15" customHeight="1" x14ac:dyDescent="0.35">
      <c r="B29" s="347"/>
      <c r="C29" s="348"/>
      <c r="D29" s="348"/>
      <c r="E29" s="348"/>
      <c r="F29" s="348"/>
      <c r="G29" s="348"/>
      <c r="H29" s="348"/>
      <c r="I29" s="348"/>
      <c r="J29" s="348"/>
      <c r="K29" s="348"/>
      <c r="L29" s="349"/>
      <c r="N29" s="355" t="s">
        <v>85</v>
      </c>
      <c r="O29" s="356"/>
      <c r="P29" s="140">
        <f>+J25</f>
        <v>0</v>
      </c>
    </row>
    <row r="30" spans="1:22 16384:16384" ht="15" customHeight="1" x14ac:dyDescent="0.35">
      <c r="B30" s="347"/>
      <c r="C30" s="348"/>
      <c r="D30" s="348"/>
      <c r="E30" s="348"/>
      <c r="F30" s="348"/>
      <c r="G30" s="348"/>
      <c r="H30" s="348"/>
      <c r="I30" s="348"/>
      <c r="J30" s="348"/>
      <c r="K30" s="348"/>
      <c r="L30" s="349"/>
      <c r="N30" s="355" t="s">
        <v>86</v>
      </c>
      <c r="O30" s="356"/>
      <c r="P30" s="140">
        <f>+K25+L25</f>
        <v>0</v>
      </c>
    </row>
    <row r="31" spans="1:22 16384:16384" ht="15" customHeight="1" x14ac:dyDescent="0.35">
      <c r="B31" s="347"/>
      <c r="C31" s="348"/>
      <c r="D31" s="348"/>
      <c r="E31" s="348"/>
      <c r="F31" s="348"/>
      <c r="G31" s="348"/>
      <c r="H31" s="348"/>
      <c r="I31" s="348"/>
      <c r="J31" s="348"/>
      <c r="K31" s="348"/>
      <c r="L31" s="349"/>
      <c r="M31" s="131"/>
      <c r="N31" s="355" t="s">
        <v>87</v>
      </c>
      <c r="O31" s="356"/>
      <c r="P31" s="140">
        <f>P28-P29-P30</f>
        <v>0</v>
      </c>
    </row>
    <row r="32" spans="1:22 16384:16384" ht="15" customHeight="1" x14ac:dyDescent="0.35">
      <c r="B32" s="347"/>
      <c r="C32" s="348"/>
      <c r="D32" s="348"/>
      <c r="E32" s="348"/>
      <c r="F32" s="348"/>
      <c r="G32" s="348"/>
      <c r="H32" s="348"/>
      <c r="I32" s="348"/>
      <c r="J32" s="348"/>
      <c r="K32" s="348"/>
      <c r="L32" s="34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47"/>
      <c r="C33" s="348"/>
      <c r="D33" s="348"/>
      <c r="E33" s="348"/>
      <c r="F33" s="348"/>
      <c r="G33" s="348"/>
      <c r="H33" s="348"/>
      <c r="I33" s="348"/>
      <c r="J33" s="348"/>
      <c r="K33" s="348"/>
      <c r="L33" s="349"/>
      <c r="M33" s="131"/>
      <c r="N33" s="357" t="s">
        <v>76</v>
      </c>
      <c r="O33" s="358"/>
      <c r="P33" s="140">
        <f>P31+P32</f>
        <v>0</v>
      </c>
    </row>
    <row r="34" spans="2:16" ht="15" customHeight="1" thickBot="1" x14ac:dyDescent="0.4">
      <c r="B34" s="350"/>
      <c r="C34" s="351"/>
      <c r="D34" s="351"/>
      <c r="E34" s="351"/>
      <c r="F34" s="351"/>
      <c r="G34" s="351"/>
      <c r="H34" s="351"/>
      <c r="I34" s="351"/>
      <c r="J34" s="351"/>
      <c r="K34" s="351"/>
      <c r="L34" s="35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59" t="s">
        <v>88</v>
      </c>
      <c r="O35" s="360"/>
      <c r="P35" s="297">
        <f>+P33+P34</f>
        <v>0</v>
      </c>
    </row>
    <row r="36" spans="2:16" ht="15" thickBot="1" x14ac:dyDescent="0.4">
      <c r="B36" s="121" t="s">
        <v>63</v>
      </c>
      <c r="C36" s="361"/>
      <c r="D36" s="361"/>
      <c r="E36" s="361"/>
      <c r="F36" s="361"/>
      <c r="G36" s="361"/>
      <c r="H36" s="361"/>
      <c r="I36" s="362"/>
      <c r="J36" s="363"/>
      <c r="K36" s="364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7" t="s">
        <v>91</v>
      </c>
      <c r="B2" s="377"/>
      <c r="C2" s="377"/>
    </row>
    <row r="3" spans="1:22 16383:16384" ht="15" customHeight="1" x14ac:dyDescent="0.35">
      <c r="A3" s="378" t="s">
        <v>92</v>
      </c>
      <c r="B3" s="378"/>
      <c r="C3" s="378"/>
      <c r="F3" s="85"/>
      <c r="G3" s="1"/>
      <c r="K3" s="379" t="s">
        <v>43</v>
      </c>
      <c r="L3" s="379"/>
      <c r="M3" s="379"/>
      <c r="N3" s="378"/>
      <c r="O3" s="378"/>
      <c r="P3" s="37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8" t="s">
        <v>505</v>
      </c>
      <c r="B4" s="378"/>
      <c r="C4" s="378"/>
      <c r="F4" s="85"/>
      <c r="G4" s="1"/>
      <c r="K4" s="379" t="s">
        <v>44</v>
      </c>
      <c r="L4" s="379"/>
      <c r="M4" s="379"/>
      <c r="N4" s="382">
        <f ca="1">TODAY()+1</f>
        <v>46227</v>
      </c>
      <c r="O4" s="382"/>
      <c r="P4" s="38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3" t="s">
        <v>492</v>
      </c>
      <c r="B5" s="383"/>
      <c r="C5" s="383"/>
      <c r="F5" s="85"/>
      <c r="G5" s="1"/>
      <c r="K5" s="379" t="s">
        <v>45</v>
      </c>
      <c r="L5" s="379"/>
      <c r="M5" s="379"/>
      <c r="N5" s="382">
        <f ca="1">N4-1</f>
        <v>46226</v>
      </c>
      <c r="O5" s="378"/>
      <c r="P5" s="378"/>
      <c r="R5" s="85"/>
      <c r="S5" s="266"/>
    </row>
    <row r="6" spans="1:22 16383:16384" ht="15" customHeight="1" x14ac:dyDescent="0.4">
      <c r="A6" s="384" t="s">
        <v>501</v>
      </c>
      <c r="B6" s="384"/>
      <c r="C6" s="384"/>
      <c r="F6" s="85"/>
      <c r="G6" s="86"/>
      <c r="K6" s="379" t="s">
        <v>69</v>
      </c>
      <c r="L6" s="379"/>
      <c r="M6" s="379"/>
      <c r="N6" s="381" t="s">
        <v>62</v>
      </c>
      <c r="O6" s="381"/>
      <c r="P6" s="38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9" t="s">
        <v>73</v>
      </c>
      <c r="B7" s="379"/>
      <c r="C7" s="379"/>
      <c r="F7" s="85"/>
      <c r="G7" s="86"/>
      <c r="K7" s="379" t="s">
        <v>66</v>
      </c>
      <c r="L7" s="379"/>
      <c r="M7" s="379"/>
      <c r="N7" s="381" t="s">
        <v>511</v>
      </c>
      <c r="O7" s="381"/>
      <c r="P7" s="38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5" t="s">
        <v>95</v>
      </c>
      <c r="B8" s="385"/>
      <c r="C8" s="385"/>
      <c r="F8" s="85"/>
      <c r="G8" s="86"/>
      <c r="K8" s="379" t="s">
        <v>67</v>
      </c>
      <c r="L8" s="379"/>
      <c r="M8" s="379"/>
      <c r="N8" s="381" t="s">
        <v>511</v>
      </c>
      <c r="O8" s="381"/>
      <c r="P8" s="381"/>
      <c r="R8" s="85"/>
      <c r="S8" s="267"/>
    </row>
    <row r="9" spans="1:22 16383:16384" x14ac:dyDescent="0.35">
      <c r="A9" s="385" t="s">
        <v>96</v>
      </c>
      <c r="B9" s="385"/>
      <c r="C9" s="385"/>
      <c r="F9" s="85"/>
      <c r="G9" s="86"/>
      <c r="K9" s="379" t="s">
        <v>68</v>
      </c>
      <c r="L9" s="379"/>
      <c r="M9" s="379"/>
      <c r="N9" s="381" t="s">
        <v>104</v>
      </c>
      <c r="O9" s="381"/>
      <c r="P9" s="381"/>
      <c r="R9" s="85"/>
      <c r="S9" s="267"/>
      <c r="XFD9" t="s">
        <v>49</v>
      </c>
    </row>
    <row r="10" spans="1:22 16383:16384" x14ac:dyDescent="0.35">
      <c r="A10" s="385" t="s">
        <v>97</v>
      </c>
      <c r="B10" s="385"/>
      <c r="C10" s="385"/>
      <c r="F10" s="85"/>
      <c r="G10" s="1"/>
      <c r="K10" s="379" t="s">
        <v>46</v>
      </c>
      <c r="L10" s="379"/>
      <c r="M10" s="379"/>
      <c r="N10" s="378" t="s">
        <v>47</v>
      </c>
      <c r="O10" s="378"/>
      <c r="P10" s="37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9" t="s">
        <v>48</v>
      </c>
      <c r="L11" s="379"/>
      <c r="M11" s="379"/>
      <c r="N11" s="381" t="s">
        <v>49</v>
      </c>
      <c r="O11" s="381"/>
      <c r="P11" s="38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9" t="s">
        <v>50</v>
      </c>
      <c r="L12" s="379"/>
      <c r="M12" s="379"/>
      <c r="N12" s="378"/>
      <c r="O12" s="378"/>
      <c r="P12" s="37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0" t="s">
        <v>51</v>
      </c>
      <c r="B14" s="331"/>
      <c r="C14" s="334" t="s">
        <v>90</v>
      </c>
      <c r="D14" s="115" t="s">
        <v>52</v>
      </c>
      <c r="E14" s="336" t="s">
        <v>58</v>
      </c>
      <c r="F14" s="337"/>
      <c r="G14" s="338" t="s">
        <v>54</v>
      </c>
      <c r="H14" s="339"/>
      <c r="I14" s="340" t="s">
        <v>77</v>
      </c>
      <c r="J14" s="376" t="s">
        <v>55</v>
      </c>
      <c r="K14" s="338"/>
      <c r="L14" s="339"/>
      <c r="M14" s="331" t="s">
        <v>84</v>
      </c>
      <c r="N14" s="37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2"/>
      <c r="B15" s="333"/>
      <c r="C15" s="33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1"/>
      <c r="J15" s="143" t="s">
        <v>59</v>
      </c>
      <c r="K15" s="144" t="s">
        <v>39</v>
      </c>
      <c r="L15" s="145" t="s">
        <v>493</v>
      </c>
      <c r="M15" s="333"/>
      <c r="N15" s="341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0">
        <f>COUNT(A16:A24)</f>
        <v>0</v>
      </c>
      <c r="B25" s="342"/>
      <c r="C25" s="342" t="s">
        <v>40</v>
      </c>
      <c r="D25" s="342"/>
      <c r="E25" s="342"/>
      <c r="F25" s="34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4" t="s">
        <v>64</v>
      </c>
      <c r="C28" s="345"/>
      <c r="D28" s="345"/>
      <c r="E28" s="345"/>
      <c r="F28" s="345"/>
      <c r="G28" s="345"/>
      <c r="H28" s="345"/>
      <c r="I28" s="345"/>
      <c r="J28" s="345"/>
      <c r="K28" s="345"/>
      <c r="L28" s="346"/>
      <c r="N28" s="353" t="s">
        <v>60</v>
      </c>
      <c r="O28" s="354"/>
      <c r="P28" s="139">
        <f>I25</f>
        <v>0</v>
      </c>
    </row>
    <row r="29" spans="1:22 16384:16384" ht="15" customHeight="1" x14ac:dyDescent="0.35">
      <c r="B29" s="347"/>
      <c r="C29" s="348"/>
      <c r="D29" s="348"/>
      <c r="E29" s="348"/>
      <c r="F29" s="348"/>
      <c r="G29" s="348"/>
      <c r="H29" s="348"/>
      <c r="I29" s="348"/>
      <c r="J29" s="348"/>
      <c r="K29" s="348"/>
      <c r="L29" s="349"/>
      <c r="N29" s="355" t="s">
        <v>85</v>
      </c>
      <c r="O29" s="356"/>
      <c r="P29" s="140">
        <f>+J25</f>
        <v>0</v>
      </c>
    </row>
    <row r="30" spans="1:22 16384:16384" ht="15" customHeight="1" x14ac:dyDescent="0.35">
      <c r="B30" s="347"/>
      <c r="C30" s="348"/>
      <c r="D30" s="348"/>
      <c r="E30" s="348"/>
      <c r="F30" s="348"/>
      <c r="G30" s="348"/>
      <c r="H30" s="348"/>
      <c r="I30" s="348"/>
      <c r="J30" s="348"/>
      <c r="K30" s="348"/>
      <c r="L30" s="349"/>
      <c r="N30" s="355" t="s">
        <v>86</v>
      </c>
      <c r="O30" s="356"/>
      <c r="P30" s="140">
        <f>+K25+L25</f>
        <v>0</v>
      </c>
    </row>
    <row r="31" spans="1:22 16384:16384" ht="15" customHeight="1" x14ac:dyDescent="0.35">
      <c r="B31" s="347"/>
      <c r="C31" s="348"/>
      <c r="D31" s="348"/>
      <c r="E31" s="348"/>
      <c r="F31" s="348"/>
      <c r="G31" s="348"/>
      <c r="H31" s="348"/>
      <c r="I31" s="348"/>
      <c r="J31" s="348"/>
      <c r="K31" s="348"/>
      <c r="L31" s="349"/>
      <c r="M31" s="131"/>
      <c r="N31" s="355" t="s">
        <v>87</v>
      </c>
      <c r="O31" s="356"/>
      <c r="P31" s="140">
        <f>P28-P29-P30</f>
        <v>0</v>
      </c>
    </row>
    <row r="32" spans="1:22 16384:16384" ht="15" customHeight="1" x14ac:dyDescent="0.35">
      <c r="B32" s="347"/>
      <c r="C32" s="348"/>
      <c r="D32" s="348"/>
      <c r="E32" s="348"/>
      <c r="F32" s="348"/>
      <c r="G32" s="348"/>
      <c r="H32" s="348"/>
      <c r="I32" s="348"/>
      <c r="J32" s="348"/>
      <c r="K32" s="348"/>
      <c r="L32" s="34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47"/>
      <c r="C33" s="348"/>
      <c r="D33" s="348"/>
      <c r="E33" s="348"/>
      <c r="F33" s="348"/>
      <c r="G33" s="348"/>
      <c r="H33" s="348"/>
      <c r="I33" s="348"/>
      <c r="J33" s="348"/>
      <c r="K33" s="348"/>
      <c r="L33" s="349"/>
      <c r="M33" s="131"/>
      <c r="N33" s="357" t="s">
        <v>76</v>
      </c>
      <c r="O33" s="358"/>
      <c r="P33" s="140">
        <f>P31+P32</f>
        <v>0</v>
      </c>
    </row>
    <row r="34" spans="2:16" ht="15" customHeight="1" thickBot="1" x14ac:dyDescent="0.4">
      <c r="B34" s="350"/>
      <c r="C34" s="351"/>
      <c r="D34" s="351"/>
      <c r="E34" s="351"/>
      <c r="F34" s="351"/>
      <c r="G34" s="351"/>
      <c r="H34" s="351"/>
      <c r="I34" s="351"/>
      <c r="J34" s="351"/>
      <c r="K34" s="351"/>
      <c r="L34" s="35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59" t="s">
        <v>88</v>
      </c>
      <c r="O35" s="360"/>
      <c r="P35" s="297">
        <f>+P33+P34</f>
        <v>0</v>
      </c>
    </row>
    <row r="36" spans="2:16" ht="15" thickBot="1" x14ac:dyDescent="0.4">
      <c r="B36" s="121" t="s">
        <v>63</v>
      </c>
      <c r="C36" s="361"/>
      <c r="D36" s="361"/>
      <c r="E36" s="361"/>
      <c r="F36" s="361"/>
      <c r="G36" s="361"/>
      <c r="H36" s="361"/>
      <c r="I36" s="362"/>
      <c r="J36" s="363"/>
      <c r="K36" s="364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7" t="s">
        <v>91</v>
      </c>
      <c r="B2" s="377"/>
      <c r="C2" s="377"/>
    </row>
    <row r="3" spans="1:22 16383:16384" ht="15" customHeight="1" x14ac:dyDescent="0.35">
      <c r="A3" s="378" t="s">
        <v>92</v>
      </c>
      <c r="B3" s="378"/>
      <c r="C3" s="378"/>
      <c r="F3" s="85"/>
      <c r="G3" s="1"/>
      <c r="K3" s="379" t="s">
        <v>43</v>
      </c>
      <c r="L3" s="379"/>
      <c r="M3" s="379"/>
      <c r="N3" s="378"/>
      <c r="O3" s="378"/>
      <c r="P3" s="37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8" t="s">
        <v>505</v>
      </c>
      <c r="B4" s="378"/>
      <c r="C4" s="378"/>
      <c r="F4" s="85"/>
      <c r="G4" s="1"/>
      <c r="K4" s="379" t="s">
        <v>44</v>
      </c>
      <c r="L4" s="379"/>
      <c r="M4" s="379"/>
      <c r="N4" s="382">
        <f ca="1">TODAY()+1</f>
        <v>46227</v>
      </c>
      <c r="O4" s="382"/>
      <c r="P4" s="38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3" t="s">
        <v>492</v>
      </c>
      <c r="B5" s="383"/>
      <c r="C5" s="383"/>
      <c r="F5" s="85"/>
      <c r="G5" s="1"/>
      <c r="K5" s="379" t="s">
        <v>45</v>
      </c>
      <c r="L5" s="379"/>
      <c r="M5" s="379"/>
      <c r="N5" s="382">
        <f ca="1">N4-1</f>
        <v>46226</v>
      </c>
      <c r="O5" s="378"/>
      <c r="P5" s="378"/>
      <c r="R5" s="85"/>
      <c r="S5" s="266"/>
    </row>
    <row r="6" spans="1:22 16383:16384" ht="15" customHeight="1" x14ac:dyDescent="0.4">
      <c r="A6" s="384" t="s">
        <v>496</v>
      </c>
      <c r="B6" s="384"/>
      <c r="C6" s="384"/>
      <c r="F6" s="85"/>
      <c r="G6" s="86"/>
      <c r="K6" s="379" t="s">
        <v>69</v>
      </c>
      <c r="L6" s="379"/>
      <c r="M6" s="379"/>
      <c r="N6" s="381" t="s">
        <v>62</v>
      </c>
      <c r="O6" s="381"/>
      <c r="P6" s="38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9" t="s">
        <v>73</v>
      </c>
      <c r="B7" s="379"/>
      <c r="C7" s="379"/>
      <c r="F7" s="85"/>
      <c r="G7" s="86"/>
      <c r="K7" s="379" t="s">
        <v>66</v>
      </c>
      <c r="L7" s="379"/>
      <c r="M7" s="379"/>
      <c r="N7" s="381" t="s">
        <v>511</v>
      </c>
      <c r="O7" s="381"/>
      <c r="P7" s="38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5" t="s">
        <v>95</v>
      </c>
      <c r="B8" s="385"/>
      <c r="C8" s="385"/>
      <c r="F8" s="85"/>
      <c r="G8" s="86"/>
      <c r="K8" s="379" t="s">
        <v>67</v>
      </c>
      <c r="L8" s="379"/>
      <c r="M8" s="379"/>
      <c r="N8" s="381" t="s">
        <v>511</v>
      </c>
      <c r="O8" s="381"/>
      <c r="P8" s="381"/>
      <c r="R8" s="85"/>
      <c r="S8" s="267"/>
    </row>
    <row r="9" spans="1:22 16383:16384" x14ac:dyDescent="0.35">
      <c r="A9" s="385" t="s">
        <v>96</v>
      </c>
      <c r="B9" s="385"/>
      <c r="C9" s="385"/>
      <c r="F9" s="85"/>
      <c r="G9" s="86"/>
      <c r="K9" s="379" t="s">
        <v>68</v>
      </c>
      <c r="L9" s="379"/>
      <c r="M9" s="379"/>
      <c r="N9" s="381" t="s">
        <v>104</v>
      </c>
      <c r="O9" s="381"/>
      <c r="P9" s="381"/>
      <c r="R9" s="85"/>
      <c r="S9" s="267"/>
      <c r="XFD9" t="s">
        <v>49</v>
      </c>
    </row>
    <row r="10" spans="1:22 16383:16384" x14ac:dyDescent="0.35">
      <c r="A10" s="385" t="s">
        <v>97</v>
      </c>
      <c r="B10" s="385"/>
      <c r="C10" s="385"/>
      <c r="F10" s="85"/>
      <c r="G10" s="1"/>
      <c r="K10" s="379" t="s">
        <v>46</v>
      </c>
      <c r="L10" s="379"/>
      <c r="M10" s="379"/>
      <c r="N10" s="378" t="s">
        <v>47</v>
      </c>
      <c r="O10" s="378"/>
      <c r="P10" s="37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9" t="s">
        <v>48</v>
      </c>
      <c r="L11" s="379"/>
      <c r="M11" s="379"/>
      <c r="N11" s="381" t="s">
        <v>49</v>
      </c>
      <c r="O11" s="381"/>
      <c r="P11" s="38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9" t="s">
        <v>50</v>
      </c>
      <c r="L12" s="379"/>
      <c r="M12" s="379"/>
      <c r="N12" s="378"/>
      <c r="O12" s="378"/>
      <c r="P12" s="37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0" t="s">
        <v>51</v>
      </c>
      <c r="B14" s="331"/>
      <c r="C14" s="334" t="s">
        <v>90</v>
      </c>
      <c r="D14" s="115" t="s">
        <v>52</v>
      </c>
      <c r="E14" s="336" t="s">
        <v>58</v>
      </c>
      <c r="F14" s="337"/>
      <c r="G14" s="338" t="s">
        <v>54</v>
      </c>
      <c r="H14" s="339"/>
      <c r="I14" s="340" t="s">
        <v>77</v>
      </c>
      <c r="J14" s="376" t="s">
        <v>55</v>
      </c>
      <c r="K14" s="338"/>
      <c r="L14" s="339"/>
      <c r="M14" s="331" t="s">
        <v>84</v>
      </c>
      <c r="N14" s="37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2"/>
      <c r="B15" s="333"/>
      <c r="C15" s="33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1"/>
      <c r="J15" s="143" t="s">
        <v>59</v>
      </c>
      <c r="K15" s="144" t="s">
        <v>39</v>
      </c>
      <c r="L15" s="145" t="s">
        <v>493</v>
      </c>
      <c r="M15" s="333"/>
      <c r="N15" s="341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0">
        <f>COUNT(A16:A24)</f>
        <v>0</v>
      </c>
      <c r="B25" s="342"/>
      <c r="C25" s="342" t="s">
        <v>40</v>
      </c>
      <c r="D25" s="342"/>
      <c r="E25" s="342"/>
      <c r="F25" s="34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4" t="s">
        <v>64</v>
      </c>
      <c r="C28" s="345"/>
      <c r="D28" s="345"/>
      <c r="E28" s="345"/>
      <c r="F28" s="345"/>
      <c r="G28" s="345"/>
      <c r="H28" s="345"/>
      <c r="I28" s="345"/>
      <c r="J28" s="345"/>
      <c r="K28" s="345"/>
      <c r="L28" s="346"/>
      <c r="N28" s="353" t="s">
        <v>60</v>
      </c>
      <c r="O28" s="354"/>
      <c r="P28" s="139">
        <f>I25</f>
        <v>0</v>
      </c>
    </row>
    <row r="29" spans="1:22 16384:16384" ht="15" customHeight="1" x14ac:dyDescent="0.35">
      <c r="B29" s="347"/>
      <c r="C29" s="348"/>
      <c r="D29" s="348"/>
      <c r="E29" s="348"/>
      <c r="F29" s="348"/>
      <c r="G29" s="348"/>
      <c r="H29" s="348"/>
      <c r="I29" s="348"/>
      <c r="J29" s="348"/>
      <c r="K29" s="348"/>
      <c r="L29" s="349"/>
      <c r="N29" s="355" t="s">
        <v>85</v>
      </c>
      <c r="O29" s="356"/>
      <c r="P29" s="140">
        <f>+J25</f>
        <v>0</v>
      </c>
    </row>
    <row r="30" spans="1:22 16384:16384" ht="15" customHeight="1" x14ac:dyDescent="0.35">
      <c r="B30" s="347"/>
      <c r="C30" s="348"/>
      <c r="D30" s="348"/>
      <c r="E30" s="348"/>
      <c r="F30" s="348"/>
      <c r="G30" s="348"/>
      <c r="H30" s="348"/>
      <c r="I30" s="348"/>
      <c r="J30" s="348"/>
      <c r="K30" s="348"/>
      <c r="L30" s="349"/>
      <c r="N30" s="355" t="s">
        <v>86</v>
      </c>
      <c r="O30" s="356"/>
      <c r="P30" s="140">
        <f>+K25+L25</f>
        <v>0</v>
      </c>
    </row>
    <row r="31" spans="1:22 16384:16384" ht="15" customHeight="1" x14ac:dyDescent="0.35">
      <c r="B31" s="347"/>
      <c r="C31" s="348"/>
      <c r="D31" s="348"/>
      <c r="E31" s="348"/>
      <c r="F31" s="348"/>
      <c r="G31" s="348"/>
      <c r="H31" s="348"/>
      <c r="I31" s="348"/>
      <c r="J31" s="348"/>
      <c r="K31" s="348"/>
      <c r="L31" s="349"/>
      <c r="M31" s="131"/>
      <c r="N31" s="355" t="s">
        <v>87</v>
      </c>
      <c r="O31" s="356"/>
      <c r="P31" s="140">
        <f>P28-P29-P30</f>
        <v>0</v>
      </c>
    </row>
    <row r="32" spans="1:22 16384:16384" ht="15" customHeight="1" x14ac:dyDescent="0.35">
      <c r="B32" s="347"/>
      <c r="C32" s="348"/>
      <c r="D32" s="348"/>
      <c r="E32" s="348"/>
      <c r="F32" s="348"/>
      <c r="G32" s="348"/>
      <c r="H32" s="348"/>
      <c r="I32" s="348"/>
      <c r="J32" s="348"/>
      <c r="K32" s="348"/>
      <c r="L32" s="34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47"/>
      <c r="C33" s="348"/>
      <c r="D33" s="348"/>
      <c r="E33" s="348"/>
      <c r="F33" s="348"/>
      <c r="G33" s="348"/>
      <c r="H33" s="348"/>
      <c r="I33" s="348"/>
      <c r="J33" s="348"/>
      <c r="K33" s="348"/>
      <c r="L33" s="349"/>
      <c r="M33" s="131"/>
      <c r="N33" s="357" t="s">
        <v>76</v>
      </c>
      <c r="O33" s="358"/>
      <c r="P33" s="140">
        <f>P31+P32</f>
        <v>0</v>
      </c>
    </row>
    <row r="34" spans="2:16" ht="15" customHeight="1" thickBot="1" x14ac:dyDescent="0.4">
      <c r="B34" s="350"/>
      <c r="C34" s="351"/>
      <c r="D34" s="351"/>
      <c r="E34" s="351"/>
      <c r="F34" s="351"/>
      <c r="G34" s="351"/>
      <c r="H34" s="351"/>
      <c r="I34" s="351"/>
      <c r="J34" s="351"/>
      <c r="K34" s="351"/>
      <c r="L34" s="35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59" t="s">
        <v>88</v>
      </c>
      <c r="O35" s="360"/>
      <c r="P35" s="297">
        <f>+P33+P34</f>
        <v>0</v>
      </c>
    </row>
    <row r="36" spans="2:16" ht="15" thickBot="1" x14ac:dyDescent="0.4">
      <c r="B36" s="121" t="s">
        <v>63</v>
      </c>
      <c r="C36" s="361"/>
      <c r="D36" s="361"/>
      <c r="E36" s="361"/>
      <c r="F36" s="361"/>
      <c r="G36" s="361"/>
      <c r="H36" s="361"/>
      <c r="I36" s="362"/>
      <c r="J36" s="363"/>
      <c r="K36" s="364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7" t="s">
        <v>91</v>
      </c>
      <c r="B2" s="377"/>
      <c r="C2" s="377"/>
    </row>
    <row r="3" spans="1:22 16383:16384" ht="15" customHeight="1" x14ac:dyDescent="0.35">
      <c r="A3" s="378" t="s">
        <v>92</v>
      </c>
      <c r="B3" s="378"/>
      <c r="C3" s="378"/>
      <c r="F3" s="85"/>
      <c r="G3" s="1"/>
      <c r="K3" s="379" t="s">
        <v>43</v>
      </c>
      <c r="L3" s="379"/>
      <c r="M3" s="379"/>
      <c r="N3" s="378"/>
      <c r="O3" s="378"/>
      <c r="P3" s="37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8" t="s">
        <v>505</v>
      </c>
      <c r="B4" s="378"/>
      <c r="C4" s="378"/>
      <c r="F4" s="85"/>
      <c r="G4" s="1"/>
      <c r="K4" s="379" t="s">
        <v>44</v>
      </c>
      <c r="L4" s="379"/>
      <c r="M4" s="379"/>
      <c r="N4" s="382">
        <f ca="1">TODAY()+1</f>
        <v>46227</v>
      </c>
      <c r="O4" s="382"/>
      <c r="P4" s="38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3" t="s">
        <v>492</v>
      </c>
      <c r="B5" s="383"/>
      <c r="C5" s="383"/>
      <c r="F5" s="85"/>
      <c r="G5" s="1"/>
      <c r="K5" s="379" t="s">
        <v>45</v>
      </c>
      <c r="L5" s="379"/>
      <c r="M5" s="379"/>
      <c r="N5" s="382">
        <f ca="1">N4-1</f>
        <v>46226</v>
      </c>
      <c r="O5" s="378"/>
      <c r="P5" s="378"/>
      <c r="R5" s="85"/>
      <c r="S5" s="266"/>
    </row>
    <row r="6" spans="1:22 16383:16384" ht="15" customHeight="1" x14ac:dyDescent="0.4">
      <c r="A6" s="384" t="s">
        <v>496</v>
      </c>
      <c r="B6" s="384"/>
      <c r="C6" s="384"/>
      <c r="F6" s="85"/>
      <c r="G6" s="86"/>
      <c r="K6" s="379" t="s">
        <v>69</v>
      </c>
      <c r="L6" s="379"/>
      <c r="M6" s="379"/>
      <c r="N6" s="381" t="s">
        <v>62</v>
      </c>
      <c r="O6" s="381"/>
      <c r="P6" s="38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9" t="s">
        <v>73</v>
      </c>
      <c r="B7" s="379"/>
      <c r="C7" s="379"/>
      <c r="F7" s="85"/>
      <c r="G7" s="86"/>
      <c r="K7" s="379" t="s">
        <v>66</v>
      </c>
      <c r="L7" s="379"/>
      <c r="M7" s="379"/>
      <c r="N7" s="381" t="s">
        <v>511</v>
      </c>
      <c r="O7" s="381"/>
      <c r="P7" s="38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5" t="s">
        <v>95</v>
      </c>
      <c r="B8" s="385"/>
      <c r="C8" s="385"/>
      <c r="F8" s="85"/>
      <c r="G8" s="86"/>
      <c r="K8" s="379" t="s">
        <v>67</v>
      </c>
      <c r="L8" s="379"/>
      <c r="M8" s="379"/>
      <c r="N8" s="381" t="s">
        <v>511</v>
      </c>
      <c r="O8" s="381"/>
      <c r="P8" s="381"/>
      <c r="R8" s="85"/>
      <c r="S8" s="267"/>
    </row>
    <row r="9" spans="1:22 16383:16384" x14ac:dyDescent="0.35">
      <c r="A9" s="385" t="s">
        <v>96</v>
      </c>
      <c r="B9" s="385"/>
      <c r="C9" s="385"/>
      <c r="F9" s="85"/>
      <c r="G9" s="86"/>
      <c r="K9" s="379" t="s">
        <v>68</v>
      </c>
      <c r="L9" s="379"/>
      <c r="M9" s="379"/>
      <c r="N9" s="381" t="s">
        <v>104</v>
      </c>
      <c r="O9" s="381"/>
      <c r="P9" s="381"/>
      <c r="R9" s="85"/>
      <c r="S9" s="267"/>
      <c r="XFD9" t="s">
        <v>49</v>
      </c>
    </row>
    <row r="10" spans="1:22 16383:16384" x14ac:dyDescent="0.35">
      <c r="A10" s="385" t="s">
        <v>97</v>
      </c>
      <c r="B10" s="385"/>
      <c r="C10" s="385"/>
      <c r="F10" s="85"/>
      <c r="G10" s="1"/>
      <c r="K10" s="379" t="s">
        <v>46</v>
      </c>
      <c r="L10" s="379"/>
      <c r="M10" s="379"/>
      <c r="N10" s="378" t="s">
        <v>47</v>
      </c>
      <c r="O10" s="378"/>
      <c r="P10" s="37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9" t="s">
        <v>48</v>
      </c>
      <c r="L11" s="379"/>
      <c r="M11" s="379"/>
      <c r="N11" s="381" t="s">
        <v>49</v>
      </c>
      <c r="O11" s="381"/>
      <c r="P11" s="38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9" t="s">
        <v>50</v>
      </c>
      <c r="L12" s="379"/>
      <c r="M12" s="379"/>
      <c r="N12" s="378"/>
      <c r="O12" s="378"/>
      <c r="P12" s="37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0" t="s">
        <v>51</v>
      </c>
      <c r="B14" s="331"/>
      <c r="C14" s="334" t="s">
        <v>90</v>
      </c>
      <c r="D14" s="115" t="s">
        <v>52</v>
      </c>
      <c r="E14" s="336" t="s">
        <v>58</v>
      </c>
      <c r="F14" s="337"/>
      <c r="G14" s="338" t="s">
        <v>54</v>
      </c>
      <c r="H14" s="339"/>
      <c r="I14" s="340" t="s">
        <v>77</v>
      </c>
      <c r="J14" s="376" t="s">
        <v>55</v>
      </c>
      <c r="K14" s="338"/>
      <c r="L14" s="339"/>
      <c r="M14" s="331" t="s">
        <v>84</v>
      </c>
      <c r="N14" s="37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2"/>
      <c r="B15" s="333"/>
      <c r="C15" s="33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1"/>
      <c r="J15" s="143" t="s">
        <v>59</v>
      </c>
      <c r="K15" s="144" t="s">
        <v>39</v>
      </c>
      <c r="L15" s="145" t="s">
        <v>493</v>
      </c>
      <c r="M15" s="333"/>
      <c r="N15" s="341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0">
        <f>COUNT(A16:A24)</f>
        <v>0</v>
      </c>
      <c r="B25" s="342"/>
      <c r="C25" s="342" t="s">
        <v>40</v>
      </c>
      <c r="D25" s="342"/>
      <c r="E25" s="342"/>
      <c r="F25" s="34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4" t="s">
        <v>64</v>
      </c>
      <c r="C28" s="345"/>
      <c r="D28" s="345"/>
      <c r="E28" s="345"/>
      <c r="F28" s="345"/>
      <c r="G28" s="345"/>
      <c r="H28" s="345"/>
      <c r="I28" s="345"/>
      <c r="J28" s="345"/>
      <c r="K28" s="345"/>
      <c r="L28" s="346"/>
      <c r="N28" s="353" t="s">
        <v>60</v>
      </c>
      <c r="O28" s="354"/>
      <c r="P28" s="139">
        <f>I25</f>
        <v>0</v>
      </c>
    </row>
    <row r="29" spans="1:22 16384:16384" ht="15" customHeight="1" x14ac:dyDescent="0.35">
      <c r="B29" s="347"/>
      <c r="C29" s="348"/>
      <c r="D29" s="348"/>
      <c r="E29" s="348"/>
      <c r="F29" s="348"/>
      <c r="G29" s="348"/>
      <c r="H29" s="348"/>
      <c r="I29" s="348"/>
      <c r="J29" s="348"/>
      <c r="K29" s="348"/>
      <c r="L29" s="349"/>
      <c r="N29" s="355" t="s">
        <v>85</v>
      </c>
      <c r="O29" s="356"/>
      <c r="P29" s="140">
        <f>+J25</f>
        <v>0</v>
      </c>
    </row>
    <row r="30" spans="1:22 16384:16384" ht="15" customHeight="1" x14ac:dyDescent="0.35">
      <c r="B30" s="347"/>
      <c r="C30" s="348"/>
      <c r="D30" s="348"/>
      <c r="E30" s="348"/>
      <c r="F30" s="348"/>
      <c r="G30" s="348"/>
      <c r="H30" s="348"/>
      <c r="I30" s="348"/>
      <c r="J30" s="348"/>
      <c r="K30" s="348"/>
      <c r="L30" s="349"/>
      <c r="N30" s="355" t="s">
        <v>86</v>
      </c>
      <c r="O30" s="356"/>
      <c r="P30" s="140">
        <f>+K25+L25</f>
        <v>0</v>
      </c>
    </row>
    <row r="31" spans="1:22 16384:16384" ht="15" customHeight="1" x14ac:dyDescent="0.35">
      <c r="B31" s="347"/>
      <c r="C31" s="348"/>
      <c r="D31" s="348"/>
      <c r="E31" s="348"/>
      <c r="F31" s="348"/>
      <c r="G31" s="348"/>
      <c r="H31" s="348"/>
      <c r="I31" s="348"/>
      <c r="J31" s="348"/>
      <c r="K31" s="348"/>
      <c r="L31" s="349"/>
      <c r="M31" s="131"/>
      <c r="N31" s="355" t="s">
        <v>87</v>
      </c>
      <c r="O31" s="356"/>
      <c r="P31" s="140">
        <f>P28-P29-P30</f>
        <v>0</v>
      </c>
    </row>
    <row r="32" spans="1:22 16384:16384" ht="15" customHeight="1" x14ac:dyDescent="0.35">
      <c r="B32" s="347"/>
      <c r="C32" s="348"/>
      <c r="D32" s="348"/>
      <c r="E32" s="348"/>
      <c r="F32" s="348"/>
      <c r="G32" s="348"/>
      <c r="H32" s="348"/>
      <c r="I32" s="348"/>
      <c r="J32" s="348"/>
      <c r="K32" s="348"/>
      <c r="L32" s="34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47"/>
      <c r="C33" s="348"/>
      <c r="D33" s="348"/>
      <c r="E33" s="348"/>
      <c r="F33" s="348"/>
      <c r="G33" s="348"/>
      <c r="H33" s="348"/>
      <c r="I33" s="348"/>
      <c r="J33" s="348"/>
      <c r="K33" s="348"/>
      <c r="L33" s="349"/>
      <c r="M33" s="131"/>
      <c r="N33" s="357" t="s">
        <v>76</v>
      </c>
      <c r="O33" s="358"/>
      <c r="P33" s="140">
        <f>P31+P32</f>
        <v>0</v>
      </c>
    </row>
    <row r="34" spans="2:16" ht="15" customHeight="1" thickBot="1" x14ac:dyDescent="0.4">
      <c r="B34" s="350"/>
      <c r="C34" s="351"/>
      <c r="D34" s="351"/>
      <c r="E34" s="351"/>
      <c r="F34" s="351"/>
      <c r="G34" s="351"/>
      <c r="H34" s="351"/>
      <c r="I34" s="351"/>
      <c r="J34" s="351"/>
      <c r="K34" s="351"/>
      <c r="L34" s="35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59" t="s">
        <v>88</v>
      </c>
      <c r="O35" s="360"/>
      <c r="P35" s="297">
        <f>+P33+P34</f>
        <v>0</v>
      </c>
    </row>
    <row r="36" spans="2:16" ht="15" thickBot="1" x14ac:dyDescent="0.4">
      <c r="B36" s="121" t="s">
        <v>63</v>
      </c>
      <c r="C36" s="361"/>
      <c r="D36" s="361"/>
      <c r="E36" s="361"/>
      <c r="F36" s="361"/>
      <c r="G36" s="361"/>
      <c r="H36" s="361"/>
      <c r="I36" s="362"/>
      <c r="J36" s="363"/>
      <c r="K36" s="364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7" t="s">
        <v>91</v>
      </c>
      <c r="B2" s="377"/>
      <c r="C2" s="377"/>
    </row>
    <row r="3" spans="1:22 16383:16384" ht="15" customHeight="1" x14ac:dyDescent="0.35">
      <c r="A3" s="378" t="s">
        <v>92</v>
      </c>
      <c r="B3" s="378"/>
      <c r="C3" s="378"/>
      <c r="F3" s="85"/>
      <c r="G3" s="1"/>
      <c r="K3" s="379" t="s">
        <v>43</v>
      </c>
      <c r="L3" s="379"/>
      <c r="M3" s="379"/>
      <c r="N3" s="378"/>
      <c r="O3" s="378"/>
      <c r="P3" s="37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8" t="s">
        <v>505</v>
      </c>
      <c r="B4" s="378"/>
      <c r="C4" s="378"/>
      <c r="F4" s="85"/>
      <c r="G4" s="1"/>
      <c r="K4" s="379" t="s">
        <v>44</v>
      </c>
      <c r="L4" s="379"/>
      <c r="M4" s="379"/>
      <c r="N4" s="382">
        <f ca="1">TODAY()+1</f>
        <v>46227</v>
      </c>
      <c r="O4" s="382"/>
      <c r="P4" s="38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3" t="s">
        <v>492</v>
      </c>
      <c r="B5" s="383"/>
      <c r="C5" s="383"/>
      <c r="F5" s="85"/>
      <c r="G5" s="1"/>
      <c r="K5" s="379" t="s">
        <v>45</v>
      </c>
      <c r="L5" s="379"/>
      <c r="M5" s="379"/>
      <c r="N5" s="382">
        <f ca="1">N4-1</f>
        <v>46226</v>
      </c>
      <c r="O5" s="378"/>
      <c r="P5" s="378"/>
      <c r="R5" s="85"/>
      <c r="S5" s="266"/>
    </row>
    <row r="6" spans="1:22 16383:16384" ht="15" customHeight="1" x14ac:dyDescent="0.4">
      <c r="A6" s="384" t="s">
        <v>496</v>
      </c>
      <c r="B6" s="384"/>
      <c r="C6" s="384"/>
      <c r="F6" s="85"/>
      <c r="G6" s="86"/>
      <c r="K6" s="379" t="s">
        <v>69</v>
      </c>
      <c r="L6" s="379"/>
      <c r="M6" s="379"/>
      <c r="N6" s="381" t="s">
        <v>62</v>
      </c>
      <c r="O6" s="381"/>
      <c r="P6" s="38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9" t="s">
        <v>73</v>
      </c>
      <c r="B7" s="379"/>
      <c r="C7" s="379"/>
      <c r="F7" s="85"/>
      <c r="G7" s="86"/>
      <c r="K7" s="379" t="s">
        <v>66</v>
      </c>
      <c r="L7" s="379"/>
      <c r="M7" s="379"/>
      <c r="N7" s="381" t="s">
        <v>511</v>
      </c>
      <c r="O7" s="381"/>
      <c r="P7" s="38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5" t="s">
        <v>95</v>
      </c>
      <c r="B8" s="385"/>
      <c r="C8" s="385"/>
      <c r="F8" s="85"/>
      <c r="G8" s="86"/>
      <c r="K8" s="379" t="s">
        <v>67</v>
      </c>
      <c r="L8" s="379"/>
      <c r="M8" s="379"/>
      <c r="N8" s="381" t="s">
        <v>511</v>
      </c>
      <c r="O8" s="381"/>
      <c r="P8" s="381"/>
      <c r="R8" s="85"/>
      <c r="S8" s="267"/>
    </row>
    <row r="9" spans="1:22 16383:16384" x14ac:dyDescent="0.35">
      <c r="A9" s="385" t="s">
        <v>96</v>
      </c>
      <c r="B9" s="385"/>
      <c r="C9" s="385"/>
      <c r="F9" s="85"/>
      <c r="G9" s="86"/>
      <c r="K9" s="379" t="s">
        <v>68</v>
      </c>
      <c r="L9" s="379"/>
      <c r="M9" s="379"/>
      <c r="N9" s="381" t="s">
        <v>104</v>
      </c>
      <c r="O9" s="381"/>
      <c r="P9" s="381"/>
      <c r="R9" s="85"/>
      <c r="S9" s="267"/>
      <c r="XFD9" t="s">
        <v>49</v>
      </c>
    </row>
    <row r="10" spans="1:22 16383:16384" x14ac:dyDescent="0.35">
      <c r="A10" s="385" t="s">
        <v>97</v>
      </c>
      <c r="B10" s="385"/>
      <c r="C10" s="385"/>
      <c r="F10" s="85"/>
      <c r="G10" s="1"/>
      <c r="K10" s="379" t="s">
        <v>46</v>
      </c>
      <c r="L10" s="379"/>
      <c r="M10" s="379"/>
      <c r="N10" s="378" t="s">
        <v>47</v>
      </c>
      <c r="O10" s="378"/>
      <c r="P10" s="37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9" t="s">
        <v>48</v>
      </c>
      <c r="L11" s="379"/>
      <c r="M11" s="379"/>
      <c r="N11" s="381" t="s">
        <v>49</v>
      </c>
      <c r="O11" s="381"/>
      <c r="P11" s="38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9" t="s">
        <v>50</v>
      </c>
      <c r="L12" s="379"/>
      <c r="M12" s="379"/>
      <c r="N12" s="378"/>
      <c r="O12" s="378"/>
      <c r="P12" s="37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0" t="s">
        <v>51</v>
      </c>
      <c r="B14" s="331"/>
      <c r="C14" s="334" t="s">
        <v>90</v>
      </c>
      <c r="D14" s="115" t="s">
        <v>52</v>
      </c>
      <c r="E14" s="336" t="s">
        <v>58</v>
      </c>
      <c r="F14" s="337"/>
      <c r="G14" s="338" t="s">
        <v>54</v>
      </c>
      <c r="H14" s="339"/>
      <c r="I14" s="340" t="s">
        <v>77</v>
      </c>
      <c r="J14" s="376" t="s">
        <v>55</v>
      </c>
      <c r="K14" s="338"/>
      <c r="L14" s="339"/>
      <c r="M14" s="331" t="s">
        <v>84</v>
      </c>
      <c r="N14" s="37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2"/>
      <c r="B15" s="333"/>
      <c r="C15" s="33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1"/>
      <c r="J15" s="143" t="s">
        <v>59</v>
      </c>
      <c r="K15" s="144" t="s">
        <v>39</v>
      </c>
      <c r="L15" s="145" t="s">
        <v>493</v>
      </c>
      <c r="M15" s="333"/>
      <c r="N15" s="341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0">
        <f>COUNT(A16:A24)</f>
        <v>0</v>
      </c>
      <c r="B25" s="342"/>
      <c r="C25" s="342" t="s">
        <v>40</v>
      </c>
      <c r="D25" s="342"/>
      <c r="E25" s="342"/>
      <c r="F25" s="34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4" t="s">
        <v>64</v>
      </c>
      <c r="C28" s="345"/>
      <c r="D28" s="345"/>
      <c r="E28" s="345"/>
      <c r="F28" s="345"/>
      <c r="G28" s="345"/>
      <c r="H28" s="345"/>
      <c r="I28" s="345"/>
      <c r="J28" s="345"/>
      <c r="K28" s="345"/>
      <c r="L28" s="346"/>
      <c r="N28" s="353" t="s">
        <v>60</v>
      </c>
      <c r="O28" s="354"/>
      <c r="P28" s="139">
        <f>I25</f>
        <v>0</v>
      </c>
    </row>
    <row r="29" spans="1:22 16384:16384" ht="15" customHeight="1" x14ac:dyDescent="0.35">
      <c r="B29" s="347"/>
      <c r="C29" s="348"/>
      <c r="D29" s="348"/>
      <c r="E29" s="348"/>
      <c r="F29" s="348"/>
      <c r="G29" s="348"/>
      <c r="H29" s="348"/>
      <c r="I29" s="348"/>
      <c r="J29" s="348"/>
      <c r="K29" s="348"/>
      <c r="L29" s="349"/>
      <c r="N29" s="355" t="s">
        <v>85</v>
      </c>
      <c r="O29" s="356"/>
      <c r="P29" s="140">
        <f>+J25</f>
        <v>0</v>
      </c>
    </row>
    <row r="30" spans="1:22 16384:16384" ht="15" customHeight="1" x14ac:dyDescent="0.35">
      <c r="B30" s="347"/>
      <c r="C30" s="348"/>
      <c r="D30" s="348"/>
      <c r="E30" s="348"/>
      <c r="F30" s="348"/>
      <c r="G30" s="348"/>
      <c r="H30" s="348"/>
      <c r="I30" s="348"/>
      <c r="J30" s="348"/>
      <c r="K30" s="348"/>
      <c r="L30" s="349"/>
      <c r="N30" s="355" t="s">
        <v>86</v>
      </c>
      <c r="O30" s="356"/>
      <c r="P30" s="140">
        <f>+K25+L25</f>
        <v>0</v>
      </c>
    </row>
    <row r="31" spans="1:22 16384:16384" ht="15" customHeight="1" x14ac:dyDescent="0.35">
      <c r="B31" s="347"/>
      <c r="C31" s="348"/>
      <c r="D31" s="348"/>
      <c r="E31" s="348"/>
      <c r="F31" s="348"/>
      <c r="G31" s="348"/>
      <c r="H31" s="348"/>
      <c r="I31" s="348"/>
      <c r="J31" s="348"/>
      <c r="K31" s="348"/>
      <c r="L31" s="349"/>
      <c r="M31" s="131"/>
      <c r="N31" s="355" t="s">
        <v>87</v>
      </c>
      <c r="O31" s="356"/>
      <c r="P31" s="140">
        <f>P28-P29-P30</f>
        <v>0</v>
      </c>
    </row>
    <row r="32" spans="1:22 16384:16384" ht="15" customHeight="1" x14ac:dyDescent="0.35">
      <c r="B32" s="347"/>
      <c r="C32" s="348"/>
      <c r="D32" s="348"/>
      <c r="E32" s="348"/>
      <c r="F32" s="348"/>
      <c r="G32" s="348"/>
      <c r="H32" s="348"/>
      <c r="I32" s="348"/>
      <c r="J32" s="348"/>
      <c r="K32" s="348"/>
      <c r="L32" s="34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47"/>
      <c r="C33" s="348"/>
      <c r="D33" s="348"/>
      <c r="E33" s="348"/>
      <c r="F33" s="348"/>
      <c r="G33" s="348"/>
      <c r="H33" s="348"/>
      <c r="I33" s="348"/>
      <c r="J33" s="348"/>
      <c r="K33" s="348"/>
      <c r="L33" s="349"/>
      <c r="M33" s="131"/>
      <c r="N33" s="357" t="s">
        <v>76</v>
      </c>
      <c r="O33" s="358"/>
      <c r="P33" s="140">
        <f>P31+P32</f>
        <v>0</v>
      </c>
    </row>
    <row r="34" spans="2:16" ht="15" customHeight="1" thickBot="1" x14ac:dyDescent="0.4">
      <c r="B34" s="350"/>
      <c r="C34" s="351"/>
      <c r="D34" s="351"/>
      <c r="E34" s="351"/>
      <c r="F34" s="351"/>
      <c r="G34" s="351"/>
      <c r="H34" s="351"/>
      <c r="I34" s="351"/>
      <c r="J34" s="351"/>
      <c r="K34" s="351"/>
      <c r="L34" s="35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59" t="s">
        <v>88</v>
      </c>
      <c r="O35" s="360"/>
      <c r="P35" s="297">
        <f>+P33+P34</f>
        <v>0</v>
      </c>
    </row>
    <row r="36" spans="2:16" ht="15" thickBot="1" x14ac:dyDescent="0.4">
      <c r="B36" s="121" t="s">
        <v>63</v>
      </c>
      <c r="C36" s="361"/>
      <c r="D36" s="361"/>
      <c r="E36" s="361"/>
      <c r="F36" s="361"/>
      <c r="G36" s="361"/>
      <c r="H36" s="361"/>
      <c r="I36" s="362"/>
      <c r="J36" s="363"/>
      <c r="K36" s="364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7" t="s">
        <v>91</v>
      </c>
      <c r="B2" s="377"/>
      <c r="C2" s="377"/>
    </row>
    <row r="3" spans="1:22 16383:16384" ht="15" customHeight="1" x14ac:dyDescent="0.35">
      <c r="A3" s="378" t="s">
        <v>92</v>
      </c>
      <c r="B3" s="378"/>
      <c r="C3" s="378"/>
      <c r="F3" s="85"/>
      <c r="G3" s="1"/>
      <c r="K3" s="379" t="s">
        <v>43</v>
      </c>
      <c r="L3" s="379"/>
      <c r="M3" s="379"/>
      <c r="N3" s="378"/>
      <c r="O3" s="378"/>
      <c r="P3" s="37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8" t="s">
        <v>505</v>
      </c>
      <c r="B4" s="378"/>
      <c r="C4" s="378"/>
      <c r="F4" s="85"/>
      <c r="G4" s="1"/>
      <c r="K4" s="379" t="s">
        <v>44</v>
      </c>
      <c r="L4" s="379"/>
      <c r="M4" s="379"/>
      <c r="N4" s="382">
        <f ca="1">TODAY()+1</f>
        <v>46227</v>
      </c>
      <c r="O4" s="382"/>
      <c r="P4" s="38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3" t="s">
        <v>492</v>
      </c>
      <c r="B5" s="383"/>
      <c r="C5" s="383"/>
      <c r="F5" s="85"/>
      <c r="G5" s="1"/>
      <c r="K5" s="379" t="s">
        <v>45</v>
      </c>
      <c r="L5" s="379"/>
      <c r="M5" s="379"/>
      <c r="N5" s="382">
        <f ca="1">N4-1</f>
        <v>46226</v>
      </c>
      <c r="O5" s="378"/>
      <c r="P5" s="378"/>
      <c r="R5" s="85"/>
      <c r="S5" s="266"/>
    </row>
    <row r="6" spans="1:22 16383:16384" ht="15" customHeight="1" x14ac:dyDescent="0.4">
      <c r="A6" s="384" t="s">
        <v>496</v>
      </c>
      <c r="B6" s="384"/>
      <c r="C6" s="384"/>
      <c r="F6" s="85"/>
      <c r="G6" s="86"/>
      <c r="K6" s="379" t="s">
        <v>69</v>
      </c>
      <c r="L6" s="379"/>
      <c r="M6" s="379"/>
      <c r="N6" s="381" t="s">
        <v>62</v>
      </c>
      <c r="O6" s="381"/>
      <c r="P6" s="38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9" t="s">
        <v>73</v>
      </c>
      <c r="B7" s="379"/>
      <c r="C7" s="379"/>
      <c r="F7" s="85"/>
      <c r="G7" s="86"/>
      <c r="K7" s="379" t="s">
        <v>66</v>
      </c>
      <c r="L7" s="379"/>
      <c r="M7" s="379"/>
      <c r="N7" s="381" t="s">
        <v>511</v>
      </c>
      <c r="O7" s="381"/>
      <c r="P7" s="38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5" t="s">
        <v>95</v>
      </c>
      <c r="B8" s="385"/>
      <c r="C8" s="385"/>
      <c r="F8" s="85"/>
      <c r="G8" s="86"/>
      <c r="K8" s="379" t="s">
        <v>67</v>
      </c>
      <c r="L8" s="379"/>
      <c r="M8" s="379"/>
      <c r="N8" s="381" t="s">
        <v>511</v>
      </c>
      <c r="O8" s="381"/>
      <c r="P8" s="381"/>
      <c r="R8" s="85"/>
      <c r="S8" s="267"/>
    </row>
    <row r="9" spans="1:22 16383:16384" x14ac:dyDescent="0.35">
      <c r="A9" s="385" t="s">
        <v>96</v>
      </c>
      <c r="B9" s="385"/>
      <c r="C9" s="385"/>
      <c r="F9" s="85"/>
      <c r="G9" s="86"/>
      <c r="K9" s="379" t="s">
        <v>68</v>
      </c>
      <c r="L9" s="379"/>
      <c r="M9" s="379"/>
      <c r="N9" s="381" t="s">
        <v>104</v>
      </c>
      <c r="O9" s="381"/>
      <c r="P9" s="381"/>
      <c r="R9" s="85"/>
      <c r="S9" s="267"/>
      <c r="XFD9" t="s">
        <v>49</v>
      </c>
    </row>
    <row r="10" spans="1:22 16383:16384" x14ac:dyDescent="0.35">
      <c r="A10" s="385" t="s">
        <v>97</v>
      </c>
      <c r="B10" s="385"/>
      <c r="C10" s="385"/>
      <c r="F10" s="85"/>
      <c r="G10" s="1"/>
      <c r="K10" s="379" t="s">
        <v>46</v>
      </c>
      <c r="L10" s="379"/>
      <c r="M10" s="379"/>
      <c r="N10" s="378" t="s">
        <v>47</v>
      </c>
      <c r="O10" s="378"/>
      <c r="P10" s="37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9" t="s">
        <v>48</v>
      </c>
      <c r="L11" s="379"/>
      <c r="M11" s="379"/>
      <c r="N11" s="381" t="s">
        <v>49</v>
      </c>
      <c r="O11" s="381"/>
      <c r="P11" s="38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9" t="s">
        <v>50</v>
      </c>
      <c r="L12" s="379"/>
      <c r="M12" s="379"/>
      <c r="N12" s="378"/>
      <c r="O12" s="378"/>
      <c r="P12" s="37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0" t="s">
        <v>51</v>
      </c>
      <c r="B14" s="331"/>
      <c r="C14" s="334" t="s">
        <v>90</v>
      </c>
      <c r="D14" s="115" t="s">
        <v>52</v>
      </c>
      <c r="E14" s="336" t="s">
        <v>58</v>
      </c>
      <c r="F14" s="337"/>
      <c r="G14" s="338" t="s">
        <v>54</v>
      </c>
      <c r="H14" s="339"/>
      <c r="I14" s="340" t="s">
        <v>77</v>
      </c>
      <c r="J14" s="376" t="s">
        <v>55</v>
      </c>
      <c r="K14" s="338"/>
      <c r="L14" s="339"/>
      <c r="M14" s="331" t="s">
        <v>84</v>
      </c>
      <c r="N14" s="37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2"/>
      <c r="B15" s="333"/>
      <c r="C15" s="33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1"/>
      <c r="J15" s="143" t="s">
        <v>59</v>
      </c>
      <c r="K15" s="144" t="s">
        <v>39</v>
      </c>
      <c r="L15" s="145" t="s">
        <v>493</v>
      </c>
      <c r="M15" s="333"/>
      <c r="N15" s="341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0">
        <f>COUNT(A16:A24)</f>
        <v>0</v>
      </c>
      <c r="B25" s="342"/>
      <c r="C25" s="342" t="s">
        <v>40</v>
      </c>
      <c r="D25" s="342"/>
      <c r="E25" s="342"/>
      <c r="F25" s="34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4" t="s">
        <v>64</v>
      </c>
      <c r="C28" s="345"/>
      <c r="D28" s="345"/>
      <c r="E28" s="345"/>
      <c r="F28" s="345"/>
      <c r="G28" s="345"/>
      <c r="H28" s="345"/>
      <c r="I28" s="345"/>
      <c r="J28" s="345"/>
      <c r="K28" s="345"/>
      <c r="L28" s="346"/>
      <c r="N28" s="353" t="s">
        <v>60</v>
      </c>
      <c r="O28" s="354"/>
      <c r="P28" s="139">
        <f>I25</f>
        <v>0</v>
      </c>
    </row>
    <row r="29" spans="1:22 16384:16384" ht="15" customHeight="1" x14ac:dyDescent="0.35">
      <c r="B29" s="347"/>
      <c r="C29" s="348"/>
      <c r="D29" s="348"/>
      <c r="E29" s="348"/>
      <c r="F29" s="348"/>
      <c r="G29" s="348"/>
      <c r="H29" s="348"/>
      <c r="I29" s="348"/>
      <c r="J29" s="348"/>
      <c r="K29" s="348"/>
      <c r="L29" s="349"/>
      <c r="N29" s="355" t="s">
        <v>85</v>
      </c>
      <c r="O29" s="356"/>
      <c r="P29" s="140">
        <f>+J25</f>
        <v>0</v>
      </c>
    </row>
    <row r="30" spans="1:22 16384:16384" ht="15" customHeight="1" x14ac:dyDescent="0.35">
      <c r="B30" s="347"/>
      <c r="C30" s="348"/>
      <c r="D30" s="348"/>
      <c r="E30" s="348"/>
      <c r="F30" s="348"/>
      <c r="G30" s="348"/>
      <c r="H30" s="348"/>
      <c r="I30" s="348"/>
      <c r="J30" s="348"/>
      <c r="K30" s="348"/>
      <c r="L30" s="349"/>
      <c r="N30" s="355" t="s">
        <v>86</v>
      </c>
      <c r="O30" s="356"/>
      <c r="P30" s="140">
        <f>+K25+L25</f>
        <v>0</v>
      </c>
    </row>
    <row r="31" spans="1:22 16384:16384" ht="15" customHeight="1" x14ac:dyDescent="0.35">
      <c r="B31" s="347"/>
      <c r="C31" s="348"/>
      <c r="D31" s="348"/>
      <c r="E31" s="348"/>
      <c r="F31" s="348"/>
      <c r="G31" s="348"/>
      <c r="H31" s="348"/>
      <c r="I31" s="348"/>
      <c r="J31" s="348"/>
      <c r="K31" s="348"/>
      <c r="L31" s="349"/>
      <c r="M31" s="131"/>
      <c r="N31" s="355" t="s">
        <v>87</v>
      </c>
      <c r="O31" s="356"/>
      <c r="P31" s="140">
        <f>P28-P29-P30</f>
        <v>0</v>
      </c>
    </row>
    <row r="32" spans="1:22 16384:16384" ht="15" customHeight="1" x14ac:dyDescent="0.35">
      <c r="B32" s="347"/>
      <c r="C32" s="348"/>
      <c r="D32" s="348"/>
      <c r="E32" s="348"/>
      <c r="F32" s="348"/>
      <c r="G32" s="348"/>
      <c r="H32" s="348"/>
      <c r="I32" s="348"/>
      <c r="J32" s="348"/>
      <c r="K32" s="348"/>
      <c r="L32" s="34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47"/>
      <c r="C33" s="348"/>
      <c r="D33" s="348"/>
      <c r="E33" s="348"/>
      <c r="F33" s="348"/>
      <c r="G33" s="348"/>
      <c r="H33" s="348"/>
      <c r="I33" s="348"/>
      <c r="J33" s="348"/>
      <c r="K33" s="348"/>
      <c r="L33" s="349"/>
      <c r="M33" s="131"/>
      <c r="N33" s="357" t="s">
        <v>76</v>
      </c>
      <c r="O33" s="358"/>
      <c r="P33" s="140">
        <f>P31+P32</f>
        <v>0</v>
      </c>
    </row>
    <row r="34" spans="2:16" ht="15" customHeight="1" thickBot="1" x14ac:dyDescent="0.4">
      <c r="B34" s="350"/>
      <c r="C34" s="351"/>
      <c r="D34" s="351"/>
      <c r="E34" s="351"/>
      <c r="F34" s="351"/>
      <c r="G34" s="351"/>
      <c r="H34" s="351"/>
      <c r="I34" s="351"/>
      <c r="J34" s="351"/>
      <c r="K34" s="351"/>
      <c r="L34" s="35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59" t="s">
        <v>88</v>
      </c>
      <c r="O35" s="360"/>
      <c r="P35" s="297">
        <f>+P33+P34</f>
        <v>0</v>
      </c>
    </row>
    <row r="36" spans="2:16" ht="15" thickBot="1" x14ac:dyDescent="0.4">
      <c r="B36" s="121" t="s">
        <v>63</v>
      </c>
      <c r="C36" s="361"/>
      <c r="D36" s="361"/>
      <c r="E36" s="361"/>
      <c r="F36" s="361"/>
      <c r="G36" s="361"/>
      <c r="H36" s="361"/>
      <c r="I36" s="362"/>
      <c r="J36" s="363"/>
      <c r="K36" s="364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7" t="s">
        <v>91</v>
      </c>
      <c r="B2" s="377"/>
      <c r="C2" s="377"/>
    </row>
    <row r="3" spans="1:22 16383:16384" ht="15" customHeight="1" x14ac:dyDescent="0.35">
      <c r="A3" s="378" t="s">
        <v>92</v>
      </c>
      <c r="B3" s="378"/>
      <c r="C3" s="378"/>
      <c r="F3" s="85"/>
      <c r="G3" s="1"/>
      <c r="K3" s="379" t="s">
        <v>43</v>
      </c>
      <c r="L3" s="379"/>
      <c r="M3" s="379"/>
      <c r="N3" s="378"/>
      <c r="O3" s="378"/>
      <c r="P3" s="37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8" t="s">
        <v>505</v>
      </c>
      <c r="B4" s="378"/>
      <c r="C4" s="378"/>
      <c r="F4" s="85"/>
      <c r="G4" s="1"/>
      <c r="K4" s="379" t="s">
        <v>44</v>
      </c>
      <c r="L4" s="379"/>
      <c r="M4" s="379"/>
      <c r="N4" s="382">
        <f ca="1">TODAY()+1</f>
        <v>46227</v>
      </c>
      <c r="O4" s="382"/>
      <c r="P4" s="38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3" t="s">
        <v>492</v>
      </c>
      <c r="B5" s="383"/>
      <c r="C5" s="383"/>
      <c r="F5" s="85"/>
      <c r="G5" s="1"/>
      <c r="K5" s="379" t="s">
        <v>45</v>
      </c>
      <c r="L5" s="379"/>
      <c r="M5" s="379"/>
      <c r="N5" s="382">
        <f ca="1">N4-1</f>
        <v>46226</v>
      </c>
      <c r="O5" s="378"/>
      <c r="P5" s="378"/>
      <c r="R5" s="85"/>
      <c r="S5" s="266"/>
    </row>
    <row r="6" spans="1:22 16383:16384" ht="15" customHeight="1" x14ac:dyDescent="0.4">
      <c r="A6" s="384" t="s">
        <v>496</v>
      </c>
      <c r="B6" s="384"/>
      <c r="C6" s="384"/>
      <c r="F6" s="85"/>
      <c r="G6" s="86"/>
      <c r="K6" s="379" t="s">
        <v>69</v>
      </c>
      <c r="L6" s="379"/>
      <c r="M6" s="379"/>
      <c r="N6" s="381" t="s">
        <v>62</v>
      </c>
      <c r="O6" s="381"/>
      <c r="P6" s="38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9" t="s">
        <v>73</v>
      </c>
      <c r="B7" s="379"/>
      <c r="C7" s="379"/>
      <c r="F7" s="85"/>
      <c r="G7" s="86"/>
      <c r="K7" s="379" t="s">
        <v>66</v>
      </c>
      <c r="L7" s="379"/>
      <c r="M7" s="379"/>
      <c r="N7" s="381" t="s">
        <v>511</v>
      </c>
      <c r="O7" s="381"/>
      <c r="P7" s="38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5" t="s">
        <v>95</v>
      </c>
      <c r="B8" s="385"/>
      <c r="C8" s="385"/>
      <c r="F8" s="85"/>
      <c r="G8" s="86"/>
      <c r="K8" s="379" t="s">
        <v>67</v>
      </c>
      <c r="L8" s="379"/>
      <c r="M8" s="379"/>
      <c r="N8" s="381" t="s">
        <v>511</v>
      </c>
      <c r="O8" s="381"/>
      <c r="P8" s="381"/>
      <c r="R8" s="85"/>
      <c r="S8" s="267"/>
    </row>
    <row r="9" spans="1:22 16383:16384" x14ac:dyDescent="0.35">
      <c r="A9" s="385" t="s">
        <v>96</v>
      </c>
      <c r="B9" s="385"/>
      <c r="C9" s="385"/>
      <c r="F9" s="85"/>
      <c r="G9" s="86"/>
      <c r="K9" s="379" t="s">
        <v>68</v>
      </c>
      <c r="L9" s="379"/>
      <c r="M9" s="379"/>
      <c r="N9" s="381" t="s">
        <v>104</v>
      </c>
      <c r="O9" s="381"/>
      <c r="P9" s="381"/>
      <c r="R9" s="85"/>
      <c r="S9" s="267"/>
      <c r="XFD9" t="s">
        <v>49</v>
      </c>
    </row>
    <row r="10" spans="1:22 16383:16384" x14ac:dyDescent="0.35">
      <c r="A10" s="385" t="s">
        <v>97</v>
      </c>
      <c r="B10" s="385"/>
      <c r="C10" s="385"/>
      <c r="F10" s="85"/>
      <c r="G10" s="1"/>
      <c r="K10" s="379" t="s">
        <v>46</v>
      </c>
      <c r="L10" s="379"/>
      <c r="M10" s="379"/>
      <c r="N10" s="378" t="s">
        <v>47</v>
      </c>
      <c r="O10" s="378"/>
      <c r="P10" s="37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9" t="s">
        <v>48</v>
      </c>
      <c r="L11" s="379"/>
      <c r="M11" s="379"/>
      <c r="N11" s="381" t="s">
        <v>49</v>
      </c>
      <c r="O11" s="381"/>
      <c r="P11" s="38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9" t="s">
        <v>50</v>
      </c>
      <c r="L12" s="379"/>
      <c r="M12" s="379"/>
      <c r="N12" s="378"/>
      <c r="O12" s="378"/>
      <c r="P12" s="37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0" t="s">
        <v>51</v>
      </c>
      <c r="B14" s="331"/>
      <c r="C14" s="334" t="s">
        <v>90</v>
      </c>
      <c r="D14" s="115" t="s">
        <v>52</v>
      </c>
      <c r="E14" s="336" t="s">
        <v>58</v>
      </c>
      <c r="F14" s="337"/>
      <c r="G14" s="338" t="s">
        <v>54</v>
      </c>
      <c r="H14" s="339"/>
      <c r="I14" s="340" t="s">
        <v>77</v>
      </c>
      <c r="J14" s="376" t="s">
        <v>55</v>
      </c>
      <c r="K14" s="338"/>
      <c r="L14" s="339"/>
      <c r="M14" s="331" t="s">
        <v>84</v>
      </c>
      <c r="N14" s="37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2"/>
      <c r="B15" s="333"/>
      <c r="C15" s="33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1"/>
      <c r="J15" s="143" t="s">
        <v>59</v>
      </c>
      <c r="K15" s="144" t="s">
        <v>39</v>
      </c>
      <c r="L15" s="145" t="s">
        <v>493</v>
      </c>
      <c r="M15" s="333"/>
      <c r="N15" s="341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0">
        <f>COUNT(A16:A24)</f>
        <v>0</v>
      </c>
      <c r="B25" s="342"/>
      <c r="C25" s="342" t="s">
        <v>40</v>
      </c>
      <c r="D25" s="342"/>
      <c r="E25" s="342"/>
      <c r="F25" s="34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4" t="s">
        <v>64</v>
      </c>
      <c r="C28" s="345"/>
      <c r="D28" s="345"/>
      <c r="E28" s="345"/>
      <c r="F28" s="345"/>
      <c r="G28" s="345"/>
      <c r="H28" s="345"/>
      <c r="I28" s="345"/>
      <c r="J28" s="345"/>
      <c r="K28" s="345"/>
      <c r="L28" s="346"/>
      <c r="N28" s="353" t="s">
        <v>60</v>
      </c>
      <c r="O28" s="354"/>
      <c r="P28" s="139">
        <f>I25</f>
        <v>0</v>
      </c>
    </row>
    <row r="29" spans="1:22 16384:16384" ht="15" customHeight="1" x14ac:dyDescent="0.35">
      <c r="B29" s="347"/>
      <c r="C29" s="348"/>
      <c r="D29" s="348"/>
      <c r="E29" s="348"/>
      <c r="F29" s="348"/>
      <c r="G29" s="348"/>
      <c r="H29" s="348"/>
      <c r="I29" s="348"/>
      <c r="J29" s="348"/>
      <c r="K29" s="348"/>
      <c r="L29" s="349"/>
      <c r="N29" s="355" t="s">
        <v>85</v>
      </c>
      <c r="O29" s="356"/>
      <c r="P29" s="140">
        <f>+J25</f>
        <v>0</v>
      </c>
    </row>
    <row r="30" spans="1:22 16384:16384" ht="15" customHeight="1" x14ac:dyDescent="0.35">
      <c r="B30" s="347"/>
      <c r="C30" s="348"/>
      <c r="D30" s="348"/>
      <c r="E30" s="348"/>
      <c r="F30" s="348"/>
      <c r="G30" s="348"/>
      <c r="H30" s="348"/>
      <c r="I30" s="348"/>
      <c r="J30" s="348"/>
      <c r="K30" s="348"/>
      <c r="L30" s="349"/>
      <c r="N30" s="355" t="s">
        <v>86</v>
      </c>
      <c r="O30" s="356"/>
      <c r="P30" s="140">
        <f>+K25+L25</f>
        <v>0</v>
      </c>
    </row>
    <row r="31" spans="1:22 16384:16384" ht="15" customHeight="1" x14ac:dyDescent="0.35">
      <c r="B31" s="347"/>
      <c r="C31" s="348"/>
      <c r="D31" s="348"/>
      <c r="E31" s="348"/>
      <c r="F31" s="348"/>
      <c r="G31" s="348"/>
      <c r="H31" s="348"/>
      <c r="I31" s="348"/>
      <c r="J31" s="348"/>
      <c r="K31" s="348"/>
      <c r="L31" s="349"/>
      <c r="M31" s="131"/>
      <c r="N31" s="355" t="s">
        <v>87</v>
      </c>
      <c r="O31" s="356"/>
      <c r="P31" s="140">
        <f>P28-P29-P30</f>
        <v>0</v>
      </c>
    </row>
    <row r="32" spans="1:22 16384:16384" ht="15" customHeight="1" x14ac:dyDescent="0.35">
      <c r="B32" s="347"/>
      <c r="C32" s="348"/>
      <c r="D32" s="348"/>
      <c r="E32" s="348"/>
      <c r="F32" s="348"/>
      <c r="G32" s="348"/>
      <c r="H32" s="348"/>
      <c r="I32" s="348"/>
      <c r="J32" s="348"/>
      <c r="K32" s="348"/>
      <c r="L32" s="34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47"/>
      <c r="C33" s="348"/>
      <c r="D33" s="348"/>
      <c r="E33" s="348"/>
      <c r="F33" s="348"/>
      <c r="G33" s="348"/>
      <c r="H33" s="348"/>
      <c r="I33" s="348"/>
      <c r="J33" s="348"/>
      <c r="K33" s="348"/>
      <c r="L33" s="349"/>
      <c r="M33" s="131"/>
      <c r="N33" s="357" t="s">
        <v>76</v>
      </c>
      <c r="O33" s="358"/>
      <c r="P33" s="140">
        <f>P31+P32</f>
        <v>0</v>
      </c>
    </row>
    <row r="34" spans="2:16" ht="15" customHeight="1" thickBot="1" x14ac:dyDescent="0.4">
      <c r="B34" s="350"/>
      <c r="C34" s="351"/>
      <c r="D34" s="351"/>
      <c r="E34" s="351"/>
      <c r="F34" s="351"/>
      <c r="G34" s="351"/>
      <c r="H34" s="351"/>
      <c r="I34" s="351"/>
      <c r="J34" s="351"/>
      <c r="K34" s="351"/>
      <c r="L34" s="35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59" t="s">
        <v>88</v>
      </c>
      <c r="O35" s="360"/>
      <c r="P35" s="297">
        <f>+P33+P34</f>
        <v>0</v>
      </c>
    </row>
    <row r="36" spans="2:16" ht="15" thickBot="1" x14ac:dyDescent="0.4">
      <c r="B36" s="121" t="s">
        <v>63</v>
      </c>
      <c r="C36" s="361"/>
      <c r="D36" s="361"/>
      <c r="E36" s="361"/>
      <c r="F36" s="361"/>
      <c r="G36" s="361"/>
      <c r="H36" s="361"/>
      <c r="I36" s="362"/>
      <c r="J36" s="363"/>
      <c r="K36" s="364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7" t="s">
        <v>91</v>
      </c>
      <c r="B2" s="377"/>
      <c r="C2" s="377"/>
    </row>
    <row r="3" spans="1:22 16383:16384" ht="15" customHeight="1" x14ac:dyDescent="0.35">
      <c r="A3" s="378" t="s">
        <v>92</v>
      </c>
      <c r="B3" s="378"/>
      <c r="C3" s="378"/>
      <c r="F3" s="85"/>
      <c r="G3" s="1"/>
      <c r="K3" s="379" t="s">
        <v>43</v>
      </c>
      <c r="L3" s="379"/>
      <c r="M3" s="379"/>
      <c r="N3" s="378"/>
      <c r="O3" s="378"/>
      <c r="P3" s="37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8" t="s">
        <v>505</v>
      </c>
      <c r="B4" s="378"/>
      <c r="C4" s="378"/>
      <c r="F4" s="85"/>
      <c r="G4" s="1"/>
      <c r="K4" s="379" t="s">
        <v>44</v>
      </c>
      <c r="L4" s="379"/>
      <c r="M4" s="379"/>
      <c r="N4" s="382">
        <f ca="1">TODAY()+1</f>
        <v>46227</v>
      </c>
      <c r="O4" s="382"/>
      <c r="P4" s="38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3" t="s">
        <v>492</v>
      </c>
      <c r="B5" s="383"/>
      <c r="C5" s="383"/>
      <c r="F5" s="85"/>
      <c r="G5" s="1"/>
      <c r="K5" s="379" t="s">
        <v>45</v>
      </c>
      <c r="L5" s="379"/>
      <c r="M5" s="379"/>
      <c r="N5" s="382">
        <f ca="1">N4-1</f>
        <v>46226</v>
      </c>
      <c r="O5" s="378"/>
      <c r="P5" s="378"/>
      <c r="R5" s="85"/>
      <c r="S5" s="266"/>
    </row>
    <row r="6" spans="1:22 16383:16384" ht="15" customHeight="1" x14ac:dyDescent="0.4">
      <c r="A6" s="384" t="s">
        <v>496</v>
      </c>
      <c r="B6" s="384"/>
      <c r="C6" s="384"/>
      <c r="F6" s="85"/>
      <c r="G6" s="86"/>
      <c r="K6" s="379" t="s">
        <v>69</v>
      </c>
      <c r="L6" s="379"/>
      <c r="M6" s="379"/>
      <c r="N6" s="381" t="s">
        <v>62</v>
      </c>
      <c r="O6" s="381"/>
      <c r="P6" s="38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9" t="s">
        <v>73</v>
      </c>
      <c r="B7" s="379"/>
      <c r="C7" s="379"/>
      <c r="F7" s="85"/>
      <c r="G7" s="86"/>
      <c r="K7" s="379" t="s">
        <v>66</v>
      </c>
      <c r="L7" s="379"/>
      <c r="M7" s="379"/>
      <c r="N7" s="381" t="s">
        <v>511</v>
      </c>
      <c r="O7" s="381"/>
      <c r="P7" s="38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5" t="s">
        <v>95</v>
      </c>
      <c r="B8" s="385"/>
      <c r="C8" s="385"/>
      <c r="F8" s="85"/>
      <c r="G8" s="86"/>
      <c r="K8" s="379" t="s">
        <v>67</v>
      </c>
      <c r="L8" s="379"/>
      <c r="M8" s="379"/>
      <c r="N8" s="381" t="s">
        <v>511</v>
      </c>
      <c r="O8" s="381"/>
      <c r="P8" s="381"/>
      <c r="R8" s="85"/>
      <c r="S8" s="267"/>
    </row>
    <row r="9" spans="1:22 16383:16384" x14ac:dyDescent="0.35">
      <c r="A9" s="385" t="s">
        <v>96</v>
      </c>
      <c r="B9" s="385"/>
      <c r="C9" s="385"/>
      <c r="F9" s="85"/>
      <c r="G9" s="86"/>
      <c r="K9" s="379" t="s">
        <v>68</v>
      </c>
      <c r="L9" s="379"/>
      <c r="M9" s="379"/>
      <c r="N9" s="381" t="s">
        <v>104</v>
      </c>
      <c r="O9" s="381"/>
      <c r="P9" s="381"/>
      <c r="R9" s="85"/>
      <c r="S9" s="267"/>
      <c r="XFD9" t="s">
        <v>49</v>
      </c>
    </row>
    <row r="10" spans="1:22 16383:16384" x14ac:dyDescent="0.35">
      <c r="A10" s="385" t="s">
        <v>97</v>
      </c>
      <c r="B10" s="385"/>
      <c r="C10" s="385"/>
      <c r="F10" s="85"/>
      <c r="G10" s="1"/>
      <c r="K10" s="379" t="s">
        <v>46</v>
      </c>
      <c r="L10" s="379"/>
      <c r="M10" s="379"/>
      <c r="N10" s="378" t="s">
        <v>47</v>
      </c>
      <c r="O10" s="378"/>
      <c r="P10" s="37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9" t="s">
        <v>48</v>
      </c>
      <c r="L11" s="379"/>
      <c r="M11" s="379"/>
      <c r="N11" s="381" t="s">
        <v>49</v>
      </c>
      <c r="O11" s="381"/>
      <c r="P11" s="38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9" t="s">
        <v>50</v>
      </c>
      <c r="L12" s="379"/>
      <c r="M12" s="379"/>
      <c r="N12" s="378"/>
      <c r="O12" s="378"/>
      <c r="P12" s="37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0" t="s">
        <v>51</v>
      </c>
      <c r="B14" s="331"/>
      <c r="C14" s="334" t="s">
        <v>90</v>
      </c>
      <c r="D14" s="115" t="s">
        <v>52</v>
      </c>
      <c r="E14" s="336" t="s">
        <v>58</v>
      </c>
      <c r="F14" s="337"/>
      <c r="G14" s="338" t="s">
        <v>54</v>
      </c>
      <c r="H14" s="339"/>
      <c r="I14" s="340" t="s">
        <v>77</v>
      </c>
      <c r="J14" s="376" t="s">
        <v>55</v>
      </c>
      <c r="K14" s="338"/>
      <c r="L14" s="339"/>
      <c r="M14" s="331" t="s">
        <v>84</v>
      </c>
      <c r="N14" s="37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2"/>
      <c r="B15" s="333"/>
      <c r="C15" s="33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1"/>
      <c r="J15" s="143" t="s">
        <v>59</v>
      </c>
      <c r="K15" s="144" t="s">
        <v>39</v>
      </c>
      <c r="L15" s="145" t="s">
        <v>493</v>
      </c>
      <c r="M15" s="333"/>
      <c r="N15" s="341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0">
        <f>COUNT(A16:A24)</f>
        <v>0</v>
      </c>
      <c r="B25" s="342"/>
      <c r="C25" s="342" t="s">
        <v>40</v>
      </c>
      <c r="D25" s="342"/>
      <c r="E25" s="342"/>
      <c r="F25" s="34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4" t="s">
        <v>64</v>
      </c>
      <c r="C28" s="345"/>
      <c r="D28" s="345"/>
      <c r="E28" s="345"/>
      <c r="F28" s="345"/>
      <c r="G28" s="345"/>
      <c r="H28" s="345"/>
      <c r="I28" s="345"/>
      <c r="J28" s="345"/>
      <c r="K28" s="345"/>
      <c r="L28" s="346"/>
      <c r="N28" s="353" t="s">
        <v>60</v>
      </c>
      <c r="O28" s="354"/>
      <c r="P28" s="139">
        <f>I25</f>
        <v>0</v>
      </c>
    </row>
    <row r="29" spans="1:22 16384:16384" ht="15" customHeight="1" x14ac:dyDescent="0.35">
      <c r="B29" s="347"/>
      <c r="C29" s="348"/>
      <c r="D29" s="348"/>
      <c r="E29" s="348"/>
      <c r="F29" s="348"/>
      <c r="G29" s="348"/>
      <c r="H29" s="348"/>
      <c r="I29" s="348"/>
      <c r="J29" s="348"/>
      <c r="K29" s="348"/>
      <c r="L29" s="349"/>
      <c r="N29" s="355" t="s">
        <v>85</v>
      </c>
      <c r="O29" s="356"/>
      <c r="P29" s="140">
        <f>+J25</f>
        <v>0</v>
      </c>
    </row>
    <row r="30" spans="1:22 16384:16384" ht="15" customHeight="1" x14ac:dyDescent="0.35">
      <c r="B30" s="347"/>
      <c r="C30" s="348"/>
      <c r="D30" s="348"/>
      <c r="E30" s="348"/>
      <c r="F30" s="348"/>
      <c r="G30" s="348"/>
      <c r="H30" s="348"/>
      <c r="I30" s="348"/>
      <c r="J30" s="348"/>
      <c r="K30" s="348"/>
      <c r="L30" s="349"/>
      <c r="N30" s="355" t="s">
        <v>86</v>
      </c>
      <c r="O30" s="356"/>
      <c r="P30" s="140">
        <f>+K25+L25</f>
        <v>0</v>
      </c>
    </row>
    <row r="31" spans="1:22 16384:16384" ht="15" customHeight="1" x14ac:dyDescent="0.35">
      <c r="B31" s="347"/>
      <c r="C31" s="348"/>
      <c r="D31" s="348"/>
      <c r="E31" s="348"/>
      <c r="F31" s="348"/>
      <c r="G31" s="348"/>
      <c r="H31" s="348"/>
      <c r="I31" s="348"/>
      <c r="J31" s="348"/>
      <c r="K31" s="348"/>
      <c r="L31" s="349"/>
      <c r="M31" s="131"/>
      <c r="N31" s="355" t="s">
        <v>87</v>
      </c>
      <c r="O31" s="356"/>
      <c r="P31" s="140">
        <f>P28-P29-P30</f>
        <v>0</v>
      </c>
    </row>
    <row r="32" spans="1:22 16384:16384" ht="15" customHeight="1" x14ac:dyDescent="0.35">
      <c r="B32" s="347"/>
      <c r="C32" s="348"/>
      <c r="D32" s="348"/>
      <c r="E32" s="348"/>
      <c r="F32" s="348"/>
      <c r="G32" s="348"/>
      <c r="H32" s="348"/>
      <c r="I32" s="348"/>
      <c r="J32" s="348"/>
      <c r="K32" s="348"/>
      <c r="L32" s="34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47"/>
      <c r="C33" s="348"/>
      <c r="D33" s="348"/>
      <c r="E33" s="348"/>
      <c r="F33" s="348"/>
      <c r="G33" s="348"/>
      <c r="H33" s="348"/>
      <c r="I33" s="348"/>
      <c r="J33" s="348"/>
      <c r="K33" s="348"/>
      <c r="L33" s="349"/>
      <c r="M33" s="131"/>
      <c r="N33" s="357" t="s">
        <v>76</v>
      </c>
      <c r="O33" s="358"/>
      <c r="P33" s="140">
        <f>P31+P32</f>
        <v>0</v>
      </c>
    </row>
    <row r="34" spans="2:16" ht="15" customHeight="1" thickBot="1" x14ac:dyDescent="0.4">
      <c r="B34" s="350"/>
      <c r="C34" s="351"/>
      <c r="D34" s="351"/>
      <c r="E34" s="351"/>
      <c r="F34" s="351"/>
      <c r="G34" s="351"/>
      <c r="H34" s="351"/>
      <c r="I34" s="351"/>
      <c r="J34" s="351"/>
      <c r="K34" s="351"/>
      <c r="L34" s="35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59" t="s">
        <v>88</v>
      </c>
      <c r="O35" s="360"/>
      <c r="P35" s="297">
        <f>+P33+P34</f>
        <v>0</v>
      </c>
    </row>
    <row r="36" spans="2:16" ht="15" thickBot="1" x14ac:dyDescent="0.4">
      <c r="B36" s="121" t="s">
        <v>63</v>
      </c>
      <c r="C36" s="361"/>
      <c r="D36" s="361"/>
      <c r="E36" s="361"/>
      <c r="F36" s="361"/>
      <c r="G36" s="361"/>
      <c r="H36" s="361"/>
      <c r="I36" s="362"/>
      <c r="J36" s="363"/>
      <c r="K36" s="364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7" t="s">
        <v>91</v>
      </c>
      <c r="B2" s="377"/>
      <c r="C2" s="377"/>
    </row>
    <row r="3" spans="1:22 16383:16384" ht="15" customHeight="1" x14ac:dyDescent="0.35">
      <c r="A3" s="378" t="s">
        <v>92</v>
      </c>
      <c r="B3" s="378"/>
      <c r="C3" s="378"/>
      <c r="F3" s="85"/>
      <c r="G3" s="1"/>
      <c r="K3" s="379" t="s">
        <v>43</v>
      </c>
      <c r="L3" s="379"/>
      <c r="M3" s="379"/>
      <c r="N3" s="378"/>
      <c r="O3" s="378"/>
      <c r="P3" s="37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8" t="s">
        <v>505</v>
      </c>
      <c r="B4" s="378"/>
      <c r="C4" s="378"/>
      <c r="F4" s="85"/>
      <c r="G4" s="1"/>
      <c r="K4" s="379" t="s">
        <v>44</v>
      </c>
      <c r="L4" s="379"/>
      <c r="M4" s="379"/>
      <c r="N4" s="382">
        <f ca="1">TODAY()+1</f>
        <v>46227</v>
      </c>
      <c r="O4" s="382"/>
      <c r="P4" s="38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3" t="s">
        <v>492</v>
      </c>
      <c r="B5" s="383"/>
      <c r="C5" s="383"/>
      <c r="F5" s="85"/>
      <c r="G5" s="1"/>
      <c r="K5" s="379" t="s">
        <v>45</v>
      </c>
      <c r="L5" s="379"/>
      <c r="M5" s="379"/>
      <c r="N5" s="382">
        <f ca="1">N4-1</f>
        <v>46226</v>
      </c>
      <c r="O5" s="378"/>
      <c r="P5" s="378"/>
      <c r="R5" s="85"/>
      <c r="S5" s="266"/>
    </row>
    <row r="6" spans="1:22 16383:16384" ht="15" customHeight="1" x14ac:dyDescent="0.4">
      <c r="A6" s="384" t="s">
        <v>502</v>
      </c>
      <c r="B6" s="384"/>
      <c r="C6" s="384"/>
      <c r="F6" s="85"/>
      <c r="G6" s="86"/>
      <c r="K6" s="379" t="s">
        <v>69</v>
      </c>
      <c r="L6" s="379"/>
      <c r="M6" s="379"/>
      <c r="N6" s="381" t="s">
        <v>62</v>
      </c>
      <c r="O6" s="381"/>
      <c r="P6" s="38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9" t="s">
        <v>73</v>
      </c>
      <c r="B7" s="379"/>
      <c r="C7" s="379"/>
      <c r="F7" s="85"/>
      <c r="G7" s="86"/>
      <c r="K7" s="379" t="s">
        <v>66</v>
      </c>
      <c r="L7" s="379"/>
      <c r="M7" s="379"/>
      <c r="N7" s="381" t="s">
        <v>511</v>
      </c>
      <c r="O7" s="381"/>
      <c r="P7" s="38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5" t="s">
        <v>95</v>
      </c>
      <c r="B8" s="385"/>
      <c r="C8" s="385"/>
      <c r="F8" s="85"/>
      <c r="G8" s="86"/>
      <c r="K8" s="379" t="s">
        <v>67</v>
      </c>
      <c r="L8" s="379"/>
      <c r="M8" s="379"/>
      <c r="N8" s="381" t="s">
        <v>511</v>
      </c>
      <c r="O8" s="381"/>
      <c r="P8" s="381"/>
      <c r="R8" s="85"/>
      <c r="S8" s="267"/>
    </row>
    <row r="9" spans="1:22 16383:16384" x14ac:dyDescent="0.35">
      <c r="A9" s="385" t="s">
        <v>96</v>
      </c>
      <c r="B9" s="385"/>
      <c r="C9" s="385"/>
      <c r="F9" s="85"/>
      <c r="G9" s="86"/>
      <c r="K9" s="379" t="s">
        <v>68</v>
      </c>
      <c r="L9" s="379"/>
      <c r="M9" s="379"/>
      <c r="N9" s="381" t="s">
        <v>104</v>
      </c>
      <c r="O9" s="381"/>
      <c r="P9" s="381"/>
      <c r="R9" s="85"/>
      <c r="S9" s="267"/>
      <c r="XFD9" t="s">
        <v>49</v>
      </c>
    </row>
    <row r="10" spans="1:22 16383:16384" x14ac:dyDescent="0.35">
      <c r="A10" s="385" t="s">
        <v>97</v>
      </c>
      <c r="B10" s="385"/>
      <c r="C10" s="385"/>
      <c r="F10" s="85"/>
      <c r="G10" s="1"/>
      <c r="K10" s="379" t="s">
        <v>46</v>
      </c>
      <c r="L10" s="379"/>
      <c r="M10" s="379"/>
      <c r="N10" s="378" t="s">
        <v>47</v>
      </c>
      <c r="O10" s="378"/>
      <c r="P10" s="37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9" t="s">
        <v>48</v>
      </c>
      <c r="L11" s="379"/>
      <c r="M11" s="379"/>
      <c r="N11" s="381" t="s">
        <v>49</v>
      </c>
      <c r="O11" s="381"/>
      <c r="P11" s="38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9" t="s">
        <v>50</v>
      </c>
      <c r="L12" s="379"/>
      <c r="M12" s="379"/>
      <c r="N12" s="378"/>
      <c r="O12" s="378"/>
      <c r="P12" s="37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0" t="s">
        <v>51</v>
      </c>
      <c r="B14" s="331"/>
      <c r="C14" s="334" t="s">
        <v>90</v>
      </c>
      <c r="D14" s="115" t="s">
        <v>52</v>
      </c>
      <c r="E14" s="336" t="s">
        <v>58</v>
      </c>
      <c r="F14" s="337"/>
      <c r="G14" s="338" t="s">
        <v>54</v>
      </c>
      <c r="H14" s="339"/>
      <c r="I14" s="340" t="s">
        <v>77</v>
      </c>
      <c r="J14" s="376" t="s">
        <v>55</v>
      </c>
      <c r="K14" s="338"/>
      <c r="L14" s="339"/>
      <c r="M14" s="331" t="s">
        <v>84</v>
      </c>
      <c r="N14" s="37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2"/>
      <c r="B15" s="333"/>
      <c r="C15" s="33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1"/>
      <c r="J15" s="143" t="s">
        <v>59</v>
      </c>
      <c r="K15" s="144" t="s">
        <v>39</v>
      </c>
      <c r="L15" s="145" t="s">
        <v>493</v>
      </c>
      <c r="M15" s="333"/>
      <c r="N15" s="341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0">
        <f>COUNT(A16:A24)</f>
        <v>0</v>
      </c>
      <c r="B25" s="342"/>
      <c r="C25" s="342" t="s">
        <v>40</v>
      </c>
      <c r="D25" s="342"/>
      <c r="E25" s="342"/>
      <c r="F25" s="34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4" t="s">
        <v>64</v>
      </c>
      <c r="C28" s="345"/>
      <c r="D28" s="345"/>
      <c r="E28" s="345"/>
      <c r="F28" s="345"/>
      <c r="G28" s="345"/>
      <c r="H28" s="345"/>
      <c r="I28" s="345"/>
      <c r="J28" s="345"/>
      <c r="K28" s="345"/>
      <c r="L28" s="346"/>
      <c r="N28" s="353" t="s">
        <v>60</v>
      </c>
      <c r="O28" s="354"/>
      <c r="P28" s="139">
        <f>I25</f>
        <v>0</v>
      </c>
    </row>
    <row r="29" spans="1:22 16384:16384" ht="15" customHeight="1" x14ac:dyDescent="0.35">
      <c r="B29" s="347"/>
      <c r="C29" s="348"/>
      <c r="D29" s="348"/>
      <c r="E29" s="348"/>
      <c r="F29" s="348"/>
      <c r="G29" s="348"/>
      <c r="H29" s="348"/>
      <c r="I29" s="348"/>
      <c r="J29" s="348"/>
      <c r="K29" s="348"/>
      <c r="L29" s="349"/>
      <c r="N29" s="355" t="s">
        <v>85</v>
      </c>
      <c r="O29" s="356"/>
      <c r="P29" s="140">
        <f>+J25</f>
        <v>0</v>
      </c>
    </row>
    <row r="30" spans="1:22 16384:16384" ht="15" customHeight="1" x14ac:dyDescent="0.35">
      <c r="B30" s="347"/>
      <c r="C30" s="348"/>
      <c r="D30" s="348"/>
      <c r="E30" s="348"/>
      <c r="F30" s="348"/>
      <c r="G30" s="348"/>
      <c r="H30" s="348"/>
      <c r="I30" s="348"/>
      <c r="J30" s="348"/>
      <c r="K30" s="348"/>
      <c r="L30" s="349"/>
      <c r="N30" s="355" t="s">
        <v>86</v>
      </c>
      <c r="O30" s="356"/>
      <c r="P30" s="140">
        <f>+K25+L25</f>
        <v>0</v>
      </c>
    </row>
    <row r="31" spans="1:22 16384:16384" ht="15" customHeight="1" x14ac:dyDescent="0.35">
      <c r="B31" s="347"/>
      <c r="C31" s="348"/>
      <c r="D31" s="348"/>
      <c r="E31" s="348"/>
      <c r="F31" s="348"/>
      <c r="G31" s="348"/>
      <c r="H31" s="348"/>
      <c r="I31" s="348"/>
      <c r="J31" s="348"/>
      <c r="K31" s="348"/>
      <c r="L31" s="349"/>
      <c r="M31" s="131"/>
      <c r="N31" s="355" t="s">
        <v>87</v>
      </c>
      <c r="O31" s="356"/>
      <c r="P31" s="140">
        <f>P28-P29-P30</f>
        <v>0</v>
      </c>
    </row>
    <row r="32" spans="1:22 16384:16384" ht="15" customHeight="1" x14ac:dyDescent="0.35">
      <c r="B32" s="347"/>
      <c r="C32" s="348"/>
      <c r="D32" s="348"/>
      <c r="E32" s="348"/>
      <c r="F32" s="348"/>
      <c r="G32" s="348"/>
      <c r="H32" s="348"/>
      <c r="I32" s="348"/>
      <c r="J32" s="348"/>
      <c r="K32" s="348"/>
      <c r="L32" s="34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47"/>
      <c r="C33" s="348"/>
      <c r="D33" s="348"/>
      <c r="E33" s="348"/>
      <c r="F33" s="348"/>
      <c r="G33" s="348"/>
      <c r="H33" s="348"/>
      <c r="I33" s="348"/>
      <c r="J33" s="348"/>
      <c r="K33" s="348"/>
      <c r="L33" s="349"/>
      <c r="M33" s="131"/>
      <c r="N33" s="357" t="s">
        <v>76</v>
      </c>
      <c r="O33" s="358"/>
      <c r="P33" s="140">
        <f>P31+P32</f>
        <v>0</v>
      </c>
    </row>
    <row r="34" spans="2:16" ht="15" customHeight="1" thickBot="1" x14ac:dyDescent="0.4">
      <c r="B34" s="350"/>
      <c r="C34" s="351"/>
      <c r="D34" s="351"/>
      <c r="E34" s="351"/>
      <c r="F34" s="351"/>
      <c r="G34" s="351"/>
      <c r="H34" s="351"/>
      <c r="I34" s="351"/>
      <c r="J34" s="351"/>
      <c r="K34" s="351"/>
      <c r="L34" s="35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59" t="s">
        <v>88</v>
      </c>
      <c r="O35" s="360"/>
      <c r="P35" s="297">
        <f>+P33+P34</f>
        <v>0</v>
      </c>
    </row>
    <row r="36" spans="2:16" ht="15" thickBot="1" x14ac:dyDescent="0.4">
      <c r="B36" s="121" t="s">
        <v>63</v>
      </c>
      <c r="C36" s="361"/>
      <c r="D36" s="361"/>
      <c r="E36" s="361"/>
      <c r="F36" s="361"/>
      <c r="G36" s="361"/>
      <c r="H36" s="361"/>
      <c r="I36" s="362"/>
      <c r="J36" s="363"/>
      <c r="K36" s="364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7" t="s">
        <v>91</v>
      </c>
      <c r="B2" s="377"/>
      <c r="C2" s="377"/>
    </row>
    <row r="3" spans="1:22 16383:16384" ht="15" customHeight="1" x14ac:dyDescent="0.35">
      <c r="A3" s="378" t="s">
        <v>92</v>
      </c>
      <c r="B3" s="378"/>
      <c r="C3" s="378"/>
      <c r="F3" s="85"/>
      <c r="G3" s="1"/>
      <c r="K3" s="379" t="s">
        <v>43</v>
      </c>
      <c r="L3" s="379"/>
      <c r="M3" s="379"/>
      <c r="N3" s="378"/>
      <c r="O3" s="378"/>
      <c r="P3" s="37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8" t="s">
        <v>505</v>
      </c>
      <c r="B4" s="378"/>
      <c r="C4" s="378"/>
      <c r="F4" s="85"/>
      <c r="G4" s="1"/>
      <c r="K4" s="379" t="s">
        <v>44</v>
      </c>
      <c r="L4" s="379"/>
      <c r="M4" s="379"/>
      <c r="N4" s="382">
        <f ca="1">TODAY()+1</f>
        <v>46227</v>
      </c>
      <c r="O4" s="382"/>
      <c r="P4" s="38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3" t="s">
        <v>492</v>
      </c>
      <c r="B5" s="383"/>
      <c r="C5" s="383"/>
      <c r="F5" s="85"/>
      <c r="G5" s="1"/>
      <c r="K5" s="379" t="s">
        <v>45</v>
      </c>
      <c r="L5" s="379"/>
      <c r="M5" s="379"/>
      <c r="N5" s="382">
        <f ca="1">N4-1</f>
        <v>46226</v>
      </c>
      <c r="O5" s="378"/>
      <c r="P5" s="378"/>
      <c r="R5" s="85"/>
      <c r="S5" s="266"/>
    </row>
    <row r="6" spans="1:22 16383:16384" ht="15" customHeight="1" x14ac:dyDescent="0.4">
      <c r="A6" s="384" t="s">
        <v>496</v>
      </c>
      <c r="B6" s="384"/>
      <c r="C6" s="384"/>
      <c r="F6" s="85"/>
      <c r="G6" s="86"/>
      <c r="K6" s="379" t="s">
        <v>69</v>
      </c>
      <c r="L6" s="379"/>
      <c r="M6" s="379"/>
      <c r="N6" s="381" t="s">
        <v>62</v>
      </c>
      <c r="O6" s="381"/>
      <c r="P6" s="38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9" t="s">
        <v>73</v>
      </c>
      <c r="B7" s="379"/>
      <c r="C7" s="379"/>
      <c r="F7" s="85"/>
      <c r="G7" s="86"/>
      <c r="K7" s="379" t="s">
        <v>66</v>
      </c>
      <c r="L7" s="379"/>
      <c r="M7" s="379"/>
      <c r="N7" s="381" t="s">
        <v>511</v>
      </c>
      <c r="O7" s="381"/>
      <c r="P7" s="38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5" t="s">
        <v>95</v>
      </c>
      <c r="B8" s="385"/>
      <c r="C8" s="385"/>
      <c r="F8" s="85"/>
      <c r="G8" s="86"/>
      <c r="K8" s="379" t="s">
        <v>67</v>
      </c>
      <c r="L8" s="379"/>
      <c r="M8" s="379"/>
      <c r="N8" s="381" t="s">
        <v>511</v>
      </c>
      <c r="O8" s="381"/>
      <c r="P8" s="381"/>
      <c r="R8" s="85"/>
      <c r="S8" s="267"/>
    </row>
    <row r="9" spans="1:22 16383:16384" x14ac:dyDescent="0.35">
      <c r="A9" s="385" t="s">
        <v>96</v>
      </c>
      <c r="B9" s="385"/>
      <c r="C9" s="385"/>
      <c r="F9" s="85"/>
      <c r="G9" s="86"/>
      <c r="K9" s="379" t="s">
        <v>68</v>
      </c>
      <c r="L9" s="379"/>
      <c r="M9" s="379"/>
      <c r="N9" s="381" t="s">
        <v>104</v>
      </c>
      <c r="O9" s="381"/>
      <c r="P9" s="381"/>
      <c r="R9" s="85"/>
      <c r="S9" s="267"/>
      <c r="XFD9" t="s">
        <v>49</v>
      </c>
    </row>
    <row r="10" spans="1:22 16383:16384" x14ac:dyDescent="0.35">
      <c r="A10" s="385" t="s">
        <v>97</v>
      </c>
      <c r="B10" s="385"/>
      <c r="C10" s="385"/>
      <c r="F10" s="85"/>
      <c r="G10" s="1"/>
      <c r="K10" s="379" t="s">
        <v>46</v>
      </c>
      <c r="L10" s="379"/>
      <c r="M10" s="379"/>
      <c r="N10" s="378" t="s">
        <v>47</v>
      </c>
      <c r="O10" s="378"/>
      <c r="P10" s="37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9" t="s">
        <v>48</v>
      </c>
      <c r="L11" s="379"/>
      <c r="M11" s="379"/>
      <c r="N11" s="381" t="s">
        <v>49</v>
      </c>
      <c r="O11" s="381"/>
      <c r="P11" s="38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9" t="s">
        <v>50</v>
      </c>
      <c r="L12" s="379"/>
      <c r="M12" s="379"/>
      <c r="N12" s="378"/>
      <c r="O12" s="378"/>
      <c r="P12" s="37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0" t="s">
        <v>51</v>
      </c>
      <c r="B14" s="331"/>
      <c r="C14" s="334" t="s">
        <v>90</v>
      </c>
      <c r="D14" s="115" t="s">
        <v>52</v>
      </c>
      <c r="E14" s="336" t="s">
        <v>58</v>
      </c>
      <c r="F14" s="337"/>
      <c r="G14" s="338" t="s">
        <v>54</v>
      </c>
      <c r="H14" s="339"/>
      <c r="I14" s="340" t="s">
        <v>77</v>
      </c>
      <c r="J14" s="376" t="s">
        <v>55</v>
      </c>
      <c r="K14" s="338"/>
      <c r="L14" s="339"/>
      <c r="M14" s="331" t="s">
        <v>84</v>
      </c>
      <c r="N14" s="37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2"/>
      <c r="B15" s="333"/>
      <c r="C15" s="33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1"/>
      <c r="J15" s="143" t="s">
        <v>59</v>
      </c>
      <c r="K15" s="144" t="s">
        <v>39</v>
      </c>
      <c r="L15" s="145" t="s">
        <v>493</v>
      </c>
      <c r="M15" s="333"/>
      <c r="N15" s="341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0">
        <f>COUNT(A16:A24)</f>
        <v>0</v>
      </c>
      <c r="B25" s="342"/>
      <c r="C25" s="342" t="s">
        <v>40</v>
      </c>
      <c r="D25" s="342"/>
      <c r="E25" s="342"/>
      <c r="F25" s="34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4" t="s">
        <v>64</v>
      </c>
      <c r="C28" s="345"/>
      <c r="D28" s="345"/>
      <c r="E28" s="345"/>
      <c r="F28" s="345"/>
      <c r="G28" s="345"/>
      <c r="H28" s="345"/>
      <c r="I28" s="345"/>
      <c r="J28" s="345"/>
      <c r="K28" s="345"/>
      <c r="L28" s="346"/>
      <c r="N28" s="353" t="s">
        <v>60</v>
      </c>
      <c r="O28" s="354"/>
      <c r="P28" s="139">
        <f>I25</f>
        <v>0</v>
      </c>
    </row>
    <row r="29" spans="1:22 16384:16384" ht="15" customHeight="1" x14ac:dyDescent="0.35">
      <c r="B29" s="347"/>
      <c r="C29" s="348"/>
      <c r="D29" s="348"/>
      <c r="E29" s="348"/>
      <c r="F29" s="348"/>
      <c r="G29" s="348"/>
      <c r="H29" s="348"/>
      <c r="I29" s="348"/>
      <c r="J29" s="348"/>
      <c r="K29" s="348"/>
      <c r="L29" s="349"/>
      <c r="N29" s="355" t="s">
        <v>85</v>
      </c>
      <c r="O29" s="356"/>
      <c r="P29" s="140">
        <f>+J25</f>
        <v>0</v>
      </c>
    </row>
    <row r="30" spans="1:22 16384:16384" ht="15" customHeight="1" x14ac:dyDescent="0.35">
      <c r="B30" s="347"/>
      <c r="C30" s="348"/>
      <c r="D30" s="348"/>
      <c r="E30" s="348"/>
      <c r="F30" s="348"/>
      <c r="G30" s="348"/>
      <c r="H30" s="348"/>
      <c r="I30" s="348"/>
      <c r="J30" s="348"/>
      <c r="K30" s="348"/>
      <c r="L30" s="349"/>
      <c r="N30" s="355" t="s">
        <v>86</v>
      </c>
      <c r="O30" s="356"/>
      <c r="P30" s="140">
        <f>+K25+L25</f>
        <v>0</v>
      </c>
    </row>
    <row r="31" spans="1:22 16384:16384" ht="15" customHeight="1" x14ac:dyDescent="0.35">
      <c r="B31" s="347"/>
      <c r="C31" s="348"/>
      <c r="D31" s="348"/>
      <c r="E31" s="348"/>
      <c r="F31" s="348"/>
      <c r="G31" s="348"/>
      <c r="H31" s="348"/>
      <c r="I31" s="348"/>
      <c r="J31" s="348"/>
      <c r="K31" s="348"/>
      <c r="L31" s="349"/>
      <c r="M31" s="131"/>
      <c r="N31" s="355" t="s">
        <v>87</v>
      </c>
      <c r="O31" s="356"/>
      <c r="P31" s="140">
        <f>P28-P29-P30</f>
        <v>0</v>
      </c>
    </row>
    <row r="32" spans="1:22 16384:16384" ht="15" customHeight="1" x14ac:dyDescent="0.35">
      <c r="B32" s="347"/>
      <c r="C32" s="348"/>
      <c r="D32" s="348"/>
      <c r="E32" s="348"/>
      <c r="F32" s="348"/>
      <c r="G32" s="348"/>
      <c r="H32" s="348"/>
      <c r="I32" s="348"/>
      <c r="J32" s="348"/>
      <c r="K32" s="348"/>
      <c r="L32" s="34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47"/>
      <c r="C33" s="348"/>
      <c r="D33" s="348"/>
      <c r="E33" s="348"/>
      <c r="F33" s="348"/>
      <c r="G33" s="348"/>
      <c r="H33" s="348"/>
      <c r="I33" s="348"/>
      <c r="J33" s="348"/>
      <c r="K33" s="348"/>
      <c r="L33" s="349"/>
      <c r="M33" s="131"/>
      <c r="N33" s="357" t="s">
        <v>76</v>
      </c>
      <c r="O33" s="358"/>
      <c r="P33" s="140">
        <f>P31+P32</f>
        <v>0</v>
      </c>
    </row>
    <row r="34" spans="2:16" ht="15" customHeight="1" thickBot="1" x14ac:dyDescent="0.4">
      <c r="B34" s="350"/>
      <c r="C34" s="351"/>
      <c r="D34" s="351"/>
      <c r="E34" s="351"/>
      <c r="F34" s="351"/>
      <c r="G34" s="351"/>
      <c r="H34" s="351"/>
      <c r="I34" s="351"/>
      <c r="J34" s="351"/>
      <c r="K34" s="351"/>
      <c r="L34" s="35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59" t="s">
        <v>88</v>
      </c>
      <c r="O35" s="360"/>
      <c r="P35" s="297">
        <f>+P33+P34</f>
        <v>0</v>
      </c>
    </row>
    <row r="36" spans="2:16" ht="15" thickBot="1" x14ac:dyDescent="0.4">
      <c r="B36" s="121" t="s">
        <v>63</v>
      </c>
      <c r="C36" s="361"/>
      <c r="D36" s="361"/>
      <c r="E36" s="361"/>
      <c r="F36" s="361"/>
      <c r="G36" s="361"/>
      <c r="H36" s="361"/>
      <c r="I36" s="362"/>
      <c r="J36" s="363"/>
      <c r="K36" s="364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7" t="s">
        <v>91</v>
      </c>
      <c r="B2" s="377"/>
      <c r="C2" s="377"/>
    </row>
    <row r="3" spans="1:22 16383:16384" ht="15" customHeight="1" x14ac:dyDescent="0.35">
      <c r="A3" s="378" t="s">
        <v>92</v>
      </c>
      <c r="B3" s="378"/>
      <c r="C3" s="378"/>
      <c r="F3" s="85"/>
      <c r="G3" s="1"/>
      <c r="K3" s="379" t="s">
        <v>43</v>
      </c>
      <c r="L3" s="379"/>
      <c r="M3" s="379"/>
      <c r="N3" s="378"/>
      <c r="O3" s="378"/>
      <c r="P3" s="37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8" t="s">
        <v>505</v>
      </c>
      <c r="B4" s="378"/>
      <c r="C4" s="378"/>
      <c r="F4" s="85"/>
      <c r="G4" s="1"/>
      <c r="K4" s="379" t="s">
        <v>44</v>
      </c>
      <c r="L4" s="379"/>
      <c r="M4" s="379"/>
      <c r="N4" s="382">
        <f ca="1">TODAY()+1</f>
        <v>46227</v>
      </c>
      <c r="O4" s="382"/>
      <c r="P4" s="38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3" t="s">
        <v>492</v>
      </c>
      <c r="B5" s="383"/>
      <c r="C5" s="383"/>
      <c r="F5" s="85"/>
      <c r="G5" s="1"/>
      <c r="K5" s="379" t="s">
        <v>45</v>
      </c>
      <c r="L5" s="379"/>
      <c r="M5" s="379"/>
      <c r="N5" s="382">
        <f ca="1">N4-1</f>
        <v>46226</v>
      </c>
      <c r="O5" s="378"/>
      <c r="P5" s="378"/>
      <c r="R5" s="85"/>
      <c r="S5" s="266"/>
    </row>
    <row r="6" spans="1:22 16383:16384" ht="15" customHeight="1" x14ac:dyDescent="0.4">
      <c r="A6" s="384" t="s">
        <v>496</v>
      </c>
      <c r="B6" s="384"/>
      <c r="C6" s="384"/>
      <c r="F6" s="85"/>
      <c r="G6" s="86"/>
      <c r="K6" s="379" t="s">
        <v>69</v>
      </c>
      <c r="L6" s="379"/>
      <c r="M6" s="379"/>
      <c r="N6" s="381" t="s">
        <v>62</v>
      </c>
      <c r="O6" s="381"/>
      <c r="P6" s="38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9" t="s">
        <v>73</v>
      </c>
      <c r="B7" s="379"/>
      <c r="C7" s="379"/>
      <c r="F7" s="85"/>
      <c r="G7" s="86"/>
      <c r="K7" s="379" t="s">
        <v>66</v>
      </c>
      <c r="L7" s="379"/>
      <c r="M7" s="379"/>
      <c r="N7" s="381" t="s">
        <v>511</v>
      </c>
      <c r="O7" s="381"/>
      <c r="P7" s="38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5" t="s">
        <v>95</v>
      </c>
      <c r="B8" s="385"/>
      <c r="C8" s="385"/>
      <c r="F8" s="85"/>
      <c r="G8" s="86"/>
      <c r="K8" s="379" t="s">
        <v>67</v>
      </c>
      <c r="L8" s="379"/>
      <c r="M8" s="379"/>
      <c r="N8" s="381" t="s">
        <v>511</v>
      </c>
      <c r="O8" s="381"/>
      <c r="P8" s="381"/>
      <c r="R8" s="85"/>
      <c r="S8" s="267"/>
    </row>
    <row r="9" spans="1:22 16383:16384" x14ac:dyDescent="0.35">
      <c r="A9" s="385" t="s">
        <v>96</v>
      </c>
      <c r="B9" s="385"/>
      <c r="C9" s="385"/>
      <c r="F9" s="85"/>
      <c r="G9" s="86"/>
      <c r="K9" s="379" t="s">
        <v>68</v>
      </c>
      <c r="L9" s="379"/>
      <c r="M9" s="379"/>
      <c r="N9" s="381" t="s">
        <v>104</v>
      </c>
      <c r="O9" s="381"/>
      <c r="P9" s="381"/>
      <c r="R9" s="85"/>
      <c r="S9" s="267"/>
      <c r="XFD9" t="s">
        <v>49</v>
      </c>
    </row>
    <row r="10" spans="1:22 16383:16384" x14ac:dyDescent="0.35">
      <c r="A10" s="385" t="s">
        <v>97</v>
      </c>
      <c r="B10" s="385"/>
      <c r="C10" s="385"/>
      <c r="F10" s="85"/>
      <c r="G10" s="1"/>
      <c r="K10" s="379" t="s">
        <v>46</v>
      </c>
      <c r="L10" s="379"/>
      <c r="M10" s="379"/>
      <c r="N10" s="378" t="s">
        <v>47</v>
      </c>
      <c r="O10" s="378"/>
      <c r="P10" s="37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9" t="s">
        <v>48</v>
      </c>
      <c r="L11" s="379"/>
      <c r="M11" s="379"/>
      <c r="N11" s="381" t="s">
        <v>49</v>
      </c>
      <c r="O11" s="381"/>
      <c r="P11" s="38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9" t="s">
        <v>50</v>
      </c>
      <c r="L12" s="379"/>
      <c r="M12" s="379"/>
      <c r="N12" s="378"/>
      <c r="O12" s="378"/>
      <c r="P12" s="37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0" t="s">
        <v>51</v>
      </c>
      <c r="B14" s="331"/>
      <c r="C14" s="334" t="s">
        <v>90</v>
      </c>
      <c r="D14" s="115" t="s">
        <v>52</v>
      </c>
      <c r="E14" s="336" t="s">
        <v>58</v>
      </c>
      <c r="F14" s="337"/>
      <c r="G14" s="338" t="s">
        <v>54</v>
      </c>
      <c r="H14" s="339"/>
      <c r="I14" s="340" t="s">
        <v>77</v>
      </c>
      <c r="J14" s="376" t="s">
        <v>55</v>
      </c>
      <c r="K14" s="338"/>
      <c r="L14" s="339"/>
      <c r="M14" s="331" t="s">
        <v>84</v>
      </c>
      <c r="N14" s="37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2"/>
      <c r="B15" s="333"/>
      <c r="C15" s="33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1"/>
      <c r="J15" s="143" t="s">
        <v>59</v>
      </c>
      <c r="K15" s="144" t="s">
        <v>39</v>
      </c>
      <c r="L15" s="145" t="s">
        <v>493</v>
      </c>
      <c r="M15" s="333"/>
      <c r="N15" s="341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0">
        <f>COUNT(A16:A24)</f>
        <v>0</v>
      </c>
      <c r="B25" s="342"/>
      <c r="C25" s="342" t="s">
        <v>40</v>
      </c>
      <c r="D25" s="342"/>
      <c r="E25" s="342"/>
      <c r="F25" s="34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4" t="s">
        <v>64</v>
      </c>
      <c r="C28" s="345"/>
      <c r="D28" s="345"/>
      <c r="E28" s="345"/>
      <c r="F28" s="345"/>
      <c r="G28" s="345"/>
      <c r="H28" s="345"/>
      <c r="I28" s="345"/>
      <c r="J28" s="345"/>
      <c r="K28" s="345"/>
      <c r="L28" s="346"/>
      <c r="N28" s="353" t="s">
        <v>60</v>
      </c>
      <c r="O28" s="354"/>
      <c r="P28" s="139">
        <f>I25</f>
        <v>0</v>
      </c>
    </row>
    <row r="29" spans="1:22 16384:16384" ht="15" customHeight="1" x14ac:dyDescent="0.35">
      <c r="B29" s="347"/>
      <c r="C29" s="348"/>
      <c r="D29" s="348"/>
      <c r="E29" s="348"/>
      <c r="F29" s="348"/>
      <c r="G29" s="348"/>
      <c r="H29" s="348"/>
      <c r="I29" s="348"/>
      <c r="J29" s="348"/>
      <c r="K29" s="348"/>
      <c r="L29" s="349"/>
      <c r="N29" s="355" t="s">
        <v>85</v>
      </c>
      <c r="O29" s="356"/>
      <c r="P29" s="140">
        <f>+J25</f>
        <v>0</v>
      </c>
    </row>
    <row r="30" spans="1:22 16384:16384" ht="15" customHeight="1" x14ac:dyDescent="0.35">
      <c r="B30" s="347"/>
      <c r="C30" s="348"/>
      <c r="D30" s="348"/>
      <c r="E30" s="348"/>
      <c r="F30" s="348"/>
      <c r="G30" s="348"/>
      <c r="H30" s="348"/>
      <c r="I30" s="348"/>
      <c r="J30" s="348"/>
      <c r="K30" s="348"/>
      <c r="L30" s="349"/>
      <c r="N30" s="355" t="s">
        <v>86</v>
      </c>
      <c r="O30" s="356"/>
      <c r="P30" s="140">
        <f>+K25+L25</f>
        <v>0</v>
      </c>
    </row>
    <row r="31" spans="1:22 16384:16384" ht="15" customHeight="1" x14ac:dyDescent="0.35">
      <c r="B31" s="347"/>
      <c r="C31" s="348"/>
      <c r="D31" s="348"/>
      <c r="E31" s="348"/>
      <c r="F31" s="348"/>
      <c r="G31" s="348"/>
      <c r="H31" s="348"/>
      <c r="I31" s="348"/>
      <c r="J31" s="348"/>
      <c r="K31" s="348"/>
      <c r="L31" s="349"/>
      <c r="M31" s="131"/>
      <c r="N31" s="355" t="s">
        <v>87</v>
      </c>
      <c r="O31" s="356"/>
      <c r="P31" s="140">
        <f>P28-P29-P30</f>
        <v>0</v>
      </c>
    </row>
    <row r="32" spans="1:22 16384:16384" ht="15" customHeight="1" x14ac:dyDescent="0.35">
      <c r="B32" s="347"/>
      <c r="C32" s="348"/>
      <c r="D32" s="348"/>
      <c r="E32" s="348"/>
      <c r="F32" s="348"/>
      <c r="G32" s="348"/>
      <c r="H32" s="348"/>
      <c r="I32" s="348"/>
      <c r="J32" s="348"/>
      <c r="K32" s="348"/>
      <c r="L32" s="34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47"/>
      <c r="C33" s="348"/>
      <c r="D33" s="348"/>
      <c r="E33" s="348"/>
      <c r="F33" s="348"/>
      <c r="G33" s="348"/>
      <c r="H33" s="348"/>
      <c r="I33" s="348"/>
      <c r="J33" s="348"/>
      <c r="K33" s="348"/>
      <c r="L33" s="349"/>
      <c r="M33" s="131"/>
      <c r="N33" s="357" t="s">
        <v>76</v>
      </c>
      <c r="O33" s="358"/>
      <c r="P33" s="140">
        <f>P31+P32</f>
        <v>0</v>
      </c>
    </row>
    <row r="34" spans="2:16" ht="15" customHeight="1" thickBot="1" x14ac:dyDescent="0.4">
      <c r="B34" s="350"/>
      <c r="C34" s="351"/>
      <c r="D34" s="351"/>
      <c r="E34" s="351"/>
      <c r="F34" s="351"/>
      <c r="G34" s="351"/>
      <c r="H34" s="351"/>
      <c r="I34" s="351"/>
      <c r="J34" s="351"/>
      <c r="K34" s="351"/>
      <c r="L34" s="35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59" t="s">
        <v>88</v>
      </c>
      <c r="O35" s="360"/>
      <c r="P35" s="297">
        <f>+P33+P34</f>
        <v>0</v>
      </c>
    </row>
    <row r="36" spans="2:16" ht="15" thickBot="1" x14ac:dyDescent="0.4">
      <c r="B36" s="121" t="s">
        <v>63</v>
      </c>
      <c r="C36" s="361"/>
      <c r="D36" s="361"/>
      <c r="E36" s="361"/>
      <c r="F36" s="361"/>
      <c r="G36" s="361"/>
      <c r="H36" s="361"/>
      <c r="I36" s="362"/>
      <c r="J36" s="363"/>
      <c r="K36" s="364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7" t="s">
        <v>91</v>
      </c>
      <c r="B2" s="377"/>
      <c r="C2" s="377"/>
    </row>
    <row r="3" spans="1:22 16383:16384" ht="15" customHeight="1" x14ac:dyDescent="0.35">
      <c r="A3" s="378" t="s">
        <v>92</v>
      </c>
      <c r="B3" s="378"/>
      <c r="C3" s="378"/>
      <c r="F3" s="85"/>
      <c r="G3" s="1"/>
      <c r="K3" s="379" t="s">
        <v>43</v>
      </c>
      <c r="L3" s="379"/>
      <c r="M3" s="379"/>
      <c r="N3" s="378"/>
      <c r="O3" s="378"/>
      <c r="P3" s="37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8" t="s">
        <v>505</v>
      </c>
      <c r="B4" s="378"/>
      <c r="C4" s="378"/>
      <c r="F4" s="85"/>
      <c r="G4" s="1"/>
      <c r="K4" s="379" t="s">
        <v>44</v>
      </c>
      <c r="L4" s="379"/>
      <c r="M4" s="379"/>
      <c r="N4" s="382">
        <f ca="1">TODAY()+1</f>
        <v>46227</v>
      </c>
      <c r="O4" s="382"/>
      <c r="P4" s="38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3" t="s">
        <v>492</v>
      </c>
      <c r="B5" s="383"/>
      <c r="C5" s="383"/>
      <c r="F5" s="85"/>
      <c r="G5" s="1"/>
      <c r="K5" s="379" t="s">
        <v>45</v>
      </c>
      <c r="L5" s="379"/>
      <c r="M5" s="379"/>
      <c r="N5" s="382">
        <f ca="1">N4-1</f>
        <v>46226</v>
      </c>
      <c r="O5" s="378"/>
      <c r="P5" s="378"/>
      <c r="R5" s="85"/>
      <c r="S5" s="266"/>
    </row>
    <row r="6" spans="1:22 16383:16384" ht="15" customHeight="1" x14ac:dyDescent="0.4">
      <c r="A6" s="384" t="s">
        <v>496</v>
      </c>
      <c r="B6" s="384"/>
      <c r="C6" s="384"/>
      <c r="F6" s="85"/>
      <c r="G6" s="86"/>
      <c r="K6" s="379" t="s">
        <v>69</v>
      </c>
      <c r="L6" s="379"/>
      <c r="M6" s="379"/>
      <c r="N6" s="381" t="s">
        <v>62</v>
      </c>
      <c r="O6" s="381"/>
      <c r="P6" s="38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9" t="s">
        <v>73</v>
      </c>
      <c r="B7" s="379"/>
      <c r="C7" s="379"/>
      <c r="F7" s="85"/>
      <c r="G7" s="86"/>
      <c r="K7" s="379" t="s">
        <v>66</v>
      </c>
      <c r="L7" s="379"/>
      <c r="M7" s="379"/>
      <c r="N7" s="381" t="s">
        <v>511</v>
      </c>
      <c r="O7" s="381"/>
      <c r="P7" s="38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5" t="s">
        <v>95</v>
      </c>
      <c r="B8" s="385"/>
      <c r="C8" s="385"/>
      <c r="F8" s="85"/>
      <c r="G8" s="86"/>
      <c r="K8" s="379" t="s">
        <v>67</v>
      </c>
      <c r="L8" s="379"/>
      <c r="M8" s="379"/>
      <c r="N8" s="381" t="s">
        <v>511</v>
      </c>
      <c r="O8" s="381"/>
      <c r="P8" s="381"/>
      <c r="R8" s="85"/>
      <c r="S8" s="267"/>
    </row>
    <row r="9" spans="1:22 16383:16384" x14ac:dyDescent="0.35">
      <c r="A9" s="385" t="s">
        <v>96</v>
      </c>
      <c r="B9" s="385"/>
      <c r="C9" s="385"/>
      <c r="F9" s="85"/>
      <c r="G9" s="86"/>
      <c r="K9" s="379" t="s">
        <v>68</v>
      </c>
      <c r="L9" s="379"/>
      <c r="M9" s="379"/>
      <c r="N9" s="381" t="s">
        <v>104</v>
      </c>
      <c r="O9" s="381"/>
      <c r="P9" s="381"/>
      <c r="R9" s="85"/>
      <c r="S9" s="267"/>
      <c r="XFD9" t="s">
        <v>49</v>
      </c>
    </row>
    <row r="10" spans="1:22 16383:16384" x14ac:dyDescent="0.35">
      <c r="A10" s="385" t="s">
        <v>97</v>
      </c>
      <c r="B10" s="385"/>
      <c r="C10" s="385"/>
      <c r="F10" s="85"/>
      <c r="G10" s="1"/>
      <c r="K10" s="379" t="s">
        <v>46</v>
      </c>
      <c r="L10" s="379"/>
      <c r="M10" s="379"/>
      <c r="N10" s="378" t="s">
        <v>47</v>
      </c>
      <c r="O10" s="378"/>
      <c r="P10" s="37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9" t="s">
        <v>48</v>
      </c>
      <c r="L11" s="379"/>
      <c r="M11" s="379"/>
      <c r="N11" s="381" t="s">
        <v>49</v>
      </c>
      <c r="O11" s="381"/>
      <c r="P11" s="38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9" t="s">
        <v>50</v>
      </c>
      <c r="L12" s="379"/>
      <c r="M12" s="379"/>
      <c r="N12" s="378"/>
      <c r="O12" s="378"/>
      <c r="P12" s="37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0" t="s">
        <v>51</v>
      </c>
      <c r="B14" s="331"/>
      <c r="C14" s="334" t="s">
        <v>90</v>
      </c>
      <c r="D14" s="115" t="s">
        <v>52</v>
      </c>
      <c r="E14" s="336" t="s">
        <v>58</v>
      </c>
      <c r="F14" s="337"/>
      <c r="G14" s="338" t="s">
        <v>54</v>
      </c>
      <c r="H14" s="339"/>
      <c r="I14" s="340" t="s">
        <v>77</v>
      </c>
      <c r="J14" s="376" t="s">
        <v>55</v>
      </c>
      <c r="K14" s="338"/>
      <c r="L14" s="339"/>
      <c r="M14" s="331" t="s">
        <v>84</v>
      </c>
      <c r="N14" s="37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2"/>
      <c r="B15" s="333"/>
      <c r="C15" s="33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1"/>
      <c r="J15" s="143" t="s">
        <v>59</v>
      </c>
      <c r="K15" s="144" t="s">
        <v>39</v>
      </c>
      <c r="L15" s="145" t="s">
        <v>493</v>
      </c>
      <c r="M15" s="333"/>
      <c r="N15" s="341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0">
        <f>COUNT(A16:A24)</f>
        <v>0</v>
      </c>
      <c r="B25" s="342"/>
      <c r="C25" s="342" t="s">
        <v>40</v>
      </c>
      <c r="D25" s="342"/>
      <c r="E25" s="342"/>
      <c r="F25" s="34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4" t="s">
        <v>64</v>
      </c>
      <c r="C28" s="345"/>
      <c r="D28" s="345"/>
      <c r="E28" s="345"/>
      <c r="F28" s="345"/>
      <c r="G28" s="345"/>
      <c r="H28" s="345"/>
      <c r="I28" s="345"/>
      <c r="J28" s="345"/>
      <c r="K28" s="345"/>
      <c r="L28" s="346"/>
      <c r="N28" s="353" t="s">
        <v>60</v>
      </c>
      <c r="O28" s="354"/>
      <c r="P28" s="139">
        <f>I25</f>
        <v>0</v>
      </c>
    </row>
    <row r="29" spans="1:22 16384:16384" ht="15" customHeight="1" x14ac:dyDescent="0.35">
      <c r="B29" s="347"/>
      <c r="C29" s="348"/>
      <c r="D29" s="348"/>
      <c r="E29" s="348"/>
      <c r="F29" s="348"/>
      <c r="G29" s="348"/>
      <c r="H29" s="348"/>
      <c r="I29" s="348"/>
      <c r="J29" s="348"/>
      <c r="K29" s="348"/>
      <c r="L29" s="349"/>
      <c r="N29" s="355" t="s">
        <v>85</v>
      </c>
      <c r="O29" s="356"/>
      <c r="P29" s="140">
        <f>+J25</f>
        <v>0</v>
      </c>
    </row>
    <row r="30" spans="1:22 16384:16384" ht="15" customHeight="1" x14ac:dyDescent="0.35">
      <c r="B30" s="347"/>
      <c r="C30" s="348"/>
      <c r="D30" s="348"/>
      <c r="E30" s="348"/>
      <c r="F30" s="348"/>
      <c r="G30" s="348"/>
      <c r="H30" s="348"/>
      <c r="I30" s="348"/>
      <c r="J30" s="348"/>
      <c r="K30" s="348"/>
      <c r="L30" s="349"/>
      <c r="N30" s="355" t="s">
        <v>86</v>
      </c>
      <c r="O30" s="356"/>
      <c r="P30" s="140">
        <f>+K25+L25</f>
        <v>0</v>
      </c>
    </row>
    <row r="31" spans="1:22 16384:16384" ht="15" customHeight="1" x14ac:dyDescent="0.35">
      <c r="B31" s="347"/>
      <c r="C31" s="348"/>
      <c r="D31" s="348"/>
      <c r="E31" s="348"/>
      <c r="F31" s="348"/>
      <c r="G31" s="348"/>
      <c r="H31" s="348"/>
      <c r="I31" s="348"/>
      <c r="J31" s="348"/>
      <c r="K31" s="348"/>
      <c r="L31" s="349"/>
      <c r="M31" s="131"/>
      <c r="N31" s="355" t="s">
        <v>87</v>
      </c>
      <c r="O31" s="356"/>
      <c r="P31" s="140">
        <f>P28-P29-P30</f>
        <v>0</v>
      </c>
    </row>
    <row r="32" spans="1:22 16384:16384" ht="15" customHeight="1" x14ac:dyDescent="0.35">
      <c r="B32" s="347"/>
      <c r="C32" s="348"/>
      <c r="D32" s="348"/>
      <c r="E32" s="348"/>
      <c r="F32" s="348"/>
      <c r="G32" s="348"/>
      <c r="H32" s="348"/>
      <c r="I32" s="348"/>
      <c r="J32" s="348"/>
      <c r="K32" s="348"/>
      <c r="L32" s="34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47"/>
      <c r="C33" s="348"/>
      <c r="D33" s="348"/>
      <c r="E33" s="348"/>
      <c r="F33" s="348"/>
      <c r="G33" s="348"/>
      <c r="H33" s="348"/>
      <c r="I33" s="348"/>
      <c r="J33" s="348"/>
      <c r="K33" s="348"/>
      <c r="L33" s="349"/>
      <c r="M33" s="131"/>
      <c r="N33" s="357" t="s">
        <v>76</v>
      </c>
      <c r="O33" s="358"/>
      <c r="P33" s="140">
        <f>P31+P32</f>
        <v>0</v>
      </c>
    </row>
    <row r="34" spans="2:16" ht="15" customHeight="1" thickBot="1" x14ac:dyDescent="0.4">
      <c r="B34" s="350"/>
      <c r="C34" s="351"/>
      <c r="D34" s="351"/>
      <c r="E34" s="351"/>
      <c r="F34" s="351"/>
      <c r="G34" s="351"/>
      <c r="H34" s="351"/>
      <c r="I34" s="351"/>
      <c r="J34" s="351"/>
      <c r="K34" s="351"/>
      <c r="L34" s="35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59" t="s">
        <v>88</v>
      </c>
      <c r="O35" s="360"/>
      <c r="P35" s="297">
        <f>+P33+P34</f>
        <v>0</v>
      </c>
    </row>
    <row r="36" spans="2:16" ht="15" thickBot="1" x14ac:dyDescent="0.4">
      <c r="B36" s="121" t="s">
        <v>63</v>
      </c>
      <c r="C36" s="361"/>
      <c r="D36" s="361"/>
      <c r="E36" s="361"/>
      <c r="F36" s="361"/>
      <c r="G36" s="361"/>
      <c r="H36" s="361"/>
      <c r="I36" s="362"/>
      <c r="J36" s="363"/>
      <c r="K36" s="364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7" t="s">
        <v>91</v>
      </c>
      <c r="B2" s="377"/>
      <c r="C2" s="377"/>
    </row>
    <row r="3" spans="1:22 16383:16384" ht="15" customHeight="1" x14ac:dyDescent="0.35">
      <c r="A3" s="378" t="s">
        <v>92</v>
      </c>
      <c r="B3" s="378"/>
      <c r="C3" s="378"/>
      <c r="F3" s="85"/>
      <c r="G3" s="1"/>
      <c r="K3" s="379" t="s">
        <v>43</v>
      </c>
      <c r="L3" s="379"/>
      <c r="M3" s="379"/>
      <c r="N3" s="378"/>
      <c r="O3" s="378"/>
      <c r="P3" s="37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8" t="s">
        <v>505</v>
      </c>
      <c r="B4" s="378"/>
      <c r="C4" s="378"/>
      <c r="F4" s="85"/>
      <c r="G4" s="1"/>
      <c r="K4" s="379" t="s">
        <v>44</v>
      </c>
      <c r="L4" s="379"/>
      <c r="M4" s="379"/>
      <c r="N4" s="382">
        <f ca="1">TODAY()+1</f>
        <v>46227</v>
      </c>
      <c r="O4" s="382"/>
      <c r="P4" s="38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3" t="s">
        <v>492</v>
      </c>
      <c r="B5" s="383"/>
      <c r="C5" s="383"/>
      <c r="F5" s="85"/>
      <c r="G5" s="1"/>
      <c r="K5" s="379" t="s">
        <v>45</v>
      </c>
      <c r="L5" s="379"/>
      <c r="M5" s="379"/>
      <c r="N5" s="382">
        <f ca="1">N4-1</f>
        <v>46226</v>
      </c>
      <c r="O5" s="378"/>
      <c r="P5" s="378"/>
      <c r="R5" s="85"/>
      <c r="S5" s="266"/>
    </row>
    <row r="6" spans="1:22 16383:16384" ht="15" customHeight="1" x14ac:dyDescent="0.4">
      <c r="A6" s="384" t="s">
        <v>496</v>
      </c>
      <c r="B6" s="384"/>
      <c r="C6" s="384"/>
      <c r="F6" s="85"/>
      <c r="G6" s="86"/>
      <c r="K6" s="379" t="s">
        <v>69</v>
      </c>
      <c r="L6" s="379"/>
      <c r="M6" s="379"/>
      <c r="N6" s="381" t="s">
        <v>62</v>
      </c>
      <c r="O6" s="381"/>
      <c r="P6" s="38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9" t="s">
        <v>73</v>
      </c>
      <c r="B7" s="379"/>
      <c r="C7" s="379"/>
      <c r="F7" s="85"/>
      <c r="G7" s="86"/>
      <c r="K7" s="379" t="s">
        <v>66</v>
      </c>
      <c r="L7" s="379"/>
      <c r="M7" s="379"/>
      <c r="N7" s="381" t="s">
        <v>511</v>
      </c>
      <c r="O7" s="381"/>
      <c r="P7" s="38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5" t="s">
        <v>95</v>
      </c>
      <c r="B8" s="385"/>
      <c r="C8" s="385"/>
      <c r="F8" s="85"/>
      <c r="G8" s="86"/>
      <c r="K8" s="379" t="s">
        <v>67</v>
      </c>
      <c r="L8" s="379"/>
      <c r="M8" s="379"/>
      <c r="N8" s="381" t="s">
        <v>511</v>
      </c>
      <c r="O8" s="381"/>
      <c r="P8" s="381"/>
      <c r="R8" s="85"/>
      <c r="S8" s="267"/>
    </row>
    <row r="9" spans="1:22 16383:16384" x14ac:dyDescent="0.35">
      <c r="A9" s="385" t="s">
        <v>96</v>
      </c>
      <c r="B9" s="385"/>
      <c r="C9" s="385"/>
      <c r="F9" s="85"/>
      <c r="G9" s="86"/>
      <c r="K9" s="379" t="s">
        <v>68</v>
      </c>
      <c r="L9" s="379"/>
      <c r="M9" s="379"/>
      <c r="N9" s="381" t="s">
        <v>104</v>
      </c>
      <c r="O9" s="381"/>
      <c r="P9" s="381"/>
      <c r="R9" s="85"/>
      <c r="S9" s="267"/>
      <c r="XFD9" t="s">
        <v>49</v>
      </c>
    </row>
    <row r="10" spans="1:22 16383:16384" x14ac:dyDescent="0.35">
      <c r="A10" s="385" t="s">
        <v>97</v>
      </c>
      <c r="B10" s="385"/>
      <c r="C10" s="385"/>
      <c r="F10" s="85"/>
      <c r="G10" s="1"/>
      <c r="K10" s="379" t="s">
        <v>46</v>
      </c>
      <c r="L10" s="379"/>
      <c r="M10" s="379"/>
      <c r="N10" s="378" t="s">
        <v>47</v>
      </c>
      <c r="O10" s="378"/>
      <c r="P10" s="37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9" t="s">
        <v>48</v>
      </c>
      <c r="L11" s="379"/>
      <c r="M11" s="379"/>
      <c r="N11" s="381" t="s">
        <v>49</v>
      </c>
      <c r="O11" s="381"/>
      <c r="P11" s="38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9" t="s">
        <v>50</v>
      </c>
      <c r="L12" s="379"/>
      <c r="M12" s="379"/>
      <c r="N12" s="378"/>
      <c r="O12" s="378"/>
      <c r="P12" s="37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0" t="s">
        <v>51</v>
      </c>
      <c r="B14" s="331"/>
      <c r="C14" s="334" t="s">
        <v>90</v>
      </c>
      <c r="D14" s="115" t="s">
        <v>52</v>
      </c>
      <c r="E14" s="336" t="s">
        <v>58</v>
      </c>
      <c r="F14" s="337"/>
      <c r="G14" s="338" t="s">
        <v>54</v>
      </c>
      <c r="H14" s="339"/>
      <c r="I14" s="340" t="s">
        <v>77</v>
      </c>
      <c r="J14" s="376" t="s">
        <v>55</v>
      </c>
      <c r="K14" s="338"/>
      <c r="L14" s="339"/>
      <c r="M14" s="331" t="s">
        <v>84</v>
      </c>
      <c r="N14" s="37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2"/>
      <c r="B15" s="333"/>
      <c r="C15" s="33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1"/>
      <c r="J15" s="143" t="s">
        <v>59</v>
      </c>
      <c r="K15" s="144" t="s">
        <v>39</v>
      </c>
      <c r="L15" s="145" t="s">
        <v>493</v>
      </c>
      <c r="M15" s="333"/>
      <c r="N15" s="341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0">
        <f>COUNT(A16:A24)</f>
        <v>0</v>
      </c>
      <c r="B25" s="342"/>
      <c r="C25" s="342" t="s">
        <v>40</v>
      </c>
      <c r="D25" s="342"/>
      <c r="E25" s="342"/>
      <c r="F25" s="34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4" t="s">
        <v>64</v>
      </c>
      <c r="C28" s="345"/>
      <c r="D28" s="345"/>
      <c r="E28" s="345"/>
      <c r="F28" s="345"/>
      <c r="G28" s="345"/>
      <c r="H28" s="345"/>
      <c r="I28" s="345"/>
      <c r="J28" s="345"/>
      <c r="K28" s="345"/>
      <c r="L28" s="346"/>
      <c r="N28" s="353" t="s">
        <v>60</v>
      </c>
      <c r="O28" s="354"/>
      <c r="P28" s="139">
        <f>I25</f>
        <v>0</v>
      </c>
    </row>
    <row r="29" spans="1:22 16384:16384" ht="15" customHeight="1" x14ac:dyDescent="0.35">
      <c r="B29" s="347"/>
      <c r="C29" s="348"/>
      <c r="D29" s="348"/>
      <c r="E29" s="348"/>
      <c r="F29" s="348"/>
      <c r="G29" s="348"/>
      <c r="H29" s="348"/>
      <c r="I29" s="348"/>
      <c r="J29" s="348"/>
      <c r="K29" s="348"/>
      <c r="L29" s="349"/>
      <c r="N29" s="355" t="s">
        <v>85</v>
      </c>
      <c r="O29" s="356"/>
      <c r="P29" s="140">
        <f>+J25</f>
        <v>0</v>
      </c>
    </row>
    <row r="30" spans="1:22 16384:16384" ht="15" customHeight="1" x14ac:dyDescent="0.35">
      <c r="B30" s="347"/>
      <c r="C30" s="348"/>
      <c r="D30" s="348"/>
      <c r="E30" s="348"/>
      <c r="F30" s="348"/>
      <c r="G30" s="348"/>
      <c r="H30" s="348"/>
      <c r="I30" s="348"/>
      <c r="J30" s="348"/>
      <c r="K30" s="348"/>
      <c r="L30" s="349"/>
      <c r="N30" s="355" t="s">
        <v>86</v>
      </c>
      <c r="O30" s="356"/>
      <c r="P30" s="140">
        <f>+K25+L25</f>
        <v>0</v>
      </c>
    </row>
    <row r="31" spans="1:22 16384:16384" ht="15" customHeight="1" x14ac:dyDescent="0.35">
      <c r="B31" s="347"/>
      <c r="C31" s="348"/>
      <c r="D31" s="348"/>
      <c r="E31" s="348"/>
      <c r="F31" s="348"/>
      <c r="G31" s="348"/>
      <c r="H31" s="348"/>
      <c r="I31" s="348"/>
      <c r="J31" s="348"/>
      <c r="K31" s="348"/>
      <c r="L31" s="349"/>
      <c r="M31" s="131"/>
      <c r="N31" s="355" t="s">
        <v>87</v>
      </c>
      <c r="O31" s="356"/>
      <c r="P31" s="140">
        <f>P28-P29-P30</f>
        <v>0</v>
      </c>
    </row>
    <row r="32" spans="1:22 16384:16384" ht="15" customHeight="1" x14ac:dyDescent="0.35">
      <c r="B32" s="347"/>
      <c r="C32" s="348"/>
      <c r="D32" s="348"/>
      <c r="E32" s="348"/>
      <c r="F32" s="348"/>
      <c r="G32" s="348"/>
      <c r="H32" s="348"/>
      <c r="I32" s="348"/>
      <c r="J32" s="348"/>
      <c r="K32" s="348"/>
      <c r="L32" s="34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47"/>
      <c r="C33" s="348"/>
      <c r="D33" s="348"/>
      <c r="E33" s="348"/>
      <c r="F33" s="348"/>
      <c r="G33" s="348"/>
      <c r="H33" s="348"/>
      <c r="I33" s="348"/>
      <c r="J33" s="348"/>
      <c r="K33" s="348"/>
      <c r="L33" s="349"/>
      <c r="M33" s="131"/>
      <c r="N33" s="357" t="s">
        <v>76</v>
      </c>
      <c r="O33" s="358"/>
      <c r="P33" s="140">
        <f>P31+P32</f>
        <v>0</v>
      </c>
    </row>
    <row r="34" spans="2:16" ht="15" customHeight="1" thickBot="1" x14ac:dyDescent="0.4">
      <c r="B34" s="350"/>
      <c r="C34" s="351"/>
      <c r="D34" s="351"/>
      <c r="E34" s="351"/>
      <c r="F34" s="351"/>
      <c r="G34" s="351"/>
      <c r="H34" s="351"/>
      <c r="I34" s="351"/>
      <c r="J34" s="351"/>
      <c r="K34" s="351"/>
      <c r="L34" s="35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59" t="s">
        <v>88</v>
      </c>
      <c r="O35" s="360"/>
      <c r="P35" s="297">
        <f>+P33+P34</f>
        <v>0</v>
      </c>
    </row>
    <row r="36" spans="2:16" ht="15" thickBot="1" x14ac:dyDescent="0.4">
      <c r="B36" s="121" t="s">
        <v>63</v>
      </c>
      <c r="C36" s="361"/>
      <c r="D36" s="361"/>
      <c r="E36" s="361"/>
      <c r="F36" s="361"/>
      <c r="G36" s="361"/>
      <c r="H36" s="361"/>
      <c r="I36" s="362"/>
      <c r="J36" s="363"/>
      <c r="K36" s="364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7" t="s">
        <v>91</v>
      </c>
      <c r="B2" s="377"/>
      <c r="C2" s="377"/>
    </row>
    <row r="3" spans="1:22 16383:16384" ht="15" customHeight="1" x14ac:dyDescent="0.35">
      <c r="A3" s="378" t="s">
        <v>92</v>
      </c>
      <c r="B3" s="378"/>
      <c r="C3" s="378"/>
      <c r="F3" s="85"/>
      <c r="G3" s="1"/>
      <c r="K3" s="379" t="s">
        <v>43</v>
      </c>
      <c r="L3" s="379"/>
      <c r="M3" s="379"/>
      <c r="N3" s="378"/>
      <c r="O3" s="378"/>
      <c r="P3" s="37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8" t="s">
        <v>505</v>
      </c>
      <c r="B4" s="378"/>
      <c r="C4" s="378"/>
      <c r="F4" s="85"/>
      <c r="G4" s="1"/>
      <c r="K4" s="379" t="s">
        <v>44</v>
      </c>
      <c r="L4" s="379"/>
      <c r="M4" s="379"/>
      <c r="N4" s="382">
        <f ca="1">TODAY()+1</f>
        <v>46227</v>
      </c>
      <c r="O4" s="382"/>
      <c r="P4" s="38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3" t="s">
        <v>492</v>
      </c>
      <c r="B5" s="383"/>
      <c r="C5" s="383"/>
      <c r="F5" s="85"/>
      <c r="G5" s="1"/>
      <c r="K5" s="379" t="s">
        <v>45</v>
      </c>
      <c r="L5" s="379"/>
      <c r="M5" s="379"/>
      <c r="N5" s="382">
        <f ca="1">N4-1</f>
        <v>46226</v>
      </c>
      <c r="O5" s="378"/>
      <c r="P5" s="378"/>
      <c r="R5" s="85"/>
      <c r="S5" s="266"/>
    </row>
    <row r="6" spans="1:22 16383:16384" ht="15" customHeight="1" x14ac:dyDescent="0.4">
      <c r="A6" s="384" t="s">
        <v>503</v>
      </c>
      <c r="B6" s="384"/>
      <c r="C6" s="384"/>
      <c r="F6" s="85"/>
      <c r="G6" s="86"/>
      <c r="K6" s="379" t="s">
        <v>69</v>
      </c>
      <c r="L6" s="379"/>
      <c r="M6" s="379"/>
      <c r="N6" s="381" t="s">
        <v>62</v>
      </c>
      <c r="O6" s="381"/>
      <c r="P6" s="38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9" t="s">
        <v>73</v>
      </c>
      <c r="B7" s="379"/>
      <c r="C7" s="379"/>
      <c r="F7" s="85"/>
      <c r="G7" s="86"/>
      <c r="K7" s="379" t="s">
        <v>66</v>
      </c>
      <c r="L7" s="379"/>
      <c r="M7" s="379"/>
      <c r="N7" s="381" t="s">
        <v>511</v>
      </c>
      <c r="O7" s="381"/>
      <c r="P7" s="38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5" t="s">
        <v>95</v>
      </c>
      <c r="B8" s="385"/>
      <c r="C8" s="385"/>
      <c r="F8" s="85"/>
      <c r="G8" s="86"/>
      <c r="K8" s="379" t="s">
        <v>67</v>
      </c>
      <c r="L8" s="379"/>
      <c r="M8" s="379"/>
      <c r="N8" s="381" t="s">
        <v>511</v>
      </c>
      <c r="O8" s="381"/>
      <c r="P8" s="381"/>
      <c r="R8" s="85"/>
      <c r="S8" s="267"/>
    </row>
    <row r="9" spans="1:22 16383:16384" x14ac:dyDescent="0.35">
      <c r="A9" s="385" t="s">
        <v>96</v>
      </c>
      <c r="B9" s="385"/>
      <c r="C9" s="385"/>
      <c r="F9" s="85"/>
      <c r="G9" s="86"/>
      <c r="K9" s="379" t="s">
        <v>68</v>
      </c>
      <c r="L9" s="379"/>
      <c r="M9" s="379"/>
      <c r="N9" s="381" t="s">
        <v>104</v>
      </c>
      <c r="O9" s="381"/>
      <c r="P9" s="381"/>
      <c r="R9" s="85"/>
      <c r="S9" s="267"/>
      <c r="XFD9" t="s">
        <v>49</v>
      </c>
    </row>
    <row r="10" spans="1:22 16383:16384" x14ac:dyDescent="0.35">
      <c r="A10" s="385" t="s">
        <v>97</v>
      </c>
      <c r="B10" s="385"/>
      <c r="C10" s="385"/>
      <c r="F10" s="85"/>
      <c r="G10" s="1"/>
      <c r="K10" s="379" t="s">
        <v>46</v>
      </c>
      <c r="L10" s="379"/>
      <c r="M10" s="379"/>
      <c r="N10" s="378" t="s">
        <v>47</v>
      </c>
      <c r="O10" s="378"/>
      <c r="P10" s="37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9" t="s">
        <v>48</v>
      </c>
      <c r="L11" s="379"/>
      <c r="M11" s="379"/>
      <c r="N11" s="381" t="s">
        <v>49</v>
      </c>
      <c r="O11" s="381"/>
      <c r="P11" s="38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9" t="s">
        <v>50</v>
      </c>
      <c r="L12" s="379"/>
      <c r="M12" s="379"/>
      <c r="N12" s="378"/>
      <c r="O12" s="378"/>
      <c r="P12" s="37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0" t="s">
        <v>51</v>
      </c>
      <c r="B14" s="331"/>
      <c r="C14" s="334" t="s">
        <v>90</v>
      </c>
      <c r="D14" s="115" t="s">
        <v>52</v>
      </c>
      <c r="E14" s="336" t="s">
        <v>58</v>
      </c>
      <c r="F14" s="337"/>
      <c r="G14" s="338" t="s">
        <v>54</v>
      </c>
      <c r="H14" s="339"/>
      <c r="I14" s="340" t="s">
        <v>77</v>
      </c>
      <c r="J14" s="376" t="s">
        <v>55</v>
      </c>
      <c r="K14" s="338"/>
      <c r="L14" s="339"/>
      <c r="M14" s="331" t="s">
        <v>84</v>
      </c>
      <c r="N14" s="37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2"/>
      <c r="B15" s="333"/>
      <c r="C15" s="33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1"/>
      <c r="J15" s="143" t="s">
        <v>59</v>
      </c>
      <c r="K15" s="144" t="s">
        <v>39</v>
      </c>
      <c r="L15" s="145" t="s">
        <v>493</v>
      </c>
      <c r="M15" s="333"/>
      <c r="N15" s="341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0">
        <f>COUNT(A16:A24)</f>
        <v>0</v>
      </c>
      <c r="B25" s="342"/>
      <c r="C25" s="342" t="s">
        <v>40</v>
      </c>
      <c r="D25" s="342"/>
      <c r="E25" s="342"/>
      <c r="F25" s="34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4" t="s">
        <v>64</v>
      </c>
      <c r="C28" s="345"/>
      <c r="D28" s="345"/>
      <c r="E28" s="345"/>
      <c r="F28" s="345"/>
      <c r="G28" s="345"/>
      <c r="H28" s="345"/>
      <c r="I28" s="345"/>
      <c r="J28" s="345"/>
      <c r="K28" s="345"/>
      <c r="L28" s="346"/>
      <c r="N28" s="353" t="s">
        <v>60</v>
      </c>
      <c r="O28" s="354"/>
      <c r="P28" s="139">
        <f>I25</f>
        <v>0</v>
      </c>
    </row>
    <row r="29" spans="1:22 16384:16384" ht="15" customHeight="1" x14ac:dyDescent="0.35">
      <c r="B29" s="347"/>
      <c r="C29" s="348"/>
      <c r="D29" s="348"/>
      <c r="E29" s="348"/>
      <c r="F29" s="348"/>
      <c r="G29" s="348"/>
      <c r="H29" s="348"/>
      <c r="I29" s="348"/>
      <c r="J29" s="348"/>
      <c r="K29" s="348"/>
      <c r="L29" s="349"/>
      <c r="N29" s="355" t="s">
        <v>85</v>
      </c>
      <c r="O29" s="356"/>
      <c r="P29" s="140">
        <f>+J25</f>
        <v>0</v>
      </c>
    </row>
    <row r="30" spans="1:22 16384:16384" ht="15" customHeight="1" x14ac:dyDescent="0.35">
      <c r="B30" s="347"/>
      <c r="C30" s="348"/>
      <c r="D30" s="348"/>
      <c r="E30" s="348"/>
      <c r="F30" s="348"/>
      <c r="G30" s="348"/>
      <c r="H30" s="348"/>
      <c r="I30" s="348"/>
      <c r="J30" s="348"/>
      <c r="K30" s="348"/>
      <c r="L30" s="349"/>
      <c r="N30" s="355" t="s">
        <v>86</v>
      </c>
      <c r="O30" s="356"/>
      <c r="P30" s="140">
        <f>+K25+L25</f>
        <v>0</v>
      </c>
    </row>
    <row r="31" spans="1:22 16384:16384" ht="15" customHeight="1" x14ac:dyDescent="0.35">
      <c r="B31" s="347"/>
      <c r="C31" s="348"/>
      <c r="D31" s="348"/>
      <c r="E31" s="348"/>
      <c r="F31" s="348"/>
      <c r="G31" s="348"/>
      <c r="H31" s="348"/>
      <c r="I31" s="348"/>
      <c r="J31" s="348"/>
      <c r="K31" s="348"/>
      <c r="L31" s="349"/>
      <c r="M31" s="131"/>
      <c r="N31" s="355" t="s">
        <v>87</v>
      </c>
      <c r="O31" s="356"/>
      <c r="P31" s="140">
        <f>P28-P29-P30</f>
        <v>0</v>
      </c>
    </row>
    <row r="32" spans="1:22 16384:16384" ht="15" customHeight="1" x14ac:dyDescent="0.35">
      <c r="B32" s="347"/>
      <c r="C32" s="348"/>
      <c r="D32" s="348"/>
      <c r="E32" s="348"/>
      <c r="F32" s="348"/>
      <c r="G32" s="348"/>
      <c r="H32" s="348"/>
      <c r="I32" s="348"/>
      <c r="J32" s="348"/>
      <c r="K32" s="348"/>
      <c r="L32" s="34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47"/>
      <c r="C33" s="348"/>
      <c r="D33" s="348"/>
      <c r="E33" s="348"/>
      <c r="F33" s="348"/>
      <c r="G33" s="348"/>
      <c r="H33" s="348"/>
      <c r="I33" s="348"/>
      <c r="J33" s="348"/>
      <c r="K33" s="348"/>
      <c r="L33" s="349"/>
      <c r="M33" s="131"/>
      <c r="N33" s="357" t="s">
        <v>76</v>
      </c>
      <c r="O33" s="358"/>
      <c r="P33" s="140">
        <f>P31+P32</f>
        <v>0</v>
      </c>
    </row>
    <row r="34" spans="2:16" ht="15" customHeight="1" thickBot="1" x14ac:dyDescent="0.4">
      <c r="B34" s="350"/>
      <c r="C34" s="351"/>
      <c r="D34" s="351"/>
      <c r="E34" s="351"/>
      <c r="F34" s="351"/>
      <c r="G34" s="351"/>
      <c r="H34" s="351"/>
      <c r="I34" s="351"/>
      <c r="J34" s="351"/>
      <c r="K34" s="351"/>
      <c r="L34" s="35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59" t="s">
        <v>88</v>
      </c>
      <c r="O35" s="360"/>
      <c r="P35" s="297">
        <f>+P33+P34</f>
        <v>0</v>
      </c>
    </row>
    <row r="36" spans="2:16" ht="15" thickBot="1" x14ac:dyDescent="0.4">
      <c r="B36" s="121" t="s">
        <v>63</v>
      </c>
      <c r="C36" s="361"/>
      <c r="D36" s="361"/>
      <c r="E36" s="361"/>
      <c r="F36" s="361"/>
      <c r="G36" s="361"/>
      <c r="H36" s="361"/>
      <c r="I36" s="362"/>
      <c r="J36" s="363"/>
      <c r="K36" s="364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7" t="s">
        <v>91</v>
      </c>
      <c r="B2" s="377"/>
      <c r="C2" s="377"/>
    </row>
    <row r="3" spans="1:22 16383:16384" ht="15" customHeight="1" x14ac:dyDescent="0.35">
      <c r="A3" s="378" t="s">
        <v>92</v>
      </c>
      <c r="B3" s="378"/>
      <c r="C3" s="378"/>
      <c r="F3" s="85"/>
      <c r="G3" s="1"/>
      <c r="K3" s="379" t="s">
        <v>43</v>
      </c>
      <c r="L3" s="379"/>
      <c r="M3" s="379"/>
      <c r="N3" s="378"/>
      <c r="O3" s="378"/>
      <c r="P3" s="37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8" t="s">
        <v>505</v>
      </c>
      <c r="B4" s="378"/>
      <c r="C4" s="378"/>
      <c r="F4" s="85"/>
      <c r="G4" s="1"/>
      <c r="K4" s="379" t="s">
        <v>44</v>
      </c>
      <c r="L4" s="379"/>
      <c r="M4" s="379"/>
      <c r="N4" s="382">
        <f ca="1">TODAY()+1</f>
        <v>46227</v>
      </c>
      <c r="O4" s="382"/>
      <c r="P4" s="38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3" t="s">
        <v>492</v>
      </c>
      <c r="B5" s="383"/>
      <c r="C5" s="383"/>
      <c r="F5" s="85"/>
      <c r="G5" s="1"/>
      <c r="K5" s="379" t="s">
        <v>45</v>
      </c>
      <c r="L5" s="379"/>
      <c r="M5" s="379"/>
      <c r="N5" s="382">
        <f ca="1">N4-1</f>
        <v>46226</v>
      </c>
      <c r="O5" s="378"/>
      <c r="P5" s="378"/>
      <c r="R5" s="85"/>
      <c r="S5" s="266"/>
    </row>
    <row r="6" spans="1:22 16383:16384" ht="15" customHeight="1" x14ac:dyDescent="0.4">
      <c r="A6" s="384" t="s">
        <v>496</v>
      </c>
      <c r="B6" s="384"/>
      <c r="C6" s="384"/>
      <c r="F6" s="85"/>
      <c r="G6" s="86"/>
      <c r="K6" s="379" t="s">
        <v>69</v>
      </c>
      <c r="L6" s="379"/>
      <c r="M6" s="379"/>
      <c r="N6" s="381" t="s">
        <v>62</v>
      </c>
      <c r="O6" s="381"/>
      <c r="P6" s="38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9" t="s">
        <v>73</v>
      </c>
      <c r="B7" s="379"/>
      <c r="C7" s="379"/>
      <c r="F7" s="85"/>
      <c r="G7" s="86"/>
      <c r="K7" s="379" t="s">
        <v>66</v>
      </c>
      <c r="L7" s="379"/>
      <c r="M7" s="379"/>
      <c r="N7" s="381" t="s">
        <v>511</v>
      </c>
      <c r="O7" s="381"/>
      <c r="P7" s="38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5" t="s">
        <v>95</v>
      </c>
      <c r="B8" s="385"/>
      <c r="C8" s="385"/>
      <c r="F8" s="85"/>
      <c r="G8" s="86"/>
      <c r="K8" s="379" t="s">
        <v>67</v>
      </c>
      <c r="L8" s="379"/>
      <c r="M8" s="379"/>
      <c r="N8" s="381" t="s">
        <v>511</v>
      </c>
      <c r="O8" s="381"/>
      <c r="P8" s="381"/>
      <c r="R8" s="85"/>
      <c r="S8" s="267"/>
    </row>
    <row r="9" spans="1:22 16383:16384" x14ac:dyDescent="0.35">
      <c r="A9" s="385" t="s">
        <v>96</v>
      </c>
      <c r="B9" s="385"/>
      <c r="C9" s="385"/>
      <c r="F9" s="85"/>
      <c r="G9" s="86"/>
      <c r="K9" s="379" t="s">
        <v>68</v>
      </c>
      <c r="L9" s="379"/>
      <c r="M9" s="379"/>
      <c r="N9" s="381" t="s">
        <v>104</v>
      </c>
      <c r="O9" s="381"/>
      <c r="P9" s="381"/>
      <c r="R9" s="85"/>
      <c r="S9" s="267"/>
      <c r="XFD9" t="s">
        <v>49</v>
      </c>
    </row>
    <row r="10" spans="1:22 16383:16384" x14ac:dyDescent="0.35">
      <c r="A10" s="385" t="s">
        <v>97</v>
      </c>
      <c r="B10" s="385"/>
      <c r="C10" s="385"/>
      <c r="F10" s="85"/>
      <c r="G10" s="1"/>
      <c r="K10" s="379" t="s">
        <v>46</v>
      </c>
      <c r="L10" s="379"/>
      <c r="M10" s="379"/>
      <c r="N10" s="378" t="s">
        <v>47</v>
      </c>
      <c r="O10" s="378"/>
      <c r="P10" s="37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9" t="s">
        <v>48</v>
      </c>
      <c r="L11" s="379"/>
      <c r="M11" s="379"/>
      <c r="N11" s="381" t="s">
        <v>49</v>
      </c>
      <c r="O11" s="381"/>
      <c r="P11" s="38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9" t="s">
        <v>50</v>
      </c>
      <c r="L12" s="379"/>
      <c r="M12" s="379"/>
      <c r="N12" s="378"/>
      <c r="O12" s="378"/>
      <c r="P12" s="37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0" t="s">
        <v>51</v>
      </c>
      <c r="B14" s="331"/>
      <c r="C14" s="334" t="s">
        <v>90</v>
      </c>
      <c r="D14" s="115" t="s">
        <v>52</v>
      </c>
      <c r="E14" s="336" t="s">
        <v>58</v>
      </c>
      <c r="F14" s="337"/>
      <c r="G14" s="338" t="s">
        <v>54</v>
      </c>
      <c r="H14" s="339"/>
      <c r="I14" s="340" t="s">
        <v>77</v>
      </c>
      <c r="J14" s="376" t="s">
        <v>55</v>
      </c>
      <c r="K14" s="338"/>
      <c r="L14" s="339"/>
      <c r="M14" s="331" t="s">
        <v>84</v>
      </c>
      <c r="N14" s="37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2"/>
      <c r="B15" s="333"/>
      <c r="C15" s="33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1"/>
      <c r="J15" s="143" t="s">
        <v>59</v>
      </c>
      <c r="K15" s="144" t="s">
        <v>39</v>
      </c>
      <c r="L15" s="145" t="s">
        <v>493</v>
      </c>
      <c r="M15" s="333"/>
      <c r="N15" s="341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0">
        <f>COUNT(A16:A24)</f>
        <v>0</v>
      </c>
      <c r="B25" s="342"/>
      <c r="C25" s="342" t="s">
        <v>40</v>
      </c>
      <c r="D25" s="342"/>
      <c r="E25" s="342"/>
      <c r="F25" s="34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4" t="s">
        <v>64</v>
      </c>
      <c r="C28" s="345"/>
      <c r="D28" s="345"/>
      <c r="E28" s="345"/>
      <c r="F28" s="345"/>
      <c r="G28" s="345"/>
      <c r="H28" s="345"/>
      <c r="I28" s="345"/>
      <c r="J28" s="345"/>
      <c r="K28" s="345"/>
      <c r="L28" s="346"/>
      <c r="N28" s="353" t="s">
        <v>60</v>
      </c>
      <c r="O28" s="354"/>
      <c r="P28" s="139">
        <f>I25</f>
        <v>0</v>
      </c>
    </row>
    <row r="29" spans="1:22 16384:16384" ht="15" customHeight="1" x14ac:dyDescent="0.35">
      <c r="B29" s="347"/>
      <c r="C29" s="348"/>
      <c r="D29" s="348"/>
      <c r="E29" s="348"/>
      <c r="F29" s="348"/>
      <c r="G29" s="348"/>
      <c r="H29" s="348"/>
      <c r="I29" s="348"/>
      <c r="J29" s="348"/>
      <c r="K29" s="348"/>
      <c r="L29" s="349"/>
      <c r="N29" s="355" t="s">
        <v>85</v>
      </c>
      <c r="O29" s="356"/>
      <c r="P29" s="140">
        <f>+J25</f>
        <v>0</v>
      </c>
    </row>
    <row r="30" spans="1:22 16384:16384" ht="15" customHeight="1" x14ac:dyDescent="0.35">
      <c r="B30" s="347"/>
      <c r="C30" s="348"/>
      <c r="D30" s="348"/>
      <c r="E30" s="348"/>
      <c r="F30" s="348"/>
      <c r="G30" s="348"/>
      <c r="H30" s="348"/>
      <c r="I30" s="348"/>
      <c r="J30" s="348"/>
      <c r="K30" s="348"/>
      <c r="L30" s="349"/>
      <c r="N30" s="355" t="s">
        <v>86</v>
      </c>
      <c r="O30" s="356"/>
      <c r="P30" s="140">
        <f>+K25+L25</f>
        <v>0</v>
      </c>
    </row>
    <row r="31" spans="1:22 16384:16384" ht="15" customHeight="1" x14ac:dyDescent="0.35">
      <c r="B31" s="347"/>
      <c r="C31" s="348"/>
      <c r="D31" s="348"/>
      <c r="E31" s="348"/>
      <c r="F31" s="348"/>
      <c r="G31" s="348"/>
      <c r="H31" s="348"/>
      <c r="I31" s="348"/>
      <c r="J31" s="348"/>
      <c r="K31" s="348"/>
      <c r="L31" s="349"/>
      <c r="M31" s="131"/>
      <c r="N31" s="355" t="s">
        <v>87</v>
      </c>
      <c r="O31" s="356"/>
      <c r="P31" s="140">
        <f>P28-P29-P30</f>
        <v>0</v>
      </c>
    </row>
    <row r="32" spans="1:22 16384:16384" ht="15" customHeight="1" x14ac:dyDescent="0.35">
      <c r="B32" s="347"/>
      <c r="C32" s="348"/>
      <c r="D32" s="348"/>
      <c r="E32" s="348"/>
      <c r="F32" s="348"/>
      <c r="G32" s="348"/>
      <c r="H32" s="348"/>
      <c r="I32" s="348"/>
      <c r="J32" s="348"/>
      <c r="K32" s="348"/>
      <c r="L32" s="34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47"/>
      <c r="C33" s="348"/>
      <c r="D33" s="348"/>
      <c r="E33" s="348"/>
      <c r="F33" s="348"/>
      <c r="G33" s="348"/>
      <c r="H33" s="348"/>
      <c r="I33" s="348"/>
      <c r="J33" s="348"/>
      <c r="K33" s="348"/>
      <c r="L33" s="349"/>
      <c r="M33" s="131"/>
      <c r="N33" s="357" t="s">
        <v>76</v>
      </c>
      <c r="O33" s="358"/>
      <c r="P33" s="140">
        <f>P31+P32</f>
        <v>0</v>
      </c>
    </row>
    <row r="34" spans="2:16" ht="15" customHeight="1" thickBot="1" x14ac:dyDescent="0.4">
      <c r="B34" s="350"/>
      <c r="C34" s="351"/>
      <c r="D34" s="351"/>
      <c r="E34" s="351"/>
      <c r="F34" s="351"/>
      <c r="G34" s="351"/>
      <c r="H34" s="351"/>
      <c r="I34" s="351"/>
      <c r="J34" s="351"/>
      <c r="K34" s="351"/>
      <c r="L34" s="35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59" t="s">
        <v>88</v>
      </c>
      <c r="O35" s="360"/>
      <c r="P35" s="297">
        <f>+P33+P34</f>
        <v>0</v>
      </c>
    </row>
    <row r="36" spans="2:16" ht="15" thickBot="1" x14ac:dyDescent="0.4">
      <c r="B36" s="121" t="s">
        <v>63</v>
      </c>
      <c r="C36" s="361"/>
      <c r="D36" s="361"/>
      <c r="E36" s="361"/>
      <c r="F36" s="361"/>
      <c r="G36" s="361"/>
      <c r="H36" s="361"/>
      <c r="I36" s="362"/>
      <c r="J36" s="363"/>
      <c r="K36" s="364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7" t="s">
        <v>91</v>
      </c>
      <c r="B2" s="377"/>
      <c r="C2" s="377"/>
    </row>
    <row r="3" spans="1:22 16383:16384" ht="15" customHeight="1" x14ac:dyDescent="0.35">
      <c r="A3" s="378" t="s">
        <v>92</v>
      </c>
      <c r="B3" s="378"/>
      <c r="C3" s="378"/>
      <c r="F3" s="85"/>
      <c r="G3" s="1"/>
      <c r="K3" s="379" t="s">
        <v>43</v>
      </c>
      <c r="L3" s="379"/>
      <c r="M3" s="379"/>
      <c r="N3" s="378"/>
      <c r="O3" s="378"/>
      <c r="P3" s="37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8" t="s">
        <v>505</v>
      </c>
      <c r="B4" s="378"/>
      <c r="C4" s="378"/>
      <c r="F4" s="85"/>
      <c r="G4" s="1"/>
      <c r="K4" s="379" t="s">
        <v>44</v>
      </c>
      <c r="L4" s="379"/>
      <c r="M4" s="379"/>
      <c r="N4" s="382">
        <f ca="1">TODAY()+1</f>
        <v>46227</v>
      </c>
      <c r="O4" s="382"/>
      <c r="P4" s="38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3" t="s">
        <v>492</v>
      </c>
      <c r="B5" s="383"/>
      <c r="C5" s="383"/>
      <c r="F5" s="85"/>
      <c r="G5" s="1"/>
      <c r="K5" s="379" t="s">
        <v>45</v>
      </c>
      <c r="L5" s="379"/>
      <c r="M5" s="379"/>
      <c r="N5" s="382">
        <f ca="1">N4-1</f>
        <v>46226</v>
      </c>
      <c r="O5" s="378"/>
      <c r="P5" s="378"/>
      <c r="R5" s="85"/>
      <c r="S5" s="266"/>
    </row>
    <row r="6" spans="1:22 16383:16384" ht="15" customHeight="1" x14ac:dyDescent="0.4">
      <c r="A6" s="384" t="s">
        <v>496</v>
      </c>
      <c r="B6" s="384"/>
      <c r="C6" s="384"/>
      <c r="F6" s="85"/>
      <c r="G6" s="86"/>
      <c r="K6" s="379" t="s">
        <v>69</v>
      </c>
      <c r="L6" s="379"/>
      <c r="M6" s="379"/>
      <c r="N6" s="381" t="s">
        <v>62</v>
      </c>
      <c r="O6" s="381"/>
      <c r="P6" s="38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9" t="s">
        <v>73</v>
      </c>
      <c r="B7" s="379"/>
      <c r="C7" s="379"/>
      <c r="F7" s="85"/>
      <c r="G7" s="86"/>
      <c r="K7" s="379" t="s">
        <v>66</v>
      </c>
      <c r="L7" s="379"/>
      <c r="M7" s="379"/>
      <c r="N7" s="381" t="s">
        <v>511</v>
      </c>
      <c r="O7" s="381"/>
      <c r="P7" s="38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5" t="s">
        <v>95</v>
      </c>
      <c r="B8" s="385"/>
      <c r="C8" s="385"/>
      <c r="F8" s="85"/>
      <c r="G8" s="86"/>
      <c r="K8" s="379" t="s">
        <v>67</v>
      </c>
      <c r="L8" s="379"/>
      <c r="M8" s="379"/>
      <c r="N8" s="381" t="s">
        <v>511</v>
      </c>
      <c r="O8" s="381"/>
      <c r="P8" s="381"/>
      <c r="R8" s="85"/>
      <c r="S8" s="267"/>
    </row>
    <row r="9" spans="1:22 16383:16384" x14ac:dyDescent="0.35">
      <c r="A9" s="385" t="s">
        <v>96</v>
      </c>
      <c r="B9" s="385"/>
      <c r="C9" s="385"/>
      <c r="F9" s="85"/>
      <c r="G9" s="86"/>
      <c r="K9" s="379" t="s">
        <v>68</v>
      </c>
      <c r="L9" s="379"/>
      <c r="M9" s="379"/>
      <c r="N9" s="381" t="s">
        <v>104</v>
      </c>
      <c r="O9" s="381"/>
      <c r="P9" s="381"/>
      <c r="R9" s="85"/>
      <c r="S9" s="267"/>
      <c r="XFD9" t="s">
        <v>49</v>
      </c>
    </row>
    <row r="10" spans="1:22 16383:16384" x14ac:dyDescent="0.35">
      <c r="A10" s="385" t="s">
        <v>97</v>
      </c>
      <c r="B10" s="385"/>
      <c r="C10" s="385"/>
      <c r="F10" s="85"/>
      <c r="G10" s="1"/>
      <c r="K10" s="379" t="s">
        <v>46</v>
      </c>
      <c r="L10" s="379"/>
      <c r="M10" s="379"/>
      <c r="N10" s="378" t="s">
        <v>47</v>
      </c>
      <c r="O10" s="378"/>
      <c r="P10" s="37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9" t="s">
        <v>48</v>
      </c>
      <c r="L11" s="379"/>
      <c r="M11" s="379"/>
      <c r="N11" s="381" t="s">
        <v>49</v>
      </c>
      <c r="O11" s="381"/>
      <c r="P11" s="38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9" t="s">
        <v>50</v>
      </c>
      <c r="L12" s="379"/>
      <c r="M12" s="379"/>
      <c r="N12" s="378"/>
      <c r="O12" s="378"/>
      <c r="P12" s="37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0" t="s">
        <v>51</v>
      </c>
      <c r="B14" s="331"/>
      <c r="C14" s="334" t="s">
        <v>90</v>
      </c>
      <c r="D14" s="115" t="s">
        <v>52</v>
      </c>
      <c r="E14" s="336" t="s">
        <v>58</v>
      </c>
      <c r="F14" s="337"/>
      <c r="G14" s="338" t="s">
        <v>54</v>
      </c>
      <c r="H14" s="339"/>
      <c r="I14" s="340" t="s">
        <v>77</v>
      </c>
      <c r="J14" s="376" t="s">
        <v>55</v>
      </c>
      <c r="K14" s="338"/>
      <c r="L14" s="339"/>
      <c r="M14" s="331" t="s">
        <v>84</v>
      </c>
      <c r="N14" s="37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2"/>
      <c r="B15" s="333"/>
      <c r="C15" s="33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1"/>
      <c r="J15" s="143" t="s">
        <v>59</v>
      </c>
      <c r="K15" s="144" t="s">
        <v>39</v>
      </c>
      <c r="L15" s="145" t="s">
        <v>493</v>
      </c>
      <c r="M15" s="333"/>
      <c r="N15" s="341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0">
        <f>COUNT(A16:A24)</f>
        <v>0</v>
      </c>
      <c r="B25" s="342"/>
      <c r="C25" s="342" t="s">
        <v>40</v>
      </c>
      <c r="D25" s="342"/>
      <c r="E25" s="342"/>
      <c r="F25" s="34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4" t="s">
        <v>64</v>
      </c>
      <c r="C28" s="345"/>
      <c r="D28" s="345"/>
      <c r="E28" s="345"/>
      <c r="F28" s="345"/>
      <c r="G28" s="345"/>
      <c r="H28" s="345"/>
      <c r="I28" s="345"/>
      <c r="J28" s="345"/>
      <c r="K28" s="345"/>
      <c r="L28" s="346"/>
      <c r="N28" s="353" t="s">
        <v>60</v>
      </c>
      <c r="O28" s="354"/>
      <c r="P28" s="139">
        <f>I25</f>
        <v>0</v>
      </c>
    </row>
    <row r="29" spans="1:22 16384:16384" ht="15" customHeight="1" x14ac:dyDescent="0.35">
      <c r="B29" s="347"/>
      <c r="C29" s="348"/>
      <c r="D29" s="348"/>
      <c r="E29" s="348"/>
      <c r="F29" s="348"/>
      <c r="G29" s="348"/>
      <c r="H29" s="348"/>
      <c r="I29" s="348"/>
      <c r="J29" s="348"/>
      <c r="K29" s="348"/>
      <c r="L29" s="349"/>
      <c r="N29" s="355" t="s">
        <v>85</v>
      </c>
      <c r="O29" s="356"/>
      <c r="P29" s="140">
        <f>+J25</f>
        <v>0</v>
      </c>
    </row>
    <row r="30" spans="1:22 16384:16384" ht="15" customHeight="1" x14ac:dyDescent="0.35">
      <c r="B30" s="347"/>
      <c r="C30" s="348"/>
      <c r="D30" s="348"/>
      <c r="E30" s="348"/>
      <c r="F30" s="348"/>
      <c r="G30" s="348"/>
      <c r="H30" s="348"/>
      <c r="I30" s="348"/>
      <c r="J30" s="348"/>
      <c r="K30" s="348"/>
      <c r="L30" s="349"/>
      <c r="N30" s="355" t="s">
        <v>86</v>
      </c>
      <c r="O30" s="356"/>
      <c r="P30" s="140">
        <f>+K25+L25</f>
        <v>0</v>
      </c>
    </row>
    <row r="31" spans="1:22 16384:16384" ht="15" customHeight="1" x14ac:dyDescent="0.35">
      <c r="B31" s="347"/>
      <c r="C31" s="348"/>
      <c r="D31" s="348"/>
      <c r="E31" s="348"/>
      <c r="F31" s="348"/>
      <c r="G31" s="348"/>
      <c r="H31" s="348"/>
      <c r="I31" s="348"/>
      <c r="J31" s="348"/>
      <c r="K31" s="348"/>
      <c r="L31" s="349"/>
      <c r="M31" s="131"/>
      <c r="N31" s="355" t="s">
        <v>87</v>
      </c>
      <c r="O31" s="356"/>
      <c r="P31" s="140">
        <f>P28-P29-P30</f>
        <v>0</v>
      </c>
    </row>
    <row r="32" spans="1:22 16384:16384" ht="15" customHeight="1" x14ac:dyDescent="0.35">
      <c r="B32" s="347"/>
      <c r="C32" s="348"/>
      <c r="D32" s="348"/>
      <c r="E32" s="348"/>
      <c r="F32" s="348"/>
      <c r="G32" s="348"/>
      <c r="H32" s="348"/>
      <c r="I32" s="348"/>
      <c r="J32" s="348"/>
      <c r="K32" s="348"/>
      <c r="L32" s="34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47"/>
      <c r="C33" s="348"/>
      <c r="D33" s="348"/>
      <c r="E33" s="348"/>
      <c r="F33" s="348"/>
      <c r="G33" s="348"/>
      <c r="H33" s="348"/>
      <c r="I33" s="348"/>
      <c r="J33" s="348"/>
      <c r="K33" s="348"/>
      <c r="L33" s="349"/>
      <c r="M33" s="131"/>
      <c r="N33" s="357" t="s">
        <v>76</v>
      </c>
      <c r="O33" s="358"/>
      <c r="P33" s="140">
        <f>P31+P32</f>
        <v>0</v>
      </c>
    </row>
    <row r="34" spans="2:16" ht="15" customHeight="1" thickBot="1" x14ac:dyDescent="0.4">
      <c r="B34" s="350"/>
      <c r="C34" s="351"/>
      <c r="D34" s="351"/>
      <c r="E34" s="351"/>
      <c r="F34" s="351"/>
      <c r="G34" s="351"/>
      <c r="H34" s="351"/>
      <c r="I34" s="351"/>
      <c r="J34" s="351"/>
      <c r="K34" s="351"/>
      <c r="L34" s="35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59" t="s">
        <v>88</v>
      </c>
      <c r="O35" s="360"/>
      <c r="P35" s="297">
        <f>+P33+P34</f>
        <v>0</v>
      </c>
    </row>
    <row r="36" spans="2:16" ht="15" thickBot="1" x14ac:dyDescent="0.4">
      <c r="B36" s="121" t="s">
        <v>63</v>
      </c>
      <c r="C36" s="361"/>
      <c r="D36" s="361"/>
      <c r="E36" s="361"/>
      <c r="F36" s="361"/>
      <c r="G36" s="361"/>
      <c r="H36" s="361"/>
      <c r="I36" s="362"/>
      <c r="J36" s="363"/>
      <c r="K36" s="364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2:XFD38"/>
  <sheetViews>
    <sheetView workbookViewId="0">
      <selection activeCell="H8" sqref="H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7" t="s">
        <v>91</v>
      </c>
      <c r="B2" s="377"/>
      <c r="C2" s="377"/>
    </row>
    <row r="3" spans="1:22 16383:16384" ht="15" customHeight="1" x14ac:dyDescent="0.35">
      <c r="A3" s="378" t="s">
        <v>92</v>
      </c>
      <c r="B3" s="378"/>
      <c r="C3" s="378"/>
      <c r="F3" s="85"/>
      <c r="G3" s="1"/>
      <c r="K3" s="379" t="s">
        <v>43</v>
      </c>
      <c r="L3" s="379"/>
      <c r="M3" s="379"/>
      <c r="N3" s="378"/>
      <c r="O3" s="378"/>
      <c r="P3" s="37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8" t="s">
        <v>505</v>
      </c>
      <c r="B4" s="378"/>
      <c r="C4" s="378"/>
      <c r="F4" s="85"/>
      <c r="G4" s="1"/>
      <c r="K4" s="379" t="s">
        <v>44</v>
      </c>
      <c r="L4" s="379"/>
      <c r="M4" s="379"/>
      <c r="N4" s="382">
        <f ca="1">TODAY()+1</f>
        <v>46227</v>
      </c>
      <c r="O4" s="382"/>
      <c r="P4" s="38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3" t="s">
        <v>492</v>
      </c>
      <c r="B5" s="383"/>
      <c r="C5" s="383"/>
      <c r="F5" s="85"/>
      <c r="G5" s="1"/>
      <c r="K5" s="379" t="s">
        <v>45</v>
      </c>
      <c r="L5" s="379"/>
      <c r="M5" s="379"/>
      <c r="N5" s="382">
        <f ca="1">N4-1</f>
        <v>46226</v>
      </c>
      <c r="O5" s="378"/>
      <c r="P5" s="378"/>
      <c r="R5" s="85"/>
      <c r="S5" s="266"/>
    </row>
    <row r="6" spans="1:22 16383:16384" ht="18.75" customHeight="1" x14ac:dyDescent="0.4">
      <c r="A6" s="384" t="s">
        <v>504</v>
      </c>
      <c r="B6" s="384"/>
      <c r="C6" s="384"/>
      <c r="F6" s="85"/>
      <c r="G6" s="86"/>
      <c r="K6" s="379" t="s">
        <v>69</v>
      </c>
      <c r="L6" s="379"/>
      <c r="M6" s="379"/>
      <c r="N6" s="381" t="s">
        <v>62</v>
      </c>
      <c r="O6" s="381"/>
      <c r="P6" s="38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9" t="s">
        <v>73</v>
      </c>
      <c r="B7" s="379"/>
      <c r="C7" s="379"/>
      <c r="F7" s="85"/>
      <c r="G7" s="86"/>
      <c r="K7" s="379" t="s">
        <v>66</v>
      </c>
      <c r="L7" s="379"/>
      <c r="M7" s="379"/>
      <c r="N7" s="381" t="s">
        <v>511</v>
      </c>
      <c r="O7" s="381"/>
      <c r="P7" s="38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5" t="s">
        <v>95</v>
      </c>
      <c r="B8" s="385"/>
      <c r="C8" s="385"/>
      <c r="F8" s="85"/>
      <c r="G8" s="86"/>
      <c r="K8" s="379" t="s">
        <v>67</v>
      </c>
      <c r="L8" s="379"/>
      <c r="M8" s="379"/>
      <c r="N8" s="381" t="s">
        <v>511</v>
      </c>
      <c r="O8" s="381"/>
      <c r="P8" s="381"/>
      <c r="R8" s="85"/>
      <c r="S8" s="267"/>
    </row>
    <row r="9" spans="1:22 16383:16384" x14ac:dyDescent="0.35">
      <c r="A9" s="385" t="s">
        <v>96</v>
      </c>
      <c r="B9" s="385"/>
      <c r="C9" s="385"/>
      <c r="F9" s="85"/>
      <c r="G9" s="86"/>
      <c r="K9" s="379" t="s">
        <v>68</v>
      </c>
      <c r="L9" s="379"/>
      <c r="M9" s="379"/>
      <c r="N9" s="381" t="s">
        <v>104</v>
      </c>
      <c r="O9" s="381"/>
      <c r="P9" s="381"/>
      <c r="R9" s="85"/>
      <c r="S9" s="267"/>
      <c r="XFD9" t="s">
        <v>49</v>
      </c>
    </row>
    <row r="10" spans="1:22 16383:16384" x14ac:dyDescent="0.35">
      <c r="A10" s="385" t="s">
        <v>97</v>
      </c>
      <c r="B10" s="385"/>
      <c r="C10" s="385"/>
      <c r="F10" s="85"/>
      <c r="G10" s="1"/>
      <c r="K10" s="379" t="s">
        <v>46</v>
      </c>
      <c r="L10" s="379"/>
      <c r="M10" s="379"/>
      <c r="N10" s="378" t="s">
        <v>47</v>
      </c>
      <c r="O10" s="378"/>
      <c r="P10" s="37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9" t="s">
        <v>48</v>
      </c>
      <c r="L11" s="379"/>
      <c r="M11" s="379"/>
      <c r="N11" s="381" t="s">
        <v>49</v>
      </c>
      <c r="O11" s="381"/>
      <c r="P11" s="38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9" t="s">
        <v>50</v>
      </c>
      <c r="L12" s="379"/>
      <c r="M12" s="379"/>
      <c r="N12" s="378"/>
      <c r="O12" s="378"/>
      <c r="P12" s="37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0" t="s">
        <v>51</v>
      </c>
      <c r="B14" s="331"/>
      <c r="C14" s="334" t="s">
        <v>90</v>
      </c>
      <c r="D14" s="115" t="s">
        <v>52</v>
      </c>
      <c r="E14" s="336" t="s">
        <v>58</v>
      </c>
      <c r="F14" s="337"/>
      <c r="G14" s="338" t="s">
        <v>54</v>
      </c>
      <c r="H14" s="339"/>
      <c r="I14" s="340" t="s">
        <v>77</v>
      </c>
      <c r="J14" s="376" t="s">
        <v>55</v>
      </c>
      <c r="K14" s="338"/>
      <c r="L14" s="339"/>
      <c r="M14" s="331" t="s">
        <v>84</v>
      </c>
      <c r="N14" s="37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2"/>
      <c r="B15" s="333"/>
      <c r="C15" s="33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1"/>
      <c r="J15" s="143" t="s">
        <v>59</v>
      </c>
      <c r="K15" s="144" t="s">
        <v>39</v>
      </c>
      <c r="L15" s="145" t="s">
        <v>493</v>
      </c>
      <c r="M15" s="333"/>
      <c r="N15" s="341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0">
        <f>COUNT(A16:A24)</f>
        <v>0</v>
      </c>
      <c r="B25" s="342"/>
      <c r="C25" s="342" t="s">
        <v>40</v>
      </c>
      <c r="D25" s="342"/>
      <c r="E25" s="342"/>
      <c r="F25" s="34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4" t="s">
        <v>64</v>
      </c>
      <c r="C28" s="345"/>
      <c r="D28" s="345"/>
      <c r="E28" s="345"/>
      <c r="F28" s="345"/>
      <c r="G28" s="345"/>
      <c r="H28" s="345"/>
      <c r="I28" s="345"/>
      <c r="J28" s="345"/>
      <c r="K28" s="345"/>
      <c r="L28" s="346"/>
      <c r="N28" s="353" t="s">
        <v>60</v>
      </c>
      <c r="O28" s="354"/>
      <c r="P28" s="139">
        <f>I25</f>
        <v>0</v>
      </c>
    </row>
    <row r="29" spans="1:22 16384:16384" ht="15" customHeight="1" x14ac:dyDescent="0.35">
      <c r="B29" s="347"/>
      <c r="C29" s="348"/>
      <c r="D29" s="348"/>
      <c r="E29" s="348"/>
      <c r="F29" s="348"/>
      <c r="G29" s="348"/>
      <c r="H29" s="348"/>
      <c r="I29" s="348"/>
      <c r="J29" s="348"/>
      <c r="K29" s="348"/>
      <c r="L29" s="349"/>
      <c r="N29" s="355" t="s">
        <v>85</v>
      </c>
      <c r="O29" s="356"/>
      <c r="P29" s="140">
        <f>+J25</f>
        <v>0</v>
      </c>
    </row>
    <row r="30" spans="1:22 16384:16384" ht="15" customHeight="1" x14ac:dyDescent="0.35">
      <c r="B30" s="347"/>
      <c r="C30" s="348"/>
      <c r="D30" s="348"/>
      <c r="E30" s="348"/>
      <c r="F30" s="348"/>
      <c r="G30" s="348"/>
      <c r="H30" s="348"/>
      <c r="I30" s="348"/>
      <c r="J30" s="348"/>
      <c r="K30" s="348"/>
      <c r="L30" s="349"/>
      <c r="N30" s="355" t="s">
        <v>86</v>
      </c>
      <c r="O30" s="356"/>
      <c r="P30" s="140">
        <f>+K25+L25</f>
        <v>0</v>
      </c>
    </row>
    <row r="31" spans="1:22 16384:16384" ht="15" customHeight="1" x14ac:dyDescent="0.35">
      <c r="B31" s="347"/>
      <c r="C31" s="348"/>
      <c r="D31" s="348"/>
      <c r="E31" s="348"/>
      <c r="F31" s="348"/>
      <c r="G31" s="348"/>
      <c r="H31" s="348"/>
      <c r="I31" s="348"/>
      <c r="J31" s="348"/>
      <c r="K31" s="348"/>
      <c r="L31" s="349"/>
      <c r="M31" s="131"/>
      <c r="N31" s="355" t="s">
        <v>87</v>
      </c>
      <c r="O31" s="356"/>
      <c r="P31" s="140">
        <f>P28-P29-P30</f>
        <v>0</v>
      </c>
    </row>
    <row r="32" spans="1:22 16384:16384" ht="15" customHeight="1" x14ac:dyDescent="0.35">
      <c r="B32" s="347"/>
      <c r="C32" s="348"/>
      <c r="D32" s="348"/>
      <c r="E32" s="348"/>
      <c r="F32" s="348"/>
      <c r="G32" s="348"/>
      <c r="H32" s="348"/>
      <c r="I32" s="348"/>
      <c r="J32" s="348"/>
      <c r="K32" s="348"/>
      <c r="L32" s="34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47"/>
      <c r="C33" s="348"/>
      <c r="D33" s="348"/>
      <c r="E33" s="348"/>
      <c r="F33" s="348"/>
      <c r="G33" s="348"/>
      <c r="H33" s="348"/>
      <c r="I33" s="348"/>
      <c r="J33" s="348"/>
      <c r="K33" s="348"/>
      <c r="L33" s="349"/>
      <c r="M33" s="131"/>
      <c r="N33" s="357" t="s">
        <v>76</v>
      </c>
      <c r="O33" s="358"/>
      <c r="P33" s="140">
        <f>P31+P32</f>
        <v>0</v>
      </c>
    </row>
    <row r="34" spans="2:16" ht="15" customHeight="1" thickBot="1" x14ac:dyDescent="0.4">
      <c r="B34" s="350"/>
      <c r="C34" s="351"/>
      <c r="D34" s="351"/>
      <c r="E34" s="351"/>
      <c r="F34" s="351"/>
      <c r="G34" s="351"/>
      <c r="H34" s="351"/>
      <c r="I34" s="351"/>
      <c r="J34" s="351"/>
      <c r="K34" s="351"/>
      <c r="L34" s="35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59" t="s">
        <v>88</v>
      </c>
      <c r="O35" s="360"/>
      <c r="P35" s="297">
        <f>+P33+P34</f>
        <v>0</v>
      </c>
    </row>
    <row r="36" spans="2:16" ht="15" thickBot="1" x14ac:dyDescent="0.4">
      <c r="B36" s="121" t="s">
        <v>63</v>
      </c>
      <c r="C36" s="361"/>
      <c r="D36" s="361"/>
      <c r="E36" s="361"/>
      <c r="F36" s="361"/>
      <c r="G36" s="361"/>
      <c r="H36" s="361"/>
      <c r="I36" s="362"/>
      <c r="J36" s="363"/>
      <c r="K36" s="364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7" t="s">
        <v>91</v>
      </c>
      <c r="B2" s="377"/>
      <c r="C2" s="377"/>
    </row>
    <row r="3" spans="1:22 16383:16384" ht="15" customHeight="1" x14ac:dyDescent="0.35">
      <c r="A3" s="378" t="s">
        <v>92</v>
      </c>
      <c r="B3" s="378"/>
      <c r="C3" s="378"/>
      <c r="F3" s="85"/>
      <c r="G3" s="1"/>
      <c r="K3" s="379" t="s">
        <v>43</v>
      </c>
      <c r="L3" s="379"/>
      <c r="M3" s="379"/>
      <c r="N3" s="378"/>
      <c r="O3" s="378"/>
      <c r="P3" s="37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8" t="s">
        <v>505</v>
      </c>
      <c r="B4" s="378"/>
      <c r="C4" s="378"/>
      <c r="F4" s="85"/>
      <c r="G4" s="1"/>
      <c r="K4" s="379" t="s">
        <v>44</v>
      </c>
      <c r="L4" s="379"/>
      <c r="M4" s="379"/>
      <c r="N4" s="382">
        <f ca="1">TODAY()+1</f>
        <v>46227</v>
      </c>
      <c r="O4" s="382"/>
      <c r="P4" s="38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3" t="s">
        <v>492</v>
      </c>
      <c r="B5" s="383"/>
      <c r="C5" s="383"/>
      <c r="F5" s="85"/>
      <c r="G5" s="1"/>
      <c r="K5" s="379" t="s">
        <v>45</v>
      </c>
      <c r="L5" s="379"/>
      <c r="M5" s="379"/>
      <c r="N5" s="382">
        <f ca="1">N4-1</f>
        <v>46226</v>
      </c>
      <c r="O5" s="378"/>
      <c r="P5" s="378"/>
      <c r="R5" s="85"/>
      <c r="S5" s="266"/>
    </row>
    <row r="6" spans="1:22 16383:16384" ht="15" customHeight="1" x14ac:dyDescent="0.4">
      <c r="A6" s="384" t="s">
        <v>496</v>
      </c>
      <c r="B6" s="384"/>
      <c r="C6" s="384"/>
      <c r="F6" s="85"/>
      <c r="G6" s="86"/>
      <c r="K6" s="379" t="s">
        <v>69</v>
      </c>
      <c r="L6" s="379"/>
      <c r="M6" s="379"/>
      <c r="N6" s="381" t="s">
        <v>62</v>
      </c>
      <c r="O6" s="381"/>
      <c r="P6" s="38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9" t="s">
        <v>73</v>
      </c>
      <c r="B7" s="379"/>
      <c r="C7" s="379"/>
      <c r="F7" s="85"/>
      <c r="G7" s="86"/>
      <c r="K7" s="379" t="s">
        <v>66</v>
      </c>
      <c r="L7" s="379"/>
      <c r="M7" s="379"/>
      <c r="N7" s="381" t="s">
        <v>511</v>
      </c>
      <c r="O7" s="381"/>
      <c r="P7" s="38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5" t="s">
        <v>95</v>
      </c>
      <c r="B8" s="385"/>
      <c r="C8" s="385"/>
      <c r="F8" s="85"/>
      <c r="G8" s="86"/>
      <c r="K8" s="379" t="s">
        <v>67</v>
      </c>
      <c r="L8" s="379"/>
      <c r="M8" s="379"/>
      <c r="N8" s="381" t="s">
        <v>511</v>
      </c>
      <c r="O8" s="381"/>
      <c r="P8" s="381"/>
      <c r="R8" s="85"/>
      <c r="S8" s="267"/>
    </row>
    <row r="9" spans="1:22 16383:16384" x14ac:dyDescent="0.35">
      <c r="A9" s="385" t="s">
        <v>96</v>
      </c>
      <c r="B9" s="385"/>
      <c r="C9" s="385"/>
      <c r="F9" s="85"/>
      <c r="G9" s="86"/>
      <c r="K9" s="379" t="s">
        <v>68</v>
      </c>
      <c r="L9" s="379"/>
      <c r="M9" s="379"/>
      <c r="N9" s="381" t="s">
        <v>104</v>
      </c>
      <c r="O9" s="381"/>
      <c r="P9" s="381"/>
      <c r="R9" s="85"/>
      <c r="S9" s="267"/>
      <c r="XFD9" t="s">
        <v>49</v>
      </c>
    </row>
    <row r="10" spans="1:22 16383:16384" x14ac:dyDescent="0.35">
      <c r="A10" s="385" t="s">
        <v>97</v>
      </c>
      <c r="B10" s="385"/>
      <c r="C10" s="385"/>
      <c r="F10" s="85"/>
      <c r="G10" s="1"/>
      <c r="K10" s="379" t="s">
        <v>46</v>
      </c>
      <c r="L10" s="379"/>
      <c r="M10" s="379"/>
      <c r="N10" s="378" t="s">
        <v>47</v>
      </c>
      <c r="O10" s="378"/>
      <c r="P10" s="37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9" t="s">
        <v>48</v>
      </c>
      <c r="L11" s="379"/>
      <c r="M11" s="379"/>
      <c r="N11" s="381" t="s">
        <v>49</v>
      </c>
      <c r="O11" s="381"/>
      <c r="P11" s="38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9" t="s">
        <v>50</v>
      </c>
      <c r="L12" s="379"/>
      <c r="M12" s="379"/>
      <c r="N12" s="378"/>
      <c r="O12" s="378"/>
      <c r="P12" s="37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0" t="s">
        <v>51</v>
      </c>
      <c r="B14" s="331"/>
      <c r="C14" s="334" t="s">
        <v>90</v>
      </c>
      <c r="D14" s="115" t="s">
        <v>52</v>
      </c>
      <c r="E14" s="336" t="s">
        <v>58</v>
      </c>
      <c r="F14" s="337"/>
      <c r="G14" s="338" t="s">
        <v>54</v>
      </c>
      <c r="H14" s="339"/>
      <c r="I14" s="340" t="s">
        <v>77</v>
      </c>
      <c r="J14" s="376" t="s">
        <v>55</v>
      </c>
      <c r="K14" s="338"/>
      <c r="L14" s="339"/>
      <c r="M14" s="331" t="s">
        <v>84</v>
      </c>
      <c r="N14" s="37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2"/>
      <c r="B15" s="333"/>
      <c r="C15" s="33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1"/>
      <c r="J15" s="143" t="s">
        <v>59</v>
      </c>
      <c r="K15" s="144" t="s">
        <v>39</v>
      </c>
      <c r="L15" s="145" t="s">
        <v>493</v>
      </c>
      <c r="M15" s="333"/>
      <c r="N15" s="341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0">
        <f>COUNT(A16:A24)</f>
        <v>0</v>
      </c>
      <c r="B25" s="342"/>
      <c r="C25" s="342" t="s">
        <v>40</v>
      </c>
      <c r="D25" s="342"/>
      <c r="E25" s="342"/>
      <c r="F25" s="34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4" t="s">
        <v>64</v>
      </c>
      <c r="C28" s="345"/>
      <c r="D28" s="345"/>
      <c r="E28" s="345"/>
      <c r="F28" s="345"/>
      <c r="G28" s="345"/>
      <c r="H28" s="345"/>
      <c r="I28" s="345"/>
      <c r="J28" s="345"/>
      <c r="K28" s="345"/>
      <c r="L28" s="346"/>
      <c r="N28" s="353" t="s">
        <v>60</v>
      </c>
      <c r="O28" s="354"/>
      <c r="P28" s="139">
        <f>I25</f>
        <v>0</v>
      </c>
    </row>
    <row r="29" spans="1:22 16384:16384" ht="15" customHeight="1" x14ac:dyDescent="0.35">
      <c r="B29" s="347"/>
      <c r="C29" s="348"/>
      <c r="D29" s="348"/>
      <c r="E29" s="348"/>
      <c r="F29" s="348"/>
      <c r="G29" s="348"/>
      <c r="H29" s="348"/>
      <c r="I29" s="348"/>
      <c r="J29" s="348"/>
      <c r="K29" s="348"/>
      <c r="L29" s="349"/>
      <c r="N29" s="355" t="s">
        <v>85</v>
      </c>
      <c r="O29" s="356"/>
      <c r="P29" s="140">
        <f>+J25</f>
        <v>0</v>
      </c>
    </row>
    <row r="30" spans="1:22 16384:16384" ht="15" customHeight="1" x14ac:dyDescent="0.35">
      <c r="B30" s="347"/>
      <c r="C30" s="348"/>
      <c r="D30" s="348"/>
      <c r="E30" s="348"/>
      <c r="F30" s="348"/>
      <c r="G30" s="348"/>
      <c r="H30" s="348"/>
      <c r="I30" s="348"/>
      <c r="J30" s="348"/>
      <c r="K30" s="348"/>
      <c r="L30" s="349"/>
      <c r="N30" s="355" t="s">
        <v>86</v>
      </c>
      <c r="O30" s="356"/>
      <c r="P30" s="140">
        <f>+K25+L25</f>
        <v>0</v>
      </c>
    </row>
    <row r="31" spans="1:22 16384:16384" ht="15" customHeight="1" x14ac:dyDescent="0.35">
      <c r="B31" s="347"/>
      <c r="C31" s="348"/>
      <c r="D31" s="348"/>
      <c r="E31" s="348"/>
      <c r="F31" s="348"/>
      <c r="G31" s="348"/>
      <c r="H31" s="348"/>
      <c r="I31" s="348"/>
      <c r="J31" s="348"/>
      <c r="K31" s="348"/>
      <c r="L31" s="349"/>
      <c r="M31" s="131"/>
      <c r="N31" s="355" t="s">
        <v>87</v>
      </c>
      <c r="O31" s="356"/>
      <c r="P31" s="140">
        <f>P28-P29-P30</f>
        <v>0</v>
      </c>
    </row>
    <row r="32" spans="1:22 16384:16384" ht="15" customHeight="1" x14ac:dyDescent="0.35">
      <c r="B32" s="347"/>
      <c r="C32" s="348"/>
      <c r="D32" s="348"/>
      <c r="E32" s="348"/>
      <c r="F32" s="348"/>
      <c r="G32" s="348"/>
      <c r="H32" s="348"/>
      <c r="I32" s="348"/>
      <c r="J32" s="348"/>
      <c r="K32" s="348"/>
      <c r="L32" s="34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47"/>
      <c r="C33" s="348"/>
      <c r="D33" s="348"/>
      <c r="E33" s="348"/>
      <c r="F33" s="348"/>
      <c r="G33" s="348"/>
      <c r="H33" s="348"/>
      <c r="I33" s="348"/>
      <c r="J33" s="348"/>
      <c r="K33" s="348"/>
      <c r="L33" s="349"/>
      <c r="M33" s="131"/>
      <c r="N33" s="357" t="s">
        <v>76</v>
      </c>
      <c r="O33" s="358"/>
      <c r="P33" s="140">
        <f>P31+P32</f>
        <v>0</v>
      </c>
    </row>
    <row r="34" spans="2:16" ht="15" customHeight="1" thickBot="1" x14ac:dyDescent="0.4">
      <c r="B34" s="350"/>
      <c r="C34" s="351"/>
      <c r="D34" s="351"/>
      <c r="E34" s="351"/>
      <c r="F34" s="351"/>
      <c r="G34" s="351"/>
      <c r="H34" s="351"/>
      <c r="I34" s="351"/>
      <c r="J34" s="351"/>
      <c r="K34" s="351"/>
      <c r="L34" s="35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59" t="s">
        <v>88</v>
      </c>
      <c r="O35" s="360"/>
      <c r="P35" s="297">
        <f>+P33+P34</f>
        <v>0</v>
      </c>
    </row>
    <row r="36" spans="2:16" ht="15" thickBot="1" x14ac:dyDescent="0.4">
      <c r="B36" s="121" t="s">
        <v>63</v>
      </c>
      <c r="C36" s="361"/>
      <c r="D36" s="361"/>
      <c r="E36" s="361"/>
      <c r="F36" s="361"/>
      <c r="G36" s="361"/>
      <c r="H36" s="361"/>
      <c r="I36" s="362"/>
      <c r="J36" s="363"/>
      <c r="K36" s="364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7" t="s">
        <v>91</v>
      </c>
      <c r="B2" s="377"/>
      <c r="C2" s="377"/>
    </row>
    <row r="3" spans="1:22 16383:16384" ht="15" customHeight="1" x14ac:dyDescent="0.35">
      <c r="A3" s="378" t="s">
        <v>92</v>
      </c>
      <c r="B3" s="378"/>
      <c r="C3" s="378"/>
      <c r="F3" s="85"/>
      <c r="G3" s="1"/>
      <c r="K3" s="379" t="s">
        <v>43</v>
      </c>
      <c r="L3" s="379"/>
      <c r="M3" s="379"/>
      <c r="N3" s="378"/>
      <c r="O3" s="378"/>
      <c r="P3" s="37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8" t="s">
        <v>505</v>
      </c>
      <c r="B4" s="378"/>
      <c r="C4" s="378"/>
      <c r="F4" s="85"/>
      <c r="G4" s="1"/>
      <c r="K4" s="379" t="s">
        <v>44</v>
      </c>
      <c r="L4" s="379"/>
      <c r="M4" s="379"/>
      <c r="N4" s="382">
        <f ca="1">TODAY()+1</f>
        <v>46227</v>
      </c>
      <c r="O4" s="382"/>
      <c r="P4" s="38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3" t="s">
        <v>492</v>
      </c>
      <c r="B5" s="383"/>
      <c r="C5" s="383"/>
      <c r="F5" s="85"/>
      <c r="G5" s="1"/>
      <c r="K5" s="379" t="s">
        <v>45</v>
      </c>
      <c r="L5" s="379"/>
      <c r="M5" s="379"/>
      <c r="N5" s="382">
        <f ca="1">N4-1</f>
        <v>46226</v>
      </c>
      <c r="O5" s="378"/>
      <c r="P5" s="378"/>
      <c r="R5" s="85"/>
      <c r="S5" s="266"/>
    </row>
    <row r="6" spans="1:22 16383:16384" ht="15" customHeight="1" x14ac:dyDescent="0.4">
      <c r="A6" s="384" t="s">
        <v>496</v>
      </c>
      <c r="B6" s="384"/>
      <c r="C6" s="384"/>
      <c r="F6" s="85"/>
      <c r="G6" s="86"/>
      <c r="K6" s="379" t="s">
        <v>69</v>
      </c>
      <c r="L6" s="379"/>
      <c r="M6" s="379"/>
      <c r="N6" s="381" t="s">
        <v>62</v>
      </c>
      <c r="O6" s="381"/>
      <c r="P6" s="38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9" t="s">
        <v>73</v>
      </c>
      <c r="B7" s="379"/>
      <c r="C7" s="379"/>
      <c r="F7" s="85"/>
      <c r="G7" s="86"/>
      <c r="K7" s="379" t="s">
        <v>66</v>
      </c>
      <c r="L7" s="379"/>
      <c r="M7" s="379"/>
      <c r="N7" s="381" t="s">
        <v>511</v>
      </c>
      <c r="O7" s="381"/>
      <c r="P7" s="38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5" t="s">
        <v>95</v>
      </c>
      <c r="B8" s="385"/>
      <c r="C8" s="385"/>
      <c r="F8" s="85"/>
      <c r="G8" s="86"/>
      <c r="K8" s="379" t="s">
        <v>67</v>
      </c>
      <c r="L8" s="379"/>
      <c r="M8" s="379"/>
      <c r="N8" s="381" t="s">
        <v>511</v>
      </c>
      <c r="O8" s="381"/>
      <c r="P8" s="381"/>
      <c r="R8" s="85"/>
      <c r="S8" s="267"/>
    </row>
    <row r="9" spans="1:22 16383:16384" x14ac:dyDescent="0.35">
      <c r="A9" s="385" t="s">
        <v>96</v>
      </c>
      <c r="B9" s="385"/>
      <c r="C9" s="385"/>
      <c r="F9" s="85"/>
      <c r="G9" s="86"/>
      <c r="K9" s="379" t="s">
        <v>68</v>
      </c>
      <c r="L9" s="379"/>
      <c r="M9" s="379"/>
      <c r="N9" s="381" t="s">
        <v>104</v>
      </c>
      <c r="O9" s="381"/>
      <c r="P9" s="381"/>
      <c r="R9" s="85"/>
      <c r="S9" s="267"/>
      <c r="XFD9" t="s">
        <v>49</v>
      </c>
    </row>
    <row r="10" spans="1:22 16383:16384" x14ac:dyDescent="0.35">
      <c r="A10" s="385" t="s">
        <v>97</v>
      </c>
      <c r="B10" s="385"/>
      <c r="C10" s="385"/>
      <c r="F10" s="85"/>
      <c r="G10" s="1"/>
      <c r="K10" s="379" t="s">
        <v>46</v>
      </c>
      <c r="L10" s="379"/>
      <c r="M10" s="379"/>
      <c r="N10" s="378" t="s">
        <v>47</v>
      </c>
      <c r="O10" s="378"/>
      <c r="P10" s="37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9" t="s">
        <v>48</v>
      </c>
      <c r="L11" s="379"/>
      <c r="M11" s="379"/>
      <c r="N11" s="381" t="s">
        <v>49</v>
      </c>
      <c r="O11" s="381"/>
      <c r="P11" s="38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9" t="s">
        <v>50</v>
      </c>
      <c r="L12" s="379"/>
      <c r="M12" s="379"/>
      <c r="N12" s="378"/>
      <c r="O12" s="378"/>
      <c r="P12" s="37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0" t="s">
        <v>51</v>
      </c>
      <c r="B14" s="331"/>
      <c r="C14" s="334" t="s">
        <v>90</v>
      </c>
      <c r="D14" s="115" t="s">
        <v>52</v>
      </c>
      <c r="E14" s="336" t="s">
        <v>58</v>
      </c>
      <c r="F14" s="337"/>
      <c r="G14" s="338" t="s">
        <v>54</v>
      </c>
      <c r="H14" s="339"/>
      <c r="I14" s="340" t="s">
        <v>77</v>
      </c>
      <c r="J14" s="376" t="s">
        <v>55</v>
      </c>
      <c r="K14" s="338"/>
      <c r="L14" s="339"/>
      <c r="M14" s="331" t="s">
        <v>84</v>
      </c>
      <c r="N14" s="37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2"/>
      <c r="B15" s="333"/>
      <c r="C15" s="33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1"/>
      <c r="J15" s="143" t="s">
        <v>59</v>
      </c>
      <c r="K15" s="144" t="s">
        <v>39</v>
      </c>
      <c r="L15" s="145" t="s">
        <v>493</v>
      </c>
      <c r="M15" s="333"/>
      <c r="N15" s="341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0">
        <f>COUNT(A16:A24)</f>
        <v>0</v>
      </c>
      <c r="B25" s="342"/>
      <c r="C25" s="342" t="s">
        <v>40</v>
      </c>
      <c r="D25" s="342"/>
      <c r="E25" s="342"/>
      <c r="F25" s="34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4" t="s">
        <v>64</v>
      </c>
      <c r="C28" s="345"/>
      <c r="D28" s="345"/>
      <c r="E28" s="345"/>
      <c r="F28" s="345"/>
      <c r="G28" s="345"/>
      <c r="H28" s="345"/>
      <c r="I28" s="345"/>
      <c r="J28" s="345"/>
      <c r="K28" s="345"/>
      <c r="L28" s="346"/>
      <c r="N28" s="353" t="s">
        <v>60</v>
      </c>
      <c r="O28" s="354"/>
      <c r="P28" s="139">
        <f>I25</f>
        <v>0</v>
      </c>
    </row>
    <row r="29" spans="1:22 16384:16384" ht="15" customHeight="1" x14ac:dyDescent="0.35">
      <c r="B29" s="347"/>
      <c r="C29" s="348"/>
      <c r="D29" s="348"/>
      <c r="E29" s="348"/>
      <c r="F29" s="348"/>
      <c r="G29" s="348"/>
      <c r="H29" s="348"/>
      <c r="I29" s="348"/>
      <c r="J29" s="348"/>
      <c r="K29" s="348"/>
      <c r="L29" s="349"/>
      <c r="N29" s="355" t="s">
        <v>85</v>
      </c>
      <c r="O29" s="356"/>
      <c r="P29" s="140">
        <f>+J25</f>
        <v>0</v>
      </c>
    </row>
    <row r="30" spans="1:22 16384:16384" ht="15" customHeight="1" x14ac:dyDescent="0.35">
      <c r="B30" s="347"/>
      <c r="C30" s="348"/>
      <c r="D30" s="348"/>
      <c r="E30" s="348"/>
      <c r="F30" s="348"/>
      <c r="G30" s="348"/>
      <c r="H30" s="348"/>
      <c r="I30" s="348"/>
      <c r="J30" s="348"/>
      <c r="K30" s="348"/>
      <c r="L30" s="349"/>
      <c r="N30" s="355" t="s">
        <v>86</v>
      </c>
      <c r="O30" s="356"/>
      <c r="P30" s="140">
        <f>+K25+L25</f>
        <v>0</v>
      </c>
    </row>
    <row r="31" spans="1:22 16384:16384" ht="15" customHeight="1" x14ac:dyDescent="0.35">
      <c r="B31" s="347"/>
      <c r="C31" s="348"/>
      <c r="D31" s="348"/>
      <c r="E31" s="348"/>
      <c r="F31" s="348"/>
      <c r="G31" s="348"/>
      <c r="H31" s="348"/>
      <c r="I31" s="348"/>
      <c r="J31" s="348"/>
      <c r="K31" s="348"/>
      <c r="L31" s="349"/>
      <c r="M31" s="131"/>
      <c r="N31" s="355" t="s">
        <v>87</v>
      </c>
      <c r="O31" s="356"/>
      <c r="P31" s="140">
        <f>P28-P29-P30</f>
        <v>0</v>
      </c>
    </row>
    <row r="32" spans="1:22 16384:16384" ht="15" customHeight="1" x14ac:dyDescent="0.35">
      <c r="B32" s="347"/>
      <c r="C32" s="348"/>
      <c r="D32" s="348"/>
      <c r="E32" s="348"/>
      <c r="F32" s="348"/>
      <c r="G32" s="348"/>
      <c r="H32" s="348"/>
      <c r="I32" s="348"/>
      <c r="J32" s="348"/>
      <c r="K32" s="348"/>
      <c r="L32" s="34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47"/>
      <c r="C33" s="348"/>
      <c r="D33" s="348"/>
      <c r="E33" s="348"/>
      <c r="F33" s="348"/>
      <c r="G33" s="348"/>
      <c r="H33" s="348"/>
      <c r="I33" s="348"/>
      <c r="J33" s="348"/>
      <c r="K33" s="348"/>
      <c r="L33" s="349"/>
      <c r="M33" s="131"/>
      <c r="N33" s="357" t="s">
        <v>76</v>
      </c>
      <c r="O33" s="358"/>
      <c r="P33" s="140">
        <f>P31+P32</f>
        <v>0</v>
      </c>
    </row>
    <row r="34" spans="2:16" ht="15" customHeight="1" thickBot="1" x14ac:dyDescent="0.4">
      <c r="B34" s="350"/>
      <c r="C34" s="351"/>
      <c r="D34" s="351"/>
      <c r="E34" s="351"/>
      <c r="F34" s="351"/>
      <c r="G34" s="351"/>
      <c r="H34" s="351"/>
      <c r="I34" s="351"/>
      <c r="J34" s="351"/>
      <c r="K34" s="351"/>
      <c r="L34" s="35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59" t="s">
        <v>88</v>
      </c>
      <c r="O35" s="360"/>
      <c r="P35" s="297">
        <f>+P33+P34</f>
        <v>0</v>
      </c>
    </row>
    <row r="36" spans="2:16" ht="15" thickBot="1" x14ac:dyDescent="0.4">
      <c r="B36" s="121" t="s">
        <v>63</v>
      </c>
      <c r="C36" s="361"/>
      <c r="D36" s="361"/>
      <c r="E36" s="361"/>
      <c r="F36" s="361"/>
      <c r="G36" s="361"/>
      <c r="H36" s="361"/>
      <c r="I36" s="362"/>
      <c r="J36" s="363"/>
      <c r="K36" s="364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7" t="s">
        <v>91</v>
      </c>
      <c r="B2" s="377"/>
      <c r="C2" s="377"/>
    </row>
    <row r="3" spans="1:22 16383:16384" ht="15" customHeight="1" x14ac:dyDescent="0.35">
      <c r="A3" s="378" t="s">
        <v>92</v>
      </c>
      <c r="B3" s="378"/>
      <c r="C3" s="378"/>
      <c r="F3" s="85"/>
      <c r="G3" s="1"/>
      <c r="K3" s="379" t="s">
        <v>43</v>
      </c>
      <c r="L3" s="379"/>
      <c r="M3" s="379"/>
      <c r="N3" s="378"/>
      <c r="O3" s="378"/>
      <c r="P3" s="37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8" t="s">
        <v>505</v>
      </c>
      <c r="B4" s="378"/>
      <c r="C4" s="378"/>
      <c r="F4" s="85"/>
      <c r="G4" s="1"/>
      <c r="K4" s="379" t="s">
        <v>44</v>
      </c>
      <c r="L4" s="379"/>
      <c r="M4" s="379"/>
      <c r="N4" s="382">
        <f ca="1">TODAY()+1</f>
        <v>46227</v>
      </c>
      <c r="O4" s="382"/>
      <c r="P4" s="38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3" t="s">
        <v>492</v>
      </c>
      <c r="B5" s="383"/>
      <c r="C5" s="383"/>
      <c r="F5" s="85"/>
      <c r="G5" s="1"/>
      <c r="K5" s="379" t="s">
        <v>45</v>
      </c>
      <c r="L5" s="379"/>
      <c r="M5" s="379"/>
      <c r="N5" s="382">
        <f ca="1">N4-1</f>
        <v>46226</v>
      </c>
      <c r="O5" s="378"/>
      <c r="P5" s="378"/>
      <c r="R5" s="85"/>
      <c r="S5" s="266"/>
    </row>
    <row r="6" spans="1:22 16383:16384" ht="15" customHeight="1" x14ac:dyDescent="0.4">
      <c r="A6" s="384" t="s">
        <v>496</v>
      </c>
      <c r="B6" s="384"/>
      <c r="C6" s="384"/>
      <c r="F6" s="85"/>
      <c r="G6" s="86"/>
      <c r="K6" s="379" t="s">
        <v>69</v>
      </c>
      <c r="L6" s="379"/>
      <c r="M6" s="379"/>
      <c r="N6" s="381" t="s">
        <v>62</v>
      </c>
      <c r="O6" s="381"/>
      <c r="P6" s="38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9" t="s">
        <v>73</v>
      </c>
      <c r="B7" s="379"/>
      <c r="C7" s="379"/>
      <c r="F7" s="85"/>
      <c r="G7" s="86"/>
      <c r="K7" s="379" t="s">
        <v>66</v>
      </c>
      <c r="L7" s="379"/>
      <c r="M7" s="379"/>
      <c r="N7" s="381" t="s">
        <v>511</v>
      </c>
      <c r="O7" s="381"/>
      <c r="P7" s="38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5" t="s">
        <v>95</v>
      </c>
      <c r="B8" s="385"/>
      <c r="C8" s="385"/>
      <c r="F8" s="85"/>
      <c r="G8" s="86"/>
      <c r="K8" s="379" t="s">
        <v>67</v>
      </c>
      <c r="L8" s="379"/>
      <c r="M8" s="379"/>
      <c r="N8" s="381" t="s">
        <v>511</v>
      </c>
      <c r="O8" s="381"/>
      <c r="P8" s="381"/>
      <c r="R8" s="85"/>
      <c r="S8" s="267"/>
    </row>
    <row r="9" spans="1:22 16383:16384" x14ac:dyDescent="0.35">
      <c r="A9" s="385" t="s">
        <v>96</v>
      </c>
      <c r="B9" s="385"/>
      <c r="C9" s="385"/>
      <c r="F9" s="85"/>
      <c r="G9" s="86"/>
      <c r="K9" s="379" t="s">
        <v>68</v>
      </c>
      <c r="L9" s="379"/>
      <c r="M9" s="379"/>
      <c r="N9" s="381" t="s">
        <v>104</v>
      </c>
      <c r="O9" s="381"/>
      <c r="P9" s="381"/>
      <c r="R9" s="85"/>
      <c r="S9" s="267"/>
      <c r="XFD9" t="s">
        <v>49</v>
      </c>
    </row>
    <row r="10" spans="1:22 16383:16384" x14ac:dyDescent="0.35">
      <c r="A10" s="385" t="s">
        <v>97</v>
      </c>
      <c r="B10" s="385"/>
      <c r="C10" s="385"/>
      <c r="F10" s="85"/>
      <c r="G10" s="1"/>
      <c r="K10" s="379" t="s">
        <v>46</v>
      </c>
      <c r="L10" s="379"/>
      <c r="M10" s="379"/>
      <c r="N10" s="378" t="s">
        <v>47</v>
      </c>
      <c r="O10" s="378"/>
      <c r="P10" s="37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9" t="s">
        <v>48</v>
      </c>
      <c r="L11" s="379"/>
      <c r="M11" s="379"/>
      <c r="N11" s="381" t="s">
        <v>49</v>
      </c>
      <c r="O11" s="381"/>
      <c r="P11" s="38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9" t="s">
        <v>50</v>
      </c>
      <c r="L12" s="379"/>
      <c r="M12" s="379"/>
      <c r="N12" s="378"/>
      <c r="O12" s="378"/>
      <c r="P12" s="37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0" t="s">
        <v>51</v>
      </c>
      <c r="B14" s="331"/>
      <c r="C14" s="334" t="s">
        <v>90</v>
      </c>
      <c r="D14" s="115" t="s">
        <v>52</v>
      </c>
      <c r="E14" s="336" t="s">
        <v>58</v>
      </c>
      <c r="F14" s="337"/>
      <c r="G14" s="338" t="s">
        <v>54</v>
      </c>
      <c r="H14" s="339"/>
      <c r="I14" s="340" t="s">
        <v>77</v>
      </c>
      <c r="J14" s="376" t="s">
        <v>55</v>
      </c>
      <c r="K14" s="338"/>
      <c r="L14" s="339"/>
      <c r="M14" s="331" t="s">
        <v>84</v>
      </c>
      <c r="N14" s="37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2"/>
      <c r="B15" s="333"/>
      <c r="C15" s="33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1"/>
      <c r="J15" s="143" t="s">
        <v>59</v>
      </c>
      <c r="K15" s="144" t="s">
        <v>39</v>
      </c>
      <c r="L15" s="145" t="s">
        <v>493</v>
      </c>
      <c r="M15" s="333"/>
      <c r="N15" s="341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0">
        <f>COUNT(A16:A24)</f>
        <v>0</v>
      </c>
      <c r="B25" s="342"/>
      <c r="C25" s="342" t="s">
        <v>40</v>
      </c>
      <c r="D25" s="342"/>
      <c r="E25" s="342"/>
      <c r="F25" s="34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4" t="s">
        <v>64</v>
      </c>
      <c r="C28" s="345"/>
      <c r="D28" s="345"/>
      <c r="E28" s="345"/>
      <c r="F28" s="345"/>
      <c r="G28" s="345"/>
      <c r="H28" s="345"/>
      <c r="I28" s="345"/>
      <c r="J28" s="345"/>
      <c r="K28" s="345"/>
      <c r="L28" s="346"/>
      <c r="N28" s="353" t="s">
        <v>60</v>
      </c>
      <c r="O28" s="354"/>
      <c r="P28" s="139">
        <f>I25</f>
        <v>0</v>
      </c>
    </row>
    <row r="29" spans="1:22 16384:16384" ht="15" customHeight="1" x14ac:dyDescent="0.35">
      <c r="B29" s="347"/>
      <c r="C29" s="348"/>
      <c r="D29" s="348"/>
      <c r="E29" s="348"/>
      <c r="F29" s="348"/>
      <c r="G29" s="348"/>
      <c r="H29" s="348"/>
      <c r="I29" s="348"/>
      <c r="J29" s="348"/>
      <c r="K29" s="348"/>
      <c r="L29" s="349"/>
      <c r="N29" s="355" t="s">
        <v>85</v>
      </c>
      <c r="O29" s="356"/>
      <c r="P29" s="140">
        <f>+J25</f>
        <v>0</v>
      </c>
    </row>
    <row r="30" spans="1:22 16384:16384" ht="15" customHeight="1" x14ac:dyDescent="0.35">
      <c r="B30" s="347"/>
      <c r="C30" s="348"/>
      <c r="D30" s="348"/>
      <c r="E30" s="348"/>
      <c r="F30" s="348"/>
      <c r="G30" s="348"/>
      <c r="H30" s="348"/>
      <c r="I30" s="348"/>
      <c r="J30" s="348"/>
      <c r="K30" s="348"/>
      <c r="L30" s="349"/>
      <c r="N30" s="355" t="s">
        <v>86</v>
      </c>
      <c r="O30" s="356"/>
      <c r="P30" s="140">
        <f>+K25+L25</f>
        <v>0</v>
      </c>
    </row>
    <row r="31" spans="1:22 16384:16384" ht="15" customHeight="1" x14ac:dyDescent="0.35">
      <c r="B31" s="347"/>
      <c r="C31" s="348"/>
      <c r="D31" s="348"/>
      <c r="E31" s="348"/>
      <c r="F31" s="348"/>
      <c r="G31" s="348"/>
      <c r="H31" s="348"/>
      <c r="I31" s="348"/>
      <c r="J31" s="348"/>
      <c r="K31" s="348"/>
      <c r="L31" s="349"/>
      <c r="M31" s="131"/>
      <c r="N31" s="355" t="s">
        <v>87</v>
      </c>
      <c r="O31" s="356"/>
      <c r="P31" s="140">
        <f>P28-P29-P30</f>
        <v>0</v>
      </c>
    </row>
    <row r="32" spans="1:22 16384:16384" ht="15" customHeight="1" x14ac:dyDescent="0.35">
      <c r="B32" s="347"/>
      <c r="C32" s="348"/>
      <c r="D32" s="348"/>
      <c r="E32" s="348"/>
      <c r="F32" s="348"/>
      <c r="G32" s="348"/>
      <c r="H32" s="348"/>
      <c r="I32" s="348"/>
      <c r="J32" s="348"/>
      <c r="K32" s="348"/>
      <c r="L32" s="34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47"/>
      <c r="C33" s="348"/>
      <c r="D33" s="348"/>
      <c r="E33" s="348"/>
      <c r="F33" s="348"/>
      <c r="G33" s="348"/>
      <c r="H33" s="348"/>
      <c r="I33" s="348"/>
      <c r="J33" s="348"/>
      <c r="K33" s="348"/>
      <c r="L33" s="349"/>
      <c r="M33" s="131"/>
      <c r="N33" s="357" t="s">
        <v>76</v>
      </c>
      <c r="O33" s="358"/>
      <c r="P33" s="140">
        <f>P31+P32</f>
        <v>0</v>
      </c>
    </row>
    <row r="34" spans="2:16" ht="15" customHeight="1" thickBot="1" x14ac:dyDescent="0.4">
      <c r="B34" s="350"/>
      <c r="C34" s="351"/>
      <c r="D34" s="351"/>
      <c r="E34" s="351"/>
      <c r="F34" s="351"/>
      <c r="G34" s="351"/>
      <c r="H34" s="351"/>
      <c r="I34" s="351"/>
      <c r="J34" s="351"/>
      <c r="K34" s="351"/>
      <c r="L34" s="35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59" t="s">
        <v>88</v>
      </c>
      <c r="O35" s="360"/>
      <c r="P35" s="297">
        <f>+P33+P34</f>
        <v>0</v>
      </c>
    </row>
    <row r="36" spans="2:16" ht="15" thickBot="1" x14ac:dyDescent="0.4">
      <c r="B36" s="121" t="s">
        <v>63</v>
      </c>
      <c r="C36" s="361"/>
      <c r="D36" s="361"/>
      <c r="E36" s="361"/>
      <c r="F36" s="361"/>
      <c r="G36" s="361"/>
      <c r="H36" s="361"/>
      <c r="I36" s="362"/>
      <c r="J36" s="363"/>
      <c r="K36" s="364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7" t="s">
        <v>91</v>
      </c>
      <c r="B2" s="377"/>
      <c r="C2" s="377"/>
    </row>
    <row r="3" spans="1:22 16383:16384" ht="15" customHeight="1" x14ac:dyDescent="0.35">
      <c r="A3" s="378" t="s">
        <v>92</v>
      </c>
      <c r="B3" s="378"/>
      <c r="C3" s="378"/>
      <c r="F3" s="85"/>
      <c r="G3" s="1"/>
      <c r="K3" s="379" t="s">
        <v>43</v>
      </c>
      <c r="L3" s="379"/>
      <c r="M3" s="379"/>
      <c r="N3" s="378"/>
      <c r="O3" s="378"/>
      <c r="P3" s="37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8" t="s">
        <v>505</v>
      </c>
      <c r="B4" s="378"/>
      <c r="C4" s="378"/>
      <c r="F4" s="85"/>
      <c r="G4" s="1"/>
      <c r="K4" s="379" t="s">
        <v>44</v>
      </c>
      <c r="L4" s="379"/>
      <c r="M4" s="379"/>
      <c r="N4" s="382">
        <f ca="1">TODAY()+1</f>
        <v>46227</v>
      </c>
      <c r="O4" s="382"/>
      <c r="P4" s="38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3" t="s">
        <v>492</v>
      </c>
      <c r="B5" s="383"/>
      <c r="C5" s="383"/>
      <c r="F5" s="85"/>
      <c r="G5" s="1"/>
      <c r="K5" s="379" t="s">
        <v>45</v>
      </c>
      <c r="L5" s="379"/>
      <c r="M5" s="379"/>
      <c r="N5" s="382">
        <f ca="1">N4-1</f>
        <v>46226</v>
      </c>
      <c r="O5" s="378"/>
      <c r="P5" s="378"/>
      <c r="R5" s="85"/>
      <c r="S5" s="266"/>
    </row>
    <row r="6" spans="1:22 16383:16384" ht="15" customHeight="1" x14ac:dyDescent="0.4">
      <c r="A6" s="384" t="s">
        <v>496</v>
      </c>
      <c r="B6" s="384"/>
      <c r="C6" s="384"/>
      <c r="F6" s="85"/>
      <c r="G6" s="86"/>
      <c r="K6" s="379" t="s">
        <v>69</v>
      </c>
      <c r="L6" s="379"/>
      <c r="M6" s="379"/>
      <c r="N6" s="381" t="s">
        <v>62</v>
      </c>
      <c r="O6" s="381"/>
      <c r="P6" s="38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9" t="s">
        <v>73</v>
      </c>
      <c r="B7" s="379"/>
      <c r="C7" s="379"/>
      <c r="F7" s="85"/>
      <c r="G7" s="86"/>
      <c r="K7" s="379" t="s">
        <v>66</v>
      </c>
      <c r="L7" s="379"/>
      <c r="M7" s="379"/>
      <c r="N7" s="381" t="s">
        <v>511</v>
      </c>
      <c r="O7" s="381"/>
      <c r="P7" s="38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5" t="s">
        <v>95</v>
      </c>
      <c r="B8" s="385"/>
      <c r="C8" s="385"/>
      <c r="F8" s="85"/>
      <c r="G8" s="86"/>
      <c r="K8" s="379" t="s">
        <v>67</v>
      </c>
      <c r="L8" s="379"/>
      <c r="M8" s="379"/>
      <c r="N8" s="381" t="s">
        <v>511</v>
      </c>
      <c r="O8" s="381"/>
      <c r="P8" s="381"/>
      <c r="R8" s="85"/>
      <c r="S8" s="267"/>
    </row>
    <row r="9" spans="1:22 16383:16384" x14ac:dyDescent="0.35">
      <c r="A9" s="385" t="s">
        <v>96</v>
      </c>
      <c r="B9" s="385"/>
      <c r="C9" s="385"/>
      <c r="F9" s="85"/>
      <c r="G9" s="86"/>
      <c r="K9" s="379" t="s">
        <v>68</v>
      </c>
      <c r="L9" s="379"/>
      <c r="M9" s="379"/>
      <c r="N9" s="381" t="s">
        <v>104</v>
      </c>
      <c r="O9" s="381"/>
      <c r="P9" s="381"/>
      <c r="R9" s="85"/>
      <c r="S9" s="267"/>
      <c r="XFD9" t="s">
        <v>49</v>
      </c>
    </row>
    <row r="10" spans="1:22 16383:16384" x14ac:dyDescent="0.35">
      <c r="A10" s="385" t="s">
        <v>97</v>
      </c>
      <c r="B10" s="385"/>
      <c r="C10" s="385"/>
      <c r="F10" s="85"/>
      <c r="G10" s="1"/>
      <c r="K10" s="379" t="s">
        <v>46</v>
      </c>
      <c r="L10" s="379"/>
      <c r="M10" s="379"/>
      <c r="N10" s="378" t="s">
        <v>47</v>
      </c>
      <c r="O10" s="378"/>
      <c r="P10" s="37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9" t="s">
        <v>48</v>
      </c>
      <c r="L11" s="379"/>
      <c r="M11" s="379"/>
      <c r="N11" s="381" t="s">
        <v>49</v>
      </c>
      <c r="O11" s="381"/>
      <c r="P11" s="38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9" t="s">
        <v>50</v>
      </c>
      <c r="L12" s="379"/>
      <c r="M12" s="379"/>
      <c r="N12" s="378"/>
      <c r="O12" s="378"/>
      <c r="P12" s="37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0" t="s">
        <v>51</v>
      </c>
      <c r="B14" s="331"/>
      <c r="C14" s="334" t="s">
        <v>90</v>
      </c>
      <c r="D14" s="115" t="s">
        <v>52</v>
      </c>
      <c r="E14" s="336" t="s">
        <v>58</v>
      </c>
      <c r="F14" s="337"/>
      <c r="G14" s="338" t="s">
        <v>54</v>
      </c>
      <c r="H14" s="339"/>
      <c r="I14" s="340" t="s">
        <v>77</v>
      </c>
      <c r="J14" s="376" t="s">
        <v>55</v>
      </c>
      <c r="K14" s="338"/>
      <c r="L14" s="339"/>
      <c r="M14" s="331" t="s">
        <v>84</v>
      </c>
      <c r="N14" s="37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2"/>
      <c r="B15" s="333"/>
      <c r="C15" s="33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1"/>
      <c r="J15" s="143" t="s">
        <v>59</v>
      </c>
      <c r="K15" s="144" t="s">
        <v>39</v>
      </c>
      <c r="L15" s="145" t="s">
        <v>493</v>
      </c>
      <c r="M15" s="333"/>
      <c r="N15" s="341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0">
        <f>COUNT(A16:A24)</f>
        <v>0</v>
      </c>
      <c r="B25" s="342"/>
      <c r="C25" s="342" t="s">
        <v>40</v>
      </c>
      <c r="D25" s="342"/>
      <c r="E25" s="342"/>
      <c r="F25" s="34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4" t="s">
        <v>64</v>
      </c>
      <c r="C28" s="345"/>
      <c r="D28" s="345"/>
      <c r="E28" s="345"/>
      <c r="F28" s="345"/>
      <c r="G28" s="345"/>
      <c r="H28" s="345"/>
      <c r="I28" s="345"/>
      <c r="J28" s="345"/>
      <c r="K28" s="345"/>
      <c r="L28" s="346"/>
      <c r="N28" s="353" t="s">
        <v>60</v>
      </c>
      <c r="O28" s="354"/>
      <c r="P28" s="139">
        <f>I25</f>
        <v>0</v>
      </c>
    </row>
    <row r="29" spans="1:22 16384:16384" ht="15" customHeight="1" x14ac:dyDescent="0.35">
      <c r="B29" s="347"/>
      <c r="C29" s="348"/>
      <c r="D29" s="348"/>
      <c r="E29" s="348"/>
      <c r="F29" s="348"/>
      <c r="G29" s="348"/>
      <c r="H29" s="348"/>
      <c r="I29" s="348"/>
      <c r="J29" s="348"/>
      <c r="K29" s="348"/>
      <c r="L29" s="349"/>
      <c r="N29" s="355" t="s">
        <v>85</v>
      </c>
      <c r="O29" s="356"/>
      <c r="P29" s="140">
        <f>+J25</f>
        <v>0</v>
      </c>
    </row>
    <row r="30" spans="1:22 16384:16384" ht="15" customHeight="1" x14ac:dyDescent="0.35">
      <c r="B30" s="347"/>
      <c r="C30" s="348"/>
      <c r="D30" s="348"/>
      <c r="E30" s="348"/>
      <c r="F30" s="348"/>
      <c r="G30" s="348"/>
      <c r="H30" s="348"/>
      <c r="I30" s="348"/>
      <c r="J30" s="348"/>
      <c r="K30" s="348"/>
      <c r="L30" s="349"/>
      <c r="N30" s="355" t="s">
        <v>86</v>
      </c>
      <c r="O30" s="356"/>
      <c r="P30" s="140">
        <f>+K25+L25</f>
        <v>0</v>
      </c>
    </row>
    <row r="31" spans="1:22 16384:16384" ht="15" customHeight="1" x14ac:dyDescent="0.35">
      <c r="B31" s="347"/>
      <c r="C31" s="348"/>
      <c r="D31" s="348"/>
      <c r="E31" s="348"/>
      <c r="F31" s="348"/>
      <c r="G31" s="348"/>
      <c r="H31" s="348"/>
      <c r="I31" s="348"/>
      <c r="J31" s="348"/>
      <c r="K31" s="348"/>
      <c r="L31" s="349"/>
      <c r="M31" s="131"/>
      <c r="N31" s="355" t="s">
        <v>87</v>
      </c>
      <c r="O31" s="356"/>
      <c r="P31" s="140">
        <f>P28-P29-P30</f>
        <v>0</v>
      </c>
    </row>
    <row r="32" spans="1:22 16384:16384" ht="15" customHeight="1" x14ac:dyDescent="0.35">
      <c r="B32" s="347"/>
      <c r="C32" s="348"/>
      <c r="D32" s="348"/>
      <c r="E32" s="348"/>
      <c r="F32" s="348"/>
      <c r="G32" s="348"/>
      <c r="H32" s="348"/>
      <c r="I32" s="348"/>
      <c r="J32" s="348"/>
      <c r="K32" s="348"/>
      <c r="L32" s="34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47"/>
      <c r="C33" s="348"/>
      <c r="D33" s="348"/>
      <c r="E33" s="348"/>
      <c r="F33" s="348"/>
      <c r="G33" s="348"/>
      <c r="H33" s="348"/>
      <c r="I33" s="348"/>
      <c r="J33" s="348"/>
      <c r="K33" s="348"/>
      <c r="L33" s="349"/>
      <c r="M33" s="131"/>
      <c r="N33" s="357" t="s">
        <v>76</v>
      </c>
      <c r="O33" s="358"/>
      <c r="P33" s="140">
        <f>P31+P32</f>
        <v>0</v>
      </c>
    </row>
    <row r="34" spans="2:16" ht="15" customHeight="1" thickBot="1" x14ac:dyDescent="0.4">
      <c r="B34" s="350"/>
      <c r="C34" s="351"/>
      <c r="D34" s="351"/>
      <c r="E34" s="351"/>
      <c r="F34" s="351"/>
      <c r="G34" s="351"/>
      <c r="H34" s="351"/>
      <c r="I34" s="351"/>
      <c r="J34" s="351"/>
      <c r="K34" s="351"/>
      <c r="L34" s="35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59" t="s">
        <v>88</v>
      </c>
      <c r="O35" s="360"/>
      <c r="P35" s="297">
        <f>+P33+P34</f>
        <v>0</v>
      </c>
    </row>
    <row r="36" spans="2:16" ht="15" thickBot="1" x14ac:dyDescent="0.4">
      <c r="B36" s="121" t="s">
        <v>63</v>
      </c>
      <c r="C36" s="361"/>
      <c r="D36" s="361"/>
      <c r="E36" s="361"/>
      <c r="F36" s="361"/>
      <c r="G36" s="361"/>
      <c r="H36" s="361"/>
      <c r="I36" s="362"/>
      <c r="J36" s="363"/>
      <c r="K36" s="364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7" t="s">
        <v>91</v>
      </c>
      <c r="B2" s="377"/>
      <c r="C2" s="377"/>
    </row>
    <row r="3" spans="1:22 16383:16384" ht="15" customHeight="1" x14ac:dyDescent="0.35">
      <c r="A3" s="378" t="s">
        <v>92</v>
      </c>
      <c r="B3" s="378"/>
      <c r="C3" s="378"/>
      <c r="F3" s="85"/>
      <c r="G3" s="1"/>
      <c r="K3" s="379" t="s">
        <v>43</v>
      </c>
      <c r="L3" s="379"/>
      <c r="M3" s="379"/>
      <c r="N3" s="378"/>
      <c r="O3" s="378"/>
      <c r="P3" s="37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8" t="s">
        <v>505</v>
      </c>
      <c r="B4" s="378"/>
      <c r="C4" s="378"/>
      <c r="F4" s="85"/>
      <c r="G4" s="1"/>
      <c r="K4" s="379" t="s">
        <v>44</v>
      </c>
      <c r="L4" s="379"/>
      <c r="M4" s="379"/>
      <c r="N4" s="382">
        <f ca="1">TODAY()+1</f>
        <v>46227</v>
      </c>
      <c r="O4" s="382"/>
      <c r="P4" s="38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3" t="s">
        <v>492</v>
      </c>
      <c r="B5" s="383"/>
      <c r="C5" s="383"/>
      <c r="F5" s="85"/>
      <c r="G5" s="1"/>
      <c r="K5" s="379" t="s">
        <v>45</v>
      </c>
      <c r="L5" s="379"/>
      <c r="M5" s="379"/>
      <c r="N5" s="382">
        <f ca="1">N4-1</f>
        <v>46226</v>
      </c>
      <c r="O5" s="378"/>
      <c r="P5" s="378"/>
      <c r="R5" s="85"/>
      <c r="S5" s="266"/>
    </row>
    <row r="6" spans="1:22 16383:16384" ht="15" customHeight="1" x14ac:dyDescent="0.4">
      <c r="A6" s="384" t="s">
        <v>496</v>
      </c>
      <c r="B6" s="384"/>
      <c r="C6" s="384"/>
      <c r="F6" s="85"/>
      <c r="G6" s="86"/>
      <c r="K6" s="379" t="s">
        <v>69</v>
      </c>
      <c r="L6" s="379"/>
      <c r="M6" s="379"/>
      <c r="N6" s="381" t="s">
        <v>62</v>
      </c>
      <c r="O6" s="381"/>
      <c r="P6" s="38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9" t="s">
        <v>73</v>
      </c>
      <c r="B7" s="379"/>
      <c r="C7" s="379"/>
      <c r="F7" s="85"/>
      <c r="G7" s="86"/>
      <c r="K7" s="379" t="s">
        <v>66</v>
      </c>
      <c r="L7" s="379"/>
      <c r="M7" s="379"/>
      <c r="N7" s="381" t="s">
        <v>511</v>
      </c>
      <c r="O7" s="381"/>
      <c r="P7" s="38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5" t="s">
        <v>95</v>
      </c>
      <c r="B8" s="385"/>
      <c r="C8" s="385"/>
      <c r="F8" s="85"/>
      <c r="G8" s="86"/>
      <c r="K8" s="379" t="s">
        <v>67</v>
      </c>
      <c r="L8" s="379"/>
      <c r="M8" s="379"/>
      <c r="N8" s="381" t="s">
        <v>511</v>
      </c>
      <c r="O8" s="381"/>
      <c r="P8" s="381"/>
      <c r="R8" s="85"/>
      <c r="S8" s="267"/>
    </row>
    <row r="9" spans="1:22 16383:16384" x14ac:dyDescent="0.35">
      <c r="A9" s="385" t="s">
        <v>96</v>
      </c>
      <c r="B9" s="385"/>
      <c r="C9" s="385"/>
      <c r="F9" s="85"/>
      <c r="G9" s="86"/>
      <c r="K9" s="379" t="s">
        <v>68</v>
      </c>
      <c r="L9" s="379"/>
      <c r="M9" s="379"/>
      <c r="N9" s="381" t="s">
        <v>104</v>
      </c>
      <c r="O9" s="381"/>
      <c r="P9" s="381"/>
      <c r="R9" s="85"/>
      <c r="S9" s="267"/>
      <c r="XFD9" t="s">
        <v>49</v>
      </c>
    </row>
    <row r="10" spans="1:22 16383:16384" x14ac:dyDescent="0.35">
      <c r="A10" s="385" t="s">
        <v>97</v>
      </c>
      <c r="B10" s="385"/>
      <c r="C10" s="385"/>
      <c r="F10" s="85"/>
      <c r="G10" s="1"/>
      <c r="K10" s="379" t="s">
        <v>46</v>
      </c>
      <c r="L10" s="379"/>
      <c r="M10" s="379"/>
      <c r="N10" s="378" t="s">
        <v>47</v>
      </c>
      <c r="O10" s="378"/>
      <c r="P10" s="37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9" t="s">
        <v>48</v>
      </c>
      <c r="L11" s="379"/>
      <c r="M11" s="379"/>
      <c r="N11" s="381" t="s">
        <v>49</v>
      </c>
      <c r="O11" s="381"/>
      <c r="P11" s="38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9" t="s">
        <v>50</v>
      </c>
      <c r="L12" s="379"/>
      <c r="M12" s="379"/>
      <c r="N12" s="378"/>
      <c r="O12" s="378"/>
      <c r="P12" s="37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0" t="s">
        <v>51</v>
      </c>
      <c r="B14" s="331"/>
      <c r="C14" s="334" t="s">
        <v>90</v>
      </c>
      <c r="D14" s="115" t="s">
        <v>52</v>
      </c>
      <c r="E14" s="336" t="s">
        <v>58</v>
      </c>
      <c r="F14" s="337"/>
      <c r="G14" s="338" t="s">
        <v>54</v>
      </c>
      <c r="H14" s="339"/>
      <c r="I14" s="340" t="s">
        <v>77</v>
      </c>
      <c r="J14" s="376" t="s">
        <v>55</v>
      </c>
      <c r="K14" s="338"/>
      <c r="L14" s="339"/>
      <c r="M14" s="331" t="s">
        <v>84</v>
      </c>
      <c r="N14" s="37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2"/>
      <c r="B15" s="333"/>
      <c r="C15" s="33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1"/>
      <c r="J15" s="143" t="s">
        <v>59</v>
      </c>
      <c r="K15" s="144" t="s">
        <v>39</v>
      </c>
      <c r="L15" s="145" t="s">
        <v>493</v>
      </c>
      <c r="M15" s="333"/>
      <c r="N15" s="341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0">
        <f>COUNT(A16:A24)</f>
        <v>0</v>
      </c>
      <c r="B25" s="342"/>
      <c r="C25" s="342" t="s">
        <v>40</v>
      </c>
      <c r="D25" s="342"/>
      <c r="E25" s="342"/>
      <c r="F25" s="34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4" t="s">
        <v>64</v>
      </c>
      <c r="C28" s="345"/>
      <c r="D28" s="345"/>
      <c r="E28" s="345"/>
      <c r="F28" s="345"/>
      <c r="G28" s="345"/>
      <c r="H28" s="345"/>
      <c r="I28" s="345"/>
      <c r="J28" s="345"/>
      <c r="K28" s="345"/>
      <c r="L28" s="346"/>
      <c r="N28" s="353" t="s">
        <v>60</v>
      </c>
      <c r="O28" s="354"/>
      <c r="P28" s="139">
        <f>I25</f>
        <v>0</v>
      </c>
    </row>
    <row r="29" spans="1:22 16384:16384" ht="15" customHeight="1" x14ac:dyDescent="0.35">
      <c r="B29" s="347"/>
      <c r="C29" s="348"/>
      <c r="D29" s="348"/>
      <c r="E29" s="348"/>
      <c r="F29" s="348"/>
      <c r="G29" s="348"/>
      <c r="H29" s="348"/>
      <c r="I29" s="348"/>
      <c r="J29" s="348"/>
      <c r="K29" s="348"/>
      <c r="L29" s="349"/>
      <c r="N29" s="355" t="s">
        <v>85</v>
      </c>
      <c r="O29" s="356"/>
      <c r="P29" s="140">
        <f>+J25</f>
        <v>0</v>
      </c>
    </row>
    <row r="30" spans="1:22 16384:16384" ht="15" customHeight="1" x14ac:dyDescent="0.35">
      <c r="B30" s="347"/>
      <c r="C30" s="348"/>
      <c r="D30" s="348"/>
      <c r="E30" s="348"/>
      <c r="F30" s="348"/>
      <c r="G30" s="348"/>
      <c r="H30" s="348"/>
      <c r="I30" s="348"/>
      <c r="J30" s="348"/>
      <c r="K30" s="348"/>
      <c r="L30" s="349"/>
      <c r="N30" s="355" t="s">
        <v>86</v>
      </c>
      <c r="O30" s="356"/>
      <c r="P30" s="140">
        <f>+K25+L25</f>
        <v>0</v>
      </c>
    </row>
    <row r="31" spans="1:22 16384:16384" ht="15" customHeight="1" x14ac:dyDescent="0.35">
      <c r="B31" s="347"/>
      <c r="C31" s="348"/>
      <c r="D31" s="348"/>
      <c r="E31" s="348"/>
      <c r="F31" s="348"/>
      <c r="G31" s="348"/>
      <c r="H31" s="348"/>
      <c r="I31" s="348"/>
      <c r="J31" s="348"/>
      <c r="K31" s="348"/>
      <c r="L31" s="349"/>
      <c r="M31" s="131"/>
      <c r="N31" s="355" t="s">
        <v>87</v>
      </c>
      <c r="O31" s="356"/>
      <c r="P31" s="140">
        <f>P28-P29-P30</f>
        <v>0</v>
      </c>
    </row>
    <row r="32" spans="1:22 16384:16384" ht="15" customHeight="1" x14ac:dyDescent="0.35">
      <c r="B32" s="347"/>
      <c r="C32" s="348"/>
      <c r="D32" s="348"/>
      <c r="E32" s="348"/>
      <c r="F32" s="348"/>
      <c r="G32" s="348"/>
      <c r="H32" s="348"/>
      <c r="I32" s="348"/>
      <c r="J32" s="348"/>
      <c r="K32" s="348"/>
      <c r="L32" s="34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47"/>
      <c r="C33" s="348"/>
      <c r="D33" s="348"/>
      <c r="E33" s="348"/>
      <c r="F33" s="348"/>
      <c r="G33" s="348"/>
      <c r="H33" s="348"/>
      <c r="I33" s="348"/>
      <c r="J33" s="348"/>
      <c r="K33" s="348"/>
      <c r="L33" s="349"/>
      <c r="M33" s="131"/>
      <c r="N33" s="357" t="s">
        <v>76</v>
      </c>
      <c r="O33" s="358"/>
      <c r="P33" s="140">
        <f>P31+P32</f>
        <v>0</v>
      </c>
    </row>
    <row r="34" spans="2:16" ht="15" customHeight="1" thickBot="1" x14ac:dyDescent="0.4">
      <c r="B34" s="350"/>
      <c r="C34" s="351"/>
      <c r="D34" s="351"/>
      <c r="E34" s="351"/>
      <c r="F34" s="351"/>
      <c r="G34" s="351"/>
      <c r="H34" s="351"/>
      <c r="I34" s="351"/>
      <c r="J34" s="351"/>
      <c r="K34" s="351"/>
      <c r="L34" s="35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59" t="s">
        <v>88</v>
      </c>
      <c r="O35" s="360"/>
      <c r="P35" s="297">
        <f>+P33+P34</f>
        <v>0</v>
      </c>
    </row>
    <row r="36" spans="2:16" ht="15" thickBot="1" x14ac:dyDescent="0.4">
      <c r="B36" s="121" t="s">
        <v>63</v>
      </c>
      <c r="C36" s="361"/>
      <c r="D36" s="361"/>
      <c r="E36" s="361"/>
      <c r="F36" s="361"/>
      <c r="G36" s="361"/>
      <c r="H36" s="361"/>
      <c r="I36" s="362"/>
      <c r="J36" s="363"/>
      <c r="K36" s="364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7" t="s">
        <v>91</v>
      </c>
      <c r="B2" s="377"/>
      <c r="C2" s="377"/>
    </row>
    <row r="3" spans="1:22 16383:16384" ht="15" customHeight="1" x14ac:dyDescent="0.35">
      <c r="A3" s="378" t="s">
        <v>92</v>
      </c>
      <c r="B3" s="378"/>
      <c r="C3" s="378"/>
      <c r="F3" s="85"/>
      <c r="G3" s="1"/>
      <c r="K3" s="379" t="s">
        <v>43</v>
      </c>
      <c r="L3" s="379"/>
      <c r="M3" s="379"/>
      <c r="N3" s="378"/>
      <c r="O3" s="378"/>
      <c r="P3" s="37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8" t="s">
        <v>505</v>
      </c>
      <c r="B4" s="378"/>
      <c r="C4" s="378"/>
      <c r="F4" s="85"/>
      <c r="G4" s="1"/>
      <c r="K4" s="379" t="s">
        <v>44</v>
      </c>
      <c r="L4" s="379"/>
      <c r="M4" s="379"/>
      <c r="N4" s="382">
        <f ca="1">TODAY()+1</f>
        <v>46227</v>
      </c>
      <c r="O4" s="382"/>
      <c r="P4" s="38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3" t="s">
        <v>492</v>
      </c>
      <c r="B5" s="383"/>
      <c r="C5" s="383"/>
      <c r="F5" s="85"/>
      <c r="G5" s="1"/>
      <c r="K5" s="379" t="s">
        <v>45</v>
      </c>
      <c r="L5" s="379"/>
      <c r="M5" s="379"/>
      <c r="N5" s="382">
        <f ca="1">N4-1</f>
        <v>46226</v>
      </c>
      <c r="O5" s="378"/>
      <c r="P5" s="378"/>
      <c r="R5" s="85"/>
      <c r="S5" s="266"/>
    </row>
    <row r="6" spans="1:22 16383:16384" ht="15" customHeight="1" x14ac:dyDescent="0.4">
      <c r="A6" s="384" t="s">
        <v>496</v>
      </c>
      <c r="B6" s="384"/>
      <c r="C6" s="384"/>
      <c r="F6" s="85"/>
      <c r="G6" s="86"/>
      <c r="K6" s="379" t="s">
        <v>69</v>
      </c>
      <c r="L6" s="379"/>
      <c r="M6" s="379"/>
      <c r="N6" s="381" t="s">
        <v>62</v>
      </c>
      <c r="O6" s="381"/>
      <c r="P6" s="38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9" t="s">
        <v>73</v>
      </c>
      <c r="B7" s="379"/>
      <c r="C7" s="379"/>
      <c r="F7" s="85"/>
      <c r="G7" s="86"/>
      <c r="K7" s="379" t="s">
        <v>66</v>
      </c>
      <c r="L7" s="379"/>
      <c r="M7" s="379"/>
      <c r="N7" s="381" t="s">
        <v>511</v>
      </c>
      <c r="O7" s="381"/>
      <c r="P7" s="38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5" t="s">
        <v>95</v>
      </c>
      <c r="B8" s="385"/>
      <c r="C8" s="385"/>
      <c r="F8" s="85"/>
      <c r="G8" s="86"/>
      <c r="K8" s="379" t="s">
        <v>67</v>
      </c>
      <c r="L8" s="379"/>
      <c r="M8" s="379"/>
      <c r="N8" s="381" t="s">
        <v>511</v>
      </c>
      <c r="O8" s="381"/>
      <c r="P8" s="381"/>
      <c r="R8" s="85"/>
      <c r="S8" s="267"/>
    </row>
    <row r="9" spans="1:22 16383:16384" x14ac:dyDescent="0.35">
      <c r="A9" s="385" t="s">
        <v>96</v>
      </c>
      <c r="B9" s="385"/>
      <c r="C9" s="385"/>
      <c r="F9" s="85"/>
      <c r="G9" s="86"/>
      <c r="K9" s="379" t="s">
        <v>68</v>
      </c>
      <c r="L9" s="379"/>
      <c r="M9" s="379"/>
      <c r="N9" s="381" t="s">
        <v>104</v>
      </c>
      <c r="O9" s="381"/>
      <c r="P9" s="381"/>
      <c r="R9" s="85"/>
      <c r="S9" s="267"/>
      <c r="XFD9" t="s">
        <v>49</v>
      </c>
    </row>
    <row r="10" spans="1:22 16383:16384" x14ac:dyDescent="0.35">
      <c r="A10" s="385" t="s">
        <v>97</v>
      </c>
      <c r="B10" s="385"/>
      <c r="C10" s="385"/>
      <c r="F10" s="85"/>
      <c r="G10" s="1"/>
      <c r="K10" s="379" t="s">
        <v>46</v>
      </c>
      <c r="L10" s="379"/>
      <c r="M10" s="379"/>
      <c r="N10" s="378" t="s">
        <v>47</v>
      </c>
      <c r="O10" s="378"/>
      <c r="P10" s="37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9" t="s">
        <v>48</v>
      </c>
      <c r="L11" s="379"/>
      <c r="M11" s="379"/>
      <c r="N11" s="381" t="s">
        <v>49</v>
      </c>
      <c r="O11" s="381"/>
      <c r="P11" s="38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9" t="s">
        <v>50</v>
      </c>
      <c r="L12" s="379"/>
      <c r="M12" s="379"/>
      <c r="N12" s="378"/>
      <c r="O12" s="378"/>
      <c r="P12" s="37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0" t="s">
        <v>51</v>
      </c>
      <c r="B14" s="331"/>
      <c r="C14" s="334" t="s">
        <v>90</v>
      </c>
      <c r="D14" s="115" t="s">
        <v>52</v>
      </c>
      <c r="E14" s="336" t="s">
        <v>58</v>
      </c>
      <c r="F14" s="337"/>
      <c r="G14" s="338" t="s">
        <v>54</v>
      </c>
      <c r="H14" s="339"/>
      <c r="I14" s="340" t="s">
        <v>77</v>
      </c>
      <c r="J14" s="376" t="s">
        <v>55</v>
      </c>
      <c r="K14" s="338"/>
      <c r="L14" s="339"/>
      <c r="M14" s="331" t="s">
        <v>84</v>
      </c>
      <c r="N14" s="37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2"/>
      <c r="B15" s="333"/>
      <c r="C15" s="33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1"/>
      <c r="J15" s="143" t="s">
        <v>59</v>
      </c>
      <c r="K15" s="144" t="s">
        <v>39</v>
      </c>
      <c r="L15" s="145" t="s">
        <v>493</v>
      </c>
      <c r="M15" s="333"/>
      <c r="N15" s="341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0">
        <f>COUNT(A16:A24)</f>
        <v>0</v>
      </c>
      <c r="B25" s="342"/>
      <c r="C25" s="342" t="s">
        <v>40</v>
      </c>
      <c r="D25" s="342"/>
      <c r="E25" s="342"/>
      <c r="F25" s="34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4" t="s">
        <v>64</v>
      </c>
      <c r="C28" s="345"/>
      <c r="D28" s="345"/>
      <c r="E28" s="345"/>
      <c r="F28" s="345"/>
      <c r="G28" s="345"/>
      <c r="H28" s="345"/>
      <c r="I28" s="345"/>
      <c r="J28" s="345"/>
      <c r="K28" s="345"/>
      <c r="L28" s="346"/>
      <c r="N28" s="353" t="s">
        <v>60</v>
      </c>
      <c r="O28" s="354"/>
      <c r="P28" s="139">
        <f>I25</f>
        <v>0</v>
      </c>
    </row>
    <row r="29" spans="1:22 16384:16384" ht="15" customHeight="1" x14ac:dyDescent="0.35">
      <c r="B29" s="347"/>
      <c r="C29" s="348"/>
      <c r="D29" s="348"/>
      <c r="E29" s="348"/>
      <c r="F29" s="348"/>
      <c r="G29" s="348"/>
      <c r="H29" s="348"/>
      <c r="I29" s="348"/>
      <c r="J29" s="348"/>
      <c r="K29" s="348"/>
      <c r="L29" s="349"/>
      <c r="N29" s="355" t="s">
        <v>85</v>
      </c>
      <c r="O29" s="356"/>
      <c r="P29" s="140">
        <f>+J25</f>
        <v>0</v>
      </c>
    </row>
    <row r="30" spans="1:22 16384:16384" ht="15" customHeight="1" x14ac:dyDescent="0.35">
      <c r="B30" s="347"/>
      <c r="C30" s="348"/>
      <c r="D30" s="348"/>
      <c r="E30" s="348"/>
      <c r="F30" s="348"/>
      <c r="G30" s="348"/>
      <c r="H30" s="348"/>
      <c r="I30" s="348"/>
      <c r="J30" s="348"/>
      <c r="K30" s="348"/>
      <c r="L30" s="349"/>
      <c r="N30" s="355" t="s">
        <v>86</v>
      </c>
      <c r="O30" s="356"/>
      <c r="P30" s="140">
        <f>+K25+L25</f>
        <v>0</v>
      </c>
    </row>
    <row r="31" spans="1:22 16384:16384" ht="15" customHeight="1" x14ac:dyDescent="0.35">
      <c r="B31" s="347"/>
      <c r="C31" s="348"/>
      <c r="D31" s="348"/>
      <c r="E31" s="348"/>
      <c r="F31" s="348"/>
      <c r="G31" s="348"/>
      <c r="H31" s="348"/>
      <c r="I31" s="348"/>
      <c r="J31" s="348"/>
      <c r="K31" s="348"/>
      <c r="L31" s="349"/>
      <c r="M31" s="131"/>
      <c r="N31" s="355" t="s">
        <v>87</v>
      </c>
      <c r="O31" s="356"/>
      <c r="P31" s="140">
        <f>P28-P29-P30</f>
        <v>0</v>
      </c>
    </row>
    <row r="32" spans="1:22 16384:16384" ht="15" customHeight="1" x14ac:dyDescent="0.35">
      <c r="B32" s="347"/>
      <c r="C32" s="348"/>
      <c r="D32" s="348"/>
      <c r="E32" s="348"/>
      <c r="F32" s="348"/>
      <c r="G32" s="348"/>
      <c r="H32" s="348"/>
      <c r="I32" s="348"/>
      <c r="J32" s="348"/>
      <c r="K32" s="348"/>
      <c r="L32" s="34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47"/>
      <c r="C33" s="348"/>
      <c r="D33" s="348"/>
      <c r="E33" s="348"/>
      <c r="F33" s="348"/>
      <c r="G33" s="348"/>
      <c r="H33" s="348"/>
      <c r="I33" s="348"/>
      <c r="J33" s="348"/>
      <c r="K33" s="348"/>
      <c r="L33" s="349"/>
      <c r="M33" s="131"/>
      <c r="N33" s="357" t="s">
        <v>76</v>
      </c>
      <c r="O33" s="358"/>
      <c r="P33" s="140">
        <f>P31+P32</f>
        <v>0</v>
      </c>
    </row>
    <row r="34" spans="2:16" ht="15" customHeight="1" thickBot="1" x14ac:dyDescent="0.4">
      <c r="B34" s="350"/>
      <c r="C34" s="351"/>
      <c r="D34" s="351"/>
      <c r="E34" s="351"/>
      <c r="F34" s="351"/>
      <c r="G34" s="351"/>
      <c r="H34" s="351"/>
      <c r="I34" s="351"/>
      <c r="J34" s="351"/>
      <c r="K34" s="351"/>
      <c r="L34" s="35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59" t="s">
        <v>88</v>
      </c>
      <c r="O35" s="360"/>
      <c r="P35" s="297">
        <f>+P33+P34</f>
        <v>0</v>
      </c>
    </row>
    <row r="36" spans="2:16" ht="15" thickBot="1" x14ac:dyDescent="0.4">
      <c r="B36" s="121" t="s">
        <v>63</v>
      </c>
      <c r="C36" s="361"/>
      <c r="D36" s="361"/>
      <c r="E36" s="361"/>
      <c r="F36" s="361"/>
      <c r="G36" s="361"/>
      <c r="H36" s="361"/>
      <c r="I36" s="362"/>
      <c r="J36" s="363"/>
      <c r="K36" s="364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7" t="s">
        <v>91</v>
      </c>
      <c r="B2" s="377"/>
      <c r="C2" s="377"/>
    </row>
    <row r="3" spans="1:22 16383:16384" ht="15" customHeight="1" x14ac:dyDescent="0.35">
      <c r="A3" s="378" t="s">
        <v>92</v>
      </c>
      <c r="B3" s="378"/>
      <c r="C3" s="378"/>
      <c r="F3" s="85"/>
      <c r="G3" s="1"/>
      <c r="K3" s="379" t="s">
        <v>43</v>
      </c>
      <c r="L3" s="379"/>
      <c r="M3" s="379"/>
      <c r="N3" s="378"/>
      <c r="O3" s="378"/>
      <c r="P3" s="37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8" t="s">
        <v>505</v>
      </c>
      <c r="B4" s="378"/>
      <c r="C4" s="378"/>
      <c r="F4" s="85"/>
      <c r="G4" s="1"/>
      <c r="K4" s="379" t="s">
        <v>44</v>
      </c>
      <c r="L4" s="379"/>
      <c r="M4" s="379"/>
      <c r="N4" s="382">
        <f ca="1">TODAY()+1</f>
        <v>46227</v>
      </c>
      <c r="O4" s="382"/>
      <c r="P4" s="38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3" t="s">
        <v>492</v>
      </c>
      <c r="B5" s="383"/>
      <c r="C5" s="383"/>
      <c r="F5" s="85"/>
      <c r="G5" s="1"/>
      <c r="K5" s="379" t="s">
        <v>45</v>
      </c>
      <c r="L5" s="379"/>
      <c r="M5" s="379"/>
      <c r="N5" s="382">
        <f ca="1">N4-1</f>
        <v>46226</v>
      </c>
      <c r="O5" s="378"/>
      <c r="P5" s="378"/>
      <c r="R5" s="85"/>
      <c r="S5" s="266"/>
    </row>
    <row r="6" spans="1:22 16383:16384" ht="15" customHeight="1" x14ac:dyDescent="0.4">
      <c r="A6" s="384" t="s">
        <v>496</v>
      </c>
      <c r="B6" s="384"/>
      <c r="C6" s="384"/>
      <c r="F6" s="85"/>
      <c r="G6" s="86"/>
      <c r="K6" s="379" t="s">
        <v>69</v>
      </c>
      <c r="L6" s="379"/>
      <c r="M6" s="379"/>
      <c r="N6" s="381" t="s">
        <v>62</v>
      </c>
      <c r="O6" s="381"/>
      <c r="P6" s="38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9" t="s">
        <v>73</v>
      </c>
      <c r="B7" s="379"/>
      <c r="C7" s="379"/>
      <c r="F7" s="85"/>
      <c r="G7" s="86"/>
      <c r="K7" s="379" t="s">
        <v>66</v>
      </c>
      <c r="L7" s="379"/>
      <c r="M7" s="379"/>
      <c r="N7" s="381" t="s">
        <v>511</v>
      </c>
      <c r="O7" s="381"/>
      <c r="P7" s="38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5" t="s">
        <v>95</v>
      </c>
      <c r="B8" s="385"/>
      <c r="C8" s="385"/>
      <c r="F8" s="85"/>
      <c r="G8" s="86"/>
      <c r="K8" s="379" t="s">
        <v>67</v>
      </c>
      <c r="L8" s="379"/>
      <c r="M8" s="379"/>
      <c r="N8" s="381" t="s">
        <v>511</v>
      </c>
      <c r="O8" s="381"/>
      <c r="P8" s="381"/>
      <c r="R8" s="85"/>
      <c r="S8" s="267"/>
    </row>
    <row r="9" spans="1:22 16383:16384" x14ac:dyDescent="0.35">
      <c r="A9" s="385" t="s">
        <v>96</v>
      </c>
      <c r="B9" s="385"/>
      <c r="C9" s="385"/>
      <c r="F9" s="85"/>
      <c r="G9" s="86"/>
      <c r="K9" s="379" t="s">
        <v>68</v>
      </c>
      <c r="L9" s="379"/>
      <c r="M9" s="379"/>
      <c r="N9" s="381" t="s">
        <v>104</v>
      </c>
      <c r="O9" s="381"/>
      <c r="P9" s="381"/>
      <c r="R9" s="85"/>
      <c r="S9" s="267"/>
      <c r="XFD9" t="s">
        <v>49</v>
      </c>
    </row>
    <row r="10" spans="1:22 16383:16384" x14ac:dyDescent="0.35">
      <c r="A10" s="385" t="s">
        <v>97</v>
      </c>
      <c r="B10" s="385"/>
      <c r="C10" s="385"/>
      <c r="F10" s="85"/>
      <c r="G10" s="1"/>
      <c r="K10" s="379" t="s">
        <v>46</v>
      </c>
      <c r="L10" s="379"/>
      <c r="M10" s="379"/>
      <c r="N10" s="378" t="s">
        <v>47</v>
      </c>
      <c r="O10" s="378"/>
      <c r="P10" s="37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9" t="s">
        <v>48</v>
      </c>
      <c r="L11" s="379"/>
      <c r="M11" s="379"/>
      <c r="N11" s="381" t="s">
        <v>49</v>
      </c>
      <c r="O11" s="381"/>
      <c r="P11" s="38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9" t="s">
        <v>50</v>
      </c>
      <c r="L12" s="379"/>
      <c r="M12" s="379"/>
      <c r="N12" s="378"/>
      <c r="O12" s="378"/>
      <c r="P12" s="37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0" t="s">
        <v>51</v>
      </c>
      <c r="B14" s="331"/>
      <c r="C14" s="334" t="s">
        <v>90</v>
      </c>
      <c r="D14" s="115" t="s">
        <v>52</v>
      </c>
      <c r="E14" s="336" t="s">
        <v>58</v>
      </c>
      <c r="F14" s="337"/>
      <c r="G14" s="338" t="s">
        <v>54</v>
      </c>
      <c r="H14" s="339"/>
      <c r="I14" s="340" t="s">
        <v>77</v>
      </c>
      <c r="J14" s="376" t="s">
        <v>55</v>
      </c>
      <c r="K14" s="338"/>
      <c r="L14" s="339"/>
      <c r="M14" s="331" t="s">
        <v>84</v>
      </c>
      <c r="N14" s="37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2"/>
      <c r="B15" s="333"/>
      <c r="C15" s="33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1"/>
      <c r="J15" s="143" t="s">
        <v>59</v>
      </c>
      <c r="K15" s="144" t="s">
        <v>39</v>
      </c>
      <c r="L15" s="145" t="s">
        <v>493</v>
      </c>
      <c r="M15" s="333"/>
      <c r="N15" s="341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0">
        <f>COUNT(A16:A24)</f>
        <v>0</v>
      </c>
      <c r="B25" s="342"/>
      <c r="C25" s="342" t="s">
        <v>40</v>
      </c>
      <c r="D25" s="342"/>
      <c r="E25" s="342"/>
      <c r="F25" s="34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4" t="s">
        <v>64</v>
      </c>
      <c r="C28" s="345"/>
      <c r="D28" s="345"/>
      <c r="E28" s="345"/>
      <c r="F28" s="345"/>
      <c r="G28" s="345"/>
      <c r="H28" s="345"/>
      <c r="I28" s="345"/>
      <c r="J28" s="345"/>
      <c r="K28" s="345"/>
      <c r="L28" s="346"/>
      <c r="N28" s="353" t="s">
        <v>60</v>
      </c>
      <c r="O28" s="354"/>
      <c r="P28" s="139">
        <f>I25</f>
        <v>0</v>
      </c>
    </row>
    <row r="29" spans="1:22 16384:16384" ht="15" customHeight="1" x14ac:dyDescent="0.35">
      <c r="B29" s="347"/>
      <c r="C29" s="348"/>
      <c r="D29" s="348"/>
      <c r="E29" s="348"/>
      <c r="F29" s="348"/>
      <c r="G29" s="348"/>
      <c r="H29" s="348"/>
      <c r="I29" s="348"/>
      <c r="J29" s="348"/>
      <c r="K29" s="348"/>
      <c r="L29" s="349"/>
      <c r="N29" s="355" t="s">
        <v>85</v>
      </c>
      <c r="O29" s="356"/>
      <c r="P29" s="140">
        <f>+J25</f>
        <v>0</v>
      </c>
    </row>
    <row r="30" spans="1:22 16384:16384" ht="15" customHeight="1" x14ac:dyDescent="0.35">
      <c r="B30" s="347"/>
      <c r="C30" s="348"/>
      <c r="D30" s="348"/>
      <c r="E30" s="348"/>
      <c r="F30" s="348"/>
      <c r="G30" s="348"/>
      <c r="H30" s="348"/>
      <c r="I30" s="348"/>
      <c r="J30" s="348"/>
      <c r="K30" s="348"/>
      <c r="L30" s="349"/>
      <c r="N30" s="355" t="s">
        <v>86</v>
      </c>
      <c r="O30" s="356"/>
      <c r="P30" s="140">
        <f>+K25+L25</f>
        <v>0</v>
      </c>
    </row>
    <row r="31" spans="1:22 16384:16384" ht="15" customHeight="1" x14ac:dyDescent="0.35">
      <c r="B31" s="347"/>
      <c r="C31" s="348"/>
      <c r="D31" s="348"/>
      <c r="E31" s="348"/>
      <c r="F31" s="348"/>
      <c r="G31" s="348"/>
      <c r="H31" s="348"/>
      <c r="I31" s="348"/>
      <c r="J31" s="348"/>
      <c r="K31" s="348"/>
      <c r="L31" s="349"/>
      <c r="M31" s="131"/>
      <c r="N31" s="355" t="s">
        <v>87</v>
      </c>
      <c r="O31" s="356"/>
      <c r="P31" s="140">
        <f>P28-P29-P30</f>
        <v>0</v>
      </c>
    </row>
    <row r="32" spans="1:22 16384:16384" ht="15" customHeight="1" x14ac:dyDescent="0.35">
      <c r="B32" s="347"/>
      <c r="C32" s="348"/>
      <c r="D32" s="348"/>
      <c r="E32" s="348"/>
      <c r="F32" s="348"/>
      <c r="G32" s="348"/>
      <c r="H32" s="348"/>
      <c r="I32" s="348"/>
      <c r="J32" s="348"/>
      <c r="K32" s="348"/>
      <c r="L32" s="34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47"/>
      <c r="C33" s="348"/>
      <c r="D33" s="348"/>
      <c r="E33" s="348"/>
      <c r="F33" s="348"/>
      <c r="G33" s="348"/>
      <c r="H33" s="348"/>
      <c r="I33" s="348"/>
      <c r="J33" s="348"/>
      <c r="K33" s="348"/>
      <c r="L33" s="349"/>
      <c r="M33" s="131"/>
      <c r="N33" s="357" t="s">
        <v>76</v>
      </c>
      <c r="O33" s="358"/>
      <c r="P33" s="140">
        <f>P31+P32</f>
        <v>0</v>
      </c>
    </row>
    <row r="34" spans="2:16" ht="15" customHeight="1" thickBot="1" x14ac:dyDescent="0.4">
      <c r="B34" s="350"/>
      <c r="C34" s="351"/>
      <c r="D34" s="351"/>
      <c r="E34" s="351"/>
      <c r="F34" s="351"/>
      <c r="G34" s="351"/>
      <c r="H34" s="351"/>
      <c r="I34" s="351"/>
      <c r="J34" s="351"/>
      <c r="K34" s="351"/>
      <c r="L34" s="35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59" t="s">
        <v>88</v>
      </c>
      <c r="O35" s="360"/>
      <c r="P35" s="297">
        <f>+P33+P34</f>
        <v>0</v>
      </c>
    </row>
    <row r="36" spans="2:16" ht="15" thickBot="1" x14ac:dyDescent="0.4">
      <c r="B36" s="121" t="s">
        <v>63</v>
      </c>
      <c r="C36" s="361"/>
      <c r="D36" s="361"/>
      <c r="E36" s="361"/>
      <c r="F36" s="361"/>
      <c r="G36" s="361"/>
      <c r="H36" s="361"/>
      <c r="I36" s="362"/>
      <c r="J36" s="363"/>
      <c r="K36" s="364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7" t="s">
        <v>91</v>
      </c>
      <c r="B2" s="377"/>
      <c r="C2" s="377"/>
    </row>
    <row r="3" spans="1:22 16383:16384" ht="15" customHeight="1" x14ac:dyDescent="0.35">
      <c r="A3" s="378" t="s">
        <v>92</v>
      </c>
      <c r="B3" s="378"/>
      <c r="C3" s="378"/>
      <c r="F3" s="85"/>
      <c r="G3" s="1"/>
      <c r="K3" s="379" t="s">
        <v>43</v>
      </c>
      <c r="L3" s="379"/>
      <c r="M3" s="379"/>
      <c r="N3" s="378"/>
      <c r="O3" s="378"/>
      <c r="P3" s="37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8" t="s">
        <v>505</v>
      </c>
      <c r="B4" s="378"/>
      <c r="C4" s="378"/>
      <c r="F4" s="85"/>
      <c r="G4" s="1"/>
      <c r="K4" s="379" t="s">
        <v>44</v>
      </c>
      <c r="L4" s="379"/>
      <c r="M4" s="379"/>
      <c r="N4" s="382">
        <f ca="1">TODAY()+1</f>
        <v>46227</v>
      </c>
      <c r="O4" s="382"/>
      <c r="P4" s="38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3" t="s">
        <v>492</v>
      </c>
      <c r="B5" s="383"/>
      <c r="C5" s="383"/>
      <c r="F5" s="85"/>
      <c r="G5" s="1"/>
      <c r="K5" s="379" t="s">
        <v>45</v>
      </c>
      <c r="L5" s="379"/>
      <c r="M5" s="379"/>
      <c r="N5" s="382">
        <f ca="1">N4-1</f>
        <v>46226</v>
      </c>
      <c r="O5" s="378"/>
      <c r="P5" s="378"/>
      <c r="R5" s="85"/>
      <c r="S5" s="266"/>
    </row>
    <row r="6" spans="1:22 16383:16384" ht="15" customHeight="1" x14ac:dyDescent="0.4">
      <c r="A6" s="384" t="s">
        <v>496</v>
      </c>
      <c r="B6" s="384"/>
      <c r="C6" s="384"/>
      <c r="F6" s="85"/>
      <c r="G6" s="86"/>
      <c r="K6" s="379" t="s">
        <v>69</v>
      </c>
      <c r="L6" s="379"/>
      <c r="M6" s="379"/>
      <c r="N6" s="381" t="s">
        <v>62</v>
      </c>
      <c r="O6" s="381"/>
      <c r="P6" s="38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9" t="s">
        <v>73</v>
      </c>
      <c r="B7" s="379"/>
      <c r="C7" s="379"/>
      <c r="F7" s="85"/>
      <c r="G7" s="86"/>
      <c r="K7" s="379" t="s">
        <v>66</v>
      </c>
      <c r="L7" s="379"/>
      <c r="M7" s="379"/>
      <c r="N7" s="381" t="s">
        <v>511</v>
      </c>
      <c r="O7" s="381"/>
      <c r="P7" s="38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5" t="s">
        <v>95</v>
      </c>
      <c r="B8" s="385"/>
      <c r="C8" s="385"/>
      <c r="F8" s="85"/>
      <c r="G8" s="86"/>
      <c r="K8" s="379" t="s">
        <v>67</v>
      </c>
      <c r="L8" s="379"/>
      <c r="M8" s="379"/>
      <c r="N8" s="381" t="s">
        <v>511</v>
      </c>
      <c r="O8" s="381"/>
      <c r="P8" s="381"/>
      <c r="R8" s="85"/>
      <c r="S8" s="267"/>
    </row>
    <row r="9" spans="1:22 16383:16384" x14ac:dyDescent="0.35">
      <c r="A9" s="385" t="s">
        <v>96</v>
      </c>
      <c r="B9" s="385"/>
      <c r="C9" s="385"/>
      <c r="F9" s="85"/>
      <c r="G9" s="86"/>
      <c r="K9" s="379" t="s">
        <v>68</v>
      </c>
      <c r="L9" s="379"/>
      <c r="M9" s="379"/>
      <c r="N9" s="381" t="s">
        <v>104</v>
      </c>
      <c r="O9" s="381"/>
      <c r="P9" s="381"/>
      <c r="R9" s="85"/>
      <c r="S9" s="267"/>
      <c r="XFD9" t="s">
        <v>49</v>
      </c>
    </row>
    <row r="10" spans="1:22 16383:16384" x14ac:dyDescent="0.35">
      <c r="A10" s="385" t="s">
        <v>97</v>
      </c>
      <c r="B10" s="385"/>
      <c r="C10" s="385"/>
      <c r="F10" s="85"/>
      <c r="G10" s="1"/>
      <c r="K10" s="379" t="s">
        <v>46</v>
      </c>
      <c r="L10" s="379"/>
      <c r="M10" s="379"/>
      <c r="N10" s="378" t="s">
        <v>47</v>
      </c>
      <c r="O10" s="378"/>
      <c r="P10" s="37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9" t="s">
        <v>48</v>
      </c>
      <c r="L11" s="379"/>
      <c r="M11" s="379"/>
      <c r="N11" s="381" t="s">
        <v>49</v>
      </c>
      <c r="O11" s="381"/>
      <c r="P11" s="38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9" t="s">
        <v>50</v>
      </c>
      <c r="L12" s="379"/>
      <c r="M12" s="379"/>
      <c r="N12" s="378"/>
      <c r="O12" s="378"/>
      <c r="P12" s="37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0" t="s">
        <v>51</v>
      </c>
      <c r="B14" s="331"/>
      <c r="C14" s="334" t="s">
        <v>90</v>
      </c>
      <c r="D14" s="115" t="s">
        <v>52</v>
      </c>
      <c r="E14" s="336" t="s">
        <v>58</v>
      </c>
      <c r="F14" s="337"/>
      <c r="G14" s="338" t="s">
        <v>54</v>
      </c>
      <c r="H14" s="339"/>
      <c r="I14" s="340" t="s">
        <v>77</v>
      </c>
      <c r="J14" s="376" t="s">
        <v>55</v>
      </c>
      <c r="K14" s="338"/>
      <c r="L14" s="339"/>
      <c r="M14" s="331" t="s">
        <v>84</v>
      </c>
      <c r="N14" s="37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2"/>
      <c r="B15" s="333"/>
      <c r="C15" s="33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1"/>
      <c r="J15" s="143" t="s">
        <v>59</v>
      </c>
      <c r="K15" s="144" t="s">
        <v>39</v>
      </c>
      <c r="L15" s="145" t="s">
        <v>493</v>
      </c>
      <c r="M15" s="333"/>
      <c r="N15" s="341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0">
        <f>COUNT(A16:A24)</f>
        <v>0</v>
      </c>
      <c r="B25" s="342"/>
      <c r="C25" s="342" t="s">
        <v>40</v>
      </c>
      <c r="D25" s="342"/>
      <c r="E25" s="342"/>
      <c r="F25" s="34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4" t="s">
        <v>64</v>
      </c>
      <c r="C28" s="345"/>
      <c r="D28" s="345"/>
      <c r="E28" s="345"/>
      <c r="F28" s="345"/>
      <c r="G28" s="345"/>
      <c r="H28" s="345"/>
      <c r="I28" s="345"/>
      <c r="J28" s="345"/>
      <c r="K28" s="345"/>
      <c r="L28" s="346"/>
      <c r="N28" s="353" t="s">
        <v>60</v>
      </c>
      <c r="O28" s="354"/>
      <c r="P28" s="139">
        <f>I25</f>
        <v>0</v>
      </c>
    </row>
    <row r="29" spans="1:22 16384:16384" ht="15" customHeight="1" x14ac:dyDescent="0.35">
      <c r="B29" s="347"/>
      <c r="C29" s="348"/>
      <c r="D29" s="348"/>
      <c r="E29" s="348"/>
      <c r="F29" s="348"/>
      <c r="G29" s="348"/>
      <c r="H29" s="348"/>
      <c r="I29" s="348"/>
      <c r="J29" s="348"/>
      <c r="K29" s="348"/>
      <c r="L29" s="349"/>
      <c r="N29" s="355" t="s">
        <v>85</v>
      </c>
      <c r="O29" s="356"/>
      <c r="P29" s="140">
        <f>+J25</f>
        <v>0</v>
      </c>
    </row>
    <row r="30" spans="1:22 16384:16384" ht="15" customHeight="1" x14ac:dyDescent="0.35">
      <c r="B30" s="347"/>
      <c r="C30" s="348"/>
      <c r="D30" s="348"/>
      <c r="E30" s="348"/>
      <c r="F30" s="348"/>
      <c r="G30" s="348"/>
      <c r="H30" s="348"/>
      <c r="I30" s="348"/>
      <c r="J30" s="348"/>
      <c r="K30" s="348"/>
      <c r="L30" s="349"/>
      <c r="N30" s="355" t="s">
        <v>86</v>
      </c>
      <c r="O30" s="356"/>
      <c r="P30" s="140">
        <f>+K25+L25</f>
        <v>0</v>
      </c>
    </row>
    <row r="31" spans="1:22 16384:16384" ht="15" customHeight="1" x14ac:dyDescent="0.35">
      <c r="B31" s="347"/>
      <c r="C31" s="348"/>
      <c r="D31" s="348"/>
      <c r="E31" s="348"/>
      <c r="F31" s="348"/>
      <c r="G31" s="348"/>
      <c r="H31" s="348"/>
      <c r="I31" s="348"/>
      <c r="J31" s="348"/>
      <c r="K31" s="348"/>
      <c r="L31" s="349"/>
      <c r="M31" s="131"/>
      <c r="N31" s="355" t="s">
        <v>87</v>
      </c>
      <c r="O31" s="356"/>
      <c r="P31" s="140">
        <f>P28-P29-P30</f>
        <v>0</v>
      </c>
    </row>
    <row r="32" spans="1:22 16384:16384" ht="15" customHeight="1" x14ac:dyDescent="0.35">
      <c r="B32" s="347"/>
      <c r="C32" s="348"/>
      <c r="D32" s="348"/>
      <c r="E32" s="348"/>
      <c r="F32" s="348"/>
      <c r="G32" s="348"/>
      <c r="H32" s="348"/>
      <c r="I32" s="348"/>
      <c r="J32" s="348"/>
      <c r="K32" s="348"/>
      <c r="L32" s="34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47"/>
      <c r="C33" s="348"/>
      <c r="D33" s="348"/>
      <c r="E33" s="348"/>
      <c r="F33" s="348"/>
      <c r="G33" s="348"/>
      <c r="H33" s="348"/>
      <c r="I33" s="348"/>
      <c r="J33" s="348"/>
      <c r="K33" s="348"/>
      <c r="L33" s="349"/>
      <c r="M33" s="131"/>
      <c r="N33" s="357" t="s">
        <v>76</v>
      </c>
      <c r="O33" s="358"/>
      <c r="P33" s="140">
        <f>P31+P32</f>
        <v>0</v>
      </c>
    </row>
    <row r="34" spans="2:16" ht="15" customHeight="1" thickBot="1" x14ac:dyDescent="0.4">
      <c r="B34" s="350"/>
      <c r="C34" s="351"/>
      <c r="D34" s="351"/>
      <c r="E34" s="351"/>
      <c r="F34" s="351"/>
      <c r="G34" s="351"/>
      <c r="H34" s="351"/>
      <c r="I34" s="351"/>
      <c r="J34" s="351"/>
      <c r="K34" s="351"/>
      <c r="L34" s="35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59" t="s">
        <v>88</v>
      </c>
      <c r="O35" s="360"/>
      <c r="P35" s="297">
        <f>+P33+P34</f>
        <v>0</v>
      </c>
    </row>
    <row r="36" spans="2:16" ht="15" thickBot="1" x14ac:dyDescent="0.4">
      <c r="B36" s="121" t="s">
        <v>63</v>
      </c>
      <c r="C36" s="361"/>
      <c r="D36" s="361"/>
      <c r="E36" s="361"/>
      <c r="F36" s="361"/>
      <c r="G36" s="361"/>
      <c r="H36" s="361"/>
      <c r="I36" s="362"/>
      <c r="J36" s="363"/>
      <c r="K36" s="364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7" t="s">
        <v>91</v>
      </c>
      <c r="B2" s="377"/>
      <c r="C2" s="377"/>
    </row>
    <row r="3" spans="1:22 16383:16384" ht="15" customHeight="1" x14ac:dyDescent="0.35">
      <c r="A3" s="378" t="s">
        <v>92</v>
      </c>
      <c r="B3" s="378"/>
      <c r="C3" s="378"/>
      <c r="F3" s="85"/>
      <c r="G3" s="1"/>
      <c r="K3" s="379" t="s">
        <v>43</v>
      </c>
      <c r="L3" s="379"/>
      <c r="M3" s="379"/>
      <c r="N3" s="378"/>
      <c r="O3" s="378"/>
      <c r="P3" s="37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8" t="s">
        <v>505</v>
      </c>
      <c r="B4" s="378"/>
      <c r="C4" s="378"/>
      <c r="F4" s="85"/>
      <c r="G4" s="1"/>
      <c r="K4" s="379" t="s">
        <v>44</v>
      </c>
      <c r="L4" s="379"/>
      <c r="M4" s="379"/>
      <c r="N4" s="382">
        <f ca="1">TODAY()+1</f>
        <v>46227</v>
      </c>
      <c r="O4" s="382"/>
      <c r="P4" s="38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3" t="s">
        <v>492</v>
      </c>
      <c r="B5" s="383"/>
      <c r="C5" s="383"/>
      <c r="F5" s="85"/>
      <c r="G5" s="1"/>
      <c r="K5" s="379" t="s">
        <v>45</v>
      </c>
      <c r="L5" s="379"/>
      <c r="M5" s="379"/>
      <c r="N5" s="382">
        <f ca="1">N4-1</f>
        <v>46226</v>
      </c>
      <c r="O5" s="378"/>
      <c r="P5" s="378"/>
      <c r="R5" s="85"/>
      <c r="S5" s="266"/>
    </row>
    <row r="6" spans="1:22 16383:16384" ht="15" customHeight="1" x14ac:dyDescent="0.4">
      <c r="A6" s="384" t="s">
        <v>496</v>
      </c>
      <c r="B6" s="384"/>
      <c r="C6" s="384"/>
      <c r="F6" s="85"/>
      <c r="G6" s="86"/>
      <c r="K6" s="379" t="s">
        <v>69</v>
      </c>
      <c r="L6" s="379"/>
      <c r="M6" s="379"/>
      <c r="N6" s="381" t="s">
        <v>62</v>
      </c>
      <c r="O6" s="381"/>
      <c r="P6" s="38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9" t="s">
        <v>73</v>
      </c>
      <c r="B7" s="379"/>
      <c r="C7" s="379"/>
      <c r="F7" s="85"/>
      <c r="G7" s="86"/>
      <c r="K7" s="379" t="s">
        <v>66</v>
      </c>
      <c r="L7" s="379"/>
      <c r="M7" s="379"/>
      <c r="N7" s="381" t="s">
        <v>511</v>
      </c>
      <c r="O7" s="381"/>
      <c r="P7" s="38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5" t="s">
        <v>95</v>
      </c>
      <c r="B8" s="385"/>
      <c r="C8" s="385"/>
      <c r="F8" s="85"/>
      <c r="G8" s="86"/>
      <c r="K8" s="379" t="s">
        <v>67</v>
      </c>
      <c r="L8" s="379"/>
      <c r="M8" s="379"/>
      <c r="N8" s="381" t="s">
        <v>511</v>
      </c>
      <c r="O8" s="381"/>
      <c r="P8" s="381"/>
      <c r="R8" s="85"/>
      <c r="S8" s="267"/>
    </row>
    <row r="9" spans="1:22 16383:16384" x14ac:dyDescent="0.35">
      <c r="A9" s="385" t="s">
        <v>96</v>
      </c>
      <c r="B9" s="385"/>
      <c r="C9" s="385"/>
      <c r="F9" s="85"/>
      <c r="G9" s="86"/>
      <c r="K9" s="379" t="s">
        <v>68</v>
      </c>
      <c r="L9" s="379"/>
      <c r="M9" s="379"/>
      <c r="N9" s="381" t="s">
        <v>104</v>
      </c>
      <c r="O9" s="381"/>
      <c r="P9" s="381"/>
      <c r="R9" s="85"/>
      <c r="S9" s="267"/>
      <c r="XFD9" t="s">
        <v>49</v>
      </c>
    </row>
    <row r="10" spans="1:22 16383:16384" x14ac:dyDescent="0.35">
      <c r="A10" s="385" t="s">
        <v>97</v>
      </c>
      <c r="B10" s="385"/>
      <c r="C10" s="385"/>
      <c r="F10" s="85"/>
      <c r="G10" s="1"/>
      <c r="K10" s="379" t="s">
        <v>46</v>
      </c>
      <c r="L10" s="379"/>
      <c r="M10" s="379"/>
      <c r="N10" s="378" t="s">
        <v>47</v>
      </c>
      <c r="O10" s="378"/>
      <c r="P10" s="37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9" t="s">
        <v>48</v>
      </c>
      <c r="L11" s="379"/>
      <c r="M11" s="379"/>
      <c r="N11" s="381" t="s">
        <v>49</v>
      </c>
      <c r="O11" s="381"/>
      <c r="P11" s="38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9" t="s">
        <v>50</v>
      </c>
      <c r="L12" s="379"/>
      <c r="M12" s="379"/>
      <c r="N12" s="378"/>
      <c r="O12" s="378"/>
      <c r="P12" s="37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0" t="s">
        <v>51</v>
      </c>
      <c r="B14" s="331"/>
      <c r="C14" s="334" t="s">
        <v>90</v>
      </c>
      <c r="D14" s="115" t="s">
        <v>52</v>
      </c>
      <c r="E14" s="336" t="s">
        <v>58</v>
      </c>
      <c r="F14" s="337"/>
      <c r="G14" s="338" t="s">
        <v>54</v>
      </c>
      <c r="H14" s="339"/>
      <c r="I14" s="340" t="s">
        <v>77</v>
      </c>
      <c r="J14" s="376" t="s">
        <v>55</v>
      </c>
      <c r="K14" s="338"/>
      <c r="L14" s="339"/>
      <c r="M14" s="331" t="s">
        <v>84</v>
      </c>
      <c r="N14" s="37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2"/>
      <c r="B15" s="333"/>
      <c r="C15" s="33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1"/>
      <c r="J15" s="143" t="s">
        <v>59</v>
      </c>
      <c r="K15" s="144" t="s">
        <v>39</v>
      </c>
      <c r="L15" s="145" t="s">
        <v>493</v>
      </c>
      <c r="M15" s="333"/>
      <c r="N15" s="341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0">
        <f>COUNT(A16:A24)</f>
        <v>0</v>
      </c>
      <c r="B25" s="342"/>
      <c r="C25" s="342" t="s">
        <v>40</v>
      </c>
      <c r="D25" s="342"/>
      <c r="E25" s="342"/>
      <c r="F25" s="34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4" t="s">
        <v>64</v>
      </c>
      <c r="C28" s="345"/>
      <c r="D28" s="345"/>
      <c r="E28" s="345"/>
      <c r="F28" s="345"/>
      <c r="G28" s="345"/>
      <c r="H28" s="345"/>
      <c r="I28" s="345"/>
      <c r="J28" s="345"/>
      <c r="K28" s="345"/>
      <c r="L28" s="346"/>
      <c r="N28" s="353" t="s">
        <v>60</v>
      </c>
      <c r="O28" s="354"/>
      <c r="P28" s="139">
        <f>I25</f>
        <v>0</v>
      </c>
    </row>
    <row r="29" spans="1:22 16384:16384" ht="15" customHeight="1" x14ac:dyDescent="0.35">
      <c r="B29" s="347"/>
      <c r="C29" s="348"/>
      <c r="D29" s="348"/>
      <c r="E29" s="348"/>
      <c r="F29" s="348"/>
      <c r="G29" s="348"/>
      <c r="H29" s="348"/>
      <c r="I29" s="348"/>
      <c r="J29" s="348"/>
      <c r="K29" s="348"/>
      <c r="L29" s="349"/>
      <c r="N29" s="355" t="s">
        <v>85</v>
      </c>
      <c r="O29" s="356"/>
      <c r="P29" s="140">
        <f>+J25</f>
        <v>0</v>
      </c>
    </row>
    <row r="30" spans="1:22 16384:16384" ht="15" customHeight="1" x14ac:dyDescent="0.35">
      <c r="B30" s="347"/>
      <c r="C30" s="348"/>
      <c r="D30" s="348"/>
      <c r="E30" s="348"/>
      <c r="F30" s="348"/>
      <c r="G30" s="348"/>
      <c r="H30" s="348"/>
      <c r="I30" s="348"/>
      <c r="J30" s="348"/>
      <c r="K30" s="348"/>
      <c r="L30" s="349"/>
      <c r="N30" s="355" t="s">
        <v>86</v>
      </c>
      <c r="O30" s="356"/>
      <c r="P30" s="140">
        <f>+K25+L25</f>
        <v>0</v>
      </c>
    </row>
    <row r="31" spans="1:22 16384:16384" ht="15" customHeight="1" x14ac:dyDescent="0.35">
      <c r="B31" s="347"/>
      <c r="C31" s="348"/>
      <c r="D31" s="348"/>
      <c r="E31" s="348"/>
      <c r="F31" s="348"/>
      <c r="G31" s="348"/>
      <c r="H31" s="348"/>
      <c r="I31" s="348"/>
      <c r="J31" s="348"/>
      <c r="K31" s="348"/>
      <c r="L31" s="349"/>
      <c r="M31" s="131"/>
      <c r="N31" s="355" t="s">
        <v>87</v>
      </c>
      <c r="O31" s="356"/>
      <c r="P31" s="140">
        <f>P28-P29-P30</f>
        <v>0</v>
      </c>
    </row>
    <row r="32" spans="1:22 16384:16384" ht="15" customHeight="1" x14ac:dyDescent="0.35">
      <c r="B32" s="347"/>
      <c r="C32" s="348"/>
      <c r="D32" s="348"/>
      <c r="E32" s="348"/>
      <c r="F32" s="348"/>
      <c r="G32" s="348"/>
      <c r="H32" s="348"/>
      <c r="I32" s="348"/>
      <c r="J32" s="348"/>
      <c r="K32" s="348"/>
      <c r="L32" s="34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47"/>
      <c r="C33" s="348"/>
      <c r="D33" s="348"/>
      <c r="E33" s="348"/>
      <c r="F33" s="348"/>
      <c r="G33" s="348"/>
      <c r="H33" s="348"/>
      <c r="I33" s="348"/>
      <c r="J33" s="348"/>
      <c r="K33" s="348"/>
      <c r="L33" s="349"/>
      <c r="M33" s="131"/>
      <c r="N33" s="357" t="s">
        <v>76</v>
      </c>
      <c r="O33" s="358"/>
      <c r="P33" s="140">
        <f>P31+P32</f>
        <v>0</v>
      </c>
    </row>
    <row r="34" spans="2:16" ht="15" customHeight="1" thickBot="1" x14ac:dyDescent="0.4">
      <c r="B34" s="350"/>
      <c r="C34" s="351"/>
      <c r="D34" s="351"/>
      <c r="E34" s="351"/>
      <c r="F34" s="351"/>
      <c r="G34" s="351"/>
      <c r="H34" s="351"/>
      <c r="I34" s="351"/>
      <c r="J34" s="351"/>
      <c r="K34" s="351"/>
      <c r="L34" s="35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59" t="s">
        <v>88</v>
      </c>
      <c r="O35" s="360"/>
      <c r="P35" s="297">
        <f>+P33+P34</f>
        <v>0</v>
      </c>
    </row>
    <row r="36" spans="2:16" ht="15" thickBot="1" x14ac:dyDescent="0.4">
      <c r="B36" s="121" t="s">
        <v>63</v>
      </c>
      <c r="C36" s="361"/>
      <c r="D36" s="361"/>
      <c r="E36" s="361"/>
      <c r="F36" s="361"/>
      <c r="G36" s="361"/>
      <c r="H36" s="361"/>
      <c r="I36" s="362"/>
      <c r="J36" s="363"/>
      <c r="K36" s="364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7" t="s">
        <v>91</v>
      </c>
      <c r="B2" s="377"/>
      <c r="C2" s="377"/>
    </row>
    <row r="3" spans="1:22 16383:16384" ht="15" customHeight="1" x14ac:dyDescent="0.35">
      <c r="A3" s="378" t="s">
        <v>92</v>
      </c>
      <c r="B3" s="378"/>
      <c r="C3" s="378"/>
      <c r="F3" s="85"/>
      <c r="G3" s="1"/>
      <c r="K3" s="379" t="s">
        <v>43</v>
      </c>
      <c r="L3" s="379"/>
      <c r="M3" s="379"/>
      <c r="N3" s="378"/>
      <c r="O3" s="378"/>
      <c r="P3" s="37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8" t="s">
        <v>505</v>
      </c>
      <c r="B4" s="378"/>
      <c r="C4" s="378"/>
      <c r="F4" s="85"/>
      <c r="G4" s="1"/>
      <c r="K4" s="379" t="s">
        <v>44</v>
      </c>
      <c r="L4" s="379"/>
      <c r="M4" s="379"/>
      <c r="N4" s="382">
        <f ca="1">TODAY()+1</f>
        <v>46227</v>
      </c>
      <c r="O4" s="382"/>
      <c r="P4" s="38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3" t="s">
        <v>492</v>
      </c>
      <c r="B5" s="383"/>
      <c r="C5" s="383"/>
      <c r="F5" s="85"/>
      <c r="G5" s="1"/>
      <c r="K5" s="379" t="s">
        <v>45</v>
      </c>
      <c r="L5" s="379"/>
      <c r="M5" s="379"/>
      <c r="N5" s="382">
        <f ca="1">N4-1</f>
        <v>46226</v>
      </c>
      <c r="O5" s="378"/>
      <c r="P5" s="378"/>
      <c r="R5" s="85"/>
      <c r="S5" s="266"/>
    </row>
    <row r="6" spans="1:22 16383:16384" ht="15" customHeight="1" x14ac:dyDescent="0.4">
      <c r="A6" s="384" t="s">
        <v>496</v>
      </c>
      <c r="B6" s="384"/>
      <c r="C6" s="384"/>
      <c r="F6" s="85"/>
      <c r="G6" s="86"/>
      <c r="K6" s="379" t="s">
        <v>69</v>
      </c>
      <c r="L6" s="379"/>
      <c r="M6" s="379"/>
      <c r="N6" s="381" t="s">
        <v>62</v>
      </c>
      <c r="O6" s="381"/>
      <c r="P6" s="38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9" t="s">
        <v>73</v>
      </c>
      <c r="B7" s="379"/>
      <c r="C7" s="379"/>
      <c r="F7" s="85"/>
      <c r="G7" s="86"/>
      <c r="K7" s="379" t="s">
        <v>66</v>
      </c>
      <c r="L7" s="379"/>
      <c r="M7" s="379"/>
      <c r="N7" s="381" t="s">
        <v>511</v>
      </c>
      <c r="O7" s="381"/>
      <c r="P7" s="38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5" t="s">
        <v>95</v>
      </c>
      <c r="B8" s="385"/>
      <c r="C8" s="385"/>
      <c r="F8" s="85"/>
      <c r="G8" s="86"/>
      <c r="K8" s="379" t="s">
        <v>67</v>
      </c>
      <c r="L8" s="379"/>
      <c r="M8" s="379"/>
      <c r="N8" s="381" t="s">
        <v>511</v>
      </c>
      <c r="O8" s="381"/>
      <c r="P8" s="381"/>
      <c r="R8" s="85"/>
      <c r="S8" s="267"/>
    </row>
    <row r="9" spans="1:22 16383:16384" x14ac:dyDescent="0.35">
      <c r="A9" s="385" t="s">
        <v>96</v>
      </c>
      <c r="B9" s="385"/>
      <c r="C9" s="385"/>
      <c r="F9" s="85"/>
      <c r="G9" s="86"/>
      <c r="K9" s="379" t="s">
        <v>68</v>
      </c>
      <c r="L9" s="379"/>
      <c r="M9" s="379"/>
      <c r="N9" s="381" t="s">
        <v>104</v>
      </c>
      <c r="O9" s="381"/>
      <c r="P9" s="381"/>
      <c r="R9" s="85"/>
      <c r="S9" s="267"/>
      <c r="XFD9" t="s">
        <v>49</v>
      </c>
    </row>
    <row r="10" spans="1:22 16383:16384" x14ac:dyDescent="0.35">
      <c r="A10" s="385" t="s">
        <v>97</v>
      </c>
      <c r="B10" s="385"/>
      <c r="C10" s="385"/>
      <c r="F10" s="85"/>
      <c r="G10" s="1"/>
      <c r="K10" s="379" t="s">
        <v>46</v>
      </c>
      <c r="L10" s="379"/>
      <c r="M10" s="379"/>
      <c r="N10" s="378" t="s">
        <v>47</v>
      </c>
      <c r="O10" s="378"/>
      <c r="P10" s="37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9" t="s">
        <v>48</v>
      </c>
      <c r="L11" s="379"/>
      <c r="M11" s="379"/>
      <c r="N11" s="381" t="s">
        <v>49</v>
      </c>
      <c r="O11" s="381"/>
      <c r="P11" s="38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9" t="s">
        <v>50</v>
      </c>
      <c r="L12" s="379"/>
      <c r="M12" s="379"/>
      <c r="N12" s="378"/>
      <c r="O12" s="378"/>
      <c r="P12" s="37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0" t="s">
        <v>51</v>
      </c>
      <c r="B14" s="331"/>
      <c r="C14" s="334" t="s">
        <v>90</v>
      </c>
      <c r="D14" s="115" t="s">
        <v>52</v>
      </c>
      <c r="E14" s="336" t="s">
        <v>58</v>
      </c>
      <c r="F14" s="337"/>
      <c r="G14" s="338" t="s">
        <v>54</v>
      </c>
      <c r="H14" s="339"/>
      <c r="I14" s="340" t="s">
        <v>77</v>
      </c>
      <c r="J14" s="376" t="s">
        <v>55</v>
      </c>
      <c r="K14" s="338"/>
      <c r="L14" s="339"/>
      <c r="M14" s="331" t="s">
        <v>84</v>
      </c>
      <c r="N14" s="37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2"/>
      <c r="B15" s="333"/>
      <c r="C15" s="33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1"/>
      <c r="J15" s="143" t="s">
        <v>59</v>
      </c>
      <c r="K15" s="144" t="s">
        <v>39</v>
      </c>
      <c r="L15" s="145" t="s">
        <v>493</v>
      </c>
      <c r="M15" s="333"/>
      <c r="N15" s="341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0">
        <f>COUNT(A16:A24)</f>
        <v>0</v>
      </c>
      <c r="B25" s="342"/>
      <c r="C25" s="342" t="s">
        <v>40</v>
      </c>
      <c r="D25" s="342"/>
      <c r="E25" s="342"/>
      <c r="F25" s="34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4" t="s">
        <v>64</v>
      </c>
      <c r="C28" s="345"/>
      <c r="D28" s="345"/>
      <c r="E28" s="345"/>
      <c r="F28" s="345"/>
      <c r="G28" s="345"/>
      <c r="H28" s="345"/>
      <c r="I28" s="345"/>
      <c r="J28" s="345"/>
      <c r="K28" s="345"/>
      <c r="L28" s="346"/>
      <c r="N28" s="353" t="s">
        <v>60</v>
      </c>
      <c r="O28" s="354"/>
      <c r="P28" s="139">
        <f>I25</f>
        <v>0</v>
      </c>
    </row>
    <row r="29" spans="1:22 16384:16384" ht="15" customHeight="1" x14ac:dyDescent="0.35">
      <c r="B29" s="347"/>
      <c r="C29" s="348"/>
      <c r="D29" s="348"/>
      <c r="E29" s="348"/>
      <c r="F29" s="348"/>
      <c r="G29" s="348"/>
      <c r="H29" s="348"/>
      <c r="I29" s="348"/>
      <c r="J29" s="348"/>
      <c r="K29" s="348"/>
      <c r="L29" s="349"/>
      <c r="N29" s="355" t="s">
        <v>85</v>
      </c>
      <c r="O29" s="356"/>
      <c r="P29" s="140">
        <f>+J25</f>
        <v>0</v>
      </c>
    </row>
    <row r="30" spans="1:22 16384:16384" ht="15" customHeight="1" x14ac:dyDescent="0.35">
      <c r="B30" s="347"/>
      <c r="C30" s="348"/>
      <c r="D30" s="348"/>
      <c r="E30" s="348"/>
      <c r="F30" s="348"/>
      <c r="G30" s="348"/>
      <c r="H30" s="348"/>
      <c r="I30" s="348"/>
      <c r="J30" s="348"/>
      <c r="K30" s="348"/>
      <c r="L30" s="349"/>
      <c r="N30" s="355" t="s">
        <v>86</v>
      </c>
      <c r="O30" s="356"/>
      <c r="P30" s="140">
        <f>+K25+L25</f>
        <v>0</v>
      </c>
    </row>
    <row r="31" spans="1:22 16384:16384" ht="15" customHeight="1" x14ac:dyDescent="0.35">
      <c r="B31" s="347"/>
      <c r="C31" s="348"/>
      <c r="D31" s="348"/>
      <c r="E31" s="348"/>
      <c r="F31" s="348"/>
      <c r="G31" s="348"/>
      <c r="H31" s="348"/>
      <c r="I31" s="348"/>
      <c r="J31" s="348"/>
      <c r="K31" s="348"/>
      <c r="L31" s="349"/>
      <c r="M31" s="131"/>
      <c r="N31" s="355" t="s">
        <v>87</v>
      </c>
      <c r="O31" s="356"/>
      <c r="P31" s="140">
        <f>P28-P29-P30</f>
        <v>0</v>
      </c>
    </row>
    <row r="32" spans="1:22 16384:16384" ht="15" customHeight="1" x14ac:dyDescent="0.35">
      <c r="B32" s="347"/>
      <c r="C32" s="348"/>
      <c r="D32" s="348"/>
      <c r="E32" s="348"/>
      <c r="F32" s="348"/>
      <c r="G32" s="348"/>
      <c r="H32" s="348"/>
      <c r="I32" s="348"/>
      <c r="J32" s="348"/>
      <c r="K32" s="348"/>
      <c r="L32" s="34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47"/>
      <c r="C33" s="348"/>
      <c r="D33" s="348"/>
      <c r="E33" s="348"/>
      <c r="F33" s="348"/>
      <c r="G33" s="348"/>
      <c r="H33" s="348"/>
      <c r="I33" s="348"/>
      <c r="J33" s="348"/>
      <c r="K33" s="348"/>
      <c r="L33" s="349"/>
      <c r="M33" s="131"/>
      <c r="N33" s="357" t="s">
        <v>76</v>
      </c>
      <c r="O33" s="358"/>
      <c r="P33" s="140">
        <f>P31+P32</f>
        <v>0</v>
      </c>
    </row>
    <row r="34" spans="2:16" ht="15" customHeight="1" thickBot="1" x14ac:dyDescent="0.4">
      <c r="B34" s="350"/>
      <c r="C34" s="351"/>
      <c r="D34" s="351"/>
      <c r="E34" s="351"/>
      <c r="F34" s="351"/>
      <c r="G34" s="351"/>
      <c r="H34" s="351"/>
      <c r="I34" s="351"/>
      <c r="J34" s="351"/>
      <c r="K34" s="351"/>
      <c r="L34" s="35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59" t="s">
        <v>88</v>
      </c>
      <c r="O35" s="360"/>
      <c r="P35" s="297">
        <f>+P33+P34</f>
        <v>0</v>
      </c>
    </row>
    <row r="36" spans="2:16" ht="15" thickBot="1" x14ac:dyDescent="0.4">
      <c r="B36" s="121" t="s">
        <v>63</v>
      </c>
      <c r="C36" s="361"/>
      <c r="D36" s="361"/>
      <c r="E36" s="361"/>
      <c r="F36" s="361"/>
      <c r="G36" s="361"/>
      <c r="H36" s="361"/>
      <c r="I36" s="362"/>
      <c r="J36" s="363"/>
      <c r="K36" s="364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77" t="s">
        <v>91</v>
      </c>
      <c r="B2" s="377"/>
      <c r="C2" s="377"/>
    </row>
    <row r="3" spans="1:18 16382:16383" ht="15" customHeight="1" x14ac:dyDescent="0.35">
      <c r="A3" s="378" t="s">
        <v>92</v>
      </c>
      <c r="B3" s="378"/>
      <c r="C3" s="378"/>
      <c r="F3" s="85"/>
      <c r="G3" s="1"/>
      <c r="J3" s="379" t="s">
        <v>43</v>
      </c>
      <c r="K3" s="379"/>
      <c r="L3" s="379"/>
      <c r="M3" s="378"/>
      <c r="N3" s="378"/>
      <c r="O3" s="378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78" t="s">
        <v>65</v>
      </c>
      <c r="B4" s="378"/>
      <c r="C4" s="378"/>
      <c r="F4" s="85"/>
      <c r="G4" s="1"/>
      <c r="J4" s="379" t="s">
        <v>44</v>
      </c>
      <c r="K4" s="379"/>
      <c r="L4" s="379"/>
      <c r="M4" s="382">
        <f ca="1">TODAY()+1</f>
        <v>46227</v>
      </c>
      <c r="N4" s="382"/>
      <c r="O4" s="382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83" t="s">
        <v>93</v>
      </c>
      <c r="B5" s="383"/>
      <c r="C5" s="383"/>
      <c r="F5" s="85"/>
      <c r="G5" s="1"/>
      <c r="J5" s="379" t="s">
        <v>45</v>
      </c>
      <c r="K5" s="379"/>
      <c r="L5" s="379"/>
      <c r="M5" s="382">
        <f ca="1">M4-1</f>
        <v>46226</v>
      </c>
      <c r="N5" s="378"/>
      <c r="O5" s="378"/>
      <c r="Q5" s="85"/>
      <c r="R5" s="1"/>
    </row>
    <row r="6" spans="1:18 16382:16383" ht="15" customHeight="1" x14ac:dyDescent="0.35">
      <c r="A6" s="379" t="s">
        <v>94</v>
      </c>
      <c r="B6" s="379"/>
      <c r="C6" s="379"/>
      <c r="F6" s="85"/>
      <c r="G6" s="86"/>
      <c r="J6" s="379" t="s">
        <v>69</v>
      </c>
      <c r="K6" s="379"/>
      <c r="L6" s="379"/>
      <c r="M6" s="381" t="s">
        <v>62</v>
      </c>
      <c r="N6" s="381"/>
      <c r="O6" s="381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79" t="s">
        <v>73</v>
      </c>
      <c r="B7" s="379"/>
      <c r="C7" s="379"/>
      <c r="F7" s="85"/>
      <c r="G7" s="86"/>
      <c r="J7" s="379" t="s">
        <v>66</v>
      </c>
      <c r="K7" s="379"/>
      <c r="L7" s="379"/>
      <c r="M7" s="381" t="s">
        <v>70</v>
      </c>
      <c r="N7" s="381"/>
      <c r="O7" s="381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85" t="s">
        <v>95</v>
      </c>
      <c r="B8" s="385"/>
      <c r="C8" s="385"/>
      <c r="F8" s="85"/>
      <c r="G8" s="86"/>
      <c r="J8" s="379" t="s">
        <v>67</v>
      </c>
      <c r="K8" s="379"/>
      <c r="L8" s="379"/>
      <c r="M8" s="381" t="s">
        <v>71</v>
      </c>
      <c r="N8" s="381"/>
      <c r="O8" s="381"/>
      <c r="Q8" s="85"/>
      <c r="R8" s="86"/>
    </row>
    <row r="9" spans="1:18 16382:16383" x14ac:dyDescent="0.35">
      <c r="A9" s="385" t="s">
        <v>96</v>
      </c>
      <c r="B9" s="385"/>
      <c r="C9" s="385"/>
      <c r="F9" s="85"/>
      <c r="G9" s="86"/>
      <c r="J9" s="379" t="s">
        <v>68</v>
      </c>
      <c r="K9" s="379"/>
      <c r="L9" s="379"/>
      <c r="M9" s="381" t="s">
        <v>104</v>
      </c>
      <c r="N9" s="381"/>
      <c r="O9" s="381"/>
      <c r="Q9" s="85"/>
      <c r="R9" s="86"/>
      <c r="XFC9" t="s">
        <v>49</v>
      </c>
    </row>
    <row r="10" spans="1:18 16382:16383" x14ac:dyDescent="0.35">
      <c r="A10" s="385" t="s">
        <v>97</v>
      </c>
      <c r="B10" s="385"/>
      <c r="C10" s="385"/>
      <c r="F10" s="85"/>
      <c r="G10" s="1"/>
      <c r="J10" s="379" t="s">
        <v>46</v>
      </c>
      <c r="K10" s="379"/>
      <c r="L10" s="379"/>
      <c r="M10" s="378" t="s">
        <v>47</v>
      </c>
      <c r="N10" s="378"/>
      <c r="O10" s="378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79" t="s">
        <v>48</v>
      </c>
      <c r="K11" s="379"/>
      <c r="L11" s="379"/>
      <c r="M11" s="378" t="s">
        <v>49</v>
      </c>
      <c r="N11" s="378"/>
      <c r="O11" s="378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79" t="s">
        <v>50</v>
      </c>
      <c r="K12" s="379"/>
      <c r="L12" s="379"/>
      <c r="M12" s="378"/>
      <c r="N12" s="378"/>
      <c r="O12" s="378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30" t="s">
        <v>51</v>
      </c>
      <c r="B14" s="331"/>
      <c r="C14" s="334" t="s">
        <v>90</v>
      </c>
      <c r="D14" s="88" t="s">
        <v>52</v>
      </c>
      <c r="E14" s="95" t="s">
        <v>74</v>
      </c>
      <c r="F14" s="115" t="s">
        <v>53</v>
      </c>
      <c r="G14" s="376" t="s">
        <v>54</v>
      </c>
      <c r="H14" s="339"/>
      <c r="I14" s="340" t="s">
        <v>77</v>
      </c>
      <c r="J14" s="338" t="s">
        <v>55</v>
      </c>
      <c r="K14" s="339"/>
      <c r="L14" s="340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32"/>
      <c r="B15" s="333"/>
      <c r="C15" s="335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41"/>
      <c r="J15" s="144" t="s">
        <v>39</v>
      </c>
      <c r="K15" s="145" t="s">
        <v>59</v>
      </c>
      <c r="L15" s="341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80">
        <f>COUNT(A16:A24)</f>
        <v>0</v>
      </c>
      <c r="B25" s="342"/>
      <c r="C25" s="342" t="s">
        <v>40</v>
      </c>
      <c r="D25" s="342"/>
      <c r="E25" s="342"/>
      <c r="F25" s="343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44" t="s">
        <v>64</v>
      </c>
      <c r="C28" s="345"/>
      <c r="D28" s="345"/>
      <c r="E28" s="345"/>
      <c r="F28" s="345"/>
      <c r="G28" s="345"/>
      <c r="H28" s="345"/>
      <c r="I28" s="345"/>
      <c r="J28" s="345"/>
      <c r="K28" s="346"/>
      <c r="M28" s="353" t="s">
        <v>60</v>
      </c>
      <c r="N28" s="354"/>
      <c r="O28" s="139">
        <f>I25</f>
        <v>1452.8</v>
      </c>
    </row>
    <row r="29" spans="1:18 16383:16383" ht="15" customHeight="1" x14ac:dyDescent="0.35">
      <c r="B29" s="347"/>
      <c r="C29" s="348"/>
      <c r="D29" s="348"/>
      <c r="E29" s="348"/>
      <c r="F29" s="348"/>
      <c r="G29" s="348"/>
      <c r="H29" s="348"/>
      <c r="I29" s="348"/>
      <c r="J29" s="348"/>
      <c r="K29" s="349"/>
      <c r="M29" s="355" t="s">
        <v>85</v>
      </c>
      <c r="N29" s="356"/>
      <c r="O29" s="140">
        <f>K25</f>
        <v>0</v>
      </c>
    </row>
    <row r="30" spans="1:18 16383:16383" ht="15" customHeight="1" x14ac:dyDescent="0.35">
      <c r="B30" s="347"/>
      <c r="C30" s="348"/>
      <c r="D30" s="348"/>
      <c r="E30" s="348"/>
      <c r="F30" s="348"/>
      <c r="G30" s="348"/>
      <c r="H30" s="348"/>
      <c r="I30" s="348"/>
      <c r="J30" s="348"/>
      <c r="K30" s="349"/>
      <c r="M30" s="355" t="s">
        <v>86</v>
      </c>
      <c r="N30" s="356"/>
      <c r="O30" s="140">
        <f>J25</f>
        <v>50.848000000000006</v>
      </c>
    </row>
    <row r="31" spans="1:18 16383:16383" ht="15" customHeight="1" x14ac:dyDescent="0.35">
      <c r="B31" s="347"/>
      <c r="C31" s="348"/>
      <c r="D31" s="348"/>
      <c r="E31" s="348"/>
      <c r="F31" s="348"/>
      <c r="G31" s="348"/>
      <c r="H31" s="348"/>
      <c r="I31" s="348"/>
      <c r="J31" s="348"/>
      <c r="K31" s="349"/>
      <c r="L31" s="131"/>
      <c r="M31" s="355" t="s">
        <v>87</v>
      </c>
      <c r="N31" s="356"/>
      <c r="O31" s="140">
        <f>O28-O29-O30</f>
        <v>1401.952</v>
      </c>
    </row>
    <row r="32" spans="1:18 16383:16383" ht="15" customHeight="1" x14ac:dyDescent="0.35">
      <c r="B32" s="347"/>
      <c r="C32" s="348"/>
      <c r="D32" s="348"/>
      <c r="E32" s="348"/>
      <c r="F32" s="348"/>
      <c r="G32" s="348"/>
      <c r="H32" s="348"/>
      <c r="I32" s="348"/>
      <c r="J32" s="348"/>
      <c r="K32" s="349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47"/>
      <c r="C33" s="348"/>
      <c r="D33" s="348"/>
      <c r="E33" s="348"/>
      <c r="F33" s="348"/>
      <c r="G33" s="348"/>
      <c r="H33" s="348"/>
      <c r="I33" s="348"/>
      <c r="J33" s="348"/>
      <c r="K33" s="349"/>
      <c r="L33" s="131"/>
      <c r="M33" s="357" t="s">
        <v>76</v>
      </c>
      <c r="N33" s="358"/>
      <c r="O33" s="140">
        <f>O31+O32</f>
        <v>1710.3814400000001</v>
      </c>
    </row>
    <row r="34" spans="2:15" ht="15" customHeight="1" thickBot="1" x14ac:dyDescent="0.4">
      <c r="B34" s="350"/>
      <c r="C34" s="351"/>
      <c r="D34" s="351"/>
      <c r="E34" s="351"/>
      <c r="F34" s="351"/>
      <c r="G34" s="351"/>
      <c r="H34" s="351"/>
      <c r="I34" s="351"/>
      <c r="J34" s="351"/>
      <c r="K34" s="352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59" t="s">
        <v>88</v>
      </c>
      <c r="N35" s="360"/>
      <c r="O35" s="141">
        <f>O28-O29+O31+O34</f>
        <v>2897.511536</v>
      </c>
    </row>
    <row r="36" spans="2:15" ht="15" thickBot="1" x14ac:dyDescent="0.4">
      <c r="B36" s="121" t="s">
        <v>63</v>
      </c>
      <c r="C36" s="361"/>
      <c r="D36" s="361"/>
      <c r="E36" s="361"/>
      <c r="F36" s="361"/>
      <c r="G36" s="361"/>
      <c r="H36" s="361"/>
      <c r="I36" s="362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22" t="s">
        <v>438</v>
      </c>
      <c r="D1" s="389" t="s">
        <v>439</v>
      </c>
      <c r="E1" s="322" t="s">
        <v>58</v>
      </c>
      <c r="F1" s="322"/>
      <c r="G1" s="323" t="s">
        <v>440</v>
      </c>
      <c r="H1" s="323"/>
      <c r="I1" s="390" t="s">
        <v>441</v>
      </c>
      <c r="J1" s="390"/>
      <c r="K1" s="390" t="s">
        <v>442</v>
      </c>
      <c r="L1" s="390"/>
      <c r="M1" s="386" t="s">
        <v>484</v>
      </c>
      <c r="N1" s="387"/>
      <c r="O1" s="388"/>
    </row>
    <row r="2" spans="3:24" ht="29" x14ac:dyDescent="0.35">
      <c r="C2" s="322"/>
      <c r="D2" s="389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391" t="s">
        <v>476</v>
      </c>
      <c r="D6" s="391"/>
      <c r="E6" s="391"/>
      <c r="F6" s="391"/>
      <c r="G6" s="391"/>
      <c r="T6" s="257" t="s">
        <v>487</v>
      </c>
      <c r="U6" s="257" t="s">
        <v>488</v>
      </c>
    </row>
    <row r="7" spans="3:24" ht="14.5" customHeight="1" x14ac:dyDescent="0.35">
      <c r="C7" s="317" t="s">
        <v>438</v>
      </c>
      <c r="D7" s="321" t="s">
        <v>439</v>
      </c>
      <c r="E7" s="393" t="s">
        <v>58</v>
      </c>
      <c r="F7" s="393"/>
      <c r="G7" s="394" t="s">
        <v>440</v>
      </c>
      <c r="H7" s="323"/>
      <c r="I7" s="324" t="s">
        <v>441</v>
      </c>
      <c r="J7" s="325"/>
      <c r="K7" s="324" t="s">
        <v>442</v>
      </c>
      <c r="L7" s="325"/>
      <c r="M7" s="386" t="s">
        <v>484</v>
      </c>
      <c r="N7" s="387"/>
      <c r="O7" s="388"/>
      <c r="P7" s="256" t="s">
        <v>475</v>
      </c>
      <c r="Q7" s="242" t="s">
        <v>473</v>
      </c>
      <c r="R7" s="389" t="s">
        <v>475</v>
      </c>
      <c r="S7" s="389" t="s">
        <v>485</v>
      </c>
      <c r="T7" s="395" t="s">
        <v>486</v>
      </c>
      <c r="U7" s="395" t="s">
        <v>486</v>
      </c>
    </row>
    <row r="8" spans="3:24" ht="15" customHeight="1" thickBot="1" x14ac:dyDescent="0.4">
      <c r="C8" s="319"/>
      <c r="D8" s="321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389"/>
      <c r="S8" s="389"/>
      <c r="T8" s="394"/>
      <c r="U8" s="394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392" t="s">
        <v>477</v>
      </c>
      <c r="D12" s="392"/>
      <c r="E12" s="392"/>
      <c r="F12" s="392"/>
      <c r="G12" s="392"/>
    </row>
    <row r="13" spans="3:24" x14ac:dyDescent="0.35">
      <c r="C13" s="318" t="s">
        <v>438</v>
      </c>
      <c r="D13" s="320" t="s">
        <v>439</v>
      </c>
      <c r="E13" s="322" t="s">
        <v>58</v>
      </c>
      <c r="F13" s="322"/>
      <c r="G13" s="323" t="s">
        <v>440</v>
      </c>
      <c r="H13" s="323"/>
      <c r="I13" s="324" t="s">
        <v>441</v>
      </c>
      <c r="J13" s="325"/>
      <c r="K13" s="324" t="s">
        <v>442</v>
      </c>
      <c r="L13" s="325"/>
      <c r="M13" s="386" t="s">
        <v>484</v>
      </c>
      <c r="N13" s="387"/>
      <c r="O13" s="388"/>
      <c r="P13" s="256" t="s">
        <v>475</v>
      </c>
      <c r="Q13" s="242" t="s">
        <v>473</v>
      </c>
      <c r="R13" s="389" t="s">
        <v>475</v>
      </c>
      <c r="S13" s="389" t="s">
        <v>485</v>
      </c>
      <c r="T13" s="395" t="s">
        <v>486</v>
      </c>
      <c r="U13" s="395" t="s">
        <v>486</v>
      </c>
    </row>
    <row r="14" spans="3:24" ht="29.5" thickBot="1" x14ac:dyDescent="0.4">
      <c r="C14" s="319"/>
      <c r="D14" s="321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389"/>
      <c r="S14" s="389"/>
      <c r="T14" s="394"/>
      <c r="U14" s="394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391" t="s">
        <v>478</v>
      </c>
      <c r="D19" s="391"/>
      <c r="E19" s="391"/>
      <c r="F19" s="391"/>
      <c r="G19" s="391"/>
    </row>
    <row r="20" spans="3:21" x14ac:dyDescent="0.35">
      <c r="C20" s="318" t="s">
        <v>438</v>
      </c>
      <c r="D20" s="320" t="s">
        <v>439</v>
      </c>
      <c r="E20" s="322" t="s">
        <v>58</v>
      </c>
      <c r="F20" s="322"/>
      <c r="G20" s="323" t="s">
        <v>440</v>
      </c>
      <c r="H20" s="323"/>
      <c r="I20" s="324" t="s">
        <v>441</v>
      </c>
      <c r="J20" s="325"/>
      <c r="K20" s="324" t="s">
        <v>442</v>
      </c>
      <c r="L20" s="325"/>
      <c r="M20" s="386" t="s">
        <v>484</v>
      </c>
      <c r="N20" s="387"/>
      <c r="O20" s="388"/>
      <c r="P20" s="256" t="s">
        <v>475</v>
      </c>
      <c r="Q20" s="242" t="s">
        <v>473</v>
      </c>
      <c r="R20" s="389" t="s">
        <v>475</v>
      </c>
      <c r="S20" s="389" t="s">
        <v>485</v>
      </c>
      <c r="T20" s="395" t="s">
        <v>486</v>
      </c>
      <c r="U20" s="395" t="s">
        <v>486</v>
      </c>
    </row>
    <row r="21" spans="3:21" ht="29.5" thickBot="1" x14ac:dyDescent="0.4">
      <c r="C21" s="319"/>
      <c r="D21" s="321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389"/>
      <c r="S21" s="389"/>
      <c r="T21" s="394"/>
      <c r="U21" s="394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391" t="s">
        <v>479</v>
      </c>
      <c r="D26" s="391"/>
      <c r="E26" s="391"/>
      <c r="F26" s="391"/>
      <c r="G26" s="391"/>
    </row>
    <row r="27" spans="3:21" x14ac:dyDescent="0.35">
      <c r="C27" s="318" t="s">
        <v>438</v>
      </c>
      <c r="D27" s="320" t="s">
        <v>439</v>
      </c>
      <c r="E27" s="322" t="s">
        <v>58</v>
      </c>
      <c r="F27" s="322"/>
      <c r="G27" s="323" t="s">
        <v>440</v>
      </c>
      <c r="H27" s="323"/>
      <c r="I27" s="324" t="s">
        <v>441</v>
      </c>
      <c r="J27" s="325"/>
      <c r="K27" s="324" t="s">
        <v>442</v>
      </c>
      <c r="L27" s="325"/>
      <c r="M27" s="386" t="s">
        <v>484</v>
      </c>
      <c r="N27" s="387"/>
      <c r="O27" s="388"/>
      <c r="P27" s="256" t="s">
        <v>475</v>
      </c>
      <c r="Q27" s="242" t="s">
        <v>473</v>
      </c>
      <c r="R27" s="389" t="s">
        <v>475</v>
      </c>
      <c r="S27" s="389" t="s">
        <v>485</v>
      </c>
      <c r="T27" s="395" t="s">
        <v>486</v>
      </c>
      <c r="U27" s="395" t="s">
        <v>486</v>
      </c>
    </row>
    <row r="28" spans="3:21" ht="29.5" thickBot="1" x14ac:dyDescent="0.4">
      <c r="C28" s="319"/>
      <c r="D28" s="321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389"/>
      <c r="S28" s="389"/>
      <c r="T28" s="394"/>
      <c r="U28" s="394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22" t="s">
        <v>438</v>
      </c>
      <c r="C1" s="389" t="s">
        <v>439</v>
      </c>
      <c r="D1" s="322" t="s">
        <v>58</v>
      </c>
      <c r="E1" s="322"/>
      <c r="F1" s="323" t="s">
        <v>440</v>
      </c>
      <c r="G1" s="323"/>
      <c r="H1" s="390" t="s">
        <v>441</v>
      </c>
      <c r="I1" s="390"/>
      <c r="J1" s="390" t="s">
        <v>442</v>
      </c>
      <c r="K1" s="390"/>
      <c r="L1" s="386" t="s">
        <v>484</v>
      </c>
      <c r="M1" s="387"/>
      <c r="N1" s="388"/>
    </row>
    <row r="2" spans="2:17" ht="29" x14ac:dyDescent="0.35">
      <c r="B2" s="322"/>
      <c r="C2" s="389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397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396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396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396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396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396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396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396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396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396"/>
      <c r="G14" s="154" t="s">
        <v>135</v>
      </c>
      <c r="H14" s="152" t="s">
        <v>101</v>
      </c>
    </row>
    <row r="15" spans="1:8" x14ac:dyDescent="0.35">
      <c r="E15" s="153" t="s">
        <v>130</v>
      </c>
      <c r="F15" s="396"/>
      <c r="G15" s="154" t="s">
        <v>136</v>
      </c>
      <c r="H15" s="152" t="s">
        <v>102</v>
      </c>
    </row>
    <row r="16" spans="1:8" x14ac:dyDescent="0.35">
      <c r="E16" s="153" t="s">
        <v>130</v>
      </c>
      <c r="F16" s="396"/>
      <c r="G16" s="151" t="s">
        <v>137</v>
      </c>
      <c r="H16" s="152" t="s">
        <v>103</v>
      </c>
    </row>
    <row r="17" spans="5:8" x14ac:dyDescent="0.35">
      <c r="E17" s="153" t="s">
        <v>138</v>
      </c>
      <c r="F17" s="396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396"/>
      <c r="G18" s="156" t="s">
        <v>141</v>
      </c>
      <c r="H18" s="152" t="s">
        <v>100</v>
      </c>
    </row>
    <row r="19" spans="5:8" x14ac:dyDescent="0.35">
      <c r="E19" s="153" t="s">
        <v>138</v>
      </c>
      <c r="F19" s="396"/>
      <c r="G19" s="156" t="s">
        <v>142</v>
      </c>
      <c r="H19" s="152" t="s">
        <v>98</v>
      </c>
    </row>
    <row r="20" spans="5:8" x14ac:dyDescent="0.35">
      <c r="E20" s="153" t="s">
        <v>138</v>
      </c>
      <c r="F20" s="396"/>
      <c r="G20" s="155" t="s">
        <v>143</v>
      </c>
      <c r="H20" s="152" t="s">
        <v>101</v>
      </c>
    </row>
    <row r="21" spans="5:8" x14ac:dyDescent="0.35">
      <c r="E21" s="153" t="s">
        <v>138</v>
      </c>
      <c r="F21" s="396"/>
      <c r="G21" s="155" t="s">
        <v>144</v>
      </c>
      <c r="H21" s="152" t="s">
        <v>102</v>
      </c>
    </row>
    <row r="22" spans="5:8" x14ac:dyDescent="0.35">
      <c r="E22" s="153" t="s">
        <v>138</v>
      </c>
      <c r="F22" s="396"/>
      <c r="G22" s="155" t="s">
        <v>145</v>
      </c>
      <c r="H22" s="152" t="s">
        <v>103</v>
      </c>
    </row>
    <row r="23" spans="5:8" x14ac:dyDescent="0.35">
      <c r="E23" s="153" t="s">
        <v>146</v>
      </c>
      <c r="F23" s="396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396"/>
      <c r="G24" s="155" t="s">
        <v>147</v>
      </c>
      <c r="H24" s="152" t="s">
        <v>100</v>
      </c>
    </row>
    <row r="25" spans="5:8" x14ac:dyDescent="0.35">
      <c r="E25" s="153" t="s">
        <v>146</v>
      </c>
      <c r="F25" s="396"/>
      <c r="G25" s="155" t="s">
        <v>149</v>
      </c>
      <c r="H25" s="152" t="s">
        <v>98</v>
      </c>
    </row>
    <row r="26" spans="5:8" x14ac:dyDescent="0.35">
      <c r="E26" s="153" t="s">
        <v>146</v>
      </c>
      <c r="F26" s="396"/>
      <c r="G26" s="155" t="s">
        <v>150</v>
      </c>
      <c r="H26" s="152" t="s">
        <v>101</v>
      </c>
    </row>
    <row r="27" spans="5:8" x14ac:dyDescent="0.35">
      <c r="E27" s="153" t="s">
        <v>146</v>
      </c>
      <c r="F27" s="396"/>
      <c r="G27" s="155" t="s">
        <v>151</v>
      </c>
      <c r="H27" s="152" t="s">
        <v>102</v>
      </c>
    </row>
    <row r="28" spans="5:8" x14ac:dyDescent="0.35">
      <c r="E28" s="153" t="s">
        <v>146</v>
      </c>
      <c r="F28" s="396"/>
      <c r="G28" s="155" t="s">
        <v>152</v>
      </c>
      <c r="H28" s="152" t="s">
        <v>103</v>
      </c>
    </row>
    <row r="29" spans="5:8" x14ac:dyDescent="0.35">
      <c r="E29" s="153" t="s">
        <v>153</v>
      </c>
      <c r="F29" s="396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396"/>
      <c r="G30" s="155" t="s">
        <v>156</v>
      </c>
      <c r="H30" s="152" t="s">
        <v>100</v>
      </c>
    </row>
    <row r="31" spans="5:8" x14ac:dyDescent="0.35">
      <c r="E31" s="153" t="s">
        <v>153</v>
      </c>
      <c r="F31" s="396"/>
      <c r="G31" s="155" t="s">
        <v>157</v>
      </c>
      <c r="H31" s="152" t="s">
        <v>98</v>
      </c>
    </row>
    <row r="32" spans="5:8" x14ac:dyDescent="0.35">
      <c r="E32" s="153" t="s">
        <v>153</v>
      </c>
      <c r="F32" s="396"/>
      <c r="G32" s="155" t="s">
        <v>158</v>
      </c>
      <c r="H32" s="152" t="s">
        <v>101</v>
      </c>
    </row>
    <row r="33" spans="5:8" x14ac:dyDescent="0.35">
      <c r="E33" s="153" t="s">
        <v>153</v>
      </c>
      <c r="F33" s="396"/>
      <c r="G33" s="155" t="s">
        <v>159</v>
      </c>
      <c r="H33" s="152" t="s">
        <v>102</v>
      </c>
    </row>
    <row r="34" spans="5:8" x14ac:dyDescent="0.35">
      <c r="E34" s="153" t="s">
        <v>153</v>
      </c>
      <c r="F34" s="396"/>
      <c r="G34" s="155" t="s">
        <v>160</v>
      </c>
      <c r="H34" s="152" t="s">
        <v>103</v>
      </c>
    </row>
    <row r="35" spans="5:8" x14ac:dyDescent="0.35">
      <c r="E35" s="153" t="s">
        <v>161</v>
      </c>
      <c r="F35" s="396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396"/>
      <c r="G36" s="154" t="s">
        <v>163</v>
      </c>
      <c r="H36" s="152" t="s">
        <v>100</v>
      </c>
    </row>
    <row r="37" spans="5:8" x14ac:dyDescent="0.35">
      <c r="E37" s="153" t="s">
        <v>161</v>
      </c>
      <c r="F37" s="396"/>
      <c r="G37" s="154" t="s">
        <v>164</v>
      </c>
      <c r="H37" s="152" t="s">
        <v>98</v>
      </c>
    </row>
    <row r="38" spans="5:8" x14ac:dyDescent="0.35">
      <c r="E38" s="153" t="s">
        <v>161</v>
      </c>
      <c r="F38" s="396"/>
      <c r="G38" s="154" t="s">
        <v>165</v>
      </c>
      <c r="H38" s="152" t="s">
        <v>101</v>
      </c>
    </row>
    <row r="39" spans="5:8" x14ac:dyDescent="0.35">
      <c r="E39" s="153" t="s">
        <v>161</v>
      </c>
      <c r="F39" s="396"/>
      <c r="G39" s="158" t="s">
        <v>166</v>
      </c>
      <c r="H39" s="152" t="s">
        <v>102</v>
      </c>
    </row>
    <row r="40" spans="5:8" x14ac:dyDescent="0.35">
      <c r="E40" s="153" t="s">
        <v>161</v>
      </c>
      <c r="F40" s="396"/>
      <c r="G40" s="154" t="s">
        <v>167</v>
      </c>
      <c r="H40" s="152" t="s">
        <v>103</v>
      </c>
    </row>
    <row r="41" spans="5:8" x14ac:dyDescent="0.35">
      <c r="E41" s="153" t="s">
        <v>168</v>
      </c>
      <c r="F41" s="396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396"/>
      <c r="G42" s="154" t="s">
        <v>171</v>
      </c>
      <c r="H42" s="152" t="s">
        <v>100</v>
      </c>
    </row>
    <row r="43" spans="5:8" x14ac:dyDescent="0.35">
      <c r="E43" s="153" t="s">
        <v>168</v>
      </c>
      <c r="F43" s="396"/>
      <c r="G43" s="154" t="s">
        <v>172</v>
      </c>
      <c r="H43" s="152" t="s">
        <v>98</v>
      </c>
    </row>
    <row r="44" spans="5:8" x14ac:dyDescent="0.35">
      <c r="E44" s="153" t="s">
        <v>168</v>
      </c>
      <c r="F44" s="396"/>
      <c r="G44" s="154" t="s">
        <v>173</v>
      </c>
      <c r="H44" s="152" t="s">
        <v>101</v>
      </c>
    </row>
    <row r="45" spans="5:8" x14ac:dyDescent="0.35">
      <c r="E45" s="153" t="s">
        <v>168</v>
      </c>
      <c r="F45" s="396"/>
      <c r="G45" s="154" t="s">
        <v>174</v>
      </c>
      <c r="H45" s="152" t="s">
        <v>102</v>
      </c>
    </row>
    <row r="46" spans="5:8" x14ac:dyDescent="0.35">
      <c r="E46" s="153" t="s">
        <v>168</v>
      </c>
      <c r="F46" s="396"/>
      <c r="G46" s="154" t="s">
        <v>175</v>
      </c>
      <c r="H46" s="152" t="s">
        <v>103</v>
      </c>
    </row>
    <row r="47" spans="5:8" x14ac:dyDescent="0.35">
      <c r="E47" s="153" t="s">
        <v>176</v>
      </c>
      <c r="F47" s="396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396"/>
      <c r="G48" s="154" t="s">
        <v>179</v>
      </c>
      <c r="H48" s="152" t="s">
        <v>100</v>
      </c>
    </row>
    <row r="49" spans="5:8" x14ac:dyDescent="0.35">
      <c r="E49" s="153" t="s">
        <v>176</v>
      </c>
      <c r="F49" s="396"/>
      <c r="G49" s="154" t="s">
        <v>180</v>
      </c>
      <c r="H49" s="152" t="s">
        <v>98</v>
      </c>
    </row>
    <row r="50" spans="5:8" x14ac:dyDescent="0.35">
      <c r="E50" s="153" t="s">
        <v>176</v>
      </c>
      <c r="F50" s="396"/>
      <c r="G50" s="154" t="s">
        <v>181</v>
      </c>
      <c r="H50" s="152" t="s">
        <v>101</v>
      </c>
    </row>
    <row r="51" spans="5:8" x14ac:dyDescent="0.35">
      <c r="E51" s="153" t="s">
        <v>176</v>
      </c>
      <c r="F51" s="396"/>
      <c r="G51" s="154" t="s">
        <v>182</v>
      </c>
      <c r="H51" s="152" t="s">
        <v>102</v>
      </c>
    </row>
    <row r="52" spans="5:8" x14ac:dyDescent="0.35">
      <c r="E52" s="153" t="s">
        <v>176</v>
      </c>
      <c r="F52" s="396"/>
      <c r="G52" s="158" t="s">
        <v>183</v>
      </c>
      <c r="H52" s="152" t="s">
        <v>103</v>
      </c>
    </row>
    <row r="53" spans="5:8" x14ac:dyDescent="0.35">
      <c r="E53" s="153" t="s">
        <v>184</v>
      </c>
      <c r="F53" s="396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396"/>
      <c r="G54" s="154" t="s">
        <v>187</v>
      </c>
      <c r="H54" s="152" t="s">
        <v>100</v>
      </c>
    </row>
    <row r="55" spans="5:8" x14ac:dyDescent="0.35">
      <c r="E55" s="153" t="s">
        <v>184</v>
      </c>
      <c r="F55" s="396"/>
      <c r="G55" s="154" t="s">
        <v>188</v>
      </c>
      <c r="H55" s="152" t="s">
        <v>98</v>
      </c>
    </row>
    <row r="56" spans="5:8" x14ac:dyDescent="0.35">
      <c r="E56" s="153" t="s">
        <v>184</v>
      </c>
      <c r="F56" s="396"/>
      <c r="G56" s="154" t="s">
        <v>189</v>
      </c>
      <c r="H56" s="152" t="s">
        <v>101</v>
      </c>
    </row>
    <row r="57" spans="5:8" x14ac:dyDescent="0.35">
      <c r="E57" s="153" t="s">
        <v>184</v>
      </c>
      <c r="F57" s="396"/>
      <c r="G57" s="154" t="s">
        <v>190</v>
      </c>
      <c r="H57" s="152" t="s">
        <v>102</v>
      </c>
    </row>
    <row r="58" spans="5:8" x14ac:dyDescent="0.35">
      <c r="E58" s="153" t="s">
        <v>184</v>
      </c>
      <c r="F58" s="396"/>
      <c r="G58" s="158" t="s">
        <v>191</v>
      </c>
      <c r="H58" s="152" t="s">
        <v>103</v>
      </c>
    </row>
    <row r="59" spans="5:8" x14ac:dyDescent="0.35">
      <c r="E59" s="159" t="s">
        <v>192</v>
      </c>
      <c r="F59" s="398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398"/>
      <c r="G60" s="160" t="s">
        <v>195</v>
      </c>
      <c r="H60" s="161" t="s">
        <v>100</v>
      </c>
    </row>
    <row r="61" spans="5:8" x14ac:dyDescent="0.35">
      <c r="E61" s="159" t="s">
        <v>192</v>
      </c>
      <c r="F61" s="398"/>
      <c r="G61" s="160" t="s">
        <v>196</v>
      </c>
      <c r="H61" s="161" t="s">
        <v>98</v>
      </c>
    </row>
    <row r="62" spans="5:8" x14ac:dyDescent="0.35">
      <c r="E62" s="159" t="s">
        <v>192</v>
      </c>
      <c r="F62" s="398"/>
      <c r="G62" s="160" t="s">
        <v>197</v>
      </c>
      <c r="H62" s="161" t="s">
        <v>101</v>
      </c>
    </row>
    <row r="63" spans="5:8" x14ac:dyDescent="0.35">
      <c r="E63" s="159" t="s">
        <v>192</v>
      </c>
      <c r="F63" s="398"/>
      <c r="G63" s="160" t="s">
        <v>198</v>
      </c>
      <c r="H63" s="161" t="s">
        <v>102</v>
      </c>
    </row>
    <row r="64" spans="5:8" x14ac:dyDescent="0.35">
      <c r="E64" s="159" t="s">
        <v>192</v>
      </c>
      <c r="F64" s="398"/>
      <c r="G64" s="162" t="s">
        <v>199</v>
      </c>
      <c r="H64" s="161" t="s">
        <v>103</v>
      </c>
    </row>
    <row r="65" spans="5:8" x14ac:dyDescent="0.35">
      <c r="E65" s="148" t="s">
        <v>200</v>
      </c>
      <c r="F65" s="396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396"/>
      <c r="G66" s="151" t="s">
        <v>203</v>
      </c>
      <c r="H66" s="152" t="s">
        <v>100</v>
      </c>
    </row>
    <row r="67" spans="5:8" x14ac:dyDescent="0.35">
      <c r="E67" s="148" t="s">
        <v>200</v>
      </c>
      <c r="F67" s="396"/>
      <c r="G67" s="151" t="s">
        <v>204</v>
      </c>
      <c r="H67" s="152" t="s">
        <v>98</v>
      </c>
    </row>
    <row r="68" spans="5:8" x14ac:dyDescent="0.35">
      <c r="E68" s="148" t="s">
        <v>200</v>
      </c>
      <c r="F68" s="396"/>
      <c r="G68" s="151" t="s">
        <v>201</v>
      </c>
      <c r="H68" s="152" t="s">
        <v>101</v>
      </c>
    </row>
    <row r="69" spans="5:8" x14ac:dyDescent="0.35">
      <c r="E69" s="148" t="s">
        <v>200</v>
      </c>
      <c r="F69" s="396"/>
      <c r="G69" s="151" t="s">
        <v>205</v>
      </c>
      <c r="H69" s="152" t="s">
        <v>102</v>
      </c>
    </row>
    <row r="70" spans="5:8" x14ac:dyDescent="0.35">
      <c r="E70" s="148" t="s">
        <v>200</v>
      </c>
      <c r="F70" s="396"/>
      <c r="G70" s="151" t="s">
        <v>206</v>
      </c>
      <c r="H70" s="152" t="s">
        <v>103</v>
      </c>
    </row>
    <row r="71" spans="5:8" x14ac:dyDescent="0.35">
      <c r="E71" s="153" t="s">
        <v>207</v>
      </c>
      <c r="F71" s="396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396"/>
      <c r="G72" s="154" t="s">
        <v>210</v>
      </c>
      <c r="H72" s="152" t="s">
        <v>100</v>
      </c>
    </row>
    <row r="73" spans="5:8" x14ac:dyDescent="0.35">
      <c r="E73" s="153" t="s">
        <v>207</v>
      </c>
      <c r="F73" s="396"/>
      <c r="G73" s="154" t="s">
        <v>211</v>
      </c>
      <c r="H73" s="152" t="s">
        <v>98</v>
      </c>
    </row>
    <row r="74" spans="5:8" x14ac:dyDescent="0.35">
      <c r="E74" s="153" t="s">
        <v>207</v>
      </c>
      <c r="F74" s="396"/>
      <c r="G74" s="154" t="s">
        <v>212</v>
      </c>
      <c r="H74" s="152" t="s">
        <v>101</v>
      </c>
    </row>
    <row r="75" spans="5:8" x14ac:dyDescent="0.35">
      <c r="E75" s="153" t="s">
        <v>207</v>
      </c>
      <c r="F75" s="396"/>
      <c r="G75" s="154" t="s">
        <v>213</v>
      </c>
      <c r="H75" s="152" t="s">
        <v>102</v>
      </c>
    </row>
    <row r="76" spans="5:8" x14ac:dyDescent="0.35">
      <c r="E76" s="153" t="s">
        <v>207</v>
      </c>
      <c r="F76" s="396"/>
      <c r="G76" s="151" t="s">
        <v>214</v>
      </c>
      <c r="H76" s="152" t="s">
        <v>103</v>
      </c>
    </row>
    <row r="77" spans="5:8" x14ac:dyDescent="0.35">
      <c r="E77" s="153" t="s">
        <v>215</v>
      </c>
      <c r="F77" s="396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396"/>
      <c r="G78" s="154" t="s">
        <v>218</v>
      </c>
      <c r="H78" s="152" t="s">
        <v>100</v>
      </c>
    </row>
    <row r="79" spans="5:8" x14ac:dyDescent="0.35">
      <c r="E79" s="153" t="s">
        <v>215</v>
      </c>
      <c r="F79" s="396"/>
      <c r="G79" s="154" t="s">
        <v>219</v>
      </c>
      <c r="H79" s="152" t="s">
        <v>98</v>
      </c>
    </row>
    <row r="80" spans="5:8" x14ac:dyDescent="0.35">
      <c r="E80" s="153" t="s">
        <v>215</v>
      </c>
      <c r="F80" s="396"/>
      <c r="G80" s="154" t="s">
        <v>220</v>
      </c>
      <c r="H80" s="152" t="s">
        <v>101</v>
      </c>
    </row>
    <row r="81" spans="5:8" x14ac:dyDescent="0.35">
      <c r="E81" s="153" t="s">
        <v>215</v>
      </c>
      <c r="F81" s="396"/>
      <c r="G81" s="154" t="s">
        <v>221</v>
      </c>
      <c r="H81" s="152" t="s">
        <v>102</v>
      </c>
    </row>
    <row r="82" spans="5:8" x14ac:dyDescent="0.35">
      <c r="E82" s="153" t="s">
        <v>215</v>
      </c>
      <c r="F82" s="396"/>
      <c r="G82" s="151" t="s">
        <v>222</v>
      </c>
      <c r="H82" s="152" t="s">
        <v>103</v>
      </c>
    </row>
    <row r="83" spans="5:8" x14ac:dyDescent="0.35">
      <c r="E83" s="153" t="s">
        <v>223</v>
      </c>
      <c r="F83" s="396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396"/>
      <c r="G84" s="154" t="s">
        <v>226</v>
      </c>
      <c r="H84" s="152" t="s">
        <v>100</v>
      </c>
    </row>
    <row r="85" spans="5:8" x14ac:dyDescent="0.35">
      <c r="E85" s="153" t="s">
        <v>223</v>
      </c>
      <c r="F85" s="396"/>
      <c r="G85" s="154" t="s">
        <v>227</v>
      </c>
      <c r="H85" s="152" t="s">
        <v>98</v>
      </c>
    </row>
    <row r="86" spans="5:8" x14ac:dyDescent="0.35">
      <c r="E86" s="153" t="s">
        <v>223</v>
      </c>
      <c r="F86" s="396"/>
      <c r="G86" s="154" t="s">
        <v>228</v>
      </c>
      <c r="H86" s="152" t="s">
        <v>101</v>
      </c>
    </row>
    <row r="87" spans="5:8" x14ac:dyDescent="0.35">
      <c r="E87" s="153" t="s">
        <v>223</v>
      </c>
      <c r="F87" s="396"/>
      <c r="G87" s="154" t="s">
        <v>229</v>
      </c>
      <c r="H87" s="152" t="s">
        <v>102</v>
      </c>
    </row>
    <row r="88" spans="5:8" x14ac:dyDescent="0.35">
      <c r="E88" s="153" t="s">
        <v>223</v>
      </c>
      <c r="F88" s="396"/>
      <c r="G88" s="151" t="s">
        <v>230</v>
      </c>
      <c r="H88" s="152" t="s">
        <v>103</v>
      </c>
    </row>
    <row r="89" spans="5:8" x14ac:dyDescent="0.35">
      <c r="E89" s="153" t="s">
        <v>231</v>
      </c>
      <c r="F89" s="396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396"/>
      <c r="G90" s="154" t="s">
        <v>234</v>
      </c>
      <c r="H90" s="152" t="s">
        <v>100</v>
      </c>
    </row>
    <row r="91" spans="5:8" x14ac:dyDescent="0.35">
      <c r="E91" s="153" t="s">
        <v>231</v>
      </c>
      <c r="F91" s="396"/>
      <c r="G91" s="154" t="s">
        <v>235</v>
      </c>
      <c r="H91" s="152" t="s">
        <v>98</v>
      </c>
    </row>
    <row r="92" spans="5:8" x14ac:dyDescent="0.35">
      <c r="E92" s="153" t="s">
        <v>231</v>
      </c>
      <c r="F92" s="396"/>
      <c r="G92" s="154" t="s">
        <v>236</v>
      </c>
      <c r="H92" s="152" t="s">
        <v>101</v>
      </c>
    </row>
    <row r="93" spans="5:8" x14ac:dyDescent="0.35">
      <c r="E93" s="153" t="s">
        <v>231</v>
      </c>
      <c r="F93" s="396"/>
      <c r="G93" s="154" t="s">
        <v>232</v>
      </c>
      <c r="H93" s="152" t="s">
        <v>102</v>
      </c>
    </row>
    <row r="94" spans="5:8" x14ac:dyDescent="0.35">
      <c r="E94" s="153" t="s">
        <v>231</v>
      </c>
      <c r="F94" s="396"/>
      <c r="G94" s="158" t="s">
        <v>237</v>
      </c>
      <c r="H94" s="152" t="s">
        <v>103</v>
      </c>
    </row>
    <row r="95" spans="5:8" x14ac:dyDescent="0.35">
      <c r="E95" s="153" t="s">
        <v>238</v>
      </c>
      <c r="F95" s="396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396"/>
      <c r="G96" s="154" t="s">
        <v>241</v>
      </c>
      <c r="H96" s="152" t="s">
        <v>100</v>
      </c>
    </row>
    <row r="97" spans="5:8" x14ac:dyDescent="0.35">
      <c r="E97" s="153" t="s">
        <v>238</v>
      </c>
      <c r="F97" s="396"/>
      <c r="G97" s="154" t="s">
        <v>242</v>
      </c>
      <c r="H97" s="152" t="s">
        <v>98</v>
      </c>
    </row>
    <row r="98" spans="5:8" x14ac:dyDescent="0.35">
      <c r="E98" s="153" t="s">
        <v>238</v>
      </c>
      <c r="F98" s="396"/>
      <c r="G98" s="154" t="s">
        <v>243</v>
      </c>
      <c r="H98" s="152" t="s">
        <v>101</v>
      </c>
    </row>
    <row r="99" spans="5:8" x14ac:dyDescent="0.35">
      <c r="E99" s="153" t="s">
        <v>238</v>
      </c>
      <c r="F99" s="396"/>
      <c r="G99" s="158" t="s">
        <v>244</v>
      </c>
      <c r="H99" s="152" t="s">
        <v>102</v>
      </c>
    </row>
    <row r="100" spans="5:8" x14ac:dyDescent="0.35">
      <c r="E100" s="153" t="s">
        <v>238</v>
      </c>
      <c r="F100" s="396"/>
      <c r="G100" s="154" t="s">
        <v>245</v>
      </c>
      <c r="H100" s="152" t="s">
        <v>103</v>
      </c>
    </row>
    <row r="101" spans="5:8" x14ac:dyDescent="0.35">
      <c r="E101" s="153" t="s">
        <v>246</v>
      </c>
      <c r="F101" s="396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396"/>
      <c r="G102" s="154" t="s">
        <v>247</v>
      </c>
      <c r="H102" s="152" t="s">
        <v>100</v>
      </c>
    </row>
    <row r="103" spans="5:8" x14ac:dyDescent="0.35">
      <c r="E103" s="153" t="s">
        <v>246</v>
      </c>
      <c r="F103" s="396"/>
      <c r="G103" s="154" t="s">
        <v>249</v>
      </c>
      <c r="H103" s="152" t="s">
        <v>98</v>
      </c>
    </row>
    <row r="104" spans="5:8" x14ac:dyDescent="0.35">
      <c r="E104" s="153" t="s">
        <v>246</v>
      </c>
      <c r="F104" s="396"/>
      <c r="G104" s="154" t="s">
        <v>250</v>
      </c>
      <c r="H104" s="152" t="s">
        <v>101</v>
      </c>
    </row>
    <row r="105" spans="5:8" x14ac:dyDescent="0.35">
      <c r="E105" s="153" t="s">
        <v>246</v>
      </c>
      <c r="F105" s="396"/>
      <c r="G105" s="154" t="s">
        <v>251</v>
      </c>
      <c r="H105" s="152" t="s">
        <v>102</v>
      </c>
    </row>
    <row r="106" spans="5:8" x14ac:dyDescent="0.35">
      <c r="E106" s="153" t="s">
        <v>246</v>
      </c>
      <c r="F106" s="396"/>
      <c r="G106" s="154" t="s">
        <v>252</v>
      </c>
      <c r="H106" s="152" t="s">
        <v>103</v>
      </c>
    </row>
    <row r="107" spans="5:8" x14ac:dyDescent="0.35">
      <c r="E107" s="153" t="s">
        <v>253</v>
      </c>
      <c r="F107" s="396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396"/>
      <c r="G108" s="154" t="s">
        <v>256</v>
      </c>
      <c r="H108" s="152" t="s">
        <v>100</v>
      </c>
    </row>
    <row r="109" spans="5:8" x14ac:dyDescent="0.35">
      <c r="E109" s="153" t="s">
        <v>253</v>
      </c>
      <c r="F109" s="396"/>
      <c r="G109" s="154" t="s">
        <v>257</v>
      </c>
      <c r="H109" s="152" t="s">
        <v>98</v>
      </c>
    </row>
    <row r="110" spans="5:8" x14ac:dyDescent="0.35">
      <c r="E110" s="153" t="s">
        <v>253</v>
      </c>
      <c r="F110" s="396"/>
      <c r="G110" s="154" t="s">
        <v>258</v>
      </c>
      <c r="H110" s="152" t="s">
        <v>101</v>
      </c>
    </row>
    <row r="111" spans="5:8" x14ac:dyDescent="0.35">
      <c r="E111" s="153" t="s">
        <v>253</v>
      </c>
      <c r="F111" s="396"/>
      <c r="G111" s="154" t="s">
        <v>259</v>
      </c>
      <c r="H111" s="152" t="s">
        <v>102</v>
      </c>
    </row>
    <row r="112" spans="5:8" x14ac:dyDescent="0.35">
      <c r="E112" s="153" t="s">
        <v>253</v>
      </c>
      <c r="F112" s="396"/>
      <c r="G112" s="158" t="s">
        <v>260</v>
      </c>
      <c r="H112" s="152" t="s">
        <v>103</v>
      </c>
    </row>
    <row r="113" spans="5:8" x14ac:dyDescent="0.35">
      <c r="E113" s="153" t="s">
        <v>261</v>
      </c>
      <c r="F113" s="396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396"/>
      <c r="G114" s="154" t="s">
        <v>264</v>
      </c>
      <c r="H114" s="152" t="s">
        <v>100</v>
      </c>
    </row>
    <row r="115" spans="5:8" x14ac:dyDescent="0.35">
      <c r="E115" s="153" t="s">
        <v>261</v>
      </c>
      <c r="F115" s="396"/>
      <c r="G115" s="154" t="s">
        <v>265</v>
      </c>
      <c r="H115" s="152" t="s">
        <v>98</v>
      </c>
    </row>
    <row r="116" spans="5:8" x14ac:dyDescent="0.35">
      <c r="E116" s="153" t="s">
        <v>261</v>
      </c>
      <c r="F116" s="396"/>
      <c r="G116" s="154" t="s">
        <v>266</v>
      </c>
      <c r="H116" s="152" t="s">
        <v>101</v>
      </c>
    </row>
    <row r="117" spans="5:8" x14ac:dyDescent="0.35">
      <c r="E117" s="153" t="s">
        <v>261</v>
      </c>
      <c r="F117" s="396"/>
      <c r="G117" s="154" t="s">
        <v>267</v>
      </c>
      <c r="H117" s="152" t="s">
        <v>102</v>
      </c>
    </row>
    <row r="118" spans="5:8" x14ac:dyDescent="0.35">
      <c r="E118" s="153" t="s">
        <v>261</v>
      </c>
      <c r="F118" s="396"/>
      <c r="G118" s="158" t="s">
        <v>268</v>
      </c>
      <c r="H118" s="152" t="s">
        <v>103</v>
      </c>
    </row>
    <row r="119" spans="5:8" x14ac:dyDescent="0.35">
      <c r="E119" s="159" t="s">
        <v>269</v>
      </c>
      <c r="F119" s="398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398"/>
      <c r="G120" s="160" t="s">
        <v>272</v>
      </c>
      <c r="H120" s="161" t="s">
        <v>100</v>
      </c>
    </row>
    <row r="121" spans="5:8" x14ac:dyDescent="0.35">
      <c r="E121" s="159" t="s">
        <v>269</v>
      </c>
      <c r="F121" s="398"/>
      <c r="G121" s="160" t="s">
        <v>273</v>
      </c>
      <c r="H121" s="161" t="s">
        <v>98</v>
      </c>
    </row>
    <row r="122" spans="5:8" x14ac:dyDescent="0.35">
      <c r="E122" s="159" t="s">
        <v>269</v>
      </c>
      <c r="F122" s="398"/>
      <c r="G122" s="160" t="s">
        <v>274</v>
      </c>
      <c r="H122" s="161" t="s">
        <v>101</v>
      </c>
    </row>
    <row r="123" spans="5:8" x14ac:dyDescent="0.35">
      <c r="E123" s="159" t="s">
        <v>269</v>
      </c>
      <c r="F123" s="398"/>
      <c r="G123" s="160" t="s">
        <v>275</v>
      </c>
      <c r="H123" s="161" t="s">
        <v>102</v>
      </c>
    </row>
    <row r="124" spans="5:8" x14ac:dyDescent="0.35">
      <c r="E124" s="159" t="s">
        <v>269</v>
      </c>
      <c r="F124" s="398"/>
      <c r="G124" s="162" t="s">
        <v>276</v>
      </c>
      <c r="H124" s="161" t="s">
        <v>103</v>
      </c>
    </row>
    <row r="125" spans="5:8" x14ac:dyDescent="0.35">
      <c r="E125" s="148" t="s">
        <v>277</v>
      </c>
      <c r="F125" s="396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396"/>
      <c r="G126" s="151" t="s">
        <v>281</v>
      </c>
      <c r="H126" s="152" t="s">
        <v>100</v>
      </c>
    </row>
    <row r="127" spans="5:8" x14ac:dyDescent="0.35">
      <c r="E127" s="148" t="s">
        <v>280</v>
      </c>
      <c r="F127" s="396"/>
      <c r="G127" s="151" t="s">
        <v>282</v>
      </c>
      <c r="H127" s="152" t="s">
        <v>98</v>
      </c>
    </row>
    <row r="128" spans="5:8" x14ac:dyDescent="0.35">
      <c r="E128" s="148" t="s">
        <v>277</v>
      </c>
      <c r="F128" s="396"/>
      <c r="G128" s="151" t="s">
        <v>283</v>
      </c>
      <c r="H128" s="152" t="s">
        <v>101</v>
      </c>
    </row>
    <row r="129" spans="5:8" x14ac:dyDescent="0.35">
      <c r="E129" s="148" t="s">
        <v>277</v>
      </c>
      <c r="F129" s="396"/>
      <c r="G129" s="151" t="s">
        <v>284</v>
      </c>
      <c r="H129" s="152" t="s">
        <v>102</v>
      </c>
    </row>
    <row r="130" spans="5:8" x14ac:dyDescent="0.35">
      <c r="E130" s="148" t="s">
        <v>277</v>
      </c>
      <c r="F130" s="396"/>
      <c r="G130" s="151" t="s">
        <v>285</v>
      </c>
      <c r="H130" s="152" t="s">
        <v>103</v>
      </c>
    </row>
    <row r="131" spans="5:8" x14ac:dyDescent="0.35">
      <c r="E131" s="153" t="s">
        <v>286</v>
      </c>
      <c r="F131" s="396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396"/>
      <c r="G132" s="154" t="s">
        <v>288</v>
      </c>
      <c r="H132" s="152" t="s">
        <v>100</v>
      </c>
    </row>
    <row r="133" spans="5:8" x14ac:dyDescent="0.35">
      <c r="E133" s="153" t="s">
        <v>289</v>
      </c>
      <c r="F133" s="396"/>
      <c r="G133" s="154" t="s">
        <v>290</v>
      </c>
      <c r="H133" s="152" t="s">
        <v>98</v>
      </c>
    </row>
    <row r="134" spans="5:8" x14ac:dyDescent="0.35">
      <c r="E134" s="153" t="s">
        <v>289</v>
      </c>
      <c r="F134" s="396"/>
      <c r="G134" s="154" t="s">
        <v>291</v>
      </c>
      <c r="H134" s="152" t="s">
        <v>101</v>
      </c>
    </row>
    <row r="135" spans="5:8" x14ac:dyDescent="0.35">
      <c r="E135" s="153" t="s">
        <v>286</v>
      </c>
      <c r="F135" s="396"/>
      <c r="G135" s="154" t="s">
        <v>292</v>
      </c>
      <c r="H135" s="152" t="s">
        <v>102</v>
      </c>
    </row>
    <row r="136" spans="5:8" x14ac:dyDescent="0.35">
      <c r="E136" s="153" t="s">
        <v>289</v>
      </c>
      <c r="F136" s="396"/>
      <c r="G136" s="151" t="s">
        <v>293</v>
      </c>
      <c r="H136" s="152" t="s">
        <v>103</v>
      </c>
    </row>
    <row r="137" spans="5:8" x14ac:dyDescent="0.35">
      <c r="E137" s="153" t="s">
        <v>294</v>
      </c>
      <c r="F137" s="396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396"/>
      <c r="G138" s="154" t="s">
        <v>298</v>
      </c>
      <c r="H138" s="152" t="s">
        <v>100</v>
      </c>
    </row>
    <row r="139" spans="5:8" x14ac:dyDescent="0.35">
      <c r="E139" s="153" t="s">
        <v>297</v>
      </c>
      <c r="F139" s="396"/>
      <c r="G139" s="154" t="s">
        <v>299</v>
      </c>
      <c r="H139" s="152" t="s">
        <v>98</v>
      </c>
    </row>
    <row r="140" spans="5:8" x14ac:dyDescent="0.35">
      <c r="E140" s="153" t="s">
        <v>297</v>
      </c>
      <c r="F140" s="396"/>
      <c r="G140" s="154" t="s">
        <v>300</v>
      </c>
      <c r="H140" s="152" t="s">
        <v>101</v>
      </c>
    </row>
    <row r="141" spans="5:8" x14ac:dyDescent="0.35">
      <c r="E141" s="153" t="s">
        <v>297</v>
      </c>
      <c r="F141" s="396"/>
      <c r="G141" s="154" t="s">
        <v>301</v>
      </c>
      <c r="H141" s="152" t="s">
        <v>102</v>
      </c>
    </row>
    <row r="142" spans="5:8" x14ac:dyDescent="0.35">
      <c r="E142" s="153" t="s">
        <v>294</v>
      </c>
      <c r="F142" s="396"/>
      <c r="G142" s="151" t="s">
        <v>302</v>
      </c>
      <c r="H142" s="152" t="s">
        <v>103</v>
      </c>
    </row>
    <row r="143" spans="5:8" x14ac:dyDescent="0.35">
      <c r="E143" s="153" t="s">
        <v>303</v>
      </c>
      <c r="F143" s="396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396"/>
      <c r="G144" s="154" t="s">
        <v>306</v>
      </c>
      <c r="H144" s="152" t="s">
        <v>100</v>
      </c>
    </row>
    <row r="145" spans="5:8" x14ac:dyDescent="0.35">
      <c r="E145" s="153" t="s">
        <v>303</v>
      </c>
      <c r="F145" s="396"/>
      <c r="G145" s="154" t="s">
        <v>307</v>
      </c>
      <c r="H145" s="152" t="s">
        <v>98</v>
      </c>
    </row>
    <row r="146" spans="5:8" x14ac:dyDescent="0.35">
      <c r="E146" s="153" t="s">
        <v>303</v>
      </c>
      <c r="F146" s="396"/>
      <c r="G146" s="154" t="s">
        <v>308</v>
      </c>
      <c r="H146" s="152" t="s">
        <v>101</v>
      </c>
    </row>
    <row r="147" spans="5:8" x14ac:dyDescent="0.35">
      <c r="E147" s="153" t="s">
        <v>305</v>
      </c>
      <c r="F147" s="396"/>
      <c r="G147" s="154" t="s">
        <v>309</v>
      </c>
      <c r="H147" s="152" t="s">
        <v>102</v>
      </c>
    </row>
    <row r="148" spans="5:8" x14ac:dyDescent="0.35">
      <c r="E148" s="153" t="s">
        <v>305</v>
      </c>
      <c r="F148" s="396"/>
      <c r="G148" s="151" t="s">
        <v>310</v>
      </c>
      <c r="H148" s="152" t="s">
        <v>103</v>
      </c>
    </row>
    <row r="149" spans="5:8" x14ac:dyDescent="0.35">
      <c r="E149" s="153" t="s">
        <v>311</v>
      </c>
      <c r="F149" s="396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396"/>
      <c r="G150" s="154" t="s">
        <v>314</v>
      </c>
      <c r="H150" s="152" t="s">
        <v>100</v>
      </c>
    </row>
    <row r="151" spans="5:8" x14ac:dyDescent="0.35">
      <c r="E151" s="153" t="s">
        <v>315</v>
      </c>
      <c r="F151" s="396"/>
      <c r="G151" s="154" t="s">
        <v>316</v>
      </c>
      <c r="H151" s="152" t="s">
        <v>98</v>
      </c>
    </row>
    <row r="152" spans="5:8" x14ac:dyDescent="0.35">
      <c r="E152" s="153" t="s">
        <v>315</v>
      </c>
      <c r="F152" s="396"/>
      <c r="G152" s="154" t="s">
        <v>317</v>
      </c>
      <c r="H152" s="152" t="s">
        <v>101</v>
      </c>
    </row>
    <row r="153" spans="5:8" x14ac:dyDescent="0.35">
      <c r="E153" s="153" t="s">
        <v>315</v>
      </c>
      <c r="F153" s="396"/>
      <c r="G153" s="154" t="s">
        <v>318</v>
      </c>
      <c r="H153" s="152" t="s">
        <v>102</v>
      </c>
    </row>
    <row r="154" spans="5:8" x14ac:dyDescent="0.35">
      <c r="E154" s="153" t="s">
        <v>315</v>
      </c>
      <c r="F154" s="396"/>
      <c r="G154" s="158" t="s">
        <v>319</v>
      </c>
      <c r="H154" s="152" t="s">
        <v>103</v>
      </c>
    </row>
    <row r="155" spans="5:8" x14ac:dyDescent="0.35">
      <c r="E155" s="153" t="s">
        <v>320</v>
      </c>
      <c r="F155" s="396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396"/>
      <c r="G156" s="154" t="s">
        <v>324</v>
      </c>
      <c r="H156" s="152" t="s">
        <v>100</v>
      </c>
    </row>
    <row r="157" spans="5:8" x14ac:dyDescent="0.35">
      <c r="E157" s="153" t="s">
        <v>320</v>
      </c>
      <c r="F157" s="396"/>
      <c r="G157" s="154" t="s">
        <v>325</v>
      </c>
      <c r="H157" s="152" t="s">
        <v>98</v>
      </c>
    </row>
    <row r="158" spans="5:8" x14ac:dyDescent="0.35">
      <c r="E158" s="153" t="s">
        <v>320</v>
      </c>
      <c r="F158" s="396"/>
      <c r="G158" s="154" t="s">
        <v>321</v>
      </c>
      <c r="H158" s="152" t="s">
        <v>101</v>
      </c>
    </row>
    <row r="159" spans="5:8" x14ac:dyDescent="0.35">
      <c r="E159" s="153" t="s">
        <v>320</v>
      </c>
      <c r="F159" s="396"/>
      <c r="G159" s="158" t="s">
        <v>326</v>
      </c>
      <c r="H159" s="152" t="s">
        <v>102</v>
      </c>
    </row>
    <row r="160" spans="5:8" x14ac:dyDescent="0.35">
      <c r="E160" s="153" t="s">
        <v>320</v>
      </c>
      <c r="F160" s="396"/>
      <c r="G160" s="154" t="s">
        <v>327</v>
      </c>
      <c r="H160" s="152" t="s">
        <v>103</v>
      </c>
    </row>
    <row r="161" spans="5:8" x14ac:dyDescent="0.35">
      <c r="E161" s="153" t="s">
        <v>328</v>
      </c>
      <c r="F161" s="396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396"/>
      <c r="G162" s="154" t="s">
        <v>331</v>
      </c>
      <c r="H162" s="152" t="s">
        <v>100</v>
      </c>
    </row>
    <row r="163" spans="5:8" x14ac:dyDescent="0.35">
      <c r="E163" s="153" t="s">
        <v>332</v>
      </c>
      <c r="F163" s="396"/>
      <c r="G163" s="154" t="s">
        <v>333</v>
      </c>
      <c r="H163" s="152" t="s">
        <v>98</v>
      </c>
    </row>
    <row r="164" spans="5:8" x14ac:dyDescent="0.35">
      <c r="E164" s="153" t="s">
        <v>328</v>
      </c>
      <c r="F164" s="396"/>
      <c r="G164" s="154" t="s">
        <v>334</v>
      </c>
      <c r="H164" s="152" t="s">
        <v>101</v>
      </c>
    </row>
    <row r="165" spans="5:8" x14ac:dyDescent="0.35">
      <c r="E165" s="153" t="s">
        <v>332</v>
      </c>
      <c r="F165" s="396"/>
      <c r="G165" s="154" t="s">
        <v>329</v>
      </c>
      <c r="H165" s="152" t="s">
        <v>102</v>
      </c>
    </row>
    <row r="166" spans="5:8" x14ac:dyDescent="0.35">
      <c r="E166" s="153" t="s">
        <v>332</v>
      </c>
      <c r="F166" s="396"/>
      <c r="G166" s="154" t="s">
        <v>335</v>
      </c>
      <c r="H166" s="152" t="s">
        <v>103</v>
      </c>
    </row>
    <row r="167" spans="5:8" x14ac:dyDescent="0.35">
      <c r="E167" s="153" t="s">
        <v>336</v>
      </c>
      <c r="F167" s="396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396"/>
      <c r="G168" s="154" t="s">
        <v>339</v>
      </c>
      <c r="H168" s="152" t="s">
        <v>100</v>
      </c>
    </row>
    <row r="169" spans="5:8" x14ac:dyDescent="0.35">
      <c r="E169" s="153" t="s">
        <v>338</v>
      </c>
      <c r="F169" s="396"/>
      <c r="G169" s="154" t="s">
        <v>340</v>
      </c>
      <c r="H169" s="152" t="s">
        <v>98</v>
      </c>
    </row>
    <row r="170" spans="5:8" x14ac:dyDescent="0.35">
      <c r="E170" s="153" t="s">
        <v>338</v>
      </c>
      <c r="F170" s="396"/>
      <c r="G170" s="154" t="s">
        <v>341</v>
      </c>
      <c r="H170" s="152" t="s">
        <v>101</v>
      </c>
    </row>
    <row r="171" spans="5:8" x14ac:dyDescent="0.35">
      <c r="E171" s="153" t="s">
        <v>338</v>
      </c>
      <c r="F171" s="396"/>
      <c r="G171" s="154" t="s">
        <v>342</v>
      </c>
      <c r="H171" s="152" t="s">
        <v>102</v>
      </c>
    </row>
    <row r="172" spans="5:8" x14ac:dyDescent="0.35">
      <c r="E172" s="153" t="s">
        <v>338</v>
      </c>
      <c r="F172" s="396"/>
      <c r="G172" s="158" t="s">
        <v>343</v>
      </c>
      <c r="H172" s="152" t="s">
        <v>103</v>
      </c>
    </row>
    <row r="173" spans="5:8" x14ac:dyDescent="0.35">
      <c r="E173" s="153" t="s">
        <v>344</v>
      </c>
      <c r="F173" s="396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396"/>
      <c r="G174" s="154" t="s">
        <v>347</v>
      </c>
      <c r="H174" s="152" t="s">
        <v>100</v>
      </c>
    </row>
    <row r="175" spans="5:8" x14ac:dyDescent="0.35">
      <c r="E175" s="153" t="s">
        <v>344</v>
      </c>
      <c r="F175" s="396"/>
      <c r="G175" s="154" t="s">
        <v>348</v>
      </c>
      <c r="H175" s="152" t="s">
        <v>98</v>
      </c>
    </row>
    <row r="176" spans="5:8" x14ac:dyDescent="0.35">
      <c r="E176" s="153" t="s">
        <v>344</v>
      </c>
      <c r="F176" s="396"/>
      <c r="G176" s="154" t="s">
        <v>349</v>
      </c>
      <c r="H176" s="152" t="s">
        <v>101</v>
      </c>
    </row>
    <row r="177" spans="5:8" x14ac:dyDescent="0.35">
      <c r="E177" s="153" t="s">
        <v>344</v>
      </c>
      <c r="F177" s="396"/>
      <c r="G177" s="154" t="s">
        <v>350</v>
      </c>
      <c r="H177" s="152" t="s">
        <v>102</v>
      </c>
    </row>
    <row r="178" spans="5:8" x14ac:dyDescent="0.35">
      <c r="E178" s="153" t="s">
        <v>344</v>
      </c>
      <c r="F178" s="396"/>
      <c r="G178" s="158" t="s">
        <v>351</v>
      </c>
      <c r="H178" s="152" t="s">
        <v>103</v>
      </c>
    </row>
    <row r="179" spans="5:8" x14ac:dyDescent="0.35">
      <c r="E179" s="156" t="s">
        <v>352</v>
      </c>
      <c r="F179" s="396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396"/>
      <c r="G180" s="154" t="s">
        <v>355</v>
      </c>
      <c r="H180" s="152" t="s">
        <v>100</v>
      </c>
    </row>
    <row r="181" spans="5:8" x14ac:dyDescent="0.35">
      <c r="E181" s="156" t="s">
        <v>352</v>
      </c>
      <c r="F181" s="396"/>
      <c r="G181" s="154" t="s">
        <v>356</v>
      </c>
      <c r="H181" s="152" t="s">
        <v>98</v>
      </c>
    </row>
    <row r="182" spans="5:8" x14ac:dyDescent="0.35">
      <c r="E182" s="156" t="s">
        <v>352</v>
      </c>
      <c r="F182" s="396"/>
      <c r="G182" s="154" t="s">
        <v>357</v>
      </c>
      <c r="H182" s="152" t="s">
        <v>101</v>
      </c>
    </row>
    <row r="183" spans="5:8" x14ac:dyDescent="0.35">
      <c r="E183" s="156" t="s">
        <v>352</v>
      </c>
      <c r="F183" s="396"/>
      <c r="G183" s="154" t="s">
        <v>358</v>
      </c>
      <c r="H183" s="152" t="s">
        <v>102</v>
      </c>
    </row>
    <row r="184" spans="5:8" x14ac:dyDescent="0.35">
      <c r="E184" s="156" t="s">
        <v>352</v>
      </c>
      <c r="F184" s="396"/>
      <c r="G184" s="158" t="s">
        <v>359</v>
      </c>
      <c r="H184" s="152" t="s">
        <v>103</v>
      </c>
    </row>
    <row r="185" spans="5:8" x14ac:dyDescent="0.35">
      <c r="E185" s="148" t="s">
        <v>360</v>
      </c>
      <c r="F185" s="396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396"/>
      <c r="G186" s="151" t="s">
        <v>363</v>
      </c>
      <c r="H186" s="152" t="s">
        <v>100</v>
      </c>
    </row>
    <row r="187" spans="5:8" x14ac:dyDescent="0.35">
      <c r="E187" s="148" t="s">
        <v>360</v>
      </c>
      <c r="F187" s="396"/>
      <c r="G187" s="151" t="s">
        <v>364</v>
      </c>
      <c r="H187" s="152" t="s">
        <v>98</v>
      </c>
    </row>
    <row r="188" spans="5:8" x14ac:dyDescent="0.35">
      <c r="E188" s="148" t="s">
        <v>360</v>
      </c>
      <c r="F188" s="396"/>
      <c r="G188" s="151" t="s">
        <v>365</v>
      </c>
      <c r="H188" s="152" t="s">
        <v>101</v>
      </c>
    </row>
    <row r="189" spans="5:8" x14ac:dyDescent="0.35">
      <c r="E189" s="148" t="s">
        <v>360</v>
      </c>
      <c r="F189" s="396"/>
      <c r="G189" s="151" t="s">
        <v>366</v>
      </c>
      <c r="H189" s="152" t="s">
        <v>102</v>
      </c>
    </row>
    <row r="190" spans="5:8" x14ac:dyDescent="0.35">
      <c r="E190" s="148" t="s">
        <v>360</v>
      </c>
      <c r="F190" s="396"/>
      <c r="G190" s="151" t="s">
        <v>367</v>
      </c>
      <c r="H190" s="152" t="s">
        <v>103</v>
      </c>
    </row>
    <row r="191" spans="5:8" x14ac:dyDescent="0.35">
      <c r="E191" s="153" t="s">
        <v>368</v>
      </c>
      <c r="F191" s="396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396"/>
      <c r="G192" s="154" t="s">
        <v>370</v>
      </c>
      <c r="H192" s="152" t="s">
        <v>100</v>
      </c>
    </row>
    <row r="193" spans="5:8" x14ac:dyDescent="0.35">
      <c r="E193" s="153" t="s">
        <v>368</v>
      </c>
      <c r="F193" s="396"/>
      <c r="G193" s="154" t="s">
        <v>371</v>
      </c>
      <c r="H193" s="152" t="s">
        <v>98</v>
      </c>
    </row>
    <row r="194" spans="5:8" x14ac:dyDescent="0.35">
      <c r="E194" s="153" t="s">
        <v>368</v>
      </c>
      <c r="F194" s="396"/>
      <c r="G194" s="154" t="s">
        <v>372</v>
      </c>
      <c r="H194" s="152" t="s">
        <v>101</v>
      </c>
    </row>
    <row r="195" spans="5:8" x14ac:dyDescent="0.35">
      <c r="E195" s="153" t="s">
        <v>368</v>
      </c>
      <c r="F195" s="396"/>
      <c r="G195" s="154" t="s">
        <v>373</v>
      </c>
      <c r="H195" s="152" t="s">
        <v>102</v>
      </c>
    </row>
    <row r="196" spans="5:8" x14ac:dyDescent="0.35">
      <c r="E196" s="153" t="s">
        <v>368</v>
      </c>
      <c r="F196" s="396"/>
      <c r="G196" s="151" t="s">
        <v>374</v>
      </c>
      <c r="H196" s="152" t="s">
        <v>103</v>
      </c>
    </row>
    <row r="197" spans="5:8" x14ac:dyDescent="0.35">
      <c r="E197" s="153" t="s">
        <v>375</v>
      </c>
      <c r="F197" s="396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396"/>
      <c r="G198" s="154" t="s">
        <v>378</v>
      </c>
      <c r="H198" s="152" t="s">
        <v>100</v>
      </c>
    </row>
    <row r="199" spans="5:8" x14ac:dyDescent="0.35">
      <c r="E199" s="153" t="s">
        <v>375</v>
      </c>
      <c r="F199" s="396"/>
      <c r="G199" s="154" t="s">
        <v>379</v>
      </c>
      <c r="H199" s="152" t="s">
        <v>98</v>
      </c>
    </row>
    <row r="200" spans="5:8" x14ac:dyDescent="0.35">
      <c r="E200" s="153" t="s">
        <v>375</v>
      </c>
      <c r="F200" s="396"/>
      <c r="G200" s="154" t="s">
        <v>380</v>
      </c>
      <c r="H200" s="152" t="s">
        <v>101</v>
      </c>
    </row>
    <row r="201" spans="5:8" x14ac:dyDescent="0.35">
      <c r="E201" s="153" t="s">
        <v>375</v>
      </c>
      <c r="F201" s="396"/>
      <c r="G201" s="154" t="s">
        <v>381</v>
      </c>
      <c r="H201" s="152" t="s">
        <v>102</v>
      </c>
    </row>
    <row r="202" spans="5:8" x14ac:dyDescent="0.35">
      <c r="E202" s="153" t="s">
        <v>375</v>
      </c>
      <c r="F202" s="396"/>
      <c r="G202" s="151" t="s">
        <v>382</v>
      </c>
      <c r="H202" s="152" t="s">
        <v>103</v>
      </c>
    </row>
    <row r="203" spans="5:8" x14ac:dyDescent="0.35">
      <c r="E203" s="153" t="s">
        <v>383</v>
      </c>
      <c r="F203" s="396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396"/>
      <c r="G204" s="154" t="s">
        <v>386</v>
      </c>
      <c r="H204" s="152" t="s">
        <v>100</v>
      </c>
    </row>
    <row r="205" spans="5:8" x14ac:dyDescent="0.35">
      <c r="E205" s="153" t="s">
        <v>383</v>
      </c>
      <c r="F205" s="396"/>
      <c r="G205" s="154" t="s">
        <v>384</v>
      </c>
      <c r="H205" s="152" t="s">
        <v>98</v>
      </c>
    </row>
    <row r="206" spans="5:8" x14ac:dyDescent="0.35">
      <c r="E206" s="153" t="s">
        <v>383</v>
      </c>
      <c r="F206" s="396"/>
      <c r="G206" s="154" t="s">
        <v>387</v>
      </c>
      <c r="H206" s="152" t="s">
        <v>101</v>
      </c>
    </row>
    <row r="207" spans="5:8" x14ac:dyDescent="0.35">
      <c r="E207" s="153" t="s">
        <v>383</v>
      </c>
      <c r="F207" s="396"/>
      <c r="G207" s="154" t="s">
        <v>388</v>
      </c>
      <c r="H207" s="152" t="s">
        <v>102</v>
      </c>
    </row>
    <row r="208" spans="5:8" x14ac:dyDescent="0.35">
      <c r="E208" s="153" t="s">
        <v>383</v>
      </c>
      <c r="F208" s="396"/>
      <c r="G208" s="151" t="s">
        <v>389</v>
      </c>
      <c r="H208" s="152" t="s">
        <v>103</v>
      </c>
    </row>
    <row r="209" spans="5:8" x14ac:dyDescent="0.35">
      <c r="E209" s="153" t="s">
        <v>390</v>
      </c>
      <c r="F209" s="396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396"/>
      <c r="G210" s="154" t="s">
        <v>393</v>
      </c>
      <c r="H210" s="152" t="s">
        <v>100</v>
      </c>
    </row>
    <row r="211" spans="5:8" x14ac:dyDescent="0.35">
      <c r="E211" s="153" t="s">
        <v>390</v>
      </c>
      <c r="F211" s="396"/>
      <c r="G211" s="154" t="s">
        <v>394</v>
      </c>
      <c r="H211" s="152" t="s">
        <v>98</v>
      </c>
    </row>
    <row r="212" spans="5:8" x14ac:dyDescent="0.35">
      <c r="E212" s="153" t="s">
        <v>390</v>
      </c>
      <c r="F212" s="396"/>
      <c r="G212" s="154" t="s">
        <v>395</v>
      </c>
      <c r="H212" s="152" t="s">
        <v>101</v>
      </c>
    </row>
    <row r="213" spans="5:8" x14ac:dyDescent="0.35">
      <c r="E213" s="153" t="s">
        <v>390</v>
      </c>
      <c r="F213" s="396"/>
      <c r="G213" s="154" t="s">
        <v>396</v>
      </c>
      <c r="H213" s="152" t="s">
        <v>102</v>
      </c>
    </row>
    <row r="214" spans="5:8" x14ac:dyDescent="0.35">
      <c r="E214" s="153" t="s">
        <v>390</v>
      </c>
      <c r="F214" s="396"/>
      <c r="G214" s="158" t="s">
        <v>397</v>
      </c>
      <c r="H214" s="152" t="s">
        <v>103</v>
      </c>
    </row>
    <row r="215" spans="5:8" x14ac:dyDescent="0.35">
      <c r="E215" s="153" t="s">
        <v>398</v>
      </c>
      <c r="F215" s="396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396"/>
      <c r="G216" s="154" t="s">
        <v>401</v>
      </c>
      <c r="H216" s="152" t="s">
        <v>100</v>
      </c>
    </row>
    <row r="217" spans="5:8" x14ac:dyDescent="0.35">
      <c r="E217" s="153" t="s">
        <v>398</v>
      </c>
      <c r="F217" s="396"/>
      <c r="G217" s="154" t="s">
        <v>399</v>
      </c>
      <c r="H217" s="152" t="s">
        <v>98</v>
      </c>
    </row>
    <row r="218" spans="5:8" x14ac:dyDescent="0.35">
      <c r="E218" s="153" t="s">
        <v>398</v>
      </c>
      <c r="F218" s="396"/>
      <c r="G218" s="154" t="s">
        <v>402</v>
      </c>
      <c r="H218" s="152" t="s">
        <v>101</v>
      </c>
    </row>
    <row r="219" spans="5:8" x14ac:dyDescent="0.35">
      <c r="E219" s="153" t="s">
        <v>398</v>
      </c>
      <c r="F219" s="396"/>
      <c r="G219" s="158" t="s">
        <v>403</v>
      </c>
      <c r="H219" s="152" t="s">
        <v>102</v>
      </c>
    </row>
    <row r="220" spans="5:8" x14ac:dyDescent="0.35">
      <c r="E220" s="153" t="s">
        <v>398</v>
      </c>
      <c r="F220" s="396"/>
      <c r="G220" s="154" t="s">
        <v>404</v>
      </c>
      <c r="H220" s="152" t="s">
        <v>103</v>
      </c>
    </row>
    <row r="221" spans="5:8" x14ac:dyDescent="0.35">
      <c r="E221" s="153" t="s">
        <v>405</v>
      </c>
      <c r="F221" s="396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396"/>
      <c r="G222" s="154" t="s">
        <v>408</v>
      </c>
      <c r="H222" s="152" t="s">
        <v>100</v>
      </c>
    </row>
    <row r="223" spans="5:8" x14ac:dyDescent="0.35">
      <c r="E223" s="153" t="s">
        <v>405</v>
      </c>
      <c r="F223" s="396"/>
      <c r="G223" s="154" t="s">
        <v>409</v>
      </c>
      <c r="H223" s="152" t="s">
        <v>98</v>
      </c>
    </row>
    <row r="224" spans="5:8" x14ac:dyDescent="0.35">
      <c r="E224" s="153" t="s">
        <v>405</v>
      </c>
      <c r="F224" s="396"/>
      <c r="G224" s="154" t="s">
        <v>406</v>
      </c>
      <c r="H224" s="152" t="s">
        <v>101</v>
      </c>
    </row>
    <row r="225" spans="5:8" x14ac:dyDescent="0.35">
      <c r="E225" s="153" t="s">
        <v>405</v>
      </c>
      <c r="F225" s="396"/>
      <c r="G225" s="154" t="s">
        <v>410</v>
      </c>
      <c r="H225" s="152" t="s">
        <v>102</v>
      </c>
    </row>
    <row r="226" spans="5:8" x14ac:dyDescent="0.35">
      <c r="E226" s="153" t="s">
        <v>405</v>
      </c>
      <c r="F226" s="396"/>
      <c r="G226" s="154" t="s">
        <v>411</v>
      </c>
      <c r="H226" s="152" t="s">
        <v>103</v>
      </c>
    </row>
    <row r="227" spans="5:8" x14ac:dyDescent="0.35">
      <c r="E227" s="153" t="s">
        <v>412</v>
      </c>
      <c r="F227" s="396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396"/>
      <c r="G228" s="154" t="s">
        <v>415</v>
      </c>
      <c r="H228" s="152" t="s">
        <v>100</v>
      </c>
    </row>
    <row r="229" spans="5:8" x14ac:dyDescent="0.35">
      <c r="E229" s="153" t="s">
        <v>412</v>
      </c>
      <c r="F229" s="396"/>
      <c r="G229" s="154" t="s">
        <v>416</v>
      </c>
      <c r="H229" s="152" t="s">
        <v>98</v>
      </c>
    </row>
    <row r="230" spans="5:8" x14ac:dyDescent="0.35">
      <c r="E230" s="153" t="s">
        <v>412</v>
      </c>
      <c r="F230" s="396"/>
      <c r="G230" s="154" t="s">
        <v>417</v>
      </c>
      <c r="H230" s="152" t="s">
        <v>101</v>
      </c>
    </row>
    <row r="231" spans="5:8" x14ac:dyDescent="0.35">
      <c r="E231" s="153" t="s">
        <v>412</v>
      </c>
      <c r="F231" s="396"/>
      <c r="G231" s="154" t="s">
        <v>418</v>
      </c>
      <c r="H231" s="152" t="s">
        <v>102</v>
      </c>
    </row>
    <row r="232" spans="5:8" x14ac:dyDescent="0.35">
      <c r="E232" s="153" t="s">
        <v>412</v>
      </c>
      <c r="F232" s="396"/>
      <c r="G232" s="158" t="s">
        <v>419</v>
      </c>
      <c r="H232" s="152" t="s">
        <v>103</v>
      </c>
    </row>
    <row r="233" spans="5:8" x14ac:dyDescent="0.35">
      <c r="E233" s="153" t="s">
        <v>420</v>
      </c>
      <c r="F233" s="396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396"/>
      <c r="G234" s="154" t="s">
        <v>423</v>
      </c>
      <c r="H234" s="152" t="s">
        <v>100</v>
      </c>
    </row>
    <row r="235" spans="5:8" x14ac:dyDescent="0.35">
      <c r="E235" s="153" t="s">
        <v>420</v>
      </c>
      <c r="F235" s="396"/>
      <c r="G235" s="154" t="s">
        <v>424</v>
      </c>
      <c r="H235" s="152" t="s">
        <v>98</v>
      </c>
    </row>
    <row r="236" spans="5:8" x14ac:dyDescent="0.35">
      <c r="E236" s="153" t="s">
        <v>420</v>
      </c>
      <c r="F236" s="396"/>
      <c r="G236" s="154" t="s">
        <v>425</v>
      </c>
      <c r="H236" s="152" t="s">
        <v>101</v>
      </c>
    </row>
    <row r="237" spans="5:8" x14ac:dyDescent="0.35">
      <c r="E237" s="153" t="s">
        <v>420</v>
      </c>
      <c r="F237" s="396"/>
      <c r="G237" s="154" t="s">
        <v>426</v>
      </c>
      <c r="H237" s="152" t="s">
        <v>102</v>
      </c>
    </row>
    <row r="238" spans="5:8" x14ac:dyDescent="0.35">
      <c r="E238" s="153" t="s">
        <v>420</v>
      </c>
      <c r="F238" s="396"/>
      <c r="G238" s="158" t="s">
        <v>427</v>
      </c>
      <c r="H238" s="152" t="s">
        <v>103</v>
      </c>
    </row>
    <row r="239" spans="5:8" x14ac:dyDescent="0.35">
      <c r="E239" s="159" t="s">
        <v>428</v>
      </c>
      <c r="F239" s="398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398"/>
      <c r="G240" s="160" t="s">
        <v>431</v>
      </c>
      <c r="H240" s="161" t="s">
        <v>100</v>
      </c>
    </row>
    <row r="241" spans="5:8" x14ac:dyDescent="0.35">
      <c r="E241" s="159" t="s">
        <v>428</v>
      </c>
      <c r="F241" s="398"/>
      <c r="G241" s="160" t="s">
        <v>432</v>
      </c>
      <c r="H241" s="161" t="s">
        <v>98</v>
      </c>
    </row>
    <row r="242" spans="5:8" x14ac:dyDescent="0.35">
      <c r="E242" s="159" t="s">
        <v>428</v>
      </c>
      <c r="F242" s="398"/>
      <c r="G242" s="160" t="s">
        <v>433</v>
      </c>
      <c r="H242" s="161" t="s">
        <v>101</v>
      </c>
    </row>
    <row r="243" spans="5:8" x14ac:dyDescent="0.35">
      <c r="E243" s="159" t="s">
        <v>428</v>
      </c>
      <c r="F243" s="398"/>
      <c r="G243" s="160" t="s">
        <v>434</v>
      </c>
      <c r="H243" s="161" t="s">
        <v>102</v>
      </c>
    </row>
    <row r="244" spans="5:8" x14ac:dyDescent="0.35">
      <c r="E244" s="159" t="s">
        <v>428</v>
      </c>
      <c r="F244" s="398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2026-07-23T12:43:17Z</dcterms:modified>
</cp:coreProperties>
</file>