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5EBFC7C-8AC1-43A5-BEED-9781BF20B3C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43" l="1"/>
  <c r="K18" i="43"/>
  <c r="K19" i="43"/>
  <c r="K20" i="43"/>
  <c r="K21" i="43"/>
  <c r="K16" i="43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K21" i="42" s="1"/>
  <c r="B21" i="42"/>
  <c r="C21" i="42" s="1"/>
  <c r="F20" i="42"/>
  <c r="E20" i="42"/>
  <c r="D20" i="42"/>
  <c r="I20" i="42" s="1"/>
  <c r="K20" i="42" s="1"/>
  <c r="B20" i="42"/>
  <c r="C20" i="42" s="1"/>
  <c r="F19" i="42"/>
  <c r="E19" i="42"/>
  <c r="D19" i="42"/>
  <c r="I19" i="42" s="1"/>
  <c r="K19" i="42" s="1"/>
  <c r="B19" i="42"/>
  <c r="C19" i="42" s="1"/>
  <c r="F18" i="42"/>
  <c r="E18" i="42"/>
  <c r="D18" i="42"/>
  <c r="I18" i="42" s="1"/>
  <c r="K18" i="42" s="1"/>
  <c r="B18" i="42"/>
  <c r="C18" i="42" s="1"/>
  <c r="F17" i="42"/>
  <c r="E17" i="42"/>
  <c r="D17" i="42"/>
  <c r="I17" i="42" s="1"/>
  <c r="K17" i="42" s="1"/>
  <c r="B17" i="42"/>
  <c r="C17" i="42" s="1"/>
  <c r="F16" i="42"/>
  <c r="E16" i="42"/>
  <c r="D16" i="42"/>
  <c r="I16" i="42" s="1"/>
  <c r="K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K21" i="39" s="1"/>
  <c r="B21" i="39"/>
  <c r="C21" i="39" s="1"/>
  <c r="F20" i="39"/>
  <c r="E20" i="39"/>
  <c r="D20" i="39"/>
  <c r="I20" i="39" s="1"/>
  <c r="K20" i="39" s="1"/>
  <c r="B20" i="39"/>
  <c r="C20" i="39" s="1"/>
  <c r="F19" i="39"/>
  <c r="E19" i="39"/>
  <c r="D19" i="39"/>
  <c r="I19" i="39" s="1"/>
  <c r="K19" i="39" s="1"/>
  <c r="B19" i="39"/>
  <c r="C19" i="39" s="1"/>
  <c r="F18" i="39"/>
  <c r="E18" i="39"/>
  <c r="D18" i="39"/>
  <c r="I18" i="39" s="1"/>
  <c r="K18" i="39" s="1"/>
  <c r="B18" i="39"/>
  <c r="C18" i="39" s="1"/>
  <c r="F17" i="39"/>
  <c r="E17" i="39"/>
  <c r="D17" i="39"/>
  <c r="I17" i="39" s="1"/>
  <c r="K17" i="39" s="1"/>
  <c r="B17" i="39"/>
  <c r="C17" i="39" s="1"/>
  <c r="F16" i="39"/>
  <c r="E16" i="39"/>
  <c r="D16" i="39"/>
  <c r="I16" i="39" s="1"/>
  <c r="K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K21" i="37" s="1"/>
  <c r="B21" i="37"/>
  <c r="C21" i="37" s="1"/>
  <c r="F20" i="37"/>
  <c r="E20" i="37"/>
  <c r="D20" i="37"/>
  <c r="I20" i="37" s="1"/>
  <c r="K20" i="37" s="1"/>
  <c r="B20" i="37"/>
  <c r="C20" i="37" s="1"/>
  <c r="F19" i="37"/>
  <c r="E19" i="37"/>
  <c r="D19" i="37"/>
  <c r="I19" i="37" s="1"/>
  <c r="K19" i="37" s="1"/>
  <c r="B19" i="37"/>
  <c r="C19" i="37" s="1"/>
  <c r="F18" i="37"/>
  <c r="E18" i="37"/>
  <c r="D18" i="37"/>
  <c r="I18" i="37" s="1"/>
  <c r="K18" i="37" s="1"/>
  <c r="B18" i="37"/>
  <c r="C18" i="37" s="1"/>
  <c r="F17" i="37"/>
  <c r="E17" i="37"/>
  <c r="D17" i="37"/>
  <c r="I17" i="37" s="1"/>
  <c r="K17" i="37" s="1"/>
  <c r="B17" i="37"/>
  <c r="C17" i="37" s="1"/>
  <c r="F16" i="37"/>
  <c r="E16" i="37"/>
  <c r="D16" i="37"/>
  <c r="I16" i="37" s="1"/>
  <c r="K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L16" i="38" s="1"/>
  <c r="I17" i="38"/>
  <c r="K17" i="38" s="1"/>
  <c r="I18" i="38"/>
  <c r="K18" i="38" s="1"/>
  <c r="I19" i="38"/>
  <c r="K19" i="38" s="1"/>
  <c r="I20" i="38"/>
  <c r="K20" i="38" s="1"/>
  <c r="I21" i="38"/>
  <c r="K21" i="38" s="1"/>
  <c r="I22" i="38"/>
  <c r="I23" i="38"/>
  <c r="M23" i="38" s="1"/>
  <c r="I24" i="38"/>
  <c r="M24" i="38" s="1"/>
  <c r="I24" i="39"/>
  <c r="I16" i="40"/>
  <c r="K16" i="40" s="1"/>
  <c r="I17" i="40"/>
  <c r="K17" i="40" s="1"/>
  <c r="I18" i="40"/>
  <c r="I19" i="40"/>
  <c r="K19" i="40" s="1"/>
  <c r="I20" i="40"/>
  <c r="K20" i="40" s="1"/>
  <c r="I21" i="40"/>
  <c r="K21" i="40" s="1"/>
  <c r="I22" i="40"/>
  <c r="L22" i="40" s="1"/>
  <c r="I23" i="40"/>
  <c r="I24" i="40"/>
  <c r="I16" i="41"/>
  <c r="L16" i="41" s="1"/>
  <c r="I17" i="41"/>
  <c r="I18" i="41"/>
  <c r="K18" i="41" s="1"/>
  <c r="I19" i="41"/>
  <c r="K19" i="41" s="1"/>
  <c r="I20" i="41"/>
  <c r="I21" i="41"/>
  <c r="K21" i="41" s="1"/>
  <c r="I22" i="41"/>
  <c r="I23" i="41"/>
  <c r="I24" i="41"/>
  <c r="L24" i="41" s="1"/>
  <c r="I16" i="36"/>
  <c r="K16" i="36" s="1"/>
  <c r="I17" i="36"/>
  <c r="K17" i="36" s="1"/>
  <c r="I18" i="36"/>
  <c r="K18" i="36" s="1"/>
  <c r="I19" i="36"/>
  <c r="K19" i="36" s="1"/>
  <c r="I20" i="36"/>
  <c r="K20" i="36" s="1"/>
  <c r="I21" i="36"/>
  <c r="K21" i="36" s="1"/>
  <c r="I22" i="36"/>
  <c r="I23" i="36"/>
  <c r="I24" i="36"/>
  <c r="K24" i="36" s="1"/>
  <c r="L18" i="36"/>
  <c r="K22" i="36"/>
  <c r="M22" i="36" s="1"/>
  <c r="L22" i="36"/>
  <c r="K23" i="36"/>
  <c r="L23" i="36"/>
  <c r="I25" i="42"/>
  <c r="P28" i="42" s="1"/>
  <c r="L16" i="42"/>
  <c r="L18" i="42"/>
  <c r="L20" i="42"/>
  <c r="K22" i="42"/>
  <c r="M22" i="42" s="1"/>
  <c r="L22" i="42"/>
  <c r="K23" i="42"/>
  <c r="L23" i="42"/>
  <c r="M23" i="42"/>
  <c r="L17" i="42"/>
  <c r="L19" i="42"/>
  <c r="L21" i="42"/>
  <c r="K24" i="42"/>
  <c r="L24" i="42"/>
  <c r="M24" i="42" s="1"/>
  <c r="L18" i="41"/>
  <c r="L20" i="41"/>
  <c r="K22" i="41"/>
  <c r="L22" i="41"/>
  <c r="K23" i="41"/>
  <c r="M23" i="41" s="1"/>
  <c r="L23" i="41"/>
  <c r="K24" i="41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L16" i="39"/>
  <c r="M16" i="39" s="1"/>
  <c r="L17" i="39"/>
  <c r="L18" i="39"/>
  <c r="L19" i="39"/>
  <c r="L20" i="39"/>
  <c r="L21" i="39"/>
  <c r="M21" i="39" s="1"/>
  <c r="K22" i="39"/>
  <c r="L22" i="39"/>
  <c r="L17" i="38"/>
  <c r="L20" i="38"/>
  <c r="K22" i="38"/>
  <c r="L22" i="38"/>
  <c r="K23" i="38"/>
  <c r="L23" i="38"/>
  <c r="L18" i="38"/>
  <c r="M18" i="38" s="1"/>
  <c r="L19" i="38"/>
  <c r="K24" i="38"/>
  <c r="L24" i="38"/>
  <c r="I25" i="37"/>
  <c r="P28" i="37" s="1"/>
  <c r="L16" i="37"/>
  <c r="L17" i="37"/>
  <c r="L20" i="37"/>
  <c r="K22" i="37"/>
  <c r="L22" i="37"/>
  <c r="K24" i="37"/>
  <c r="L24" i="37"/>
  <c r="L19" i="37"/>
  <c r="K23" i="37"/>
  <c r="L23" i="37"/>
  <c r="L18" i="37"/>
  <c r="M18" i="37" s="1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40" l="1"/>
  <c r="L19" i="36"/>
  <c r="L17" i="40"/>
  <c r="L18" i="40"/>
  <c r="K18" i="40"/>
  <c r="L21" i="40"/>
  <c r="M21" i="40" s="1"/>
  <c r="N21" i="40" s="1"/>
  <c r="O21" i="40" s="1"/>
  <c r="L21" i="38"/>
  <c r="M21" i="38" s="1"/>
  <c r="N21" i="38" s="1"/>
  <c r="O21" i="38" s="1"/>
  <c r="L21" i="36"/>
  <c r="L20" i="40"/>
  <c r="K20" i="41"/>
  <c r="M20" i="41" s="1"/>
  <c r="N20" i="41" s="1"/>
  <c r="O20" i="41" s="1"/>
  <c r="L19" i="40"/>
  <c r="L19" i="41"/>
  <c r="I25" i="36"/>
  <c r="P28" i="36" s="1"/>
  <c r="L17" i="36"/>
  <c r="L17" i="41"/>
  <c r="K17" i="41"/>
  <c r="I25" i="38"/>
  <c r="P28" i="38" s="1"/>
  <c r="K16" i="38"/>
  <c r="L16" i="40"/>
  <c r="M16" i="40" s="1"/>
  <c r="N16" i="40" s="1"/>
  <c r="I25" i="41"/>
  <c r="P28" i="41" s="1"/>
  <c r="K16" i="41"/>
  <c r="I25" i="40"/>
  <c r="P28" i="40" s="1"/>
  <c r="I21" i="33"/>
  <c r="I16" i="35"/>
  <c r="I17" i="35"/>
  <c r="I18" i="35"/>
  <c r="I19" i="35"/>
  <c r="I20" i="35"/>
  <c r="I21" i="35"/>
  <c r="I22" i="35"/>
  <c r="I23" i="35"/>
  <c r="I24" i="35"/>
  <c r="K24" i="35" s="1"/>
  <c r="M17" i="38"/>
  <c r="N17" i="38" s="1"/>
  <c r="O17" i="38" s="1"/>
  <c r="M23" i="40"/>
  <c r="L21" i="41"/>
  <c r="M21" i="41" s="1"/>
  <c r="N21" i="41" s="1"/>
  <c r="M18" i="41"/>
  <c r="M21" i="42"/>
  <c r="N21" i="42" s="1"/>
  <c r="O21" i="42" s="1"/>
  <c r="M16" i="42"/>
  <c r="N16" i="42" s="1"/>
  <c r="L20" i="36"/>
  <c r="L24" i="36"/>
  <c r="M24" i="36" s="1"/>
  <c r="L16" i="36"/>
  <c r="M16" i="36" s="1"/>
  <c r="N16" i="36" s="1"/>
  <c r="I17" i="33"/>
  <c r="K17" i="33" s="1"/>
  <c r="I24" i="33"/>
  <c r="M20" i="40"/>
  <c r="N20" i="40" s="1"/>
  <c r="O20" i="40" s="1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N16" i="41" s="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L25" i="42"/>
  <c r="P29" i="42" s="1"/>
  <c r="N23" i="42"/>
  <c r="O23" i="42" s="1"/>
  <c r="P23" i="42"/>
  <c r="K25" i="42"/>
  <c r="P30" i="42" s="1"/>
  <c r="N17" i="41"/>
  <c r="O17" i="41" s="1"/>
  <c r="N18" i="41"/>
  <c r="O18" i="41" s="1"/>
  <c r="N23" i="41"/>
  <c r="O23" i="41" s="1"/>
  <c r="P23" i="41"/>
  <c r="M17" i="40"/>
  <c r="M17" i="39"/>
  <c r="N17" i="39" s="1"/>
  <c r="O17" i="39" s="1"/>
  <c r="M21" i="37"/>
  <c r="N21" i="37" s="1"/>
  <c r="O21" i="37" s="1"/>
  <c r="M19" i="37"/>
  <c r="N19" i="37" s="1"/>
  <c r="M22" i="37"/>
  <c r="N22" i="37" s="1"/>
  <c r="O22" i="37" s="1"/>
  <c r="M17" i="37"/>
  <c r="N17" i="37" s="1"/>
  <c r="O17" i="37" s="1"/>
  <c r="N23" i="40"/>
  <c r="O23" i="40" s="1"/>
  <c r="L25" i="40"/>
  <c r="P29" i="40" s="1"/>
  <c r="N24" i="40"/>
  <c r="O24" i="40" s="1"/>
  <c r="P24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22" i="38"/>
  <c r="O22" i="38" s="1"/>
  <c r="N24" i="38"/>
  <c r="O24" i="38" s="1"/>
  <c r="K25" i="38"/>
  <c r="P30" i="38" s="1"/>
  <c r="N23" i="38"/>
  <c r="O23" i="38" s="1"/>
  <c r="M16" i="38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I17" i="30"/>
  <c r="I18" i="30"/>
  <c r="K18" i="30" s="1"/>
  <c r="I19" i="30"/>
  <c r="I20" i="30"/>
  <c r="K20" i="30" s="1"/>
  <c r="I21" i="30"/>
  <c r="I22" i="30"/>
  <c r="K22" i="30" s="1"/>
  <c r="I23" i="30"/>
  <c r="K23" i="30" s="1"/>
  <c r="I24" i="30"/>
  <c r="I16" i="32"/>
  <c r="I17" i="32"/>
  <c r="I18" i="32"/>
  <c r="K18" i="32" s="1"/>
  <c r="I19" i="32"/>
  <c r="I20" i="32"/>
  <c r="K20" i="32" s="1"/>
  <c r="I21" i="32"/>
  <c r="I16" i="33"/>
  <c r="I16" i="28"/>
  <c r="I17" i="28"/>
  <c r="I18" i="28"/>
  <c r="K18" i="28" s="1"/>
  <c r="I19" i="28"/>
  <c r="K19" i="28" s="1"/>
  <c r="I20" i="28"/>
  <c r="K20" i="28" s="1"/>
  <c r="I21" i="28"/>
  <c r="I22" i="28"/>
  <c r="K22" i="28" s="1"/>
  <c r="I23" i="28"/>
  <c r="L23" i="28" s="1"/>
  <c r="I24" i="28"/>
  <c r="K24" i="28" s="1"/>
  <c r="I22" i="32"/>
  <c r="K22" i="32" s="1"/>
  <c r="I18" i="33"/>
  <c r="K18" i="33" s="1"/>
  <c r="I20" i="33"/>
  <c r="K20" i="33" s="1"/>
  <c r="I16" i="31"/>
  <c r="I17" i="31"/>
  <c r="I18" i="31"/>
  <c r="K18" i="31" s="1"/>
  <c r="I19" i="31"/>
  <c r="K19" i="31" s="1"/>
  <c r="I20" i="31"/>
  <c r="I21" i="31"/>
  <c r="K21" i="31" s="1"/>
  <c r="I22" i="31"/>
  <c r="K22" i="31" s="1"/>
  <c r="I23" i="31"/>
  <c r="K23" i="31" s="1"/>
  <c r="I24" i="31"/>
  <c r="I23" i="32"/>
  <c r="K23" i="32" s="1"/>
  <c r="I22" i="33"/>
  <c r="L22" i="33" s="1"/>
  <c r="I16" i="34"/>
  <c r="I17" i="34"/>
  <c r="I18" i="34"/>
  <c r="K18" i="34" s="1"/>
  <c r="I19" i="34"/>
  <c r="K19" i="34" s="1"/>
  <c r="I20" i="34"/>
  <c r="K20" i="34" s="1"/>
  <c r="I21" i="34"/>
  <c r="I22" i="34"/>
  <c r="K22" i="34" s="1"/>
  <c r="I23" i="34"/>
  <c r="I24" i="34"/>
  <c r="L24" i="34" s="1"/>
  <c r="I16" i="29"/>
  <c r="I17" i="29"/>
  <c r="K17" i="29" s="1"/>
  <c r="I18" i="29"/>
  <c r="K18" i="29" s="1"/>
  <c r="I19" i="29"/>
  <c r="K19" i="29" s="1"/>
  <c r="I20" i="29"/>
  <c r="K20" i="29" s="1"/>
  <c r="I21" i="29"/>
  <c r="I22" i="29"/>
  <c r="K22" i="29" s="1"/>
  <c r="I23" i="29"/>
  <c r="L23" i="29" s="1"/>
  <c r="I24" i="29"/>
  <c r="L24" i="29" s="1"/>
  <c r="I24" i="32"/>
  <c r="K24" i="32" s="1"/>
  <c r="I19" i="33"/>
  <c r="I23" i="33"/>
  <c r="L23" i="33" s="1"/>
  <c r="K22" i="35"/>
  <c r="L22" i="35"/>
  <c r="M22" i="35"/>
  <c r="K23" i="35"/>
  <c r="L23" i="35"/>
  <c r="L24" i="35"/>
  <c r="K23" i="34"/>
  <c r="L23" i="34"/>
  <c r="K24" i="33"/>
  <c r="L24" i="33"/>
  <c r="K24" i="31"/>
  <c r="L24" i="31"/>
  <c r="L23" i="31"/>
  <c r="L23" i="30"/>
  <c r="K24" i="30"/>
  <c r="L24" i="30"/>
  <c r="K24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K22" i="33" l="1"/>
  <c r="L18" i="27"/>
  <c r="K18" i="27"/>
  <c r="L22" i="29"/>
  <c r="L18" i="35"/>
  <c r="K18" i="35"/>
  <c r="L25" i="38"/>
  <c r="P29" i="38" s="1"/>
  <c r="P31" i="38" s="1"/>
  <c r="L21" i="29"/>
  <c r="K21" i="29"/>
  <c r="L21" i="28"/>
  <c r="K21" i="28"/>
  <c r="L21" i="30"/>
  <c r="K21" i="30"/>
  <c r="L21" i="33"/>
  <c r="K21" i="33"/>
  <c r="L21" i="34"/>
  <c r="K21" i="34"/>
  <c r="L21" i="35"/>
  <c r="K21" i="35"/>
  <c r="L21" i="32"/>
  <c r="K21" i="32"/>
  <c r="L20" i="35"/>
  <c r="K20" i="35"/>
  <c r="L20" i="27"/>
  <c r="K20" i="27"/>
  <c r="L20" i="31"/>
  <c r="K20" i="31"/>
  <c r="K25" i="41"/>
  <c r="P30" i="41" s="1"/>
  <c r="L19" i="32"/>
  <c r="K19" i="32"/>
  <c r="L19" i="27"/>
  <c r="K19" i="27"/>
  <c r="L19" i="30"/>
  <c r="K19" i="30"/>
  <c r="L19" i="33"/>
  <c r="K19" i="33"/>
  <c r="L19" i="35"/>
  <c r="K19" i="35"/>
  <c r="L17" i="27"/>
  <c r="K17" i="27"/>
  <c r="L17" i="31"/>
  <c r="K17" i="31"/>
  <c r="L17" i="28"/>
  <c r="K17" i="28"/>
  <c r="L17" i="30"/>
  <c r="K17" i="30"/>
  <c r="L17" i="35"/>
  <c r="K17" i="35"/>
  <c r="L17" i="34"/>
  <c r="K17" i="34"/>
  <c r="L17" i="32"/>
  <c r="K17" i="32"/>
  <c r="L16" i="32"/>
  <c r="K16" i="32"/>
  <c r="L16" i="29"/>
  <c r="K16" i="29"/>
  <c r="M16" i="29" s="1"/>
  <c r="N16" i="29" s="1"/>
  <c r="L16" i="31"/>
  <c r="K16" i="31"/>
  <c r="L16" i="28"/>
  <c r="K16" i="28"/>
  <c r="L16" i="30"/>
  <c r="K16" i="30"/>
  <c r="M25" i="40"/>
  <c r="L16" i="27"/>
  <c r="K16" i="27"/>
  <c r="L16" i="34"/>
  <c r="K16" i="34"/>
  <c r="L16" i="33"/>
  <c r="K16" i="33"/>
  <c r="L16" i="35"/>
  <c r="K16" i="35"/>
  <c r="P17" i="38"/>
  <c r="P20" i="40"/>
  <c r="L22" i="30"/>
  <c r="L22" i="28"/>
  <c r="N24" i="36"/>
  <c r="O24" i="36" s="1"/>
  <c r="O17" i="36"/>
  <c r="P17" i="36" s="1"/>
  <c r="O24" i="41"/>
  <c r="P24" i="41" s="1"/>
  <c r="O21" i="41"/>
  <c r="P21" i="41" s="1"/>
  <c r="M24" i="29"/>
  <c r="M17" i="30"/>
  <c r="N17" i="30" s="1"/>
  <c r="O17" i="30" s="1"/>
  <c r="L24" i="32"/>
  <c r="I25" i="35"/>
  <c r="P28" i="35" s="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18" i="38"/>
  <c r="N19" i="41"/>
  <c r="O19" i="41" s="1"/>
  <c r="P18" i="41"/>
  <c r="L22" i="34"/>
  <c r="M22" i="34" s="1"/>
  <c r="N22" i="34" s="1"/>
  <c r="O22" i="34" s="1"/>
  <c r="L22" i="32"/>
  <c r="P22" i="37"/>
  <c r="P22" i="36"/>
  <c r="P19" i="40"/>
  <c r="M25" i="36"/>
  <c r="M25" i="41"/>
  <c r="M25" i="39"/>
  <c r="P17" i="39"/>
  <c r="M16" i="30"/>
  <c r="N16" i="30" s="1"/>
  <c r="M16" i="3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L18" i="34"/>
  <c r="L20" i="34"/>
  <c r="L19" i="34"/>
  <c r="M19" i="34" s="1"/>
  <c r="N19" i="34" s="1"/>
  <c r="O19" i="34" s="1"/>
  <c r="L20" i="33"/>
  <c r="L18" i="33"/>
  <c r="M18" i="33" s="1"/>
  <c r="N18" i="33" s="1"/>
  <c r="O18" i="33" s="1"/>
  <c r="M20" i="32"/>
  <c r="N20" i="32" s="1"/>
  <c r="O20" i="32" s="1"/>
  <c r="L20" i="32"/>
  <c r="L18" i="32"/>
  <c r="L21" i="31"/>
  <c r="M20" i="31"/>
  <c r="N20" i="31" s="1"/>
  <c r="O20" i="31" s="1"/>
  <c r="L19" i="31"/>
  <c r="L18" i="31"/>
  <c r="L18" i="30"/>
  <c r="L20" i="30"/>
  <c r="L19" i="29"/>
  <c r="L18" i="29"/>
  <c r="L17" i="29"/>
  <c r="L20" i="29"/>
  <c r="L19" i="28"/>
  <c r="L18" i="28"/>
  <c r="L20" i="28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4" i="28"/>
  <c r="M24" i="30"/>
  <c r="N24" i="30" s="1"/>
  <c r="O24" i="30" s="1"/>
  <c r="P24" i="30" s="1"/>
  <c r="M19" i="30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M24" i="33"/>
  <c r="N24" i="33" s="1"/>
  <c r="O24" i="33" s="1"/>
  <c r="M23" i="35"/>
  <c r="I16" i="26"/>
  <c r="K16" i="26" s="1"/>
  <c r="I17" i="26"/>
  <c r="K17" i="26" s="1"/>
  <c r="I18" i="26"/>
  <c r="K18" i="26" s="1"/>
  <c r="I19" i="26"/>
  <c r="I20" i="26"/>
  <c r="I21" i="26"/>
  <c r="K21" i="26" s="1"/>
  <c r="I22" i="26"/>
  <c r="K22" i="26" s="1"/>
  <c r="I23" i="26"/>
  <c r="I24" i="26"/>
  <c r="L24" i="26" s="1"/>
  <c r="I21" i="27"/>
  <c r="M23" i="3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19" i="33"/>
  <c r="N19" i="33" s="1"/>
  <c r="O19" i="33" s="1"/>
  <c r="M16" i="32"/>
  <c r="N16" i="32" s="1"/>
  <c r="M17" i="34"/>
  <c r="N17" i="34" s="1"/>
  <c r="O17" i="34" s="1"/>
  <c r="M19" i="35"/>
  <c r="N19" i="35" s="1"/>
  <c r="O19" i="35" s="1"/>
  <c r="M20" i="33"/>
  <c r="N20" i="33" s="1"/>
  <c r="O20" i="33" s="1"/>
  <c r="M20" i="35"/>
  <c r="N20" i="35" s="1"/>
  <c r="O20" i="35" s="1"/>
  <c r="P20" i="35" s="1"/>
  <c r="M21" i="32"/>
  <c r="N21" i="32" s="1"/>
  <c r="O21" i="32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N23" i="35"/>
  <c r="O23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22" i="27"/>
  <c r="L22" i="27"/>
  <c r="K23" i="27"/>
  <c r="L23" i="27"/>
  <c r="K24" i="27"/>
  <c r="L24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K25" i="33" l="1"/>
  <c r="P30" i="33" s="1"/>
  <c r="M21" i="34"/>
  <c r="N21" i="34" s="1"/>
  <c r="O21" i="34" s="1"/>
  <c r="M21" i="30"/>
  <c r="N21" i="30" s="1"/>
  <c r="O21" i="30" s="1"/>
  <c r="M21" i="29"/>
  <c r="N21" i="29" s="1"/>
  <c r="O21" i="29" s="1"/>
  <c r="K25" i="35"/>
  <c r="P30" i="35" s="1"/>
  <c r="M21" i="35"/>
  <c r="N21" i="35" s="1"/>
  <c r="O21" i="35" s="1"/>
  <c r="M21" i="33"/>
  <c r="N21" i="33" s="1"/>
  <c r="O21" i="33" s="1"/>
  <c r="M21" i="28"/>
  <c r="N21" i="28" s="1"/>
  <c r="O21" i="28" s="1"/>
  <c r="L25" i="35"/>
  <c r="P29" i="35" s="1"/>
  <c r="P31" i="35" s="1"/>
  <c r="L21" i="27"/>
  <c r="K21" i="27"/>
  <c r="P31" i="41"/>
  <c r="L20" i="26"/>
  <c r="K20" i="26"/>
  <c r="L19" i="26"/>
  <c r="K19" i="26"/>
  <c r="L25" i="34"/>
  <c r="P29" i="34" s="1"/>
  <c r="N25" i="41"/>
  <c r="P32" i="41" s="1"/>
  <c r="P33" i="41" s="1"/>
  <c r="P34" i="41" s="1"/>
  <c r="P35" i="41" s="1"/>
  <c r="U39" i="15" s="1"/>
  <c r="P19" i="41"/>
  <c r="L25" i="30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P33" i="40" s="1"/>
  <c r="P34" i="40" s="1"/>
  <c r="P35" i="40" s="1"/>
  <c r="U38" i="15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M21" i="27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16" i="41"/>
  <c r="P25" i="41" s="1"/>
  <c r="P16" i="40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L18" i="26"/>
  <c r="L21" i="26"/>
  <c r="M21" i="26" s="1"/>
  <c r="N21" i="26" s="1"/>
  <c r="O21" i="26" s="1"/>
  <c r="L17" i="26"/>
  <c r="L16" i="26"/>
  <c r="M19" i="26"/>
  <c r="N19" i="26" s="1"/>
  <c r="O19" i="26" s="1"/>
  <c r="M20" i="26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18" i="22" l="1"/>
  <c r="K18" i="22"/>
  <c r="L21" i="22"/>
  <c r="K21" i="22"/>
  <c r="L20" i="22"/>
  <c r="K20" i="22"/>
  <c r="L19" i="22"/>
  <c r="K19" i="22"/>
  <c r="L17" i="22"/>
  <c r="K17" i="22"/>
  <c r="L16" i="22"/>
  <c r="K16" i="22"/>
  <c r="P19" i="31"/>
  <c r="P25" i="40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N25" i="28"/>
  <c r="P32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4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3" l="1"/>
  <c r="K18" i="23"/>
  <c r="M18" i="23" s="1"/>
  <c r="N18" i="23" s="1"/>
  <c r="O18" i="23" s="1"/>
  <c r="L18" i="25"/>
  <c r="K18" i="25"/>
  <c r="L18" i="19"/>
  <c r="K18" i="19"/>
  <c r="M18" i="19" s="1"/>
  <c r="N18" i="19" s="1"/>
  <c r="O18" i="19" s="1"/>
  <c r="L18" i="18"/>
  <c r="K18" i="18"/>
  <c r="L21" i="19"/>
  <c r="K21" i="19"/>
  <c r="M21" i="19" s="1"/>
  <c r="L21" i="24"/>
  <c r="K21" i="24"/>
  <c r="L21" i="18"/>
  <c r="K21" i="18"/>
  <c r="M21" i="18" s="1"/>
  <c r="N21" i="18" s="1"/>
  <c r="O21" i="18" s="1"/>
  <c r="L21" i="25"/>
  <c r="K21" i="25"/>
  <c r="L21" i="20"/>
  <c r="K21" i="20"/>
  <c r="L21" i="17"/>
  <c r="K21" i="17"/>
  <c r="L20" i="18"/>
  <c r="K20" i="18"/>
  <c r="M20" i="18" s="1"/>
  <c r="N20" i="18" s="1"/>
  <c r="O20" i="18" s="1"/>
  <c r="L20" i="20"/>
  <c r="K20" i="20"/>
  <c r="L20" i="23"/>
  <c r="K20" i="23"/>
  <c r="M20" i="23" s="1"/>
  <c r="N20" i="23" s="1"/>
  <c r="O20" i="23" s="1"/>
  <c r="L20" i="19"/>
  <c r="K20" i="19"/>
  <c r="L20" i="25"/>
  <c r="K20" i="25"/>
  <c r="M20" i="25" s="1"/>
  <c r="N20" i="25" s="1"/>
  <c r="O20" i="25" s="1"/>
  <c r="L19" i="19"/>
  <c r="K19" i="19"/>
  <c r="L19" i="25"/>
  <c r="K19" i="25"/>
  <c r="L19" i="24"/>
  <c r="K19" i="24"/>
  <c r="L17" i="19"/>
  <c r="K17" i="19"/>
  <c r="M17" i="19" s="1"/>
  <c r="N17" i="19" s="1"/>
  <c r="O17" i="19" s="1"/>
  <c r="L17" i="23"/>
  <c r="M17" i="23" s="1"/>
  <c r="N17" i="23" s="1"/>
  <c r="O17" i="23" s="1"/>
  <c r="K17" i="23"/>
  <c r="L17" i="25"/>
  <c r="K17" i="25"/>
  <c r="M17" i="25" s="1"/>
  <c r="N17" i="25" s="1"/>
  <c r="O17" i="25" s="1"/>
  <c r="L17" i="18"/>
  <c r="M17" i="18" s="1"/>
  <c r="N17" i="18" s="1"/>
  <c r="O17" i="18" s="1"/>
  <c r="K17" i="18"/>
  <c r="L17" i="21"/>
  <c r="K17" i="21"/>
  <c r="L17" i="24"/>
  <c r="M17" i="24" s="1"/>
  <c r="N17" i="24" s="1"/>
  <c r="O17" i="24" s="1"/>
  <c r="K17" i="24"/>
  <c r="L16" i="21"/>
  <c r="K16" i="21"/>
  <c r="L16" i="18"/>
  <c r="K16" i="18"/>
  <c r="L16" i="24"/>
  <c r="K16" i="24"/>
  <c r="M16" i="24" s="1"/>
  <c r="N16" i="24" s="1"/>
  <c r="L16" i="25"/>
  <c r="K16" i="25"/>
  <c r="L16" i="20"/>
  <c r="K16" i="20"/>
  <c r="M16" i="20" s="1"/>
  <c r="N16" i="20" s="1"/>
  <c r="L16" i="23"/>
  <c r="K16" i="23"/>
  <c r="L16" i="19"/>
  <c r="K16" i="19"/>
  <c r="P33" i="32"/>
  <c r="P34" i="32" s="1"/>
  <c r="P35" i="32" s="1"/>
  <c r="U30" i="15" s="1"/>
  <c r="P25" i="2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22" i="18"/>
  <c r="M22" i="18" s="1"/>
  <c r="L20" i="17"/>
  <c r="L16" i="17"/>
  <c r="M16" i="17" s="1"/>
  <c r="L19" i="17"/>
  <c r="L17" i="17"/>
  <c r="L18" i="17"/>
  <c r="L19" i="18"/>
  <c r="L17" i="20"/>
  <c r="L19" i="20"/>
  <c r="M18" i="20"/>
  <c r="N18" i="20" s="1"/>
  <c r="O18" i="20" s="1"/>
  <c r="L18" i="20"/>
  <c r="L19" i="23"/>
  <c r="M19" i="23" s="1"/>
  <c r="N19" i="23" s="1"/>
  <c r="O19" i="23" s="1"/>
  <c r="L21" i="23"/>
  <c r="L22" i="25"/>
  <c r="M21" i="24"/>
  <c r="N21" i="24" s="1"/>
  <c r="O21" i="24" s="1"/>
  <c r="L18" i="24"/>
  <c r="L20" i="24"/>
  <c r="L21" i="21"/>
  <c r="L20" i="21"/>
  <c r="L19" i="21"/>
  <c r="L18" i="21"/>
  <c r="M18" i="25"/>
  <c r="N18" i="25" s="1"/>
  <c r="O18" i="25" s="1"/>
  <c r="P25" i="34"/>
  <c r="I25" i="25"/>
  <c r="P28" i="25" s="1"/>
  <c r="K23" i="19"/>
  <c r="M23" i="19" s="1"/>
  <c r="N23" i="19" s="1"/>
  <c r="O23" i="19" s="1"/>
  <c r="M19" i="19"/>
  <c r="N19" i="19" s="1"/>
  <c r="O19" i="19" s="1"/>
  <c r="L23" i="22"/>
  <c r="L25" i="22" s="1"/>
  <c r="P29" i="22" s="1"/>
  <c r="L25" i="25"/>
  <c r="P29" i="25" s="1"/>
  <c r="M21" i="25"/>
  <c r="N21" i="25" s="1"/>
  <c r="O21" i="25" s="1"/>
  <c r="P21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M19" i="24"/>
  <c r="N19" i="24" s="1"/>
  <c r="O19" i="24" s="1"/>
  <c r="P19" i="24" s="1"/>
  <c r="L24" i="21"/>
  <c r="M17" i="20"/>
  <c r="N17" i="20" s="1"/>
  <c r="O17" i="20" s="1"/>
  <c r="M16" i="23"/>
  <c r="N16" i="23" s="1"/>
  <c r="L24" i="24"/>
  <c r="M24" i="24" s="1"/>
  <c r="N24" i="24" s="1"/>
  <c r="O24" i="24" s="1"/>
  <c r="L22" i="21"/>
  <c r="M22" i="21" s="1"/>
  <c r="N22" i="21" s="1"/>
  <c r="O22" i="21" s="1"/>
  <c r="K22" i="17"/>
  <c r="M22" i="17" s="1"/>
  <c r="N22" i="17" s="1"/>
  <c r="O22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4" i="20"/>
  <c r="N24" i="20" s="1"/>
  <c r="O24" i="20" s="1"/>
  <c r="M23" i="22"/>
  <c r="N23" i="22" s="1"/>
  <c r="O23" i="22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N23" i="24"/>
  <c r="O23" i="24" s="1"/>
  <c r="M16" i="22"/>
  <c r="N24" i="18"/>
  <c r="O24" i="18" s="1"/>
  <c r="N22" i="18"/>
  <c r="O22" i="18" s="1"/>
  <c r="I23" i="15"/>
  <c r="L18" i="16" l="1"/>
  <c r="K18" i="16"/>
  <c r="M16" i="25"/>
  <c r="M17" i="21"/>
  <c r="N17" i="21" s="1"/>
  <c r="O17" i="21" s="1"/>
  <c r="P17" i="21" s="1"/>
  <c r="L21" i="16"/>
  <c r="L21" i="15" s="1"/>
  <c r="K21" i="16"/>
  <c r="K21" i="15" s="1"/>
  <c r="L20" i="16"/>
  <c r="K20" i="16"/>
  <c r="K20" i="15" s="1"/>
  <c r="L25" i="19"/>
  <c r="P29" i="19" s="1"/>
  <c r="L19" i="16"/>
  <c r="K19" i="16"/>
  <c r="K19" i="15" s="1"/>
  <c r="L25" i="18"/>
  <c r="P29" i="18" s="1"/>
  <c r="L17" i="16"/>
  <c r="K17" i="16"/>
  <c r="L16" i="16"/>
  <c r="K16" i="16"/>
  <c r="K16" i="15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18" i="15"/>
  <c r="L18" i="15"/>
  <c r="L16" i="15"/>
  <c r="K25" i="19"/>
  <c r="P30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P16" i="26"/>
  <c r="P25" i="26" s="1"/>
  <c r="K25" i="23"/>
  <c r="P30" i="23" s="1"/>
  <c r="L19" i="15"/>
  <c r="P34" i="26"/>
  <c r="P35" i="26" s="1"/>
  <c r="U24" i="15" s="1"/>
  <c r="I25" i="16"/>
  <c r="P28" i="16" s="1"/>
  <c r="K17" i="15"/>
  <c r="P23" i="22"/>
  <c r="I25" i="15"/>
  <c r="P44" i="15" s="1"/>
  <c r="M24" i="16"/>
  <c r="N24" i="16" s="1"/>
  <c r="K23" i="16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P31" i="24" l="1"/>
  <c r="P33" i="24" s="1"/>
  <c r="P34" i="24" s="1"/>
  <c r="P35" i="24" s="1"/>
  <c r="U22" i="15" s="1"/>
  <c r="P31" i="19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16" i="23"/>
  <c r="O25" i="21"/>
  <c r="O25" i="19"/>
  <c r="N25" i="19"/>
  <c r="P32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33" i="19" l="1"/>
  <c r="P34" i="19" s="1"/>
  <c r="P35" i="19" s="1"/>
  <c r="U17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<sst xmlns="http://schemas.openxmlformats.org/spreadsheetml/2006/main" count="2001" uniqueCount="108">
  <si>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</si>
  <si>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</si>
  <si>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</si>
  <si>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</si>
  <si>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</si>
  <si>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</si>
  <si>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</si>
  <si>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</si>
  <si>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</si>
  <si>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</si>
  <si>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</si>
  <si>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</si>
  <si>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</si>
  <si>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</si>
  <si>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</si>
  <si>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</si>
  <si>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</si>
  <si>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</si>
  <si>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</si>
  <si>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</si>
  <si>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</si>
  <si>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</si>
  <si>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</si>
  <si>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</si>
  <si>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</si>
  <si>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</si>
  <si>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</si>
  <si>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</si>
  <si>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</si>
  <si>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</si>
  <si>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</si>
  <si>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</si>
  <si>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</si>
  <si>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</si>
  <si>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</si>
  <si>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</si>
  <si>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</si>
  <si>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</si>
  <si>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</si>
  <si>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</si>
  <si>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</si>
  <si>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</si>
  <si>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</si>
  <si>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</si>
  <si>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</si>
  <si>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</si>
  <si>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</si>
  <si>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</si>
  <si>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</si>
  <si>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</si>
  <si>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</si>
  <si>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</si>
  <si>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</si>
  <si>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</si>
  <si>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</si>
  <si>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</si>
  <si>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</si>
  <si>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</si>
  <si>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</si>
  <si>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</si>
  <si>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</si>
  <si>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</si>
  <si>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</si>
  <si>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</si>
  <si>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</si>
  <si>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</si>
  <si>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</si>
  <si>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</si>
  <si>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</si>
  <si>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</si>
  <si>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</si>
  <si>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</si>
  <si>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</si>
  <si>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</si>
  <si>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</si>
  <si>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</si>
  <si>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</si>
  <si>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</si>
  <si>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</si>
  <si>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</si>
  <si>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</si>
  <si>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</si>
  <si>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</si>
  <si>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</si>
  <si>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</si>
  <si>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</si>
  <si>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</si>
  <si>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</si>
  <si>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</si>
  <si>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</si>
  <si>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</si>
  <si>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</si>
  <si>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</si>
  <si>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</si>
  <si>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</si>
  <si>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</si>
  <si>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</si>
  <si>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</si>
  <si>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</si>
  <si>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</si>
  <si>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</si>
  <si>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</si>
  <si>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</si>
  <si>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</si>
  <si>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</si>
  <si>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</si>
  <si>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 xml:space="preserve">Customer Name : Gourmet Food Jinnah </t>
  </si>
  <si>
    <t>Address: Jinnah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</si>
</sst>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39" sqref="B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39" sqref="B39"/>
      <selection pane="topRight" activeCell="B39" sqref="B39"/>
      <selection pane="bottomLeft" activeCell="B39" sqref="B39"/>
      <selection pane="bottomRight" activeCell="B39" sqref="B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B39" sqref="B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Jinnah </v>
      </c>
      <c r="U14" s="163">
        <f>+'1'!P35</f>
        <v>24043.726409400002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755.45999999999992</v>
      </c>
      <c r="M16" s="105">
        <f>I16-K16-L16</f>
        <v>3294.645</v>
      </c>
      <c r="N16" s="100">
        <f>+'1'!N16+'2'!N16+'4'!N16+'3'!N16+'5'!N16+'6'!N16+'7'!N16+'8'!N16+'9'!N16+'10'!N16</f>
        <v>593.03609999999992</v>
      </c>
      <c r="O16" s="100">
        <f>+'1'!O16+'2'!O16+'4'!O16+'3'!O16+'5'!O16+'6'!O16+'7'!O16+'8'!O16+'9'!O16+'10'!O16</f>
        <v>19.438405499999998</v>
      </c>
      <c r="P16" s="104">
        <f t="shared" ref="P16:P24" si="0">M16+N16+O16</f>
        <v>3907.1195054999998</v>
      </c>
      <c r="Q16" s="107"/>
      <c r="T16" s="162" t="str">
        <f>+'4'!A5</f>
        <v>Customer Name : Gourmet Food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755.45999999999992</v>
      </c>
      <c r="M17" s="117">
        <f t="shared" ref="M17:M23" si="2">I17-K17-L17</f>
        <v>3294.645</v>
      </c>
      <c r="N17" s="100">
        <f>+'1'!N17+'2'!N17+'4'!N17+'3'!N17+'5'!N17+'6'!N17+'7'!N17+'8'!N17+'9'!N17+'10'!N17</f>
        <v>593.03609999999992</v>
      </c>
      <c r="O17" s="100">
        <f>+'1'!O17+'2'!O17+'4'!O17+'3'!O17+'5'!O17+'6'!O17+'7'!O17+'8'!O17+'9'!O17+'10'!O17</f>
        <v>19.438405499999998</v>
      </c>
      <c r="P17" s="119">
        <f t="shared" si="0"/>
        <v>3907.1195054999998</v>
      </c>
      <c r="S17" s="64"/>
      <c r="T17" s="162" t="str">
        <f>+'3'!A5</f>
        <v>Customer Name : Gourmet Food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1046.0159999999998</v>
      </c>
      <c r="M19" s="117">
        <f t="shared" si="2"/>
        <v>4561.7920000000004</v>
      </c>
      <c r="N19" s="100">
        <f>+'1'!N19+'2'!N19+'4'!N19+'3'!N19+'5'!N19+'6'!N19+'7'!N19+'8'!N19+'9'!N19+'10'!N19</f>
        <v>821.12256000000002</v>
      </c>
      <c r="O19" s="100">
        <f>+'1'!O19+'2'!O19+'4'!O19+'3'!O19+'5'!O19+'6'!O19+'7'!O19+'8'!O19+'9'!O19+'10'!O19</f>
        <v>26.914572800000002</v>
      </c>
      <c r="P19" s="119">
        <f t="shared" si="0"/>
        <v>5409.8291328000005</v>
      </c>
      <c r="T19" s="162" t="str">
        <f>+'6'!A5</f>
        <v>Customer Name : Gourmet Food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1046.0159999999998</v>
      </c>
      <c r="M20" s="117">
        <f t="shared" si="2"/>
        <v>4561.7920000000004</v>
      </c>
      <c r="N20" s="100">
        <f>+'1'!N20+'2'!N20+'4'!N20+'3'!N20+'5'!N20+'6'!N20+'7'!N20+'8'!N20+'9'!N20+'10'!N20</f>
        <v>821.12256000000002</v>
      </c>
      <c r="O20" s="100">
        <f>+'1'!O20+'2'!O20+'4'!O20+'3'!O20+'5'!O20+'6'!O20+'7'!O20+'8'!O20+'9'!O20+'10'!O20</f>
        <v>26.914572800000002</v>
      </c>
      <c r="P20" s="119">
        <f t="shared" si="0"/>
        <v>5409.8291328000005</v>
      </c>
      <c r="T20" s="162" t="str">
        <f>+'7'!A5</f>
        <v>Customer Name : Gourmet Food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1046.0159999999998</v>
      </c>
      <c r="M21" s="117">
        <f t="shared" si="2"/>
        <v>4561.7920000000004</v>
      </c>
      <c r="N21" s="100">
        <f>+'1'!N21+'2'!N21+'4'!N21+'3'!N21+'5'!N21+'6'!N21+'7'!N21+'8'!N21+'9'!N21+'10'!N21</f>
        <v>821.12256000000002</v>
      </c>
      <c r="O21" s="100">
        <f>+'1'!O21+'2'!O21+'4'!O21+'3'!O21+'5'!O21+'6'!O21+'7'!O21+'8'!O21+'9'!O21+'10'!O21</f>
        <v>26.914572800000002</v>
      </c>
      <c r="P21" s="119">
        <f t="shared" si="0"/>
        <v>5409.8291328000005</v>
      </c>
      <c r="T21" s="162" t="str">
        <f>+'8'!A5</f>
        <v>Customer Name : Gourmet Food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20" t="s">
        <v>84</v>
      </c>
      <c r="B25" s="321"/>
      <c r="C25" s="322">
        <f>H25/40</f>
        <v>10</v>
      </c>
      <c r="D25" s="316"/>
      <c r="E25" s="316"/>
      <c r="F25" s="316"/>
      <c r="G25" s="175">
        <f t="shared" ref="G25:M25" si="3">SUM(G16:G24)</f>
        <v>0</v>
      </c>
      <c r="H25" s="176">
        <f t="shared" si="3"/>
        <v>400</v>
      </c>
      <c r="I25" s="177">
        <f t="shared" si="3"/>
        <v>25827.600000000002</v>
      </c>
      <c r="J25" s="176">
        <f t="shared" si="3"/>
        <v>0</v>
      </c>
      <c r="K25" s="177">
        <f t="shared" si="3"/>
        <v>903.96600000000012</v>
      </c>
      <c r="L25" s="178">
        <f t="shared" si="3"/>
        <v>4648.9679999999989</v>
      </c>
      <c r="M25" s="140">
        <f t="shared" si="3"/>
        <v>20274.666000000001</v>
      </c>
      <c r="N25" s="141">
        <f>SUM(N16:N24)</f>
        <v>3649.4398799999999</v>
      </c>
      <c r="O25" s="142">
        <f>SUM(O16:O24)</f>
        <v>119.62052940000001</v>
      </c>
      <c r="P25" s="143">
        <f>SUM(P16:P24)</f>
        <v>24043.726409400002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24043.726409400002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25827.600000000002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4648.9679999999989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903.96600000000012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20274.666000000005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3649.4398799999999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23924.105880000003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598.10264700000005</v>
      </c>
    </row>
    <row r="51" spans="2:16" ht="15.75" customHeight="1" thickBot="1" x14ac:dyDescent="0.4">
      <c r="N51" s="314" t="s">
        <v>92</v>
      </c>
      <c r="O51" s="315"/>
      <c r="P51" s="159">
        <f>P49+P50</f>
        <v>24522.208527000003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I16*18%</f>
        <v>755.45999999999992</v>
      </c>
      <c r="M16" s="105">
        <f>I16-K16-L16</f>
        <v>3294.645</v>
      </c>
      <c r="N16" s="105">
        <f t="shared" ref="N16:N24" si="0">(M16*$N$15)+(J16*F16)*$N$15</f>
        <v>593.03609999999992</v>
      </c>
      <c r="O16" s="106">
        <f t="shared" ref="O16:O24" si="1">(N16+M16)*$O$15</f>
        <v>19.438405499999998</v>
      </c>
      <c r="P16" s="104">
        <f t="shared" ref="P16:P24" si="2">M16+N16+O16</f>
        <v>3907.1195054999998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03">
        <f t="shared" ref="K17:K21" si="4">I17*3.5%</f>
        <v>146.89500000000001</v>
      </c>
      <c r="L17" s="104">
        <f t="shared" ref="L17:L21" si="5">I17*18%</f>
        <v>755.45999999999992</v>
      </c>
      <c r="M17" s="117">
        <f t="shared" ref="M17:M23" si="6">I17-K17-L17</f>
        <v>3294.645</v>
      </c>
      <c r="N17" s="117">
        <f t="shared" si="0"/>
        <v>593.03609999999992</v>
      </c>
      <c r="O17" s="118">
        <f t="shared" si="1"/>
        <v>19.438405499999998</v>
      </c>
      <c r="P17" s="119">
        <f t="shared" si="2"/>
        <v>3907.1195054999998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1046.0159999999998</v>
      </c>
      <c r="M19" s="117">
        <f t="shared" si="6"/>
        <v>4561.7920000000004</v>
      </c>
      <c r="N19" s="117">
        <f t="shared" si="0"/>
        <v>821.12256000000002</v>
      </c>
      <c r="O19" s="118">
        <f t="shared" si="1"/>
        <v>26.914572800000002</v>
      </c>
      <c r="P19" s="119">
        <f t="shared" si="2"/>
        <v>5409.8291328000005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1046.0159999999998</v>
      </c>
      <c r="M20" s="117">
        <f t="shared" si="6"/>
        <v>4561.7920000000004</v>
      </c>
      <c r="N20" s="117">
        <f t="shared" si="0"/>
        <v>821.12256000000002</v>
      </c>
      <c r="O20" s="118">
        <f t="shared" si="1"/>
        <v>26.914572800000002</v>
      </c>
      <c r="P20" s="119">
        <f t="shared" si="2"/>
        <v>5409.8291328000005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1046.0159999999998</v>
      </c>
      <c r="M21" s="117">
        <f t="shared" si="6"/>
        <v>4561.7920000000004</v>
      </c>
      <c r="N21" s="117">
        <f t="shared" si="0"/>
        <v>821.12256000000002</v>
      </c>
      <c r="O21" s="118">
        <f t="shared" si="1"/>
        <v>26.914572800000002</v>
      </c>
      <c r="P21" s="119">
        <f t="shared" si="2"/>
        <v>5409.8291328000005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903.96600000000012</v>
      </c>
      <c r="L25" s="139">
        <f t="shared" si="9"/>
        <v>4648.9679999999989</v>
      </c>
      <c r="M25" s="140">
        <f t="shared" si="9"/>
        <v>20274.666000000001</v>
      </c>
      <c r="N25" s="141">
        <f>SUM(N16:N24)</f>
        <v>3649.4398799999999</v>
      </c>
      <c r="O25" s="142">
        <f>SUM(O16:O24)</f>
        <v>119.62052940000001</v>
      </c>
      <c r="P25" s="143">
        <f>SUM(P16:P24)</f>
        <v>24043.726409400002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903.96600000000012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20274.666000000005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3649.4398799999999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23924.105880000003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119.62052940000001</v>
      </c>
    </row>
    <row r="35" spans="2:16" ht="15.75" customHeight="1" thickBot="1" x14ac:dyDescent="0.4">
      <c r="N35" s="314" t="s">
        <v>92</v>
      </c>
      <c r="O35" s="315"/>
      <c r="P35" s="159">
        <f>P33+P34</f>
        <v>24043.726409400002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46212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46211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105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/>
      <c r="I16" s="216">
        <f>(G16*D16)*F16+H16*F16</f>
        <v>0</v>
      </c>
      <c r="J16" s="217"/>
      <c r="K16" s="218">
        <f>I16*3.5%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/>
      <c r="I17" s="228">
        <f t="shared" ref="I17:I23" si="2">(G17*D17)*F17+H17*F17</f>
        <v>0</v>
      </c>
      <c r="J17" s="229"/>
      <c r="K17" s="218">
        <f t="shared" ref="K17:K21" si="3">I17*3.5%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/>
      <c r="I18" s="228">
        <f t="shared" si="2"/>
        <v>0</v>
      </c>
      <c r="J18" s="229"/>
      <c r="K18" s="218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/>
      <c r="I19" s="228">
        <f t="shared" si="2"/>
        <v>0</v>
      </c>
      <c r="J19" s="229"/>
      <c r="K19" s="218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/>
      <c r="I20" s="228">
        <f t="shared" si="2"/>
        <v>0</v>
      </c>
      <c r="J20" s="229"/>
      <c r="K20" s="218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/>
      <c r="I21" s="228">
        <f t="shared" si="2"/>
        <v>0</v>
      </c>
      <c r="J21" s="229"/>
      <c r="K21" s="218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/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0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0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0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0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H16" sqref="H16:H22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2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H16" sqref="H16:H22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H16" sqref="H16:H22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46212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46211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H16" sqref="H16:H22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K16">
        <f>I16*3.5%</f>
        <v>0</v>
      </c>
      <c r="Q16">
        <v>0</v>
      </c>
    </row>
    <row r="17" spans="11:17" x14ac:dyDescent="0.35">
      <c r="K17">
        <f t="shared" ref="K17:K21" si="0">I17*3.5%</f>
        <v>0</v>
      </c>
      <c r="Q17">
        <v>0</v>
      </c>
    </row>
    <row r="18" spans="11:17" x14ac:dyDescent="0.35">
      <c r="K18">
        <f t="shared" si="0"/>
        <v>0</v>
      </c>
      <c r="Q18">
        <v>0</v>
      </c>
    </row>
    <row r="19" spans="11:17" x14ac:dyDescent="0.35">
      <c r="K19">
        <f t="shared" si="0"/>
        <v>0</v>
      </c>
      <c r="Q19">
        <v>0</v>
      </c>
    </row>
    <row r="20" spans="11:17" x14ac:dyDescent="0.35">
      <c r="K20">
        <f t="shared" si="0"/>
        <v>0</v>
      </c>
      <c r="Q20">
        <v>0</v>
      </c>
    </row>
    <row r="21" spans="11:17" x14ac:dyDescent="0.35">
      <c r="K21">
        <f t="shared" si="0"/>
        <v>0</v>
      </c>
      <c r="Q21">
        <v>0</v>
      </c>
    </row>
    <row r="22" spans="11:17" x14ac:dyDescent="0.35">
      <c r="Q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2026-07-09T05:18:47Z</dcterms:modified>
</cp:coreProperties>
</file>