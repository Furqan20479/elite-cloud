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EB7301F-E251-470E-975A-89FF457A978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N22" i="15" l="1"/>
  <c r="O25" i="2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<sst xmlns="http://schemas.openxmlformats.org/spreadsheetml/2006/main" count="2001" uniqueCount="132">
  <si>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</si>
  <si>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</si>
  <si>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</si>
  <si>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</si>
  <si>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</si>
  <si>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</si>
  <si>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</si>
  <si>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</si>
  <si>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</si>
  <si>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</si>
  <si>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</si>
  <si>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</si>
  <si>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</si>
  <si>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</si>
  <si>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</si>
  <si>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</si>
  <si>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</si>
  <si>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</si>
  <si>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</si>
  <si>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</si>
  <si>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</si>
  <si>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</si>
  <si>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</si>
  <si>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</si>
  <si>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</si>
  <si>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</si>
  <si>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</si>
  <si>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</si>
  <si>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</si>
  <si>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</si>
  <si>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</si>
  <si>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</si>
  <si>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</si>
  <si>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</si>
  <si>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</si>
  <si>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</si>
  <si>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</si>
  <si>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</si>
  <si>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</si>
  <si>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</si>
  <si>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</si>
  <si>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</si>
  <si>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</si>
  <si>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</si>
  <si>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</si>
  <si>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</si>
  <si>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</si>
  <si>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</si>
  <si>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</si>
  <si>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</si>
  <si>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</si>
  <si>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</si>
  <si>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</si>
  <si>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</si>
  <si>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</si>
  <si>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</si>
  <si>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</si>
  <si>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</si>
  <si>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</si>
  <si>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</si>
  <si>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</si>
  <si>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</si>
  <si>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</si>
  <si>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</si>
  <si>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</si>
  <si>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</si>
  <si>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</si>
  <si>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</si>
  <si>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</si>
  <si>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</si>
  <si>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</si>
  <si>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</si>
  <si>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</si>
  <si>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</si>
  <si>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</si>
  <si>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</si>
  <si>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</si>
  <si>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</si>
  <si>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</si>
  <si>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</si>
  <si>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</si>
  <si>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</si>
  <si>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</si>
  <si>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</si>
  <si>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</si>
  <si>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</si>
  <si>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</si>
  <si>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</si>
  <si>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</si>
  <si>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</si>
  <si>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</si>
  <si>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</si>
  <si>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</si>
  <si>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</si>
  <si>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</si>
  <si>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</si>
  <si>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</si>
  <si>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</si>
  <si>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</si>
  <si>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</si>
  <si>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</si>
  <si>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</si>
  <si>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</si>
  <si>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</si>
  <si>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</si>
  <si>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</si>
  <si>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</si>
  <si>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</si>
  <si>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</si>
  <si>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</si>
  <si>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</si>
  <si>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</si>
  <si>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</si>
  <si>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</si>
  <si>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</si>
  <si>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</si>
  <si>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</si>
  <si>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</si>
  <si>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</si>
  <si>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</si>
  <si>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</si>
  <si>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</si>
  <si>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</si>
  <si>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</si>
  <si>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</si>
  <si>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</si>
  <si>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</si>
  <si>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</si>
  <si>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</si>
  <si>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</si>
  <si>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Bilal Gunj</t>
  </si>
  <si>
    <t>Address: Bilal Gunj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</si>
</sst>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Bilal Gunj</v>
      </c>
      <c r="U14" s="163">
        <f>+'1'!P35</f>
        <v>2040.6611429999998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540</v>
      </c>
      <c r="I16" s="1">
        <f>(G16*D16)*F16+H16*F16</f>
        <v>28329.75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3966.165</v>
      </c>
      <c r="M16" s="105">
        <f>I16-K16-L16</f>
        <v>24363.584999999999</v>
      </c>
      <c r="N16" s="100">
        <f>+'1'!N16+'2'!N16+'4'!N16+'3'!N16+'5'!N16+'6'!N16+'7'!N16+'8'!N16+'9'!N16+'10'!N16</f>
        <v>3252.2552999999998</v>
      </c>
      <c r="O16" s="100">
        <f>+'1'!O16+'2'!O16+'4'!O16+'3'!O16+'5'!O16+'6'!O16+'7'!O16+'8'!O16+'9'!O16+'10'!O16</f>
        <v>106.60170149999998</v>
      </c>
      <c r="P16" s="104">
        <f t="shared" ref="P16:P24" si="0">M16+N16+O16</f>
        <v>27722.4420015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540</v>
      </c>
      <c r="I17" s="1">
        <f t="shared" ref="I17:I23" si="1">(G17*D17)*F17+H17*F17</f>
        <v>28329.75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3966.165</v>
      </c>
      <c r="M17" s="117">
        <f t="shared" ref="M17:M23" si="2">I17-K17-L17</f>
        <v>24363.584999999999</v>
      </c>
      <c r="N17" s="100">
        <f>+'1'!N17+'2'!N17+'4'!N17+'3'!N17+'5'!N17+'6'!N17+'7'!N17+'8'!N17+'9'!N17+'10'!N17</f>
        <v>3252.2552999999998</v>
      </c>
      <c r="O17" s="100">
        <f>+'1'!O17+'2'!O17+'4'!O17+'3'!O17+'5'!O17+'6'!O17+'7'!O17+'8'!O17+'9'!O17+'10'!O17</f>
        <v>106.60170149999998</v>
      </c>
      <c r="P17" s="119">
        <f t="shared" si="0"/>
        <v>27722.4420015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520</v>
      </c>
      <c r="I19" s="1">
        <f t="shared" si="1"/>
        <v>37772.800000000003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5230.079999999999</v>
      </c>
      <c r="M19" s="117">
        <f t="shared" si="2"/>
        <v>32542.720000000005</v>
      </c>
      <c r="N19" s="100">
        <f>+'1'!N19+'2'!N19+'4'!N19+'3'!N19+'5'!N19+'6'!N19+'7'!N19+'8'!N19+'9'!N19+'10'!N19</f>
        <v>4288.6656000000003</v>
      </c>
      <c r="O19" s="100">
        <f>+'1'!O19+'2'!O19+'4'!O19+'3'!O19+'5'!O19+'6'!O19+'7'!O19+'8'!O19+'9'!O19+'10'!O19</f>
        <v>140.57292800000002</v>
      </c>
      <c r="P19" s="119">
        <f t="shared" si="0"/>
        <v>36971.95852800001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520</v>
      </c>
      <c r="I20" s="1">
        <f t="shared" si="1"/>
        <v>37772.800000000003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5230.079999999999</v>
      </c>
      <c r="M20" s="117">
        <f t="shared" si="2"/>
        <v>32542.720000000005</v>
      </c>
      <c r="N20" s="100">
        <f>+'1'!N20+'2'!N20+'4'!N20+'3'!N20+'5'!N20+'6'!N20+'7'!N20+'8'!N20+'9'!N20+'10'!N20</f>
        <v>4288.6656000000003</v>
      </c>
      <c r="O20" s="100">
        <f>+'1'!O20+'2'!O20+'4'!O20+'3'!O20+'5'!O20+'6'!O20+'7'!O20+'8'!O20+'9'!O20+'10'!O20</f>
        <v>140.57292800000002</v>
      </c>
      <c r="P20" s="119">
        <f t="shared" si="0"/>
        <v>36971.95852800001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5230.079999999999</v>
      </c>
      <c r="M21" s="117">
        <f t="shared" si="2"/>
        <v>32542.720000000005</v>
      </c>
      <c r="N21" s="100">
        <f>+'1'!N21+'2'!N21+'4'!N21+'3'!N21+'5'!N21+'6'!N21+'7'!N21+'8'!N21+'9'!N21+'10'!N21</f>
        <v>4288.6656000000003</v>
      </c>
      <c r="O21" s="100">
        <f>+'1'!O21+'2'!O21+'4'!O21+'3'!O21+'5'!O21+'6'!O21+'7'!O21+'8'!O21+'9'!O21+'10'!O21</f>
        <v>140.57292800000002</v>
      </c>
      <c r="P21" s="119">
        <f t="shared" si="0"/>
        <v>36971.95852800001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66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2640</v>
      </c>
      <c r="I25" s="177">
        <f t="shared" si="3"/>
        <v>169977.90000000002</v>
      </c>
      <c r="J25" s="176">
        <f t="shared" si="3"/>
        <v>0</v>
      </c>
      <c r="K25" s="177">
        <f t="shared" si="3"/>
        <v>0</v>
      </c>
      <c r="L25" s="178">
        <f t="shared" si="3"/>
        <v>23622.569999999996</v>
      </c>
      <c r="M25" s="140">
        <f t="shared" si="3"/>
        <v>146355.33000000002</v>
      </c>
      <c r="N25" s="141">
        <f>SUM(N16:N24)</f>
        <v>19370.507400000002</v>
      </c>
      <c r="O25" s="142">
        <f>SUM(O16:O24)</f>
        <v>634.92218700000001</v>
      </c>
      <c r="P25" s="143">
        <f>SUM(P16:P24)</f>
        <v>166360.75958700004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165292.96912020005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169977.90000000002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23622.569999999996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146355.33000000002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19370.507400000002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165725.83740000002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4143.1459350000005</v>
      </c>
    </row>
    <row r="51" spans="2:16" ht="15.75" customHeight="1" thickBot="1" x14ac:dyDescent="0.4">
      <c r="N51" s="298" t="s">
        <v>92</v>
      </c>
      <c r="O51" s="299"/>
      <c r="P51" s="159">
        <f>P49+P50</f>
        <v>169868.98333500003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7" workbookViewId="0">
      <selection activeCell="I25" sqref="I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131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</v>
      </c>
      <c r="I16" s="101">
        <f>(G16*D16)*F16+H16*F16</f>
        <v>1049.25</v>
      </c>
      <c r="J16" s="102"/>
      <c r="K16" s="103">
        <f>I16*$K$13</f>
        <v>0</v>
      </c>
      <c r="L16" s="104">
        <f>I16*18%</f>
        <v>188.86499999999998</v>
      </c>
      <c r="M16" s="105">
        <f>I16-K16-L16</f>
        <v>860.38499999999999</v>
      </c>
      <c r="N16" s="105">
        <f t="shared" ref="N16:N24" si="0">(M16*$N$15)+(J16*F16)*$N$15</f>
        <v>154.86929999999998</v>
      </c>
      <c r="O16" s="106">
        <f t="shared" ref="O16:O24" si="1">(N16+M16)*$O$15</f>
        <v>5.0762714999999998</v>
      </c>
      <c r="P16" s="104">
        <f t="shared" ref="P16:P24" si="2">M16+N16+O16</f>
        <v>1020.3305714999999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</v>
      </c>
      <c r="I17" s="115">
        <f t="shared" ref="I17:I23" si="3">(G17*D17)*F17+H17*F17</f>
        <v>1049.25</v>
      </c>
      <c r="J17" s="116"/>
      <c r="K17" s="1">
        <f t="shared" ref="K17:K21" si="4">I17*$K$13</f>
        <v>0</v>
      </c>
      <c r="L17" s="104">
        <f t="shared" ref="L17:L21" si="5">I17*18%</f>
        <v>188.86499999999998</v>
      </c>
      <c r="M17" s="117">
        <f t="shared" ref="M17:M23" si="6">I17-K17-L17</f>
        <v>860.38499999999999</v>
      </c>
      <c r="N17" s="117">
        <f t="shared" si="0"/>
        <v>154.86929999999998</v>
      </c>
      <c r="O17" s="118">
        <f t="shared" si="1"/>
        <v>5.0762714999999998</v>
      </c>
      <c r="P17" s="119">
        <f t="shared" si="2"/>
        <v>1020.3305714999999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3"/>
        <v>0</v>
      </c>
      <c r="J19" s="116"/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3"/>
        <v>0</v>
      </c>
      <c r="J21" s="116"/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1"/>
        <v>0</v>
      </c>
      <c r="P21" s="119">
        <f t="shared" si="2"/>
        <v>0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</v>
      </c>
      <c r="I25" s="136">
        <f t="shared" si="9"/>
        <v>2098.5</v>
      </c>
      <c r="J25" s="137"/>
      <c r="K25" s="138">
        <f t="shared" si="9"/>
        <v>0</v>
      </c>
      <c r="L25" s="139">
        <f t="shared" si="9"/>
        <v>377.72999999999996</v>
      </c>
      <c r="M25" s="140">
        <f t="shared" si="9"/>
        <v>1720.77</v>
      </c>
      <c r="N25" s="141">
        <f>SUM(N16:N24)</f>
        <v>309.73859999999996</v>
      </c>
      <c r="O25" s="142">
        <f>SUM(O16:O24)</f>
        <v>10.152543</v>
      </c>
      <c r="P25" s="143">
        <f>SUM(P16:P24)</f>
        <v>2040.6611429999998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2098.5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377.72999999999996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1720.77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309.73859999999996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2030.5085999999999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10.152543</v>
      </c>
    </row>
    <row r="35" spans="2:16" ht="15.75" customHeight="1" thickBot="1" x14ac:dyDescent="0.4">
      <c r="N35" s="298" t="s">
        <v>92</v>
      </c>
      <c r="O35" s="299"/>
      <c r="P35" s="159">
        <f>P33+P34</f>
        <v>2040.6611429999998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46226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129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46225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128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12913.800000000001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2324.4839999999995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10589.316000000003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12495.392880000003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2026-07-23T07:30:09Z</dcterms:modified>
</cp:coreProperties>
</file>