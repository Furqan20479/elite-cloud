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FA3118F-5B38-4622-95EA-DB932E953A9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I16" i="3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M21" i="30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K24" i="34"/>
  <c r="M24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M24" i="35"/>
  <c r="N24" i="35" s="1"/>
  <c r="O24" i="35" s="1"/>
  <c r="P24" i="35" s="1"/>
  <c r="M18" i="33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M16" i="28"/>
  <c r="N21" i="28"/>
  <c r="O21" i="28" s="1"/>
  <c r="N17" i="28"/>
  <c r="O17" i="28" s="1"/>
  <c r="J25" i="15"/>
  <c r="I25" i="27"/>
  <c r="P28" i="27" s="1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18" i="21"/>
  <c r="N18" i="21" s="1"/>
  <c r="O18" i="21" s="1"/>
  <c r="M16" i="20"/>
  <c r="N16" i="20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K21" i="16" l="1"/>
  <c r="L21" i="16"/>
  <c r="K17" i="16"/>
  <c r="K17" i="15" s="1"/>
  <c r="L17" i="16"/>
  <c r="L17" i="15" s="1"/>
  <c r="K20" i="16"/>
  <c r="L20" i="16"/>
  <c r="K16" i="16"/>
  <c r="L16" i="16"/>
  <c r="L16" i="15" s="1"/>
  <c r="K19" i="16"/>
  <c r="L19" i="16"/>
  <c r="L18" i="16"/>
  <c r="K18" i="16"/>
  <c r="K18" i="15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P31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<sst xmlns="http://schemas.openxmlformats.org/spreadsheetml/2006/main" count="1652" uniqueCount="124">
  <si>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</si>
  <si>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</si>
  <si>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</si>
  <si>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</si>
  <si>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</si>
  <si>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</si>
  <si>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</si>
  <si>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</si>
  <si>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</si>
  <si>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</si>
  <si>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</si>
  <si>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</si>
  <si>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</si>
  <si>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</si>
  <si>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</si>
  <si>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</si>
  <si>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</si>
  <si>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</si>
  <si>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</si>
  <si>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</si>
  <si>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</si>
  <si>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</si>
  <si>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</si>
  <si>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</si>
  <si>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</si>
  <si>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</si>
  <si>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</si>
  <si>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</si>
  <si>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</si>
  <si>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</si>
  <si>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</si>
  <si>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</si>
  <si>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</si>
  <si>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</si>
  <si>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</si>
  <si>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</si>
  <si>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</si>
  <si>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</si>
  <si>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</si>
  <si>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</si>
  <si>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</si>
  <si>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</si>
  <si>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</si>
  <si>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</si>
  <si>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</si>
  <si>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</si>
  <si>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</si>
  <si>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</si>
  <si>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</si>
  <si>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</si>
  <si>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</si>
  <si>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</si>
  <si>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</si>
  <si>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</si>
  <si>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</si>
  <si>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</si>
  <si>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</si>
  <si>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</si>
  <si>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</si>
  <si>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</si>
  <si>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</si>
  <si>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</si>
  <si>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</si>
  <si>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</si>
  <si>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</si>
  <si>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</si>
  <si>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</si>
  <si>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</si>
  <si>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</si>
  <si>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</si>
  <si>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</si>
  <si>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</si>
  <si>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</si>
  <si>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</si>
  <si>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</si>
  <si>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</si>
  <si>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</si>
  <si>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</si>
  <si>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</si>
  <si>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</si>
  <si>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</si>
  <si>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</si>
  <si>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</si>
  <si>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</si>
  <si>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</si>
  <si>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</si>
  <si>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</si>
  <si>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</si>
  <si>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</si>
  <si>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</si>
  <si>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</si>
  <si>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</si>
  <si>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</si>
  <si>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</si>
  <si>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</si>
  <si>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</si>
  <si>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</si>
  <si>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</si>
  <si>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</si>
  <si>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</si>
  <si>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</si>
  <si>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</si>
  <si>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</si>
  <si>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</si>
  <si>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</si>
  <si>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</si>
  <si>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</si>
  <si>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</si>
  <si>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</si>
  <si>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</si>
  <si>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</si>
  <si>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</si>
  <si>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</si>
  <si>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</si>
  <si>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</si>
  <si>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</si>
  <si>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</si>
  <si>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</si>
  <si>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</si>
  <si>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</si>
  <si>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2167476-7</t>
  </si>
  <si>
    <t>Address: EME</t>
  </si>
  <si>
    <t>Customer Name : Raheem Store EME</t>
  </si>
  <si>
    <t xml:space="preserve">Customer Name : Raheem Store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</si>
</sst>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0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102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103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Raheem Store </v>
      </c>
      <c r="U14" s="163">
        <f>+'1'!P35</f>
        <v>74274.255881100005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 EME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200</v>
      </c>
      <c r="I16" s="1">
        <f>(G16*D16)*F16+H16*F16</f>
        <v>10492.5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367.23750000000001</v>
      </c>
      <c r="L16" s="174">
        <f>+'1'!L16+'2'!L16+'4'!L16+'3'!L16+'5'!L16+'6'!L16+'7'!L16+'8'!L16+'9'!L16+'10'!L16</f>
        <v>1049.25</v>
      </c>
      <c r="M16" s="105">
        <f>I16-K16-L16</f>
        <v>9076.0125000000007</v>
      </c>
      <c r="N16" s="100">
        <f>+'1'!N16+'2'!N16+'4'!N16+'3'!N16+'5'!N16+'6'!N16+'7'!N16+'8'!N16+'9'!N16+'10'!N16</f>
        <v>1633.6822500000001</v>
      </c>
      <c r="O16" s="100">
        <f>+'1'!O16+'2'!O16+'4'!O16+'3'!O16+'5'!O16+'6'!O16+'7'!O16+'8'!O16+'9'!O16+'10'!O16</f>
        <v>53.548473750000007</v>
      </c>
      <c r="P16" s="104">
        <f t="shared" ref="P16:P24" si="0">M16+N16+O16</f>
        <v>10763.24322375</v>
      </c>
      <c r="Q16" s="107"/>
      <c r="T16" s="162" t="str">
        <f>+'3'!A5</f>
        <v>Customer Name : Raheem Store EME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200</v>
      </c>
      <c r="I17" s="1">
        <f t="shared" ref="I17:I23" si="1">(G17*D17)*F17+H17*F17</f>
        <v>10492.5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367.23750000000001</v>
      </c>
      <c r="L17" s="174">
        <f>+'1'!L17+'2'!L17+'4'!L17+'3'!L17+'5'!L17+'6'!L17+'7'!L17+'8'!L17+'9'!L17+'10'!L17</f>
        <v>1049.25</v>
      </c>
      <c r="M17" s="117">
        <f t="shared" ref="M17:M23" si="2">I17-K17-L17</f>
        <v>9076.0125000000007</v>
      </c>
      <c r="N17" s="100">
        <f>+'1'!N17+'2'!N17+'4'!N17+'3'!N17+'5'!N17+'6'!N17+'7'!N17+'8'!N17+'9'!N17+'10'!N17</f>
        <v>1633.6822500000001</v>
      </c>
      <c r="O17" s="100">
        <f>+'1'!O17+'2'!O17+'4'!O17+'3'!O17+'5'!O17+'6'!O17+'7'!O17+'8'!O17+'9'!O17+'10'!O17</f>
        <v>53.548473750000007</v>
      </c>
      <c r="P17" s="119">
        <f t="shared" si="0"/>
        <v>10763.24322375</v>
      </c>
      <c r="S17" s="64"/>
      <c r="T17" s="162" t="str">
        <f>+'4'!A5</f>
        <v>Customer Name : Raheem Store EME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Raheem Store EME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200</v>
      </c>
      <c r="I19" s="1">
        <f t="shared" si="1"/>
        <v>14528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508.48000000000008</v>
      </c>
      <c r="L19" s="174">
        <f>+'1'!L19+'2'!L19+'4'!L19+'3'!L19+'5'!L19+'6'!L19+'7'!L19+'8'!L19+'9'!L19+'10'!L19</f>
        <v>1452.8000000000002</v>
      </c>
      <c r="M19" s="117">
        <f t="shared" si="2"/>
        <v>12566.720000000001</v>
      </c>
      <c r="N19" s="100">
        <f>+'1'!N19+'2'!N19+'4'!N19+'3'!N19+'5'!N19+'6'!N19+'7'!N19+'8'!N19+'9'!N19+'10'!N19</f>
        <v>2262.0096000000003</v>
      </c>
      <c r="O19" s="100">
        <f>+'1'!O19+'2'!O19+'4'!O19+'3'!O19+'5'!O19+'6'!O19+'7'!O19+'8'!O19+'9'!O19+'10'!O19</f>
        <v>74.143648000000013</v>
      </c>
      <c r="P19" s="119">
        <f t="shared" si="0"/>
        <v>14902.873248000002</v>
      </c>
      <c r="T19" s="162" t="str">
        <f>+'6'!A5</f>
        <v>Customer Name : Raheem Store EME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200</v>
      </c>
      <c r="I20" s="1">
        <f t="shared" si="1"/>
        <v>14528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508.48000000000008</v>
      </c>
      <c r="L20" s="174">
        <f>+'1'!L20+'2'!L20+'4'!L20+'3'!L20+'5'!L20+'6'!L20+'7'!L20+'8'!L20+'9'!L20+'10'!L20</f>
        <v>1452.8000000000002</v>
      </c>
      <c r="M20" s="117">
        <f t="shared" si="2"/>
        <v>12566.720000000001</v>
      </c>
      <c r="N20" s="100">
        <f>+'1'!N20+'2'!N20+'4'!N20+'3'!N20+'5'!N20+'6'!N20+'7'!N20+'8'!N20+'9'!N20+'10'!N20</f>
        <v>2262.0096000000003</v>
      </c>
      <c r="O20" s="100">
        <f>+'1'!O20+'2'!O20+'4'!O20+'3'!O20+'5'!O20+'6'!O20+'7'!O20+'8'!O20+'9'!O20+'10'!O20</f>
        <v>74.143648000000013</v>
      </c>
      <c r="P20" s="119">
        <f t="shared" si="0"/>
        <v>14902.873248000002</v>
      </c>
      <c r="T20" s="162" t="str">
        <f>+'7'!A5</f>
        <v>Customer Name : Raheem Store EME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508.48000000000008</v>
      </c>
      <c r="L21" s="174">
        <f>+'1'!L21+'2'!L21+'4'!L21+'3'!L21+'5'!L21+'6'!L21+'7'!L21+'8'!L21+'9'!L21+'10'!L21</f>
        <v>1452.8000000000002</v>
      </c>
      <c r="M21" s="117">
        <f t="shared" si="2"/>
        <v>12566.720000000001</v>
      </c>
      <c r="N21" s="100">
        <f>+'1'!N21+'2'!N21+'4'!N21+'3'!N21+'5'!N21+'6'!N21+'7'!N21+'8'!N21+'9'!N21+'10'!N21</f>
        <v>2262.0096000000003</v>
      </c>
      <c r="O21" s="100">
        <f>+'1'!O21+'2'!O21+'4'!O21+'3'!O21+'5'!O21+'6'!O21+'7'!O21+'8'!O21+'9'!O21+'10'!O21</f>
        <v>74.143648000000013</v>
      </c>
      <c r="P21" s="119">
        <f t="shared" si="0"/>
        <v>14902.873248000002</v>
      </c>
      <c r="T21" s="162" t="str">
        <f>+'8'!A5</f>
        <v>Customer Name : Raheem Store EME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200</v>
      </c>
      <c r="I22" s="1">
        <f t="shared" si="1"/>
        <v>7846.0000000000009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674.75599999999997</v>
      </c>
      <c r="L22" s="174">
        <f>+'1'!L22+'2'!L22+'4'!L22+'3'!L22+'5'!L22+'6'!L22+'7'!L22+'8'!L22+'9'!L22+'10'!L22</f>
        <v>392.30000000000007</v>
      </c>
      <c r="M22" s="117">
        <f t="shared" si="2"/>
        <v>6778.9440000000004</v>
      </c>
      <c r="N22" s="100">
        <f>+'1'!N22+'2'!N22+'4'!N22+'3'!N22+'5'!N22+'6'!N22+'7'!N22+'8'!N22+'9'!N22+'10'!N22</f>
        <v>1220.20992</v>
      </c>
      <c r="O22" s="100">
        <f>+'1'!O22+'2'!O22+'4'!O22+'3'!O22+'5'!O22+'6'!O22+'7'!O22+'8'!O22+'9'!O22+'10'!O22</f>
        <v>39.995769600000003</v>
      </c>
      <c r="P22" s="119">
        <f t="shared" si="0"/>
        <v>8039.1496896000008</v>
      </c>
      <c r="T22" s="162" t="str">
        <f>+'9'!A5</f>
        <v>Customer Name : Raheem Store EME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 EME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 EME</v>
      </c>
      <c r="U24" s="163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30</v>
      </c>
      <c r="D25" s="214"/>
      <c r="E25" s="214"/>
      <c r="F25" s="214"/>
      <c r="G25" s="175">
        <f t="shared" ref="G25:M25" si="3">SUM(G16:G24)</f>
        <v>0</v>
      </c>
      <c r="H25" s="176">
        <f t="shared" si="3"/>
        <v>1200</v>
      </c>
      <c r="I25" s="177">
        <f t="shared" si="3"/>
        <v>72415</v>
      </c>
      <c r="J25" s="176">
        <f t="shared" si="3"/>
        <v>0</v>
      </c>
      <c r="K25" s="177">
        <f t="shared" si="3"/>
        <v>2934.6710000000003</v>
      </c>
      <c r="L25" s="178">
        <f t="shared" si="3"/>
        <v>6849.2000000000007</v>
      </c>
      <c r="M25" s="140">
        <f t="shared" si="3"/>
        <v>62631.129000000008</v>
      </c>
      <c r="N25" s="141">
        <f>SUM(N16:N24)</f>
        <v>11273.603220000001</v>
      </c>
      <c r="O25" s="142">
        <f>SUM(O16:O24)</f>
        <v>369.52366110000008</v>
      </c>
      <c r="P25" s="143">
        <f>SUM(P16:P24)</f>
        <v>74274.255881100005</v>
      </c>
      <c r="T25" s="162" t="str">
        <f>+'12'!A5</f>
        <v>Customer Name : Raheem Store EME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 EME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 EME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 EME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 EME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 EME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 EME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>Customer Name : Raheem Store EME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>Customer Name : Raheem Store EME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74274.255881100005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1">
        <f>I25</f>
        <v>72415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2">
        <f>L25</f>
        <v>6849.2000000000007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3">
        <f>K25</f>
        <v>2934.6710000000003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2">
        <f>P36-P37-P38</f>
        <v>62631.129000000001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4" t="s">
        <v>89</v>
      </c>
      <c r="O40" s="155">
        <f>IF(B12="Registered",18%,22%)</f>
        <v>0.22</v>
      </c>
      <c r="P40" s="152">
        <f>N25</f>
        <v>11273.603220000001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2">
        <f>P39+P40</f>
        <v>73904.732220000005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6"/>
      <c r="N42" s="157" t="s">
        <v>91</v>
      </c>
      <c r="O42" s="158">
        <f>IF(B11="Filer",0.5%,2.5%)</f>
        <v>2.5000000000000001E-2</v>
      </c>
      <c r="P42" s="152">
        <f>O42*P41</f>
        <v>1847.6183055000001</v>
      </c>
    </row>
    <row r="43" spans="1:21" ht="15.75" customHeight="1" thickBot="1" x14ac:dyDescent="0.4">
      <c r="N43" s="212" t="s">
        <v>92</v>
      </c>
      <c r="O43" s="213"/>
      <c r="P43" s="159">
        <f>P41+P42</f>
        <v>75752.350525500005</v>
      </c>
    </row>
    <row r="44" spans="1:21" ht="15" thickBot="1" x14ac:dyDescent="0.4">
      <c r="B44" s="160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26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101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 t="s">
        <v>120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/>
      <c r="K16" s="103">
        <f>I16*3.5%</f>
        <v>367.23750000000001</v>
      </c>
      <c r="L16" s="104">
        <f>I16*10%</f>
        <v>1049.25</v>
      </c>
      <c r="M16" s="105">
        <f>I16-K16-L16</f>
        <v>9076.0125000000007</v>
      </c>
      <c r="N16" s="105">
        <f t="shared" ref="N16:N24" si="0">(M16*$N$15)+(J16*F16)*$N$15</f>
        <v>1633.6822500000001</v>
      </c>
      <c r="O16" s="106">
        <f t="shared" ref="O16:O24" si="1">(N16+M16)*$O$15</f>
        <v>53.548473750000007</v>
      </c>
      <c r="P16" s="104">
        <f t="shared" ref="P16:P24" si="2">M16+N16+O16</f>
        <v>10763.24322375</v>
      </c>
      <c r="Q16" s="107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200</v>
      </c>
      <c r="I17" s="115">
        <f t="shared" ref="I17:I23" si="3">(G17*D17)*F17+H17*F17</f>
        <v>10492.5</v>
      </c>
      <c r="J17" s="116"/>
      <c r="K17" s="103">
        <f t="shared" ref="K17:K21" si="4">I17*3.5%</f>
        <v>367.23750000000001</v>
      </c>
      <c r="L17" s="104">
        <f t="shared" ref="L17:L21" si="5">I17*10%</f>
        <v>1049.25</v>
      </c>
      <c r="M17" s="117">
        <f t="shared" ref="M17:M23" si="6">I17-K17-L17</f>
        <v>9076.0125000000007</v>
      </c>
      <c r="N17" s="117">
        <f t="shared" si="0"/>
        <v>1633.6822500000001</v>
      </c>
      <c r="O17" s="118">
        <f t="shared" si="1"/>
        <v>53.548473750000007</v>
      </c>
      <c r="P17" s="119">
        <f t="shared" si="2"/>
        <v>10763.24322375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3"/>
        <v>14528</v>
      </c>
      <c r="J19" s="116"/>
      <c r="K19" s="103">
        <f t="shared" si="4"/>
        <v>508.48000000000008</v>
      </c>
      <c r="L19" s="104">
        <f t="shared" si="5"/>
        <v>1452.8000000000002</v>
      </c>
      <c r="M19" s="117">
        <f t="shared" si="6"/>
        <v>12566.720000000001</v>
      </c>
      <c r="N19" s="117">
        <f t="shared" si="0"/>
        <v>2262.0096000000003</v>
      </c>
      <c r="O19" s="118">
        <f t="shared" si="1"/>
        <v>74.143648000000013</v>
      </c>
      <c r="P19" s="119">
        <f t="shared" si="2"/>
        <v>14902.873248000002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200</v>
      </c>
      <c r="I20" s="115">
        <f t="shared" si="3"/>
        <v>14528</v>
      </c>
      <c r="J20" s="116"/>
      <c r="K20" s="103">
        <f t="shared" si="4"/>
        <v>508.48000000000008</v>
      </c>
      <c r="L20" s="104">
        <f t="shared" si="5"/>
        <v>1452.8000000000002</v>
      </c>
      <c r="M20" s="117">
        <f t="shared" si="6"/>
        <v>12566.720000000001</v>
      </c>
      <c r="N20" s="117">
        <f t="shared" si="0"/>
        <v>2262.0096000000003</v>
      </c>
      <c r="O20" s="118">
        <f t="shared" si="1"/>
        <v>74.143648000000013</v>
      </c>
      <c r="P20" s="119">
        <f t="shared" si="2"/>
        <v>14902.873248000002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/>
      <c r="K21" s="103">
        <f t="shared" si="4"/>
        <v>508.48000000000008</v>
      </c>
      <c r="L21" s="104">
        <f t="shared" si="5"/>
        <v>1452.8000000000002</v>
      </c>
      <c r="M21" s="117">
        <f t="shared" si="6"/>
        <v>12566.720000000001</v>
      </c>
      <c r="N21" s="117">
        <f t="shared" si="0"/>
        <v>2262.0096000000003</v>
      </c>
      <c r="O21" s="118">
        <f t="shared" si="1"/>
        <v>74.143648000000013</v>
      </c>
      <c r="P21" s="119">
        <f t="shared" si="2"/>
        <v>14902.873248000002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200</v>
      </c>
      <c r="I22" s="115">
        <f t="shared" si="3"/>
        <v>7846.0000000000009</v>
      </c>
      <c r="J22" s="116"/>
      <c r="K22" s="103">
        <f>I22*8.6%</f>
        <v>674.75599999999997</v>
      </c>
      <c r="L22" s="119">
        <f>I22*5%</f>
        <v>392.30000000000007</v>
      </c>
      <c r="M22" s="117">
        <f t="shared" si="6"/>
        <v>6778.9440000000004</v>
      </c>
      <c r="N22" s="117">
        <f t="shared" si="0"/>
        <v>1220.20992</v>
      </c>
      <c r="O22" s="118">
        <f t="shared" si="1"/>
        <v>39.995769600000003</v>
      </c>
      <c r="P22" s="119">
        <f t="shared" si="2"/>
        <v>8039.1496896000008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13">SUM(G16:G24)</f>
        <v>0</v>
      </c>
      <c r="H25" s="135">
        <f t="shared" si="13"/>
        <v>1200</v>
      </c>
      <c r="I25" s="136">
        <f t="shared" si="13"/>
        <v>72415</v>
      </c>
      <c r="J25" s="137"/>
      <c r="K25" s="138">
        <f t="shared" si="13"/>
        <v>2934.6710000000003</v>
      </c>
      <c r="L25" s="139">
        <f t="shared" si="13"/>
        <v>6849.2000000000007</v>
      </c>
      <c r="M25" s="140">
        <f t="shared" si="13"/>
        <v>62631.129000000008</v>
      </c>
      <c r="N25" s="141">
        <f>SUM(N16:N24)</f>
        <v>11273.603220000001</v>
      </c>
      <c r="O25" s="142">
        <f>SUM(O16:O24)</f>
        <v>369.52366110000008</v>
      </c>
      <c r="P25" s="143">
        <f>SUM(P16:P24)</f>
        <v>74274.255881100005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72415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6849.2000000000007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2934.6710000000003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62631.129000000001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0.18</v>
      </c>
      <c r="P32" s="152">
        <f>N25</f>
        <v>11273.603220000001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73904.732220000005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5.0000000000000001E-3</v>
      </c>
      <c r="P34" s="152">
        <f>O34*P33</f>
        <v>369.52366110000003</v>
      </c>
    </row>
    <row r="35" spans="2:16" ht="15.75" customHeight="1" thickBot="1" x14ac:dyDescent="0.4">
      <c r="N35" s="212" t="s">
        <v>92</v>
      </c>
      <c r="O35" s="213"/>
      <c r="P35" s="159">
        <f>P33+P34</f>
        <v>74274.255881100005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6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79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121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 t="s">
        <v>120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266">
        <v>0.1</v>
      </c>
      <c r="M15" s="26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03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1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2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3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2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2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2" t="s">
        <v>92</v>
      </c>
      <c r="O35" s="213"/>
      <c r="P35" s="159">
        <f>P33+P34</f>
        <v>0</v>
      </c>
    </row>
    <row r="36" spans="2:16" ht="15" thickBot="1" x14ac:dyDescent="0.4">
      <c r="B36" s="160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2026-07-10T05:28:28Z</dcterms:modified>
</cp:coreProperties>
</file>