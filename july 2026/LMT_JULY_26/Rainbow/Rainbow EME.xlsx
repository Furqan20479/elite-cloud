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999E789-CC56-41D6-89BE-DAC36AEB6B1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<sst xmlns="http://schemas.openxmlformats.org/spreadsheetml/2006/main" count="3913" uniqueCount="515">
  <si>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</si>
  <si>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</si>
  <si>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</si>
  <si>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</si>
  <si>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</si>
  <si>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</si>
  <si>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</si>
  <si>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</si>
  <si>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</si>
  <si>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</si>
  <si>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</si>
  <si>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</si>
  <si>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</si>
  <si>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</si>
  <si>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</si>
  <si>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</si>
  <si>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</si>
  <si>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</si>
  <si>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</si>
  <si>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</si>
  <si>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</si>
  <si>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</si>
  <si>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</si>
  <si>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</si>
  <si>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</si>
  <si>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</si>
  <si>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</si>
  <si>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</si>
  <si>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</si>
  <si>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</si>
  <si>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</si>
  <si>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</si>
  <si>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</si>
  <si>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</si>
  <si>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</si>
  <si>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</si>
  <si>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</si>
  <si>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</si>
  <si>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</si>
  <si>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</si>
  <si>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</si>
  <si>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</si>
  <si>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</si>
  <si>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</si>
  <si>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</si>
  <si>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</si>
  <si>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</si>
  <si>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</si>
  <si>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</si>
  <si>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</si>
  <si>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</si>
  <si>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</si>
  <si>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</si>
  <si>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</si>
  <si>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</si>
  <si>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</si>
  <si>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</si>
  <si>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</si>
  <si>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</si>
  <si>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</si>
  <si>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</si>
  <si>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</si>
  <si>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</si>
  <si>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</si>
  <si>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</si>
  <si>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</si>
  <si>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</si>
  <si>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</si>
  <si>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</si>
  <si>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</si>
  <si>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</si>
  <si>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</si>
  <si>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</si>
  <si>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</si>
  <si>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</si>
  <si>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</si>
  <si>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</si>
  <si>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</si>
  <si>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</si>
  <si>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</si>
  <si>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</si>
  <si>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</si>
  <si>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</si>
  <si>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</si>
  <si>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</si>
  <si>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</si>
  <si>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</si>
  <si>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</si>
  <si>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</si>
  <si>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</si>
  <si>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</si>
  <si>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</si>
  <si>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</si>
  <si>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</si>
  <si>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</si>
  <si>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</si>
  <si>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</si>
  <si>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</si>
  <si>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</si>
  <si>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</si>
  <si>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</si>
  <si>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</si>
  <si>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</si>
  <si>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</si>
  <si>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</si>
  <si>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</si>
  <si>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</si>
  <si>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</si>
  <si>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</si>
  <si>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</si>
  <si>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</si>
  <si>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</si>
  <si>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</si>
  <si>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</si>
  <si>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</si>
  <si>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</si>
  <si>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</si>
  <si>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</si>
  <si>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</si>
  <si>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</si>
  <si>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</si>
  <si>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</si>
  <si>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</si>
  <si>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</si>
  <si>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</si>
  <si>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</si>
  <si>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</si>
  <si>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</si>
  <si>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</si>
  <si>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</si>
  <si>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</si>
  <si>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</si>
  <si>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</si>
  <si>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</si>
  <si>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</si>
  <si>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</si>
  <si>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</si>
  <si>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</si>
  <si>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</si>
  <si>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</si>
  <si>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</si>
  <si>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</si>
  <si>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</si>
  <si>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</si>
  <si>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</si>
  <si>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</si>
  <si>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</si>
  <si>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</si>
  <si>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</si>
  <si>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</si>
  <si>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</si>
  <si>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</si>
  <si>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</si>
  <si>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</si>
  <si>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</si>
  <si>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</si>
  <si>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</si>
  <si>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</si>
  <si>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</si>
  <si>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</si>
  <si>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</si>
  <si>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</si>
  <si>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</si>
  <si>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</si>
  <si>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</si>
  <si>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</si>
  <si>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</si>
  <si>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</si>
  <si>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</si>
  <si>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</si>
  <si>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</si>
  <si>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</si>
  <si>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</si>
  <si>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</si>
  <si>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</si>
  <si>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</si>
  <si>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</si>
  <si>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</si>
  <si>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</si>
  <si>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</si>
  <si>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</si>
  <si>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</si>
  <si>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</si>
  <si>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</si>
  <si>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</si>
  <si>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</si>
  <si>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</si>
  <si>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</si>
  <si>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</si>
  <si>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</si>
  <si>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</si>
  <si>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</si>
  <si>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</si>
  <si>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</si>
  <si>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</si>
  <si>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</si>
  <si>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</si>
  <si>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</si>
  <si>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</si>
  <si>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</si>
  <si>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</si>
  <si>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</si>
  <si>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</si>
  <si>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</si>
  <si>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</si>
  <si>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</si>
  <si>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</si>
  <si>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</si>
  <si>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</si>
  <si>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</si>
  <si>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</si>
  <si>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</si>
  <si>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</si>
  <si>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</si>
  <si>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</si>
  <si>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</si>
  <si>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</si>
  <si>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</si>
  <si>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</si>
  <si>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</si>
  <si>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</si>
  <si>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</si>
  <si>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</si>
  <si>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</si>
  <si>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</si>
  <si>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</si>
  <si>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</si>
  <si>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</si>
  <si>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</si>
  <si>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</si>
  <si>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</si>
  <si>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</si>
  <si>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</si>
  <si>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</si>
  <si>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</si>
  <si>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</si>
  <si>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</si>
  <si>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</si>
  <si>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</si>
  <si>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</si>
  <si>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</si>
  <si>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</si>
  <si>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</si>
  <si>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</si>
  <si>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</si>
  <si>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</si>
  <si>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</si>
  <si>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</si>
  <si>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</si>
  <si>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</si>
  <si>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</si>
  <si>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</si>
  <si>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</si>
  <si>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</si>
  <si>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</si>
  <si>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</si>
  <si>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</si>
  <si>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</si>
  <si>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</si>
  <si>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</si>
  <si>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</si>
  <si>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</si>
  <si>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</si>
  <si>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</si>
  <si>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</si>
  <si>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</si>
  <si>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</si>
  <si>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</si>
  <si>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</si>
  <si>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</si>
  <si>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</si>
  <si>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</si>
  <si>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</si>
  <si>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</si>
  <si>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</si>
  <si>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</si>
  <si>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</si>
  <si>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</si>
  <si>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</si>
  <si>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</si>
  <si>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</si>
  <si>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</si>
  <si>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</si>
  <si>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</si>
  <si>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</si>
  <si>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</si>
  <si>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</si>
  <si>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</si>
  <si>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</si>
  <si>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</si>
  <si>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</si>
  <si>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</si>
  <si>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</si>
  <si>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</si>
  <si>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</si>
  <si>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</si>
  <si>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</si>
  <si>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</si>
  <si>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</si>
  <si>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</si>
  <si>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</si>
  <si>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</si>
  <si>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</si>
  <si>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</si>
  <si>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</si>
  <si>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</si>
  <si>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</si>
  <si>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</si>
  <si>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</si>
  <si>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</si>
  <si>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</si>
  <si>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</si>
  <si>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</si>
  <si>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</si>
  <si>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</si>
  <si>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</si>
  <si>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</si>
  <si>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</si>
  <si>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</si>
  <si>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</si>
  <si>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</si>
  <si>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</si>
  <si>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</si>
  <si>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</si>
  <si>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</si>
  <si>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</si>
  <si>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</si>
  <si>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</si>
  <si>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</si>
  <si>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</si>
  <si>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</si>
  <si>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</si>
  <si>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</si>
  <si>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</si>
  <si>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</si>
  <si>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</si>
  <si>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</si>
  <si>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</si>
  <si>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</si>
  <si>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</si>
  <si>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</si>
  <si>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</si>
  <si>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</si>
  <si>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</si>
  <si>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</si>
  <si>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</si>
  <si>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</si>
  <si>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</si>
  <si>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</si>
  <si>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</si>
  <si>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</si>
  <si>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</si>
  <si>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</si>
  <si>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</si>
  <si>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</si>
  <si>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</si>
  <si>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</si>
  <si>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</si>
  <si>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</si>
  <si>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</si>
  <si>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</si>
  <si>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</si>
  <si>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</si>
  <si>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</si>
  <si>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</si>
  <si>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</si>
  <si>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</si>
  <si>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</si>
  <si>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</si>
  <si>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</si>
  <si>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</si>
  <si>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</si>
  <si>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</si>
  <si>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</si>
  <si>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</si>
  <si>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</si>
  <si>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</si>
  <si>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</si>
  <si>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</si>
  <si>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</si>
  <si>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</si>
  <si>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</si>
  <si>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</si>
  <si>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</si>
  <si>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</si>
  <si>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</si>
  <si>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</si>
  <si>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</si>
  <si>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</si>
  <si>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</si>
  <si>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</si>
  <si>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</si>
  <si>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</si>
  <si>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</si>
  <si>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</si>
  <si>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</si>
  <si>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</si>
  <si>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</si>
  <si>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</si>
  <si>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</si>
  <si>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</si>
  <si>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</si>
  <si>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</si>
  <si>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</si>
  <si>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</si>
  <si>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</si>
  <si>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</si>
  <si>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</si>
  <si>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</si>
  <si>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</si>
  <si>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</si>
  <si>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</si>
  <si>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</si>
  <si>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</si>
  <si>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</si>
  <si>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</si>
  <si>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</si>
  <si>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</si>
  <si>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</si>
  <si>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</si>
  <si>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</si>
  <si>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</si>
  <si>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</si>
  <si>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</si>
  <si>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</si>
  <si>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</si>
  <si>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</si>
  <si>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</si>
  <si>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</si>
  <si>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</si>
  <si>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</si>
  <si>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</si>
  <si>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</si>
  <si>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</si>
  <si>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</si>
  <si>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</si>
  <si>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</si>
  <si>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</si>
  <si>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</si>
  <si>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</si>
  <si>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</si>
  <si>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</si>
  <si>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</si>
  <si>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</si>
  <si>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</si>
  <si>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</si>
  <si>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</si>
  <si>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</si>
  <si>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</si>
  <si>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</si>
  <si>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</si>
  <si>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</si>
  <si>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</si>
  <si>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</si>
  <si>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</si>
  <si>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</si>
  <si>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</si>
  <si>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</si>
  <si>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</si>
  <si>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</si>
  <si>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</si>
  <si>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</si>
  <si>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</si>
  <si>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</si>
  <si>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</si>
  <si>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</si>
  <si>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</si>
  <si>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</si>
  <si>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</si>
  <si>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</si>
  <si>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</si>
  <si>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</si>
  <si>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</si>
  <si>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</si>
  <si>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</si>
  <si>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</si>
  <si>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</si>
  <si>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</si>
  <si>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</si>
  <si>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</si>
  <si>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</si>
  <si>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</si>
  <si>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</si>
  <si>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</si>
  <si>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</si>
  <si>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</si>
  <si>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</si>
  <si>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</si>
  <si>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</si>
  <si>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</si>
  <si>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</si>
  <si>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</si>
  <si>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</si>
  <si>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</si>
  <si>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</si>
  <si>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</si>
  <si>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</si>
  <si>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</si>
  <si>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</si>
  <si>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</si>
  <si>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</si>
  <si>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</si>
  <si>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</si>
  <si>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</si>
  <si>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</si>
  <si>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</si>
  <si>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</si>
  <si>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</si>
  <si>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</si>
  <si>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</si>
  <si>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</si>
  <si>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</si>
  <si>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</si>
  <si>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</si>
  <si>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Rainbow Store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</si>
</sst>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46227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>Rainbow Store EME</v>
      </c>
      <c r="T3" s="301">
        <f>+'1'!P35</f>
        <v>22998.944252288133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671.52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7428.6900000000005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45.075653389830507</v>
      </c>
      <c r="P8" s="119">
        <f t="shared" ref="P8:P15" si="2">M8+N8+O8</f>
        <v>9060.206331355932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119">
        <f t="shared" si="2"/>
        <v>3136.2115850847458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119">
        <f t="shared" si="2"/>
        <v>3136.2115850847458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119">
        <f t="shared" si="2"/>
        <v>3136.2115850847458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360</v>
      </c>
      <c r="I16" s="114">
        <f t="shared" si="3"/>
        <v>21307.8</v>
      </c>
      <c r="J16" s="274">
        <f>SUM(J7:J15)</f>
        <v>1704.6240000000003</v>
      </c>
      <c r="K16" s="275">
        <f t="shared" si="3"/>
        <v>745.77300000000014</v>
      </c>
      <c r="L16" s="276">
        <f t="shared" si="3"/>
        <v>0</v>
      </c>
      <c r="M16" s="232">
        <f t="shared" si="3"/>
        <v>18857.402999999998</v>
      </c>
      <c r="N16" s="233">
        <f>SUM(N7:N15)</f>
        <v>4027.1186440677952</v>
      </c>
      <c r="O16" s="101">
        <f>SUM(O7:O15)</f>
        <v>114.42260822033897</v>
      </c>
      <c r="P16" s="234">
        <f>SUM(P7:P15)</f>
        <v>22998.944252288136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21307.8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1704.6240000000003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745.77300000000014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18857.402999999998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4027.1186440677952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22884.521644067794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114.42260822033897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22998.944252288133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22998.944252288133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A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671.52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7428.6900000000005</v>
      </c>
      <c r="N17" s="277">
        <f t="shared" ref="N17:N24" si="3">+(G17*D17+H17)*V17</f>
        <v>1586.440677966101</v>
      </c>
      <c r="O17" s="239">
        <f t="shared" ref="O17:O24" si="4">(N17+M17)*$O$15</f>
        <v>45.075653389830507</v>
      </c>
      <c r="P17" s="119">
        <f t="shared" ref="P17:P24" si="5">M17+N17+O17</f>
        <v>9060.206331355932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21307.8</v>
      </c>
      <c r="J25" s="274">
        <f>SUM(J16:J24)</f>
        <v>1704.6240000000003</v>
      </c>
      <c r="K25" s="275">
        <f t="shared" si="10"/>
        <v>745.77300000000014</v>
      </c>
      <c r="L25" s="276">
        <f t="shared" si="10"/>
        <v>0</v>
      </c>
      <c r="M25" s="232">
        <f t="shared" si="10"/>
        <v>18857.402999999998</v>
      </c>
      <c r="N25" s="233">
        <f>SUM(N16:N24)</f>
        <v>4027.1186440677952</v>
      </c>
      <c r="O25" s="101">
        <f>SUM(O16:O24)</f>
        <v>114.42260822033897</v>
      </c>
      <c r="P25" s="234">
        <f>SUM(P16:P24)</f>
        <v>22998.944252288136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21307.8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1704.6240000000003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745.77300000000014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18857.402999999998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4027.1186440677952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22884.521644067794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114.42260822033897</v>
      </c>
    </row>
    <row r="35" spans="2:16" ht="15.75" customHeight="1" thickBot="1" x14ac:dyDescent="0.4">
      <c r="N35" s="359" t="s">
        <v>88</v>
      </c>
      <c r="O35" s="360"/>
      <c r="P35" s="297">
        <f>+P33+P34</f>
        <v>22998.944252288133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46227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46226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2026-07-23T12:38:41Z</dcterms:modified>
</cp:coreProperties>
</file>