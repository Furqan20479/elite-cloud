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5E67D23-D1F6-45F8-A7A0-09EF35F1963A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<sst xmlns="http://schemas.openxmlformats.org/spreadsheetml/2006/main" count="3913" uniqueCount="515">
  <si>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</si>
  <si>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</si>
  <si>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</si>
  <si>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</si>
  <si>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</si>
  <si>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</si>
  <si>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</si>
  <si>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</si>
  <si>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</si>
  <si>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</si>
  <si>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</si>
  <si>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</si>
  <si>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</si>
  <si>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</si>
  <si>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</si>
  <si>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</si>
  <si>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</si>
  <si>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</si>
  <si>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</si>
  <si>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</si>
  <si>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</si>
  <si>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</si>
  <si>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</si>
  <si>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</si>
  <si>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</si>
  <si>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</si>
  <si>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</si>
  <si>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</si>
  <si>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</si>
  <si>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</si>
  <si>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</si>
  <si>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</si>
  <si>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</si>
  <si>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</si>
  <si>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</si>
  <si>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</si>
  <si>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</si>
  <si>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</si>
  <si>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</si>
  <si>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</si>
  <si>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</si>
  <si>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</si>
  <si>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</si>
  <si>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</si>
  <si>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</si>
  <si>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</si>
  <si>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</si>
  <si>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</si>
  <si>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</si>
  <si>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</si>
  <si>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</si>
  <si>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</si>
  <si>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</si>
  <si>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</si>
  <si>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</si>
  <si>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</si>
  <si>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</si>
  <si>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</si>
  <si>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</si>
  <si>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</si>
  <si>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</si>
  <si>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</si>
  <si>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</si>
  <si>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</si>
  <si>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</si>
  <si>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</si>
  <si>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</si>
  <si>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</si>
  <si>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</si>
  <si>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</si>
  <si>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</si>
  <si>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</si>
  <si>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</si>
  <si>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</si>
  <si>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</si>
  <si>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</si>
  <si>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</si>
  <si>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</si>
  <si>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</si>
  <si>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</si>
  <si>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</si>
  <si>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</si>
  <si>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</si>
  <si>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</si>
  <si>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</si>
  <si>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</si>
  <si>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</si>
  <si>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</si>
  <si>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</si>
  <si>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</si>
  <si>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</si>
  <si>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</si>
  <si>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</si>
  <si>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</si>
  <si>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</si>
  <si>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</si>
  <si>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</si>
  <si>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</si>
  <si>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</si>
  <si>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</si>
  <si>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</si>
  <si>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</si>
  <si>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</si>
  <si>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</si>
  <si>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</si>
  <si>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</si>
  <si>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</si>
  <si>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</si>
  <si>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</si>
  <si>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</si>
  <si>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</si>
  <si>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</si>
  <si>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</si>
  <si>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</si>
  <si>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</si>
  <si>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</si>
  <si>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</si>
  <si>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</si>
  <si>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</si>
  <si>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</si>
  <si>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</si>
  <si>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</si>
  <si>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</si>
  <si>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</si>
  <si>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</si>
  <si>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</si>
  <si>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</si>
  <si>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</si>
  <si>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</si>
  <si>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</si>
  <si>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</si>
  <si>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</si>
  <si>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</si>
  <si>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</si>
  <si>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</si>
  <si>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</si>
  <si>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</si>
  <si>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</si>
  <si>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</si>
  <si>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</si>
  <si>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</si>
  <si>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</si>
  <si>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</si>
  <si>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</si>
  <si>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</si>
  <si>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</si>
  <si>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</si>
  <si>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</si>
  <si>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</si>
  <si>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</si>
  <si>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</si>
  <si>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</si>
  <si>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</si>
  <si>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</si>
  <si>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</si>
  <si>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</si>
  <si>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</si>
  <si>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</si>
  <si>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</si>
  <si>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</si>
  <si>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</si>
  <si>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</si>
  <si>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</si>
  <si>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</si>
  <si>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</si>
  <si>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</si>
  <si>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</si>
  <si>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</si>
  <si>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</si>
  <si>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</si>
  <si>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</si>
  <si>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</si>
  <si>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</si>
  <si>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</si>
  <si>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</si>
  <si>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</si>
  <si>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</si>
  <si>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</si>
  <si>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</si>
  <si>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</si>
  <si>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</si>
  <si>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</si>
  <si>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</si>
  <si>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</si>
  <si>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</si>
  <si>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</si>
  <si>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</si>
  <si>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</si>
  <si>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</si>
  <si>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</si>
  <si>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</si>
  <si>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</si>
  <si>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</si>
  <si>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</si>
  <si>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</si>
  <si>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</si>
  <si>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</si>
  <si>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</si>
  <si>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</si>
  <si>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</si>
  <si>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</si>
  <si>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</si>
  <si>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</si>
  <si>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</si>
  <si>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</si>
  <si>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</si>
  <si>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</si>
  <si>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</si>
  <si>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</si>
  <si>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</si>
  <si>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</si>
  <si>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</si>
  <si>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</si>
  <si>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</si>
  <si>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</si>
  <si>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</si>
  <si>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</si>
  <si>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</si>
  <si>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</si>
  <si>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</si>
  <si>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</si>
  <si>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</si>
  <si>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</si>
  <si>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</si>
  <si>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</si>
  <si>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</si>
  <si>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</si>
  <si>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</si>
  <si>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</si>
  <si>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</si>
  <si>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</si>
  <si>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</si>
  <si>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</si>
  <si>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</si>
  <si>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</si>
  <si>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</si>
  <si>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</si>
  <si>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</si>
  <si>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</si>
  <si>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</si>
  <si>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</si>
  <si>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</si>
  <si>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</si>
  <si>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</si>
  <si>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</si>
  <si>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</si>
  <si>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</si>
  <si>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</si>
  <si>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</si>
  <si>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</si>
  <si>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</si>
  <si>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</si>
  <si>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</si>
  <si>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</si>
  <si>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</si>
  <si>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</si>
  <si>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</si>
  <si>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</si>
  <si>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</si>
  <si>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</si>
  <si>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</si>
  <si>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</si>
  <si>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</si>
  <si>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</si>
  <si>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</si>
  <si>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</si>
  <si>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</si>
  <si>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</si>
  <si>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</si>
  <si>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</si>
  <si>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</si>
  <si>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</si>
  <si>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</si>
  <si>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</si>
  <si>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</si>
  <si>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</si>
  <si>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</si>
  <si>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</si>
  <si>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</si>
  <si>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</si>
  <si>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</si>
  <si>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</si>
  <si>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</si>
  <si>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</si>
  <si>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</si>
  <si>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</si>
  <si>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</si>
  <si>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</si>
  <si>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</si>
  <si>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</si>
  <si>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</si>
  <si>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</si>
  <si>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</si>
  <si>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</si>
  <si>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</si>
  <si>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</si>
  <si>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</si>
  <si>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</si>
  <si>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</si>
  <si>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</si>
  <si>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</si>
  <si>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</si>
  <si>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</si>
  <si>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</si>
  <si>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</si>
  <si>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</si>
  <si>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</si>
  <si>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</si>
  <si>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</si>
  <si>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</si>
  <si>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</si>
  <si>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</si>
  <si>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</si>
  <si>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</si>
  <si>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</si>
  <si>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</si>
  <si>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</si>
  <si>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</si>
  <si>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</si>
  <si>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</si>
  <si>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</si>
  <si>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</si>
  <si>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</si>
  <si>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</si>
  <si>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</si>
  <si>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</si>
  <si>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</si>
  <si>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</si>
  <si>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</si>
  <si>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</si>
  <si>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</si>
  <si>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</si>
  <si>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</si>
  <si>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</si>
  <si>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</si>
  <si>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</si>
  <si>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</si>
  <si>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</si>
  <si>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</si>
  <si>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</si>
  <si>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</si>
  <si>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</si>
  <si>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</si>
  <si>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</si>
  <si>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</si>
  <si>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</si>
  <si>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</si>
  <si>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</si>
  <si>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</si>
  <si>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</si>
  <si>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</si>
  <si>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</si>
  <si>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</si>
  <si>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</si>
  <si>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</si>
  <si>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</si>
  <si>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</si>
  <si>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</si>
  <si>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</si>
  <si>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</si>
  <si>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</si>
  <si>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</si>
  <si>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</si>
  <si>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</si>
  <si>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</si>
  <si>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</si>
  <si>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</si>
  <si>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</si>
  <si>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</si>
  <si>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</si>
  <si>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</si>
  <si>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</si>
  <si>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</si>
  <si>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</si>
  <si>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</si>
  <si>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</si>
  <si>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</si>
  <si>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</si>
  <si>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</si>
  <si>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</si>
  <si>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</si>
  <si>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</si>
  <si>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</si>
  <si>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</si>
  <si>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</si>
  <si>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</si>
  <si>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</si>
  <si>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</si>
  <si>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</si>
  <si>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</si>
  <si>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</si>
  <si>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</si>
  <si>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</si>
  <si>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</si>
  <si>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</si>
  <si>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</si>
  <si>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</si>
  <si>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</si>
  <si>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</si>
  <si>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</si>
  <si>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</si>
  <si>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</si>
  <si>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</si>
  <si>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</si>
  <si>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</si>
  <si>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</si>
  <si>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</si>
  <si>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</si>
  <si>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</si>
  <si>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</si>
  <si>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</si>
  <si>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</si>
  <si>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</si>
  <si>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</si>
  <si>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</si>
  <si>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</si>
  <si>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</si>
  <si>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</si>
  <si>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</si>
  <si>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</si>
  <si>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</si>
  <si>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</si>
  <si>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</si>
  <si>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</si>
  <si>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</si>
  <si>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</si>
  <si>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</si>
  <si>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</si>
  <si>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</si>
  <si>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</si>
  <si>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</si>
  <si>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</si>
  <si>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</si>
  <si>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</si>
  <si>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</si>
  <si>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</si>
  <si>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</si>
  <si>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</si>
  <si>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</si>
  <si>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</si>
  <si>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</si>
  <si>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</si>
  <si>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</si>
  <si>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</si>
  <si>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</si>
  <si>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</si>
  <si>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</si>
  <si>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</si>
  <si>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</si>
  <si>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</si>
  <si>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</si>
  <si>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</si>
  <si>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</si>
  <si>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</si>
  <si>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</si>
  <si>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</si>
  <si>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</si>
  <si>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</si>
  <si>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</si>
  <si>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</si>
  <si>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</si>
  <si>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</si>
  <si>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</si>
  <si>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</si>
  <si>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</si>
  <si>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</si>
  <si>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</si>
  <si>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</si>
  <si>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</si>
  <si>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</si>
  <si>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</si>
  <si>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</si>
  <si>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</si>
  <si>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</si>
  <si>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</si>
  <si>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</si>
  <si>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</si>
  <si>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</si>
  <si>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</si>
  <si>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</si>
  <si>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</si>
  <si>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</si>
  <si>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</si>
  <si>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</si>
  <si>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</si>
  <si>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</si>
  <si>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</si>
  <si>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</si>
  <si>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</si>
  <si>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</si>
  <si>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</si>
  <si>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</si>
  <si>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</si>
  <si>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</si>
  <si>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</si>
  <si>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</si>
  <si>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</si>
  <si>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</si>
  <si>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</si>
  <si>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</si>
  <si>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</si>
  <si>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</si>
  <si>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</si>
  <si>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</si>
  <si>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</si>
  <si>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</si>
  <si>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</si>
  <si>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</si>
  <si>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</si>
  <si>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</si>
  <si>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</si>
  <si>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</si>
  <si>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Rainbow Store Bahria Town</t>
  </si>
  <si>
    <t>Shakoor</t>
  </si>
  <si>
    <t>Shop Summary 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</si>
</sst>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513</v>
      </c>
      <c r="I2" s="339"/>
      <c r="J2" s="340"/>
      <c r="R2" s="336" t="s">
        <v>514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46227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Rainbow Store Bahria Town</v>
      </c>
      <c r="T3" s="301">
        <f>+'1'!P35</f>
        <v>17074.94950601695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119">
        <f t="shared" si="2"/>
        <v>3136.2115850847458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119">
        <f t="shared" si="2"/>
        <v>3136.2115850847458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119">
        <f t="shared" si="2"/>
        <v>6272.4231701694916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240</v>
      </c>
      <c r="I16" s="114">
        <f t="shared" si="3"/>
        <v>15819.400000000001</v>
      </c>
      <c r="J16" s="274">
        <f>SUM(J7:J15)</f>
        <v>1265.5519999999999</v>
      </c>
      <c r="K16" s="275">
        <f t="shared" si="3"/>
        <v>553.67900000000009</v>
      </c>
      <c r="L16" s="276">
        <f t="shared" si="3"/>
        <v>0</v>
      </c>
      <c r="M16" s="232">
        <f t="shared" si="3"/>
        <v>14000.169000000002</v>
      </c>
      <c r="N16" s="233">
        <f>SUM(N7:N15)</f>
        <v>2989.8305084745762</v>
      </c>
      <c r="O16" s="101">
        <f>SUM(O7:O15)</f>
        <v>84.94999754237287</v>
      </c>
      <c r="P16" s="234">
        <f>SUM(P7:P15)</f>
        <v>17074.94950601695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15819.400000000001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1265.5519999999999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553.67900000000009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14000.169000000002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2989.8305084745762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16989.999508474579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84.94999754237287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17074.94950601695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17074.94950601695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7.25" customHeight="1" x14ac:dyDescent="0.4">
      <c r="A6" s="383" t="s">
        <v>512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15819.400000000001</v>
      </c>
      <c r="J25" s="274">
        <f>SUM(J16:J24)</f>
        <v>1265.5519999999999</v>
      </c>
      <c r="K25" s="275">
        <f t="shared" si="10"/>
        <v>553.67900000000009</v>
      </c>
      <c r="L25" s="276">
        <f t="shared" si="10"/>
        <v>0</v>
      </c>
      <c r="M25" s="232">
        <f t="shared" si="10"/>
        <v>14000.169000000002</v>
      </c>
      <c r="N25" s="233">
        <f>SUM(N16:N24)</f>
        <v>2989.8305084745762</v>
      </c>
      <c r="O25" s="101">
        <f>SUM(O16:O24)</f>
        <v>84.94999754237287</v>
      </c>
      <c r="P25" s="234">
        <f>SUM(P16:P24)</f>
        <v>17074.94950601695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15819.400000000001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1265.5519999999999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553.67900000000009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14000.169000000002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2989.8305084745762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16989.999508474579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84.949997542372898</v>
      </c>
    </row>
    <row r="35" spans="2:16" ht="15.75" customHeight="1" thickBot="1" x14ac:dyDescent="0.4">
      <c r="N35" s="330" t="s">
        <v>88</v>
      </c>
      <c r="O35" s="331"/>
      <c r="P35" s="297">
        <f>+P33+P34</f>
        <v>17074.94950601695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8.75" customHeight="1" x14ac:dyDescent="0.4">
      <c r="A6" s="383" t="s">
        <v>500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8.75" customHeight="1" x14ac:dyDescent="0.4">
      <c r="A6" s="383" t="s">
        <v>504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46227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46226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46227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46226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2026-07-23T12:37:30Z</dcterms:modified>
</cp:coreProperties>
</file>