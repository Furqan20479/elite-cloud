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A5F5658-ED76-49F5-8678-0C311664329F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7" l="1"/>
  <c r="K21" i="17"/>
  <c r="K19" i="18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L20" i="17"/>
  <c r="M20" i="17" s="1"/>
  <c r="N20" i="17" s="1"/>
  <c r="O20" i="17" s="1"/>
  <c r="K18" i="21"/>
  <c r="L18" i="21"/>
  <c r="K17" i="20"/>
  <c r="M17" i="20" s="1"/>
  <c r="N17" i="20" s="1"/>
  <c r="O17" i="20" s="1"/>
  <c r="L17" i="20"/>
  <c r="K24" i="18"/>
  <c r="M24" i="18" s="1"/>
  <c r="K18" i="19"/>
  <c r="L19" i="17"/>
  <c r="M19" i="17" s="1"/>
  <c r="N19" i="17" s="1"/>
  <c r="O19" i="17" s="1"/>
  <c r="P19" i="17" s="1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L16" i="17"/>
  <c r="M16" i="17" s="1"/>
  <c r="K21" i="24"/>
  <c r="M21" i="24" s="1"/>
  <c r="N21" i="24" s="1"/>
  <c r="O21" i="24" s="1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I23" i="15"/>
  <c r="K25" i="25" l="1"/>
  <c r="P30" i="25" s="1"/>
  <c r="K20" i="16"/>
  <c r="L20" i="16"/>
  <c r="L20" i="15" s="1"/>
  <c r="L21" i="16"/>
  <c r="L21" i="15" s="1"/>
  <c r="K18" i="16"/>
  <c r="L18" i="16"/>
  <c r="L18" i="15" s="1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8" i="15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<sst xmlns="http://schemas.openxmlformats.org/spreadsheetml/2006/main" count="1581" uniqueCount="109">
  <si>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</si>
  <si>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</si>
  <si>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</si>
  <si>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</si>
  <si>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</si>
  <si>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</si>
  <si>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</si>
  <si>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</si>
  <si>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</si>
  <si>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</si>
  <si>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</si>
  <si>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</si>
  <si>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</si>
  <si>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</si>
  <si>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</si>
  <si>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</si>
  <si>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</si>
  <si>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</si>
  <si>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</si>
  <si>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</si>
  <si>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</si>
  <si>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</si>
  <si>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</si>
  <si>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</si>
  <si>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</si>
  <si>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</si>
  <si>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</si>
  <si>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</si>
  <si>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</si>
  <si>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</si>
  <si>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</si>
  <si>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</si>
  <si>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</si>
  <si>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</si>
  <si>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</si>
  <si>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</si>
  <si>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</si>
  <si>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</si>
  <si>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</si>
  <si>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</si>
  <si>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</si>
  <si>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</si>
  <si>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</si>
  <si>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</si>
  <si>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</si>
  <si>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</si>
  <si>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</si>
  <si>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</si>
  <si>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</si>
  <si>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</si>
  <si>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</si>
  <si>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</si>
  <si>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</si>
  <si>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</si>
  <si>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</si>
  <si>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</si>
  <si>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</si>
  <si>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</si>
  <si>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</si>
  <si>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</si>
  <si>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</si>
  <si>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</si>
  <si>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</si>
  <si>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</si>
  <si>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</si>
  <si>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</si>
  <si>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</si>
  <si>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</si>
  <si>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</si>
  <si>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</si>
  <si>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</si>
  <si>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</si>
  <si>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</si>
  <si>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</si>
  <si>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</si>
  <si>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</si>
  <si>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</si>
  <si>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</si>
  <si>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</si>
  <si>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</si>
  <si>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</si>
  <si>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</si>
  <si>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</si>
  <si>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</si>
  <si>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</si>
  <si>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</si>
  <si>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</si>
  <si>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</si>
  <si>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</si>
  <si>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</si>
  <si>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</si>
  <si>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</si>
  <si>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</si>
  <si>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</si>
  <si>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</si>
  <si>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</si>
  <si>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</si>
  <si>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</si>
  <si>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</si>
  <si>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</si>
  <si>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</si>
  <si>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</si>
  <si>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3344916-3</t>
  </si>
  <si>
    <t>Customer Name : Rainbow Cash &amp; Carry</t>
  </si>
  <si>
    <t>Address: Shadra</t>
  </si>
  <si>
    <t>Shop Bill Summary (Shahdra (Rainbow)</t>
  </si>
  <si>
    <t>Rainbow Shahdra</t>
  </si>
  <si>
    <t>\</t>
  </si>
  <si>
    <t>Address: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</si>
</sst>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 t="s">
        <v>107</v>
      </c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105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49856.113638360002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18004.114408500001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164</v>
      </c>
      <c r="I16" s="1">
        <f>(G16*D16)*F16+H16*F16</f>
        <v>8603.85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1204.539</v>
      </c>
      <c r="M16" s="105">
        <f>I16-K16-L16</f>
        <v>7252.4160000000002</v>
      </c>
      <c r="N16" s="100">
        <f>+'1'!N16+'2'!N16+'4'!N16+'3'!N16+'5'!N16+'6'!N16+'7'!N16+'8'!N16+'9'!N16+'10'!N16</f>
        <v>1343.2078799999999</v>
      </c>
      <c r="O16" s="100">
        <f>+'1'!O16+'2'!O16+'4'!O16+'3'!O16+'5'!O16+'6'!O16+'7'!O16+'8'!O16+'9'!O16+'10'!O16</f>
        <v>42.978119399999997</v>
      </c>
      <c r="P16" s="104">
        <f t="shared" ref="P16:P24" si="0">M16+N16+O16</f>
        <v>8638.6019993999998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244</v>
      </c>
      <c r="I17" s="1">
        <f t="shared" ref="I17:I23" si="1">(G17*D17)*F17+H17*F17</f>
        <v>12800.85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293.79000000000002</v>
      </c>
      <c r="L17" s="174">
        <f>+'1'!L17+'2'!L17+'4'!L17+'3'!L17+'5'!L17+'6'!L17+'7'!L17+'8'!L17+'9'!L17+'10'!L17</f>
        <v>1792.1190000000001</v>
      </c>
      <c r="M17" s="117">
        <f t="shared" ref="M17:M23" si="2">I17-K17-L17</f>
        <v>10714.940999999999</v>
      </c>
      <c r="N17" s="100">
        <f>+'1'!N17+'2'!N17+'4'!N17+'3'!N17+'5'!N17+'6'!N17+'7'!N17+'8'!N17+'9'!N17+'10'!N17</f>
        <v>1966.4623799999999</v>
      </c>
      <c r="O17" s="100">
        <f>+'1'!O17+'2'!O17+'4'!O17+'3'!O17+'5'!O17+'6'!O17+'7'!O17+'8'!O17+'9'!O17+'10'!O17</f>
        <v>63.407016900000002</v>
      </c>
      <c r="P17" s="119">
        <f t="shared" si="0"/>
        <v>12744.8103969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208</v>
      </c>
      <c r="I19" s="1">
        <f t="shared" si="1"/>
        <v>15109.12</v>
      </c>
      <c r="J19" s="171">
        <f>+'1'!J19+'2'!J19+'4'!J19+'3'!J19+'5'!J19+'6'!J19+'7'!J19+'8'!J19+'9'!J19+'10'!J19+'11'!J19+'12'!J19+'13'!J19+'14'!J19+'15'!J19+'16'!J19+'17'!J19+'18'!J19</f>
        <v>8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2115.2768000000001</v>
      </c>
      <c r="M19" s="117">
        <f t="shared" si="2"/>
        <v>12892.147200000001</v>
      </c>
      <c r="N19" s="100">
        <f>+'1'!N19+'2'!N19+'4'!N19+'3'!N19+'5'!N19+'6'!N19+'7'!N19+'8'!N19+'9'!N19+'10'!N19</f>
        <v>2425.1880959999999</v>
      </c>
      <c r="O19" s="100">
        <f>+'1'!O19+'2'!O19+'4'!O19+'3'!O19+'5'!O19+'6'!O19+'7'!O19+'8'!O19+'9'!O19+'10'!O19</f>
        <v>76.586676480000008</v>
      </c>
      <c r="P19" s="119">
        <f t="shared" si="0"/>
        <v>15393.92197248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1281.3696</v>
      </c>
      <c r="M20" s="117">
        <f t="shared" si="2"/>
        <v>7871.2703999999994</v>
      </c>
      <c r="N20" s="100">
        <f>+'1'!N20+'2'!N20+'4'!N20+'3'!N20+'5'!N20+'6'!N20+'7'!N20+'8'!N20+'9'!N20+'10'!N20</f>
        <v>1495.2798719999998</v>
      </c>
      <c r="O20" s="100">
        <f>+'1'!O20+'2'!O20+'4'!O20+'3'!O20+'5'!O20+'6'!O20+'7'!O20+'8'!O20+'9'!O20+'10'!O20</f>
        <v>46.832751359999996</v>
      </c>
      <c r="P20" s="119">
        <f t="shared" si="0"/>
        <v>9413.3830233599983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292</v>
      </c>
      <c r="I21" s="1">
        <f t="shared" si="1"/>
        <v>21210.880000000001</v>
      </c>
      <c r="J21" s="171">
        <f>+'1'!J21+'2'!J21+'4'!J21+'3'!J21+'5'!J21+'6'!J21+'7'!J21+'8'!J21+'9'!J21+'10'!J21+'11'!J21+'12'!J21+'13'!J21+'14'!J21+'15'!J21+'16'!J21+'17'!J21+'18'!J21</f>
        <v>12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2969.5232000000001</v>
      </c>
      <c r="M21" s="117">
        <f t="shared" si="2"/>
        <v>18139.660800000001</v>
      </c>
      <c r="N21" s="100">
        <f>+'1'!N21+'2'!N21+'4'!N21+'3'!N21+'5'!N21+'6'!N21+'7'!N21+'8'!N21+'9'!N21+'10'!N21</f>
        <v>3422.0413439999998</v>
      </c>
      <c r="O21" s="100">
        <f>+'1'!O21+'2'!O21+'4'!O21+'3'!O21+'5'!O21+'6'!O21+'7'!O21+'8'!O21+'9'!O21+'10'!O21</f>
        <v>107.80851071999999</v>
      </c>
      <c r="P21" s="119">
        <f t="shared" si="0"/>
        <v>21669.510654720001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25.85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1034</v>
      </c>
      <c r="I25" s="177">
        <f t="shared" si="3"/>
        <v>66877.34</v>
      </c>
      <c r="J25" s="176">
        <f t="shared" si="3"/>
        <v>34</v>
      </c>
      <c r="K25" s="177">
        <f t="shared" si="3"/>
        <v>644.07700000000011</v>
      </c>
      <c r="L25" s="178">
        <f t="shared" si="3"/>
        <v>9362.8276000000005</v>
      </c>
      <c r="M25" s="140">
        <f t="shared" si="3"/>
        <v>56870.435400000002</v>
      </c>
      <c r="N25" s="141">
        <f>SUM(N16:N24)</f>
        <v>10652.179571999999</v>
      </c>
      <c r="O25" s="142">
        <f>SUM(O16:O24)</f>
        <v>337.61307485999998</v>
      </c>
      <c r="P25" s="143">
        <f>SUM(P16:P24)</f>
        <v>67860.228046859993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67860.228046860007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66877.34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9362.8276000000005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644.07700000000011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56870.435399999995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10652.179571999999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67522.614971999996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1688.0653743</v>
      </c>
    </row>
    <row r="42" spans="1:21" ht="15.75" customHeight="1" thickBot="1" x14ac:dyDescent="0.4">
      <c r="N42" s="204" t="s">
        <v>92</v>
      </c>
      <c r="O42" s="205"/>
      <c r="P42" s="159">
        <f>P40+P41</f>
        <v>69210.680346299996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84</v>
      </c>
      <c r="I16" s="101">
        <f>(G16*D16)*F16+H16*F16</f>
        <v>4406.8499999999995</v>
      </c>
      <c r="J16" s="102">
        <v>4</v>
      </c>
      <c r="K16" s="103">
        <f>I16*$K$13</f>
        <v>0</v>
      </c>
      <c r="L16" s="104">
        <f>I16*14%</f>
        <v>616.95899999999995</v>
      </c>
      <c r="M16" s="105">
        <f>I16-K16-L16</f>
        <v>3789.8909999999996</v>
      </c>
      <c r="N16" s="105">
        <f t="shared" ref="N16:N24" si="0">(M16*$N$15)+(J16*F16)*$N$15</f>
        <v>719.95337999999992</v>
      </c>
      <c r="O16" s="106">
        <f t="shared" ref="O16:O24" si="1">(N16+M16)*$O$15</f>
        <v>22.549221899999999</v>
      </c>
      <c r="P16" s="104">
        <f t="shared" ref="P16:P24" si="2">M16+N16+O16</f>
        <v>4532.3936018999993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84</v>
      </c>
      <c r="I17" s="115">
        <f t="shared" ref="I17:I23" si="3">(G17*D17)*F17+H17*F17</f>
        <v>4406.8499999999995</v>
      </c>
      <c r="J17" s="116">
        <v>4</v>
      </c>
      <c r="K17" s="1">
        <f t="shared" ref="K17:K21" si="4">I17*$K$13</f>
        <v>0</v>
      </c>
      <c r="L17" s="104">
        <f t="shared" ref="L17:L21" si="5">I17*14%</f>
        <v>616.95899999999995</v>
      </c>
      <c r="M17" s="117">
        <f t="shared" ref="M17:M23" si="6">I17-K17-L17</f>
        <v>3789.8909999999996</v>
      </c>
      <c r="N17" s="117">
        <f t="shared" si="0"/>
        <v>719.95337999999992</v>
      </c>
      <c r="O17" s="118">
        <f t="shared" si="1"/>
        <v>22.549221899999999</v>
      </c>
      <c r="P17" s="119">
        <f t="shared" si="2"/>
        <v>4532.3936018999993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168</v>
      </c>
      <c r="I19" s="115">
        <f t="shared" si="3"/>
        <v>12203.52</v>
      </c>
      <c r="J19" s="116">
        <v>8</v>
      </c>
      <c r="K19" s="1">
        <f t="shared" si="4"/>
        <v>0</v>
      </c>
      <c r="L19" s="104">
        <f t="shared" si="5"/>
        <v>1708.4928000000002</v>
      </c>
      <c r="M19" s="117">
        <f t="shared" si="6"/>
        <v>10495.0272</v>
      </c>
      <c r="N19" s="117">
        <f t="shared" si="0"/>
        <v>1993.706496</v>
      </c>
      <c r="O19" s="118">
        <f t="shared" si="1"/>
        <v>62.443668480000007</v>
      </c>
      <c r="P19" s="119">
        <f t="shared" si="2"/>
        <v>12551.177364480001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126</v>
      </c>
      <c r="I20" s="115">
        <f t="shared" si="3"/>
        <v>9152.64</v>
      </c>
      <c r="J20" s="116">
        <v>6</v>
      </c>
      <c r="K20" s="1">
        <f t="shared" si="4"/>
        <v>0</v>
      </c>
      <c r="L20" s="104">
        <f t="shared" si="5"/>
        <v>1281.3696</v>
      </c>
      <c r="M20" s="117">
        <f t="shared" si="6"/>
        <v>7871.2703999999994</v>
      </c>
      <c r="N20" s="117">
        <f t="shared" si="0"/>
        <v>1495.2798719999998</v>
      </c>
      <c r="O20" s="118">
        <f t="shared" si="1"/>
        <v>46.832751359999996</v>
      </c>
      <c r="P20" s="119">
        <f t="shared" si="2"/>
        <v>9413.3830233599983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252</v>
      </c>
      <c r="I21" s="115">
        <f t="shared" si="3"/>
        <v>18305.28</v>
      </c>
      <c r="J21" s="116">
        <v>12</v>
      </c>
      <c r="K21" s="1">
        <f t="shared" si="4"/>
        <v>0</v>
      </c>
      <c r="L21" s="104">
        <f t="shared" si="5"/>
        <v>2562.7392</v>
      </c>
      <c r="M21" s="117">
        <f t="shared" si="6"/>
        <v>15742.540799999999</v>
      </c>
      <c r="N21" s="117">
        <f t="shared" si="0"/>
        <v>2990.5597439999997</v>
      </c>
      <c r="O21" s="118">
        <f t="shared" si="1"/>
        <v>93.665502719999992</v>
      </c>
      <c r="P21" s="119">
        <f t="shared" si="2"/>
        <v>18826.766046719997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714</v>
      </c>
      <c r="I25" s="136">
        <f t="shared" si="9"/>
        <v>48475.14</v>
      </c>
      <c r="J25" s="182">
        <f>SUM(J16:J21)</f>
        <v>34</v>
      </c>
      <c r="K25" s="138">
        <f t="shared" si="9"/>
        <v>0</v>
      </c>
      <c r="L25" s="139">
        <f t="shared" si="9"/>
        <v>6786.5195999999996</v>
      </c>
      <c r="M25" s="140">
        <f t="shared" si="9"/>
        <v>41688.6204</v>
      </c>
      <c r="N25" s="141">
        <f>SUM(N16:N24)</f>
        <v>7919.4528719999998</v>
      </c>
      <c r="O25" s="142">
        <f>SUM(O16:O24)</f>
        <v>248.04036636000001</v>
      </c>
      <c r="P25" s="143">
        <f>SUM(P16:P24)</f>
        <v>49856.113638359995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48475.14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6786.5195999999996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41688.6204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7919.4528719999998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49608.073272000001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248.04036636000001</v>
      </c>
    </row>
    <row r="35" spans="2:16" ht="15.75" customHeight="1" thickBot="1" x14ac:dyDescent="0.4">
      <c r="N35" s="204" t="s">
        <v>92</v>
      </c>
      <c r="O35" s="205"/>
      <c r="P35" s="159">
        <f>P33+P34</f>
        <v>49856.113638360002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21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108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>(N16+M16)*$O$15</f>
        <v>20.428897500000001</v>
      </c>
      <c r="P16" s="104">
        <f t="shared" ref="P16:P24" si="1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160</v>
      </c>
      <c r="I17" s="115">
        <f t="shared" ref="I17:I23" si="2">(G17*D17)*F17+H17*F17</f>
        <v>8394</v>
      </c>
      <c r="J17" s="116"/>
      <c r="K17" s="103">
        <f t="shared" ref="K17:K21" si="3">I17*3.5%</f>
        <v>293.79000000000002</v>
      </c>
      <c r="L17" s="104">
        <f t="shared" ref="L17:L21" si="4">I17*14%</f>
        <v>1175.1600000000001</v>
      </c>
      <c r="M17" s="117">
        <f t="shared" ref="M17:M23" si="5">I17-K17-L17</f>
        <v>6925.05</v>
      </c>
      <c r="N17" s="117">
        <f t="shared" si="0"/>
        <v>1246.509</v>
      </c>
      <c r="O17" s="118">
        <f t="shared" ref="O17:O24" si="6">(N17+M17)*$O$15</f>
        <v>40.857795000000003</v>
      </c>
      <c r="P17" s="119">
        <f t="shared" si="1"/>
        <v>8212.416795000001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03">
        <f t="shared" si="3"/>
        <v>101.69600000000001</v>
      </c>
      <c r="L19" s="104">
        <f t="shared" si="4"/>
        <v>406.78400000000005</v>
      </c>
      <c r="M19" s="117">
        <f t="shared" si="5"/>
        <v>2397.12</v>
      </c>
      <c r="N19" s="117">
        <f t="shared" si="0"/>
        <v>431.48159999999996</v>
      </c>
      <c r="O19" s="118">
        <f t="shared" si="6"/>
        <v>14.143008</v>
      </c>
      <c r="P19" s="119">
        <f t="shared" si="1"/>
        <v>2842.744608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03">
        <f t="shared" si="3"/>
        <v>101.69600000000001</v>
      </c>
      <c r="L21" s="104">
        <f t="shared" si="4"/>
        <v>406.78400000000005</v>
      </c>
      <c r="M21" s="117">
        <f t="shared" si="5"/>
        <v>2397.12</v>
      </c>
      <c r="N21" s="117">
        <f t="shared" si="0"/>
        <v>431.48159999999996</v>
      </c>
      <c r="O21" s="118">
        <f t="shared" si="6"/>
        <v>14.143008</v>
      </c>
      <c r="P21" s="119">
        <f t="shared" si="1"/>
        <v>2842.744608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320</v>
      </c>
      <c r="I25" s="136">
        <f t="shared" si="9"/>
        <v>18402.2</v>
      </c>
      <c r="J25" s="137"/>
      <c r="K25" s="138">
        <f t="shared" si="9"/>
        <v>644.07700000000011</v>
      </c>
      <c r="L25" s="139">
        <f t="shared" si="9"/>
        <v>2576.3080000000004</v>
      </c>
      <c r="M25" s="140">
        <f t="shared" si="9"/>
        <v>15181.814999999999</v>
      </c>
      <c r="N25" s="141">
        <f>SUM(N16:N24)</f>
        <v>2732.7267000000002</v>
      </c>
      <c r="O25" s="142">
        <f>SUM(O16:O24)</f>
        <v>89.57270849999999</v>
      </c>
      <c r="P25" s="143">
        <f>SUM(P16:P24)</f>
        <v>18004.114408500001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18402.2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2576.3080000000004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644.07700000000011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15181.815000000001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2732.7267000000002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17914.541700000002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89.572708500000005</v>
      </c>
    </row>
    <row r="35" spans="2:16" ht="15.75" customHeight="1" thickBot="1" x14ac:dyDescent="0.4">
      <c r="N35" s="204" t="s">
        <v>92</v>
      </c>
      <c r="O35" s="205"/>
      <c r="P35" s="159">
        <f>P33+P34</f>
        <v>18004.114408500001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46220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102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2026-07-18T05:28:24Z</dcterms:modified>
</cp:coreProperties>
</file>