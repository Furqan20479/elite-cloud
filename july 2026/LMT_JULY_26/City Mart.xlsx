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B4C7A4B-AFBA-40DE-BA6D-19872BBB223D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K20" i="16" s="1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<sst xmlns="http://schemas.openxmlformats.org/spreadsheetml/2006/main" count="1672" uniqueCount="123">
  <si>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</si>
  <si>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</si>
  <si>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</si>
  <si>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</si>
  <si>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</si>
  <si>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</si>
  <si>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</si>
  <si>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</si>
  <si>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</si>
  <si>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</si>
  <si>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</si>
  <si>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</si>
  <si>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</si>
  <si>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</si>
  <si>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</si>
  <si>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</si>
  <si>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</si>
  <si>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</si>
  <si>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</si>
  <si>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</si>
  <si>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</si>
  <si>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</si>
  <si>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</si>
  <si>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</si>
  <si>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</si>
  <si>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</si>
  <si>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</si>
  <si>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</si>
  <si>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</si>
  <si>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</si>
  <si>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</si>
  <si>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</si>
  <si>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</si>
  <si>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</si>
  <si>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</si>
  <si>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</si>
  <si>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</si>
  <si>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</si>
  <si>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</si>
  <si>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</si>
  <si>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</si>
  <si>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</si>
  <si>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</si>
  <si>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</si>
  <si>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</si>
  <si>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</si>
  <si>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</si>
  <si>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</si>
  <si>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</si>
  <si>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</si>
  <si>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</si>
  <si>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</si>
  <si>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</si>
  <si>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</si>
  <si>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</si>
  <si>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</si>
  <si>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</si>
  <si>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</si>
  <si>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</si>
  <si>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</si>
  <si>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</si>
  <si>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</si>
  <si>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</si>
  <si>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</si>
  <si>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</si>
  <si>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</si>
  <si>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</si>
  <si>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</si>
  <si>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</si>
  <si>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</si>
  <si>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</si>
  <si>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</si>
  <si>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</si>
  <si>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</si>
  <si>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</si>
  <si>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</si>
  <si>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</si>
  <si>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</si>
  <si>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</si>
  <si>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</si>
  <si>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</si>
  <si>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</si>
  <si>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</si>
  <si>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</si>
  <si>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</si>
  <si>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</si>
  <si>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</si>
  <si>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</si>
  <si>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</si>
  <si>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</si>
  <si>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</si>
  <si>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</si>
  <si>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</si>
  <si>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</si>
  <si>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</si>
  <si>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</si>
  <si>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</si>
  <si>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</si>
  <si>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</si>
  <si>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</si>
  <si>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</si>
  <si>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</si>
  <si>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</si>
  <si>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</si>
  <si>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</si>
  <si>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</si>
  <si>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</si>
  <si>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</si>
  <si>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</si>
  <si>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</si>
  <si>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</si>
  <si>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</si>
  <si>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</si>
  <si>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</si>
  <si>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</si>
  <si>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</si>
  <si>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</si>
  <si>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</si>
  <si>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City Mart</t>
  </si>
  <si>
    <t>Shop Bill Summary (City Mart)</t>
  </si>
  <si>
    <t>H2186594</t>
  </si>
  <si>
    <t>Customer Name : City Mart</t>
  </si>
  <si>
    <t>Address: JURY PULL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</si>
</sst>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22" sqref="K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102</v>
      </c>
    </row>
    <row r="15" spans="1:2" x14ac:dyDescent="0.35">
      <c r="A15">
        <v>10</v>
      </c>
      <c r="B15" t="s">
        <v>103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22" sqref="K22"/>
      <selection pane="topRight" activeCell="K22" sqref="K22"/>
      <selection pane="bottomLeft" activeCell="K22" sqref="K22"/>
      <selection pane="bottomRight" activeCell="K22" sqref="K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118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119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City Mart</v>
      </c>
      <c r="U14" s="164">
        <f>+'1'!P35</f>
        <v>15163.0015989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City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>Customer Name : City Mart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>Customer Name : City Mart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City Mart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232.44800000000001</v>
      </c>
      <c r="M19" s="118">
        <f t="shared" si="2"/>
        <v>2571.4560000000001</v>
      </c>
      <c r="N19" s="101">
        <f>+'1'!N19+'2'!N19+'4'!N19+'3'!N19+'5'!N19+'6'!N19+'7'!N19+'8'!N19+'9'!N19+'10'!N19</f>
        <v>462.86207999999999</v>
      </c>
      <c r="O19" s="101">
        <f>+'1'!O19+'2'!O19+'4'!O19+'3'!O19+'5'!O19+'6'!O19+'7'!O19+'8'!O19+'9'!O19+'10'!O19</f>
        <v>15.171590399999999</v>
      </c>
      <c r="P19" s="120">
        <f t="shared" si="0"/>
        <v>3049.4896703999998</v>
      </c>
      <c r="T19" s="163" t="str">
        <f>+'6'!A5</f>
        <v>Customer Name : City Mart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101.69600000000001</v>
      </c>
      <c r="L20" s="175">
        <f>+'1'!L20+'2'!L20+'4'!L20+'3'!L20+'5'!L20+'6'!L20+'7'!L20+'8'!L20+'9'!L20+'10'!L20</f>
        <v>232.44800000000001</v>
      </c>
      <c r="M20" s="118">
        <f t="shared" si="2"/>
        <v>2571.4560000000001</v>
      </c>
      <c r="N20" s="101">
        <f>+'1'!N20+'2'!N20+'4'!N20+'3'!N20+'5'!N20+'6'!N20+'7'!N20+'8'!N20+'9'!N20+'10'!N20</f>
        <v>462.86207999999999</v>
      </c>
      <c r="O20" s="101">
        <f>+'1'!O20+'2'!O20+'4'!O20+'3'!O20+'5'!O20+'6'!O20+'7'!O20+'8'!O20+'9'!O20+'10'!O20</f>
        <v>15.171590399999999</v>
      </c>
      <c r="P20" s="120">
        <f t="shared" si="0"/>
        <v>3049.4896703999998</v>
      </c>
      <c r="T20" s="163" t="str">
        <f>+'7'!A5</f>
        <v>Customer Name : City Mart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15.171590399999999</v>
      </c>
      <c r="P21" s="120">
        <f t="shared" si="0"/>
        <v>3049.4896703999998</v>
      </c>
      <c r="T21" s="163" t="str">
        <f>+'8'!A5</f>
        <v>Customer Name : City Mart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156.92000000000004</v>
      </c>
      <c r="M22" s="118">
        <f t="shared" si="2"/>
        <v>1357.3580000000002</v>
      </c>
      <c r="N22" s="101">
        <f>+'1'!N22+'2'!N22+'4'!N22+'3'!N22+'5'!N22+'6'!N22+'7'!N22+'8'!N22+'9'!N22+'10'!N22</f>
        <v>244.32444000000001</v>
      </c>
      <c r="O22" s="101">
        <f>+'1'!O22+'2'!O22+'4'!O22+'3'!O22+'5'!O22+'6'!O22+'7'!O22+'8'!O22+'9'!O22+'10'!O22</f>
        <v>8.0084122000000022</v>
      </c>
      <c r="P22" s="120">
        <f t="shared" si="0"/>
        <v>1609.6908522000003</v>
      </c>
      <c r="T22" s="163" t="str">
        <f>+'9'!A5</f>
        <v>Customer Name : City Mart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City Mart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City Mart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6</v>
      </c>
      <c r="D25" s="215"/>
      <c r="E25" s="215"/>
      <c r="F25" s="215"/>
      <c r="G25" s="176">
        <f t="shared" ref="G25:M25" si="3">SUM(G16:G24)</f>
        <v>0</v>
      </c>
      <c r="H25" s="177">
        <f t="shared" si="3"/>
        <v>240</v>
      </c>
      <c r="I25" s="178">
        <f t="shared" si="3"/>
        <v>14483.000000000002</v>
      </c>
      <c r="J25" s="177">
        <f t="shared" si="3"/>
        <v>0</v>
      </c>
      <c r="K25" s="178">
        <f t="shared" si="3"/>
        <v>506.90500000000009</v>
      </c>
      <c r="L25" s="179">
        <f t="shared" si="3"/>
        <v>1190.0240000000001</v>
      </c>
      <c r="M25" s="141">
        <f t="shared" si="3"/>
        <v>12786.071000000002</v>
      </c>
      <c r="N25" s="142">
        <f>SUM(N16:N24)</f>
        <v>2301.4927799999996</v>
      </c>
      <c r="O25" s="143">
        <f>SUM(O16:O24)</f>
        <v>75.437818899999996</v>
      </c>
      <c r="P25" s="144">
        <f>SUM(P16:P24)</f>
        <v>15163.001598900002</v>
      </c>
      <c r="T25" s="163" t="str">
        <f>+'12'!A5</f>
        <v>Customer Name : City Mart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City Mart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City Mart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City Mart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City Mart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City Mart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>Customer Name : City Mart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>Customer Name : City Mart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>Customer Name : City Mart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15163.0015989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14483.000000000002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1190.0240000000001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506.90500000000009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12786.071000000002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2301.4927799999996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15087.56378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377.18909450000001</v>
      </c>
    </row>
    <row r="43" spans="1:21" ht="15.75" customHeight="1" thickBot="1" x14ac:dyDescent="0.4">
      <c r="N43" s="213" t="s">
        <v>92</v>
      </c>
      <c r="O43" s="214"/>
      <c r="P43" s="160">
        <f>P41+P42</f>
        <v>15464.7528745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6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100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 t="s">
        <v>120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115</v>
      </c>
      <c r="T14" s="256"/>
      <c r="U14" s="256"/>
      <c r="V14" s="256"/>
      <c r="W14" s="257" t="s">
        <v>117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107</v>
      </c>
      <c r="T15" s="185" t="s">
        <v>108</v>
      </c>
      <c r="U15" s="185" t="s">
        <v>112</v>
      </c>
      <c r="V15" s="185" t="s">
        <v>113</v>
      </c>
      <c r="W15" s="186" t="s">
        <v>107</v>
      </c>
      <c r="X15" s="186" t="s">
        <v>108</v>
      </c>
      <c r="Y15" s="186" t="s">
        <v>112</v>
      </c>
      <c r="Z15" s="186" t="s">
        <v>113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3" t="s">
        <v>104</v>
      </c>
      <c r="T16" s="183">
        <v>1697</v>
      </c>
      <c r="U16" s="183" t="s">
        <v>109</v>
      </c>
      <c r="V16" s="183">
        <f>T16/40</f>
        <v>42.424999999999997</v>
      </c>
      <c r="W16" s="187" t="s">
        <v>104</v>
      </c>
      <c r="X16" s="187">
        <v>1664</v>
      </c>
      <c r="Y16" s="187" t="s">
        <v>109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1" si="5">I17*8%</f>
        <v>167.88</v>
      </c>
      <c r="M17" s="118">
        <f t="shared" ref="M17:M23" si="6">I17-K17-L17</f>
        <v>1857.1725000000001</v>
      </c>
      <c r="N17" s="118">
        <f t="shared" si="0"/>
        <v>334.29104999999998</v>
      </c>
      <c r="O17" s="119">
        <f t="shared" si="1"/>
        <v>10.95731775</v>
      </c>
      <c r="P17" s="120">
        <f t="shared" si="2"/>
        <v>2202.4208677500001</v>
      </c>
      <c r="S17" s="184" t="s">
        <v>106</v>
      </c>
      <c r="T17" s="183">
        <v>2322</v>
      </c>
      <c r="U17" s="183" t="s">
        <v>110</v>
      </c>
      <c r="V17" s="183">
        <f t="shared" ref="V17:V18" si="7">T17/40</f>
        <v>58.05</v>
      </c>
      <c r="W17" s="188" t="s">
        <v>106</v>
      </c>
      <c r="X17" s="187">
        <v>2277</v>
      </c>
      <c r="Y17" s="187" t="s">
        <v>110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105</v>
      </c>
      <c r="T18" s="183">
        <v>3216</v>
      </c>
      <c r="U18" s="183" t="s">
        <v>111</v>
      </c>
      <c r="V18" s="183">
        <f t="shared" si="7"/>
        <v>80.400000000000006</v>
      </c>
      <c r="W18" s="187" t="s">
        <v>105</v>
      </c>
      <c r="X18" s="187">
        <v>3153</v>
      </c>
      <c r="Y18" s="187" t="s">
        <v>111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8" t="s">
        <v>116</v>
      </c>
      <c r="T19" s="258"/>
      <c r="U19" s="258"/>
      <c r="V19" s="258"/>
      <c r="W19" s="259" t="s">
        <v>114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5" t="s">
        <v>107</v>
      </c>
      <c r="T20" s="185" t="s">
        <v>108</v>
      </c>
      <c r="U20" s="185" t="s">
        <v>112</v>
      </c>
      <c r="V20" s="185" t="s">
        <v>113</v>
      </c>
      <c r="W20" s="185" t="s">
        <v>107</v>
      </c>
      <c r="X20" s="185" t="s">
        <v>108</v>
      </c>
      <c r="Y20" s="185" t="s">
        <v>112</v>
      </c>
      <c r="Z20" s="185" t="s">
        <v>113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9" t="s">
        <v>104</v>
      </c>
      <c r="T21" s="189">
        <v>1610</v>
      </c>
      <c r="U21" s="189" t="s">
        <v>109</v>
      </c>
      <c r="V21" s="189">
        <f>T21/40</f>
        <v>40.25</v>
      </c>
      <c r="W21" s="191" t="s">
        <v>104</v>
      </c>
      <c r="X21" s="191">
        <v>1642</v>
      </c>
      <c r="Y21" s="191" t="s">
        <v>109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244.32444000000001</v>
      </c>
      <c r="O22" s="119">
        <f t="shared" si="1"/>
        <v>8.0084122000000022</v>
      </c>
      <c r="P22" s="120">
        <f t="shared" si="2"/>
        <v>1609.6908522000003</v>
      </c>
      <c r="S22" s="190" t="s">
        <v>106</v>
      </c>
      <c r="T22" s="189">
        <v>2202</v>
      </c>
      <c r="U22" s="189" t="s">
        <v>110</v>
      </c>
      <c r="V22" s="189">
        <f t="shared" ref="V22:V25" si="9">T22/40</f>
        <v>55.05</v>
      </c>
      <c r="W22" s="192" t="s">
        <v>106</v>
      </c>
      <c r="X22" s="191">
        <v>2246</v>
      </c>
      <c r="Y22" s="191" t="s">
        <v>110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105</v>
      </c>
      <c r="T23" s="189">
        <v>3216</v>
      </c>
      <c r="U23" s="189" t="s">
        <v>111</v>
      </c>
      <c r="V23" s="189">
        <f t="shared" si="9"/>
        <v>80.400000000000006</v>
      </c>
      <c r="W23" s="191" t="s">
        <v>105</v>
      </c>
      <c r="X23" s="191">
        <v>3216</v>
      </c>
      <c r="Y23" s="191" t="s">
        <v>110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105</v>
      </c>
      <c r="T24" s="189">
        <v>3216</v>
      </c>
      <c r="U24" s="189" t="s">
        <v>111</v>
      </c>
      <c r="V24" s="189">
        <f t="shared" si="9"/>
        <v>80.400000000000006</v>
      </c>
      <c r="W24" s="191"/>
      <c r="X24" s="191"/>
      <c r="Y24" s="191" t="s">
        <v>110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240</v>
      </c>
      <c r="I25" s="137">
        <f t="shared" si="13"/>
        <v>14483.000000000002</v>
      </c>
      <c r="J25" s="138"/>
      <c r="K25" s="139">
        <f t="shared" si="13"/>
        <v>506.90500000000009</v>
      </c>
      <c r="L25" s="140">
        <f t="shared" si="13"/>
        <v>1190.0240000000001</v>
      </c>
      <c r="M25" s="141">
        <f t="shared" si="13"/>
        <v>12786.071000000002</v>
      </c>
      <c r="N25" s="142">
        <f>SUM(N16:N24)</f>
        <v>2301.4927799999996</v>
      </c>
      <c r="O25" s="143">
        <f>SUM(O16:O24)</f>
        <v>75.437818899999996</v>
      </c>
      <c r="P25" s="144">
        <f>SUM(P16:P24)</f>
        <v>15163.001598900002</v>
      </c>
      <c r="S25" s="189" t="s">
        <v>105</v>
      </c>
      <c r="T25" s="189">
        <v>3216</v>
      </c>
      <c r="U25" s="189" t="s">
        <v>111</v>
      </c>
      <c r="V25" s="189">
        <f t="shared" si="9"/>
        <v>80.400000000000006</v>
      </c>
      <c r="W25" s="191" t="s">
        <v>105</v>
      </c>
      <c r="X25" s="191">
        <v>3110</v>
      </c>
      <c r="Y25" s="191" t="s">
        <v>111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14483.000000000002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1190.0240000000001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506.90500000000009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12786.071000000002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2301.4927799999996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15087.56378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75.437818900000011</v>
      </c>
    </row>
    <row r="35" spans="2:16" ht="15.75" customHeight="1" thickBot="1" x14ac:dyDescent="0.4">
      <c r="N35" s="213" t="s">
        <v>92</v>
      </c>
      <c r="O35" s="214"/>
      <c r="P35" s="160">
        <f>P33+P34</f>
        <v>15163.0015989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2026-07-02T09:34:17Z</dcterms:modified>
</cp:coreProperties>
</file>