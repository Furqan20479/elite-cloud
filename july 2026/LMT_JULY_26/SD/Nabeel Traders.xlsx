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DCA2A8C4-F446-45BB-9CF1-AB654C55835A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K17" i="16" l="1"/>
  <c r="K18" i="16"/>
  <c r="K19" i="16"/>
  <c r="K20" i="16"/>
  <c r="K21" i="16"/>
  <c r="K22" i="16"/>
  <c r="K16" i="16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8"/>
  <c r="L18" i="28"/>
  <c r="L19" i="28"/>
  <c r="L20" i="28"/>
  <c r="L21" i="28"/>
  <c r="L17" i="29"/>
  <c r="L18" i="29"/>
  <c r="L19" i="29"/>
  <c r="L20" i="29"/>
  <c r="L21" i="29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6" i="19"/>
  <c r="L16" i="18"/>
  <c r="L16" i="20"/>
  <c r="L16" i="21"/>
  <c r="L16" i="22"/>
  <c r="L16" i="23"/>
  <c r="L16" i="24"/>
  <c r="L16" i="25"/>
  <c r="L16" i="26"/>
  <c r="L16" i="27"/>
  <c r="L16" i="28"/>
  <c r="L16" i="29"/>
  <c r="L16" i="30"/>
  <c r="L16" i="31"/>
  <c r="L16" i="32"/>
  <c r="L16" i="33"/>
  <c r="L16" i="34"/>
  <c r="L16" i="35"/>
  <c r="J25" i="16" l="1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I25" i="35"/>
  <c r="P28" i="35" s="1"/>
  <c r="K16" i="35"/>
  <c r="K17" i="35"/>
  <c r="M17" i="35"/>
  <c r="K18" i="35"/>
  <c r="M18" i="35"/>
  <c r="K19" i="35"/>
  <c r="K20" i="35"/>
  <c r="K21" i="35"/>
  <c r="M21" i="35" s="1"/>
  <c r="K22" i="35"/>
  <c r="L22" i="35"/>
  <c r="M22" i="35"/>
  <c r="K23" i="35"/>
  <c r="L23" i="35"/>
  <c r="M23" i="35" s="1"/>
  <c r="K24" i="35"/>
  <c r="M24" i="35" s="1"/>
  <c r="L24" i="35"/>
  <c r="K17" i="34"/>
  <c r="K18" i="34"/>
  <c r="K19" i="34"/>
  <c r="K21" i="34"/>
  <c r="K22" i="34"/>
  <c r="L22" i="34"/>
  <c r="K23" i="34"/>
  <c r="M23" i="34"/>
  <c r="L23" i="34"/>
  <c r="K24" i="34"/>
  <c r="K21" i="33"/>
  <c r="K22" i="33"/>
  <c r="M22" i="33" s="1"/>
  <c r="L22" i="33"/>
  <c r="K19" i="33"/>
  <c r="K23" i="33"/>
  <c r="K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K17" i="32"/>
  <c r="K18" i="32"/>
  <c r="K19" i="32"/>
  <c r="K20" i="32"/>
  <c r="K21" i="32"/>
  <c r="K23" i="32"/>
  <c r="L23" i="32"/>
  <c r="M23" i="32" s="1"/>
  <c r="K22" i="32"/>
  <c r="L22" i="32"/>
  <c r="K17" i="31"/>
  <c r="M17" i="31"/>
  <c r="K21" i="31"/>
  <c r="K22" i="31"/>
  <c r="L22" i="31"/>
  <c r="M22" i="31" s="1"/>
  <c r="K24" i="31"/>
  <c r="L24" i="31"/>
  <c r="M24" i="31" s="1"/>
  <c r="K16" i="31"/>
  <c r="K18" i="31"/>
  <c r="K20" i="31"/>
  <c r="L23" i="31"/>
  <c r="K18" i="30"/>
  <c r="K20" i="30"/>
  <c r="K21" i="30"/>
  <c r="M21" i="30"/>
  <c r="K23" i="30"/>
  <c r="M23" i="30" s="1"/>
  <c r="L23" i="30"/>
  <c r="I25" i="30"/>
  <c r="P28" i="30" s="1"/>
  <c r="K16" i="30"/>
  <c r="K17" i="30"/>
  <c r="K19" i="30"/>
  <c r="K22" i="30"/>
  <c r="L22" i="30"/>
  <c r="K24" i="30"/>
  <c r="M24" i="30" s="1"/>
  <c r="L24" i="30"/>
  <c r="K16" i="29"/>
  <c r="K21" i="29"/>
  <c r="K24" i="29"/>
  <c r="M24" i="29"/>
  <c r="L24" i="29"/>
  <c r="K17" i="29"/>
  <c r="K20" i="29"/>
  <c r="K22" i="29"/>
  <c r="M22" i="29" s="1"/>
  <c r="L22" i="29"/>
  <c r="K18" i="29"/>
  <c r="K23" i="29"/>
  <c r="I25" i="28"/>
  <c r="P28" i="28" s="1"/>
  <c r="K16" i="28"/>
  <c r="K17" i="28"/>
  <c r="M17" i="28"/>
  <c r="K18" i="28"/>
  <c r="K19" i="28"/>
  <c r="K20" i="28"/>
  <c r="K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N19" i="34" s="1"/>
  <c r="O19" i="34" s="1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N19" i="35" s="1"/>
  <c r="O19" i="35" s="1"/>
  <c r="M19" i="31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K17" i="26"/>
  <c r="K19" i="26"/>
  <c r="L22" i="26"/>
  <c r="K23" i="26"/>
  <c r="L23" i="26"/>
  <c r="K20" i="26"/>
  <c r="K21" i="26"/>
  <c r="K24" i="26"/>
  <c r="L24" i="26"/>
  <c r="M24" i="26" s="1"/>
  <c r="K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H26" i="17" s="1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I20" i="24"/>
  <c r="K20" i="24" s="1"/>
  <c r="I21" i="24"/>
  <c r="I22" i="24"/>
  <c r="K22" i="24" s="1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K18" i="20" s="1"/>
  <c r="I20" i="20"/>
  <c r="I22" i="20"/>
  <c r="K22" i="20" s="1"/>
  <c r="I24" i="20"/>
  <c r="K24" i="20" s="1"/>
  <c r="I16" i="21"/>
  <c r="I18" i="21"/>
  <c r="K18" i="21" s="1"/>
  <c r="I20" i="21"/>
  <c r="K20" i="21" s="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K20" i="25"/>
  <c r="K16" i="25"/>
  <c r="K24" i="25"/>
  <c r="L22" i="25"/>
  <c r="K17" i="25"/>
  <c r="L23" i="25"/>
  <c r="K23" i="25"/>
  <c r="K17" i="24"/>
  <c r="K21" i="24"/>
  <c r="L23" i="24"/>
  <c r="K23" i="24"/>
  <c r="K17" i="23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0" i="17" l="1"/>
  <c r="L20" i="17"/>
  <c r="K19" i="17"/>
  <c r="L19" i="17"/>
  <c r="K18" i="17"/>
  <c r="L18" i="17"/>
  <c r="K17" i="17"/>
  <c r="L17" i="17"/>
  <c r="K16" i="17"/>
  <c r="L16" i="17"/>
  <c r="K23" i="19"/>
  <c r="M23" i="19" s="1"/>
  <c r="N23" i="19" s="1"/>
  <c r="O23" i="19" s="1"/>
  <c r="K19" i="19"/>
  <c r="L23" i="22"/>
  <c r="L25" i="22" s="1"/>
  <c r="P29" i="22" s="1"/>
  <c r="K19" i="25"/>
  <c r="L25" i="25"/>
  <c r="P29" i="25" s="1"/>
  <c r="K21" i="25"/>
  <c r="K16" i="24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K20" i="18"/>
  <c r="M20" i="18" s="1"/>
  <c r="N20" i="18" s="1"/>
  <c r="O20" i="18" s="1"/>
  <c r="M17" i="17"/>
  <c r="N17" i="17" s="1"/>
  <c r="O17" i="17" s="1"/>
  <c r="M19" i="20"/>
  <c r="N19" i="20" s="1"/>
  <c r="O19" i="20" s="1"/>
  <c r="K16" i="23"/>
  <c r="M16" i="23" s="1"/>
  <c r="N16" i="23" s="1"/>
  <c r="L24" i="24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M19" i="17"/>
  <c r="N19" i="17" s="1"/>
  <c r="O19" i="17" s="1"/>
  <c r="P19" i="17" s="1"/>
  <c r="M20" i="17"/>
  <c r="N20" i="17" s="1"/>
  <c r="O20" i="17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4" i="15"/>
  <c r="I16" i="16"/>
  <c r="I17" i="16"/>
  <c r="L17" i="16" s="1"/>
  <c r="I18" i="16"/>
  <c r="I19" i="16"/>
  <c r="L19" i="16" s="1"/>
  <c r="I20" i="16"/>
  <c r="I21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22" i="18"/>
  <c r="O22" i="18" s="1"/>
  <c r="M16" i="17"/>
  <c r="I23" i="15"/>
  <c r="L18" i="16" l="1"/>
  <c r="L18" i="15" s="1"/>
  <c r="K20" i="15"/>
  <c r="L20" i="16"/>
  <c r="L20" i="15" s="1"/>
  <c r="K16" i="15"/>
  <c r="L16" i="16"/>
  <c r="L16" i="15" s="1"/>
  <c r="L21" i="16"/>
  <c r="L21" i="15" s="1"/>
  <c r="M19" i="18"/>
  <c r="N19" i="18" s="1"/>
  <c r="O19" i="18" s="1"/>
  <c r="K18" i="15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5" i="21"/>
  <c r="P29" i="21" s="1"/>
  <c r="M22" i="23"/>
  <c r="N22" i="23" s="1"/>
  <c r="O22" i="23" s="1"/>
  <c r="M22" i="20"/>
  <c r="N22" i="20" s="1"/>
  <c r="O22" i="20" s="1"/>
  <c r="M25" i="24"/>
  <c r="K21" i="15"/>
  <c r="P16" i="26"/>
  <c r="P25" i="26" s="1"/>
  <c r="K25" i="23"/>
  <c r="P30" i="23" s="1"/>
  <c r="L19" i="15"/>
  <c r="P34" i="26"/>
  <c r="P35" i="26" s="1"/>
  <c r="U24" i="15" s="1"/>
  <c r="P31" i="22"/>
  <c r="K17" i="15"/>
  <c r="P23" i="22"/>
  <c r="M24" i="16"/>
  <c r="N24" i="16" s="1"/>
  <c r="K23" i="16"/>
  <c r="K19" i="15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6" l="1"/>
  <c r="N16" i="16" s="1"/>
  <c r="O16" i="16" s="1"/>
  <c r="M16" i="15"/>
  <c r="M18" i="15"/>
  <c r="M21" i="15"/>
  <c r="N16" i="18"/>
  <c r="N16" i="15" s="1"/>
  <c r="M18" i="16"/>
  <c r="N18" i="16" s="1"/>
  <c r="O18" i="16" s="1"/>
  <c r="O18" i="15" s="1"/>
  <c r="P31" i="21"/>
  <c r="P33" i="21" s="1"/>
  <c r="P34" i="21" s="1"/>
  <c r="P35" i="21" s="1"/>
  <c r="U19" i="15" s="1"/>
  <c r="M17" i="15"/>
  <c r="P31" i="17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8"/>
  <c r="O16" i="17"/>
  <c r="O25" i="17" s="1"/>
  <c r="N25" i="17"/>
  <c r="P32" i="17" s="1"/>
  <c r="N18" i="15" l="1"/>
  <c r="P18" i="15" s="1"/>
  <c r="N25" i="18"/>
  <c r="P32" i="18" s="1"/>
  <c r="P33" i="18" s="1"/>
  <c r="N20" i="15"/>
  <c r="P20" i="15" s="1"/>
  <c r="P33" i="17"/>
  <c r="P25" i="23"/>
  <c r="P24" i="16"/>
  <c r="N17" i="15"/>
  <c r="P17" i="15" s="1"/>
  <c r="P20" i="16"/>
  <c r="P17" i="16"/>
  <c r="N21" i="15"/>
  <c r="P21" i="15" s="1"/>
  <c r="P18" i="16"/>
  <c r="P21" i="16"/>
  <c r="P24" i="15"/>
  <c r="O16" i="15"/>
  <c r="P16" i="15" s="1"/>
  <c r="O19" i="16"/>
  <c r="N19" i="15"/>
  <c r="O23" i="16"/>
  <c r="O23" i="15" s="1"/>
  <c r="N23" i="15"/>
  <c r="P25" i="19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3" i="15" l="1"/>
  <c r="P23" i="16"/>
  <c r="P19" i="16"/>
  <c r="O19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19" i="15" l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  <c r="H25" i="16" l="1"/>
  <c r="H26" i="16" s="1"/>
  <c r="G25" i="16"/>
  <c r="I22" i="16" l="1"/>
  <c r="L22" i="16" s="1"/>
  <c r="H22" i="15"/>
  <c r="I22" i="15" l="1"/>
  <c r="I25" i="15" s="1"/>
  <c r="P32" i="15" s="1"/>
  <c r="H25" i="15"/>
  <c r="C25" i="15" s="1"/>
  <c r="I25" i="16"/>
  <c r="P28" i="16" s="1"/>
  <c r="M22" i="16"/>
  <c r="L22" i="15"/>
  <c r="L25" i="15" s="1"/>
  <c r="P33" i="15" s="1"/>
  <c r="L25" i="16"/>
  <c r="P29" i="16" s="1"/>
  <c r="K25" i="16" l="1"/>
  <c r="P30" i="16" s="1"/>
  <c r="P31" i="16" s="1"/>
  <c r="K22" i="15"/>
  <c r="M25" i="16"/>
  <c r="N22" i="16"/>
  <c r="K25" i="15" l="1"/>
  <c r="P34" i="15" s="1"/>
  <c r="P35" i="15" s="1"/>
  <c r="M22" i="15"/>
  <c r="M25" i="15" s="1"/>
  <c r="N22" i="15"/>
  <c r="N25" i="16"/>
  <c r="P32" i="16" s="1"/>
  <c r="P33" i="16" s="1"/>
  <c r="O22" i="16"/>
  <c r="O25" i="16" l="1"/>
  <c r="O22" i="15"/>
  <c r="O25" i="15" s="1"/>
  <c r="P22" i="16"/>
  <c r="P25" i="16" s="1"/>
  <c r="P34" i="16"/>
  <c r="P35" i="16" s="1"/>
  <c r="U14" i="15" s="1"/>
  <c r="U30" i="15" s="1"/>
  <c r="N25" i="15"/>
  <c r="P36" i="15" s="1"/>
  <c r="P37" i="15" s="1"/>
  <c r="P22" i="15" l="1"/>
  <c r="P25" i="15" s="1"/>
  <c r="P38" i="15"/>
  <c r="P39" i="15" s="1"/>
</calcChain>
</file>

<file path=xl/sharedStrings.xml><?xml version="1.0" encoding="utf-8"?>
<sst xmlns="http://schemas.openxmlformats.org/spreadsheetml/2006/main" count="1618" uniqueCount="108">
  <si>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</si>
  <si>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</si>
  <si>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</si>
  <si>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</si>
  <si>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</si>
  <si>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</si>
  <si>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</si>
  <si>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</si>
  <si>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</si>
  <si>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</si>
  <si>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</si>
  <si>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</si>
  <si>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</si>
  <si>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</si>
  <si>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</si>
  <si>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</si>
  <si>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</si>
  <si>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</si>
  <si>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</si>
  <si>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</si>
  <si>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</si>
  <si>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</si>
  <si>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</si>
  <si>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</si>
  <si>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</si>
  <si>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</si>
  <si>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</si>
  <si>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</si>
  <si>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</si>
  <si>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</si>
  <si>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</si>
  <si>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</si>
  <si>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</si>
  <si>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</si>
  <si>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</si>
  <si>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</si>
  <si>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</si>
  <si>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</si>
  <si>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</si>
  <si>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</si>
  <si>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</si>
  <si>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</si>
  <si>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</si>
  <si>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</si>
  <si>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</si>
  <si>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</si>
  <si>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</si>
  <si>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</si>
  <si>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</si>
  <si>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</si>
  <si>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</si>
  <si>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</si>
  <si>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</si>
  <si>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</si>
  <si>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</si>
  <si>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</si>
  <si>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</si>
  <si>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</si>
  <si>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</si>
  <si>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</si>
  <si>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</si>
  <si>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</si>
  <si>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</si>
  <si>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</si>
  <si>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</si>
  <si>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</si>
  <si>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</si>
  <si>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</si>
  <si>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</si>
  <si>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</si>
  <si>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</si>
  <si>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</si>
  <si>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</si>
  <si>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</si>
  <si>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</si>
  <si>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</si>
  <si>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</si>
  <si>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</si>
  <si>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</si>
  <si>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</si>
  <si>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</si>
  <si>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</si>
  <si>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</si>
  <si>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</si>
  <si>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</si>
  <si>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</si>
  <si>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</si>
  <si>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</si>
  <si>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</si>
  <si>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</si>
  <si>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</si>
  <si>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</si>
  <si>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</si>
  <si>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</si>
  <si>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</si>
  <si>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</si>
  <si>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</si>
  <si>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</si>
  <si>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</si>
  <si>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</si>
  <si>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</si>
  <si>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</si>
  <si>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Nabeel Traders </t>
  </si>
  <si>
    <t>Shop Bill Summary (Nabeel Traders)</t>
  </si>
  <si>
    <t xml:space="preserve">Customer Name : Nabeel Traders </t>
  </si>
  <si>
    <t>E378144-0</t>
  </si>
  <si>
    <t>327787628553-1</t>
  </si>
  <si>
    <t xml:space="preserve">Address: Mughal Pura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</si>
</sst>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9" fontId="13" fillId="0" borderId="45" xfId="0" applyNumberFormat="1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F10" sqref="F10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6" zoomScale="70" zoomScaleNormal="70" workbookViewId="0">
      <selection activeCell="S21" sqref="S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4.269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102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103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Nabeel Traders </v>
      </c>
      <c r="U14" s="164">
        <f>+'1'!P35</f>
        <v>740069.34453749994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Nabeel Traders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0</v>
      </c>
      <c r="I16" s="1">
        <f>(G16*D16)*F16+H16*F16</f>
        <v>0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2203.4250000000002</v>
      </c>
      <c r="L16" s="175">
        <f>+'1'!L16+'2'!L16+'4'!L16+'3'!L16+'5'!L16+'6'!L16+'7'!L16+'8'!L16+'9'!L16+'10'!L16</f>
        <v>10072.800000000001</v>
      </c>
      <c r="M16" s="106">
        <f>I16-K16-L16</f>
        <v>-12276.225000000002</v>
      </c>
      <c r="N16" s="101">
        <f>+'1'!N16+'2'!N16+'4'!N16+'3'!N16+'5'!N16+'6'!N16+'7'!N16+'8'!N16+'9'!N16+'10'!N16</f>
        <v>9122.1794999999984</v>
      </c>
      <c r="O16" s="101">
        <f>+'1'!O16+'2'!O16+'4'!O16+'3'!O16+'5'!O16+'6'!O16+'7'!O16+'8'!O16+'9'!O16+'10'!O16</f>
        <v>299.00477249999994</v>
      </c>
      <c r="P16" s="105">
        <f t="shared" ref="P16:P24" si="0">M16+N16+O16</f>
        <v>-2855.0407275000039</v>
      </c>
      <c r="Q16" s="108"/>
      <c r="T16" s="163" t="str">
        <f>+'4'!A5</f>
        <v xml:space="preserve">Customer Name : Nabeel Traders 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0</v>
      </c>
      <c r="I17" s="1">
        <f t="shared" ref="I17:I23" si="1">(G17*D17)*F17+H17*F17</f>
        <v>0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1468.95</v>
      </c>
      <c r="L17" s="175">
        <f>+'1'!L17+'2'!L17+'4'!L17+'3'!L17+'5'!L17+'6'!L17+'7'!L17+'8'!L17+'9'!L17+'10'!L17</f>
        <v>6715.2</v>
      </c>
      <c r="M17" s="118">
        <f t="shared" ref="M17:M23" si="2">I17-K17-L17</f>
        <v>-8184.15</v>
      </c>
      <c r="N17" s="101">
        <f>+'1'!N17+'2'!N17+'4'!N17+'3'!N17+'5'!N17+'6'!N17+'7'!N17+'8'!N17+'9'!N17+'10'!N17</f>
        <v>6081.4530000000004</v>
      </c>
      <c r="O17" s="101">
        <f>+'1'!O17+'2'!O17+'4'!O17+'3'!O17+'5'!O17+'6'!O17+'7'!O17+'8'!O17+'9'!O17+'10'!O17</f>
        <v>199.33651500000005</v>
      </c>
      <c r="P17" s="120">
        <f t="shared" si="0"/>
        <v>-1903.3604849999992</v>
      </c>
      <c r="S17" s="64"/>
      <c r="T17" s="163" t="str">
        <f>+'3'!A5</f>
        <v xml:space="preserve">Customer Name : Nabeel Traders 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Nabeel Traders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0</v>
      </c>
      <c r="I19" s="1">
        <f t="shared" si="1"/>
        <v>0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7118.72</v>
      </c>
      <c r="L19" s="175">
        <f>+'1'!L19+'2'!L19+'4'!L19+'3'!L19+'5'!L19+'6'!L19+'7'!L19+'8'!L19+'9'!L19+'10'!L19</f>
        <v>32542.720000000001</v>
      </c>
      <c r="M19" s="118">
        <f t="shared" si="2"/>
        <v>-39661.440000000002</v>
      </c>
      <c r="N19" s="101">
        <f>+'1'!N19+'2'!N19+'4'!N19+'3'!N19+'5'!N19+'6'!N19+'7'!N19+'8'!N19+'9'!N19+'10'!N19</f>
        <v>29471.500799999998</v>
      </c>
      <c r="O19" s="101">
        <f>+'1'!O19+'2'!O19+'4'!O19+'3'!O19+'5'!O19+'6'!O19+'7'!O19+'8'!O19+'9'!O19+'10'!O19</f>
        <v>966.01030400000002</v>
      </c>
      <c r="P19" s="120">
        <f t="shared" si="0"/>
        <v>-9223.9288960000049</v>
      </c>
      <c r="T19" s="163" t="str">
        <f>+'6'!A5</f>
        <v xml:space="preserve">Customer Name : Nabeel Traders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0</v>
      </c>
      <c r="I20" s="1">
        <f t="shared" si="1"/>
        <v>0</v>
      </c>
      <c r="J20" s="172">
        <f>+'1'!J20+'2'!J20+'4'!J20+'3'!J20+'5'!J20+'6'!J20+'7'!J20+'8'!J20+'9'!J20+'10'!J20+'11'!J20+'12'!J20+'13'!J20+'14'!J20+'15'!J20+'16'!J20+'17'!J20+'18'!J20</f>
        <v>0</v>
      </c>
      <c r="K20" s="172">
        <f>+'1'!K20+'2'!K20+'4'!K20+'3'!K20+'5'!K20+'6'!K20+'7'!K20+'8'!K20+'9'!K20+'10'!K20</f>
        <v>6101.76</v>
      </c>
      <c r="L20" s="175">
        <f>+'1'!L20+'2'!L20+'4'!L20+'3'!L20+'5'!L20+'6'!L20+'7'!L20+'8'!L20+'9'!L20+'10'!L20</f>
        <v>27893.760000000002</v>
      </c>
      <c r="M20" s="118">
        <f t="shared" si="2"/>
        <v>-33995.520000000004</v>
      </c>
      <c r="N20" s="101">
        <f>+'1'!N20+'2'!N20+'4'!N20+'3'!N20+'5'!N20+'6'!N20+'7'!N20+'8'!N20+'9'!N20+'10'!N20</f>
        <v>25261.286399999997</v>
      </c>
      <c r="O20" s="101">
        <f>+'1'!O20+'2'!O20+'4'!O20+'3'!O20+'5'!O20+'6'!O20+'7'!O20+'8'!O20+'9'!O20+'10'!O20</f>
        <v>828.00883199999987</v>
      </c>
      <c r="P20" s="120">
        <f t="shared" si="0"/>
        <v>-7906.2247680000073</v>
      </c>
      <c r="T20" s="163" t="str">
        <f>+'7'!A5</f>
        <v xml:space="preserve">Customer Name : Nabeel Traders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0</v>
      </c>
      <c r="I21" s="1">
        <f t="shared" si="1"/>
        <v>0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7118.72</v>
      </c>
      <c r="L21" s="175">
        <f>+'1'!L21+'2'!L21+'4'!L21+'3'!L21+'5'!L21+'6'!L21+'7'!L21+'8'!L21+'9'!L21+'10'!L21</f>
        <v>32542.720000000001</v>
      </c>
      <c r="M21" s="118">
        <f t="shared" si="2"/>
        <v>-39661.440000000002</v>
      </c>
      <c r="N21" s="101">
        <f>+'1'!N21+'2'!N21+'4'!N21+'3'!N21+'5'!N21+'6'!N21+'7'!N21+'8'!N21+'9'!N21+'10'!N21</f>
        <v>29471.500799999998</v>
      </c>
      <c r="O21" s="101">
        <f>+'1'!O21+'2'!O21+'4'!O21+'3'!O21+'5'!O21+'6'!O21+'7'!O21+'8'!O21+'9'!O21+'10'!O21</f>
        <v>966.01030400000002</v>
      </c>
      <c r="P21" s="120">
        <f t="shared" si="0"/>
        <v>-9223.9288960000049</v>
      </c>
      <c r="T21" s="163" t="str">
        <f>+'8'!A5</f>
        <v xml:space="preserve">Customer Name : Nabeel Traders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2746.1000000000008</v>
      </c>
      <c r="L22" s="175">
        <f>+'1'!L22+'2'!L22+'4'!L22+'3'!L22+'5'!L22+'6'!L22+'7'!L22+'8'!L22+'9'!L22+'10'!L22</f>
        <v>3923.0000000000009</v>
      </c>
      <c r="M22" s="118">
        <f t="shared" si="2"/>
        <v>-6669.1000000000022</v>
      </c>
      <c r="N22" s="101">
        <f>+'1'!N22+'2'!N22+'4'!N22+'3'!N22+'5'!N22+'6'!N22+'7'!N22+'8'!N22+'9'!N22+'10'!N22</f>
        <v>12922.362000000001</v>
      </c>
      <c r="O22" s="101">
        <f>+'1'!O22+'2'!O22+'4'!O22+'3'!O22+'5'!O22+'6'!O22+'7'!O22+'8'!O22+'9'!O22+'10'!O22</f>
        <v>423.5663100000001</v>
      </c>
      <c r="P22" s="120">
        <f t="shared" si="0"/>
        <v>6676.828309999999</v>
      </c>
      <c r="T22" s="163" t="str">
        <f>+'9'!A5</f>
        <v xml:space="preserve">Customer Name : Nabeel Traders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Nabeel Traders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Nabeel Traders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0</v>
      </c>
      <c r="D25" s="221"/>
      <c r="E25" s="221"/>
      <c r="F25" s="221"/>
      <c r="G25" s="176">
        <f t="shared" ref="G25:M25" si="3">SUM(G16:G24)</f>
        <v>0</v>
      </c>
      <c r="H25" s="177">
        <f t="shared" si="3"/>
        <v>0</v>
      </c>
      <c r="I25" s="178">
        <f t="shared" si="3"/>
        <v>0</v>
      </c>
      <c r="J25" s="177">
        <f t="shared" si="3"/>
        <v>0</v>
      </c>
      <c r="K25" s="178">
        <f t="shared" si="3"/>
        <v>26757.675000000007</v>
      </c>
      <c r="L25" s="179">
        <f t="shared" si="3"/>
        <v>113690.20000000001</v>
      </c>
      <c r="M25" s="141">
        <f t="shared" si="3"/>
        <v>-140447.87500000003</v>
      </c>
      <c r="N25" s="142">
        <f>SUM(N16:N24)</f>
        <v>112330.2825</v>
      </c>
      <c r="O25" s="143">
        <f>SUM(O16:O24)</f>
        <v>3681.9370374999999</v>
      </c>
      <c r="P25" s="144">
        <f>SUM(P16:P24)</f>
        <v>-24435.655462500021</v>
      </c>
      <c r="T25" s="163" t="str">
        <f>+'12'!A5</f>
        <v xml:space="preserve">Customer Name : Nabeel Traders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Nabeel Traders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Nabeel Traders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Nabeel Traders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740069.34453749994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113690.20000000001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26757.675000000007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-140447.87500000003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112330.2825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-28117.592500000028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-702.9398125000007</v>
      </c>
    </row>
    <row r="39" spans="2:16" ht="15.75" customHeight="1" thickBot="1" x14ac:dyDescent="0.4">
      <c r="N39" s="219" t="s">
        <v>92</v>
      </c>
      <c r="O39" s="220"/>
      <c r="P39" s="160">
        <f>P37+P38</f>
        <v>-28820.532312500029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4" workbookViewId="0">
      <selection activeCell="I12" sqref="I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10.81640625" bestFit="1" customWidth="1"/>
    <col min="12" max="12" width="9.36328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100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253">
        <v>0.16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>
        <v>30</v>
      </c>
      <c r="H16" s="101"/>
      <c r="I16" s="102">
        <f>(G16*D16)*F16+H16*F16</f>
        <v>62955</v>
      </c>
      <c r="J16" s="103"/>
      <c r="K16" s="104">
        <f>I16*3.5%</f>
        <v>2203.4250000000002</v>
      </c>
      <c r="L16" s="105">
        <f>I16*16%</f>
        <v>10072.800000000001</v>
      </c>
      <c r="M16" s="106">
        <f>I16-K16-L16</f>
        <v>50678.774999999994</v>
      </c>
      <c r="N16" s="106">
        <f t="shared" ref="N16:N24" si="0">(M16*$N$15)+(J16*F16)*$N$15</f>
        <v>9122.1794999999984</v>
      </c>
      <c r="O16" s="107">
        <f t="shared" ref="O16:O24" si="1">(N16+M16)*$O$15</f>
        <v>299.00477249999994</v>
      </c>
      <c r="P16" s="105">
        <f t="shared" ref="P16:P24" si="2">M16+N16+O16</f>
        <v>60099.959272499989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00">
        <v>20</v>
      </c>
      <c r="H17" s="101"/>
      <c r="I17" s="116">
        <f t="shared" ref="I17:I23" si="3">(G17*D17)*F17+H17*F17</f>
        <v>41970</v>
      </c>
      <c r="J17" s="103"/>
      <c r="K17" s="104">
        <f t="shared" ref="K17:K22" si="4">I17*3.5%</f>
        <v>1468.95</v>
      </c>
      <c r="L17" s="105">
        <f t="shared" ref="L17:L21" si="5">I17*16%</f>
        <v>6715.2</v>
      </c>
      <c r="M17" s="118">
        <f t="shared" ref="M17:M23" si="6">I17-K17-L17</f>
        <v>33785.850000000006</v>
      </c>
      <c r="N17" s="118">
        <f t="shared" si="0"/>
        <v>6081.4530000000004</v>
      </c>
      <c r="O17" s="119">
        <f t="shared" si="1"/>
        <v>199.33651500000005</v>
      </c>
      <c r="P17" s="120">
        <f t="shared" si="2"/>
        <v>40066.63951500001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00"/>
      <c r="H18" s="101"/>
      <c r="I18" s="116">
        <f t="shared" si="3"/>
        <v>0</v>
      </c>
      <c r="J18" s="103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00">
        <v>70</v>
      </c>
      <c r="H19" s="101"/>
      <c r="I19" s="116">
        <f t="shared" si="3"/>
        <v>203392</v>
      </c>
      <c r="J19" s="103"/>
      <c r="K19" s="104">
        <f t="shared" si="4"/>
        <v>7118.72</v>
      </c>
      <c r="L19" s="105">
        <f t="shared" si="5"/>
        <v>32542.720000000001</v>
      </c>
      <c r="M19" s="118">
        <f t="shared" si="6"/>
        <v>163730.56</v>
      </c>
      <c r="N19" s="118">
        <f t="shared" si="0"/>
        <v>29471.500799999998</v>
      </c>
      <c r="O19" s="119">
        <f t="shared" si="1"/>
        <v>966.01030400000002</v>
      </c>
      <c r="P19" s="120">
        <f t="shared" si="2"/>
        <v>194168.071104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00">
        <v>60</v>
      </c>
      <c r="H20" s="101"/>
      <c r="I20" s="116">
        <f t="shared" si="3"/>
        <v>174336</v>
      </c>
      <c r="J20" s="103"/>
      <c r="K20" s="104">
        <f t="shared" si="4"/>
        <v>6101.76</v>
      </c>
      <c r="L20" s="105">
        <f t="shared" si="5"/>
        <v>27893.760000000002</v>
      </c>
      <c r="M20" s="118">
        <f t="shared" si="6"/>
        <v>140340.47999999998</v>
      </c>
      <c r="N20" s="118">
        <f t="shared" si="0"/>
        <v>25261.286399999997</v>
      </c>
      <c r="O20" s="119">
        <f t="shared" si="1"/>
        <v>828.00883199999987</v>
      </c>
      <c r="P20" s="120">
        <f t="shared" si="2"/>
        <v>166429.77523199996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00">
        <v>70</v>
      </c>
      <c r="H21" s="101"/>
      <c r="I21" s="116">
        <f t="shared" si="3"/>
        <v>203392</v>
      </c>
      <c r="J21" s="103"/>
      <c r="K21" s="104">
        <f t="shared" si="4"/>
        <v>7118.72</v>
      </c>
      <c r="L21" s="105">
        <f t="shared" si="5"/>
        <v>32542.720000000001</v>
      </c>
      <c r="M21" s="118">
        <f t="shared" si="6"/>
        <v>163730.56</v>
      </c>
      <c r="N21" s="118">
        <f t="shared" si="0"/>
        <v>29471.500799999998</v>
      </c>
      <c r="O21" s="119">
        <f t="shared" si="1"/>
        <v>966.01030400000002</v>
      </c>
      <c r="P21" s="120">
        <f t="shared" si="2"/>
        <v>194168.071104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00">
        <v>50</v>
      </c>
      <c r="H22" s="101"/>
      <c r="I22" s="116">
        <f t="shared" si="3"/>
        <v>78460.000000000015</v>
      </c>
      <c r="J22" s="117"/>
      <c r="K22" s="104">
        <f t="shared" si="4"/>
        <v>2746.1000000000008</v>
      </c>
      <c r="L22" s="120">
        <f>I22*5%</f>
        <v>3923.0000000000009</v>
      </c>
      <c r="M22" s="118">
        <f t="shared" si="6"/>
        <v>71790.900000000009</v>
      </c>
      <c r="N22" s="118">
        <f t="shared" si="0"/>
        <v>12922.362000000001</v>
      </c>
      <c r="O22" s="119">
        <f t="shared" si="1"/>
        <v>423.5663100000001</v>
      </c>
      <c r="P22" s="120">
        <f t="shared" si="2"/>
        <v>85136.828310000012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300</v>
      </c>
      <c r="H25" s="136">
        <f t="shared" si="9"/>
        <v>0</v>
      </c>
      <c r="I25" s="137">
        <f t="shared" si="9"/>
        <v>764505</v>
      </c>
      <c r="J25" s="138">
        <f>SUM(J16:J21)</f>
        <v>0</v>
      </c>
      <c r="K25" s="139">
        <f t="shared" si="9"/>
        <v>26757.675000000007</v>
      </c>
      <c r="L25" s="140">
        <f t="shared" si="9"/>
        <v>113690.20000000001</v>
      </c>
      <c r="M25" s="141">
        <f t="shared" si="9"/>
        <v>624057.125</v>
      </c>
      <c r="N25" s="142">
        <f>SUM(N16:N24)</f>
        <v>112330.2825</v>
      </c>
      <c r="O25" s="143">
        <f>SUM(O16:O24)</f>
        <v>3681.9370374999999</v>
      </c>
      <c r="P25" s="144">
        <f>SUM(P16:P24)</f>
        <v>740069.34453749994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0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764505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113690.20000000001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26757.675000000007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624057.125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112330.2825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736387.40749999997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3681.9370374999999</v>
      </c>
    </row>
    <row r="35" spans="2:16" ht="15.75" customHeight="1" thickBot="1" x14ac:dyDescent="0.4">
      <c r="N35" s="219" t="s">
        <v>92</v>
      </c>
      <c r="O35" s="220"/>
      <c r="P35" s="160">
        <f>P33+P34</f>
        <v>740069.34453749994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8.36328125" bestFit="1" customWidth="1"/>
    <col min="13" max="13" width="6.81640625" bestFit="1" customWidth="1"/>
    <col min="14" max="14" width="5.81640625" style="69" bestFit="1" customWidth="1"/>
    <col min="15" max="15" width="7.36328125" bestFit="1" customWidth="1"/>
    <col min="16" max="16" width="9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0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B21" sqref="B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46204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46203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106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I16*16%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I17*16%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2026-07-01T11:00:53Z</dcterms:modified>
</cp:coreProperties>
</file>