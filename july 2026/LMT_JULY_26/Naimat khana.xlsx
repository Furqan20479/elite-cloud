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C547546-A485-4E47-B48B-8E6B41CD8B1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33" l="1"/>
  <c r="K17" i="33" s="1"/>
  <c r="I24" i="33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I23" i="35"/>
  <c r="I24" i="35"/>
  <c r="I16" i="31"/>
  <c r="K16" i="31" s="1"/>
  <c r="I17" i="31"/>
  <c r="I18" i="31"/>
  <c r="K18" i="31" s="1"/>
  <c r="I19" i="31"/>
  <c r="K19" i="31" s="1"/>
  <c r="I20" i="31"/>
  <c r="K20" i="31" s="1"/>
  <c r="I21" i="31"/>
  <c r="I22" i="31"/>
  <c r="K22" i="31" s="1"/>
  <c r="I23" i="31"/>
  <c r="K23" i="31" s="1"/>
  <c r="I24" i="31"/>
  <c r="L24" i="31" s="1"/>
  <c r="M24" i="31" s="1"/>
  <c r="I23" i="32"/>
  <c r="I22" i="33"/>
  <c r="I16" i="34"/>
  <c r="I17" i="34"/>
  <c r="L17" i="34" s="1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L20" i="29" s="1"/>
  <c r="I21" i="29"/>
  <c r="I22" i="29"/>
  <c r="L22" i="29" s="1"/>
  <c r="I23" i="29"/>
  <c r="L23" i="29" s="1"/>
  <c r="I24" i="29"/>
  <c r="L24" i="29" s="1"/>
  <c r="I24" i="32"/>
  <c r="I19" i="33"/>
  <c r="L19" i="33" s="1"/>
  <c r="I23" i="33"/>
  <c r="L23" i="33" s="1"/>
  <c r="L17" i="33"/>
  <c r="M17" i="33" s="1"/>
  <c r="L18" i="33"/>
  <c r="M18" i="33" s="1"/>
  <c r="L16" i="35"/>
  <c r="L19" i="35"/>
  <c r="L20" i="35"/>
  <c r="K22" i="35"/>
  <c r="L22" i="35"/>
  <c r="K23" i="35"/>
  <c r="L23" i="35"/>
  <c r="M23" i="35" s="1"/>
  <c r="K24" i="35"/>
  <c r="L24" i="35"/>
  <c r="L16" i="34"/>
  <c r="K18" i="34"/>
  <c r="K22" i="34"/>
  <c r="L22" i="34"/>
  <c r="K23" i="34"/>
  <c r="M23" i="34"/>
  <c r="L23" i="34"/>
  <c r="K24" i="34"/>
  <c r="K21" i="33"/>
  <c r="L21" i="33"/>
  <c r="K22" i="33"/>
  <c r="L22" i="33"/>
  <c r="K23" i="33"/>
  <c r="K20" i="33"/>
  <c r="L20" i="33"/>
  <c r="K24" i="33"/>
  <c r="L24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K21" i="31"/>
  <c r="L21" i="31"/>
  <c r="K24" i="31"/>
  <c r="L18" i="31"/>
  <c r="L23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L16" i="29"/>
  <c r="K21" i="29"/>
  <c r="L21" i="29"/>
  <c r="K22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0" i="29"/>
  <c r="L19" i="31"/>
  <c r="L18" i="29"/>
  <c r="L18" i="35"/>
  <c r="M18" i="35" s="1"/>
  <c r="N18" i="35" s="1"/>
  <c r="O18" i="35" s="1"/>
  <c r="K17" i="34"/>
  <c r="K19" i="33"/>
  <c r="L17" i="29"/>
  <c r="M17" i="28"/>
  <c r="K24" i="29"/>
  <c r="M24" i="29" s="1"/>
  <c r="L16" i="31"/>
  <c r="M24" i="33"/>
  <c r="K21" i="34"/>
  <c r="M21" i="34" s="1"/>
  <c r="N21" i="34" s="1"/>
  <c r="O21" i="34" s="1"/>
  <c r="L21" i="35"/>
  <c r="M21" i="35" s="1"/>
  <c r="N21" i="35" s="1"/>
  <c r="O21" i="35" s="1"/>
  <c r="L17" i="35"/>
  <c r="M17" i="35" s="1"/>
  <c r="N17" i="35" s="1"/>
  <c r="O17" i="35" s="1"/>
  <c r="M24" i="34"/>
  <c r="I16" i="27"/>
  <c r="I17" i="27"/>
  <c r="K17" i="27" s="1"/>
  <c r="I18" i="27"/>
  <c r="L18" i="27" s="1"/>
  <c r="I19" i="27"/>
  <c r="I20" i="27"/>
  <c r="K20" i="27" s="1"/>
  <c r="I22" i="27"/>
  <c r="I23" i="27"/>
  <c r="I24" i="27"/>
  <c r="L20" i="31"/>
  <c r="M20" i="31" s="1"/>
  <c r="N20" i="31" s="1"/>
  <c r="O20" i="31" s="1"/>
  <c r="I25" i="35"/>
  <c r="P28" i="35" s="1"/>
  <c r="M24" i="30"/>
  <c r="M21" i="30"/>
  <c r="N21" i="30" s="1"/>
  <c r="O21" i="30" s="1"/>
  <c r="M24" i="35"/>
  <c r="M22" i="33"/>
  <c r="L22" i="31"/>
  <c r="M22" i="31" s="1"/>
  <c r="N22" i="31" s="1"/>
  <c r="O22" i="31" s="1"/>
  <c r="P22" i="31" s="1"/>
  <c r="L20" i="34"/>
  <c r="L25" i="34" s="1"/>
  <c r="P29" i="34" s="1"/>
  <c r="K19" i="34"/>
  <c r="M19" i="34" s="1"/>
  <c r="N19" i="34" s="1"/>
  <c r="O19" i="34" s="1"/>
  <c r="I25" i="34"/>
  <c r="P28" i="34" s="1"/>
  <c r="M17" i="31"/>
  <c r="M22" i="29"/>
  <c r="N22" i="29" s="1"/>
  <c r="O22" i="29" s="1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L20" i="26" s="1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M21" i="29"/>
  <c r="N21" i="29" s="1"/>
  <c r="O21" i="29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K25" i="35"/>
  <c r="P30" i="35" s="1"/>
  <c r="N23" i="35"/>
  <c r="O23" i="35" s="1"/>
  <c r="M16" i="35"/>
  <c r="N24" i="34"/>
  <c r="O24" i="34" s="1"/>
  <c r="P24" i="34"/>
  <c r="N23" i="34"/>
  <c r="O23" i="34" s="1"/>
  <c r="P23" i="34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3" i="29"/>
  <c r="O23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L17" i="27"/>
  <c r="K21" i="27"/>
  <c r="L21" i="27"/>
  <c r="K22" i="27"/>
  <c r="L22" i="27"/>
  <c r="K23" i="27"/>
  <c r="L23" i="27"/>
  <c r="K24" i="27"/>
  <c r="L24" i="27"/>
  <c r="K19" i="27"/>
  <c r="L19" i="27"/>
  <c r="K18" i="27"/>
  <c r="L17" i="26"/>
  <c r="K20" i="26"/>
  <c r="K21" i="26"/>
  <c r="L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20" i="27" l="1"/>
  <c r="L25" i="31"/>
  <c r="P29" i="31" s="1"/>
  <c r="P31" i="31" s="1"/>
  <c r="L19" i="26"/>
  <c r="L25" i="35"/>
  <c r="P29" i="35" s="1"/>
  <c r="P31" i="35" s="1"/>
  <c r="M20" i="34"/>
  <c r="N20" i="34" s="1"/>
  <c r="O20" i="34" s="1"/>
  <c r="I25" i="27"/>
  <c r="P28" i="27" s="1"/>
  <c r="L16" i="26"/>
  <c r="L16" i="27"/>
  <c r="K16" i="27"/>
  <c r="L23" i="26"/>
  <c r="L18" i="26"/>
  <c r="L25" i="26" s="1"/>
  <c r="P29" i="26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I16" i="25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L22" i="25"/>
  <c r="K17" i="25"/>
  <c r="L23" i="25"/>
  <c r="K23" i="25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4" l="1"/>
  <c r="K18" i="19"/>
  <c r="K17" i="23"/>
  <c r="K24" i="18"/>
  <c r="M24" i="18" s="1"/>
  <c r="L24" i="20"/>
  <c r="K24" i="25"/>
  <c r="K21" i="18"/>
  <c r="M21" i="18" s="1"/>
  <c r="N21" i="18" s="1"/>
  <c r="O21" i="18" s="1"/>
  <c r="I25" i="25"/>
  <c r="P28" i="25" s="1"/>
  <c r="L18" i="25"/>
  <c r="K17" i="24"/>
  <c r="K22" i="18"/>
  <c r="M22" i="18" s="1"/>
  <c r="N22" i="18" s="1"/>
  <c r="O22" i="18" s="1"/>
  <c r="L22" i="19"/>
  <c r="M22" i="19" s="1"/>
  <c r="N22" i="19" s="1"/>
  <c r="O22" i="19" s="1"/>
  <c r="P22" i="19" s="1"/>
  <c r="L18" i="17"/>
  <c r="M18" i="17" s="1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L19" i="25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19"/>
  <c r="L25" i="19"/>
  <c r="P29" i="19" s="1"/>
  <c r="N24" i="18"/>
  <c r="O24" i="18" s="1"/>
  <c r="M16" i="17"/>
  <c r="I23" i="15"/>
  <c r="K25" i="25" l="1"/>
  <c r="P30" i="25" s="1"/>
  <c r="L25" i="25"/>
  <c r="P29" i="25" s="1"/>
  <c r="K25" i="24"/>
  <c r="P30" i="24" s="1"/>
  <c r="M21" i="25"/>
  <c r="N21" i="25" s="1"/>
  <c r="O21" i="25" s="1"/>
  <c r="P21" i="25" s="1"/>
  <c r="L21" i="15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5" i="20"/>
  <c r="M25" i="18"/>
  <c r="P19" i="18"/>
  <c r="M25" i="19"/>
  <c r="P31" i="24"/>
  <c r="P33" i="24" s="1"/>
  <c r="P34" i="24" s="1"/>
  <c r="P35" i="24" s="1"/>
  <c r="U22" i="15" s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33" i="20"/>
  <c r="P34" i="20" s="1"/>
  <c r="P35" i="20" s="1"/>
  <c r="U18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<sst xmlns="http://schemas.openxmlformats.org/spreadsheetml/2006/main" count="1579" uniqueCount="106">
  <si>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</si>
  <si>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</si>
  <si>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</si>
  <si>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</si>
  <si>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</si>
  <si>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</si>
  <si>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</si>
  <si>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</si>
  <si>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</si>
  <si>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</si>
  <si>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</si>
  <si>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</si>
  <si>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</si>
  <si>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</si>
  <si>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</si>
  <si>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</si>
  <si>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</si>
  <si>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</si>
  <si>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</si>
  <si>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</si>
  <si>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</si>
  <si>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</si>
  <si>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</si>
  <si>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</si>
  <si>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</si>
  <si>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</si>
  <si>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</si>
  <si>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</si>
  <si>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</si>
  <si>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</si>
  <si>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</si>
  <si>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</si>
  <si>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</si>
  <si>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</si>
  <si>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</si>
  <si>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</si>
  <si>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</si>
  <si>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</si>
  <si>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</si>
  <si>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</si>
  <si>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</si>
  <si>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</si>
  <si>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</si>
  <si>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</si>
  <si>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</si>
  <si>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</si>
  <si>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</si>
  <si>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</si>
  <si>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</si>
  <si>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</si>
  <si>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</si>
  <si>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</si>
  <si>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</si>
  <si>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</si>
  <si>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</si>
  <si>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</si>
  <si>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</si>
  <si>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</si>
  <si>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</si>
  <si>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</si>
  <si>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</si>
  <si>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</si>
  <si>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</si>
  <si>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</si>
  <si>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</si>
  <si>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</si>
  <si>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</si>
  <si>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</si>
  <si>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</si>
  <si>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</si>
  <si>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</si>
  <si>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</si>
  <si>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</si>
  <si>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</si>
  <si>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</si>
  <si>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</si>
  <si>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</si>
  <si>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</si>
  <si>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</si>
  <si>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</si>
  <si>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</si>
  <si>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</si>
  <si>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</si>
  <si>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</si>
  <si>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</si>
  <si>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</si>
  <si>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</si>
  <si>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</si>
  <si>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</si>
  <si>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</si>
  <si>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</si>
  <si>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</si>
  <si>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</si>
  <si>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</si>
  <si>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</si>
  <si>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</si>
  <si>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</si>
  <si>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</si>
  <si>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</si>
  <si>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</si>
  <si>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</si>
  <si>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</si>
  <si>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</si>
  <si>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Naimat Khana </t>
  </si>
  <si>
    <t xml:space="preserve">Customer Name : Naimat Khana </t>
  </si>
  <si>
    <t>Address: Mughal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</si>
</sst>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P16" sqref="P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P16" sqref="P16"/>
      <selection pane="topRight" activeCell="P16" sqref="P16"/>
      <selection pane="bottomLeft" activeCell="P16" sqref="P16"/>
      <selection pane="bottomRight" activeCell="P16" sqref="P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P16" sqref="P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Naimat Khana </v>
      </c>
      <c r="U14" s="164">
        <f>+'1'!P35</f>
        <v>117997.95128399998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Naimat Khana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839.4</v>
      </c>
      <c r="M16" s="106">
        <f>I16-K16-L16</f>
        <v>9653.1</v>
      </c>
      <c r="N16" s="101">
        <f>+'1'!N16+'2'!N16+'4'!N16+'3'!N16+'5'!N16+'6'!N16+'7'!N16+'8'!N16+'9'!N16+'10'!N16</f>
        <v>1737.558</v>
      </c>
      <c r="O16" s="101">
        <f>+'1'!O16+'2'!O16+'4'!O16+'3'!O16+'5'!O16+'6'!O16+'7'!O16+'8'!O16+'9'!O16+'10'!O16</f>
        <v>56.953289999999996</v>
      </c>
      <c r="P16" s="105">
        <f t="shared" ref="P16:P24" si="0">M16+N16+O16</f>
        <v>11447.611289999999</v>
      </c>
      <c r="Q16" s="108"/>
      <c r="T16" s="163" t="str">
        <f>+'4'!A5</f>
        <v xml:space="preserve">Customer Name : Naimat Khana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839.4</v>
      </c>
      <c r="M17" s="118">
        <f t="shared" ref="M17:M23" si="2">I17-K17-L17</f>
        <v>9653.1</v>
      </c>
      <c r="N17" s="101">
        <f>+'1'!N17+'2'!N17+'4'!N17+'3'!N17+'5'!N17+'6'!N17+'7'!N17+'8'!N17+'9'!N17+'10'!N17</f>
        <v>1737.558</v>
      </c>
      <c r="O17" s="101">
        <f>+'1'!O17+'2'!O17+'4'!O17+'3'!O17+'5'!O17+'6'!O17+'7'!O17+'8'!O17+'9'!O17+'10'!O17</f>
        <v>56.953289999999996</v>
      </c>
      <c r="P17" s="120">
        <f t="shared" si="0"/>
        <v>11447.611289999999</v>
      </c>
      <c r="S17" s="64"/>
      <c r="T17" s="163" t="str">
        <f>+'3'!A5</f>
        <v xml:space="preserve">Customer Name : Naimat Khana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Naimat Khana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400</v>
      </c>
      <c r="I19" s="1">
        <f t="shared" si="1"/>
        <v>29056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2324.48</v>
      </c>
      <c r="M19" s="118">
        <f t="shared" si="2"/>
        <v>26731.52</v>
      </c>
      <c r="N19" s="101">
        <f>+'1'!N19+'2'!N19+'4'!N19+'3'!N19+'5'!N19+'6'!N19+'7'!N19+'8'!N19+'9'!N19+'10'!N19</f>
        <v>4811.6736000000001</v>
      </c>
      <c r="O19" s="101">
        <f>+'1'!O19+'2'!O19+'4'!O19+'3'!O19+'5'!O19+'6'!O19+'7'!O19+'8'!O19+'9'!O19+'10'!O19</f>
        <v>157.715968</v>
      </c>
      <c r="P19" s="120">
        <f t="shared" si="0"/>
        <v>31700.909567999999</v>
      </c>
      <c r="T19" s="163" t="str">
        <f>+'6'!A5</f>
        <v xml:space="preserve">Customer Name : Naimat Khana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2324.48</v>
      </c>
      <c r="M20" s="118">
        <f t="shared" si="2"/>
        <v>26731.52</v>
      </c>
      <c r="N20" s="101">
        <f>+'1'!N20+'2'!N20+'4'!N20+'3'!N20+'5'!N20+'6'!N20+'7'!N20+'8'!N20+'9'!N20+'10'!N20</f>
        <v>4811.6736000000001</v>
      </c>
      <c r="O20" s="101">
        <f>+'1'!O20+'2'!O20+'4'!O20+'3'!O20+'5'!O20+'6'!O20+'7'!O20+'8'!O20+'9'!O20+'10'!O20</f>
        <v>157.715968</v>
      </c>
      <c r="P20" s="120">
        <f t="shared" si="0"/>
        <v>31700.909567999999</v>
      </c>
      <c r="T20" s="163" t="str">
        <f>+'7'!A5</f>
        <v xml:space="preserve">Customer Name : Naimat Khana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2324.48</v>
      </c>
      <c r="M21" s="118">
        <f t="shared" si="2"/>
        <v>26731.52</v>
      </c>
      <c r="N21" s="101">
        <f>+'1'!N21+'2'!N21+'4'!N21+'3'!N21+'5'!N21+'6'!N21+'7'!N21+'8'!N21+'9'!N21+'10'!N21</f>
        <v>4811.6736000000001</v>
      </c>
      <c r="O21" s="101">
        <f>+'1'!O21+'2'!O21+'4'!O21+'3'!O21+'5'!O21+'6'!O21+'7'!O21+'8'!O21+'9'!O21+'10'!O21</f>
        <v>157.715968</v>
      </c>
      <c r="P21" s="120">
        <f t="shared" si="0"/>
        <v>31700.909567999999</v>
      </c>
      <c r="T21" s="163" t="str">
        <f>+'8'!A5</f>
        <v xml:space="preserve">Customer Name : Naimat Khana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Naimat Khana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Naimat Khana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Naimat Khana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1600</v>
      </c>
      <c r="I25" s="178">
        <f t="shared" si="3"/>
        <v>108153</v>
      </c>
      <c r="J25" s="177">
        <f t="shared" si="3"/>
        <v>0</v>
      </c>
      <c r="K25" s="178">
        <f t="shared" si="3"/>
        <v>0</v>
      </c>
      <c r="L25" s="179">
        <f t="shared" si="3"/>
        <v>8652.24</v>
      </c>
      <c r="M25" s="141">
        <f t="shared" si="3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  <c r="T25" s="163" t="str">
        <f>+'12'!A5</f>
        <v xml:space="preserve">Customer Name : Naimat Khana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Naimat Khana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Naimat Khana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Naimat Khana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Naimat Khana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Naimat Khana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Naimat Khana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117997.95128399998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2">
        <f>I25</f>
        <v>108153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3">
        <f>L25</f>
        <v>8652.24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4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3">
        <f>P35-P36-P37</f>
        <v>99500.76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5" t="s">
        <v>89</v>
      </c>
      <c r="O39" s="156">
        <f>IF(B12="Registered",18%,22%)</f>
        <v>0.22</v>
      </c>
      <c r="P39" s="153">
        <f>N25</f>
        <v>17910.1368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3">
        <f>P38+P39</f>
        <v>117410.89679999999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7"/>
      <c r="N41" s="158" t="s">
        <v>91</v>
      </c>
      <c r="O41" s="159">
        <f>IF(B11="Filer",0.5%,2.5%)</f>
        <v>2.5000000000000001E-2</v>
      </c>
      <c r="P41" s="153">
        <f>O41*P40</f>
        <v>2935.2724199999998</v>
      </c>
    </row>
    <row r="42" spans="1:21" ht="15.75" customHeight="1" thickBot="1" x14ac:dyDescent="0.4">
      <c r="N42" s="204" t="s">
        <v>92</v>
      </c>
      <c r="O42" s="205"/>
      <c r="P42" s="160">
        <f>P40+P41</f>
        <v>120346.16921999998</v>
      </c>
    </row>
    <row r="43" spans="1:21" ht="15" thickBot="1" x14ac:dyDescent="0.4">
      <c r="B43" s="161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6" sqref="H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 t="shared" ref="O16:O24" si="1">(N16+M16)*$O$15</f>
        <v>56.953289999999996</v>
      </c>
      <c r="P16" s="105">
        <f t="shared" ref="P16:P24" si="2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0</v>
      </c>
      <c r="K17" s="1">
        <f t="shared" ref="K17:K21" si="4">I17*$K$13</f>
        <v>0</v>
      </c>
      <c r="L17" s="105">
        <f t="shared" ref="L17:L21" si="5">I17*8%</f>
        <v>839.4</v>
      </c>
      <c r="M17" s="118">
        <f t="shared" ref="M17:M23" si="6">I17-K17-L17</f>
        <v>9653.1</v>
      </c>
      <c r="N17" s="118">
        <f t="shared" si="0"/>
        <v>1737.558</v>
      </c>
      <c r="O17" s="119">
        <f t="shared" si="1"/>
        <v>56.953289999999996</v>
      </c>
      <c r="P17" s="120">
        <f t="shared" si="2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3"/>
        <v>29056</v>
      </c>
      <c r="J19" s="117">
        <v>0</v>
      </c>
      <c r="K19" s="1">
        <f t="shared" si="4"/>
        <v>0</v>
      </c>
      <c r="L19" s="105">
        <f t="shared" si="5"/>
        <v>2324.48</v>
      </c>
      <c r="M19" s="118">
        <f t="shared" si="6"/>
        <v>26731.52</v>
      </c>
      <c r="N19" s="118">
        <f t="shared" si="0"/>
        <v>4811.6736000000001</v>
      </c>
      <c r="O19" s="119">
        <f t="shared" si="1"/>
        <v>157.715968</v>
      </c>
      <c r="P19" s="120">
        <f t="shared" si="2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3"/>
        <v>29056</v>
      </c>
      <c r="J20" s="117">
        <v>0</v>
      </c>
      <c r="K20" s="1">
        <f t="shared" si="4"/>
        <v>0</v>
      </c>
      <c r="L20" s="105">
        <f t="shared" si="5"/>
        <v>2324.48</v>
      </c>
      <c r="M20" s="118">
        <f t="shared" si="6"/>
        <v>26731.52</v>
      </c>
      <c r="N20" s="118">
        <f t="shared" si="0"/>
        <v>4811.6736000000001</v>
      </c>
      <c r="O20" s="119">
        <f t="shared" si="1"/>
        <v>157.715968</v>
      </c>
      <c r="P20" s="120">
        <f t="shared" si="2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0</v>
      </c>
      <c r="K21" s="1">
        <f t="shared" si="4"/>
        <v>0</v>
      </c>
      <c r="L21" s="105">
        <f t="shared" si="5"/>
        <v>2324.48</v>
      </c>
      <c r="M21" s="118">
        <f t="shared" si="6"/>
        <v>26731.52</v>
      </c>
      <c r="N21" s="118">
        <f t="shared" si="0"/>
        <v>4811.6736000000001</v>
      </c>
      <c r="O21" s="119">
        <f t="shared" si="1"/>
        <v>157.715968</v>
      </c>
      <c r="P21" s="120">
        <f t="shared" si="2"/>
        <v>31700.909567999999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83">
        <f>SUM(J16:J21)</f>
        <v>0</v>
      </c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108153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8652.24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99500.76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117410.89679999999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04" t="s">
        <v>92</v>
      </c>
      <c r="O35" s="205"/>
      <c r="P35" s="160">
        <f>P33+P34</f>
        <v>117997.95128399998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5" sqref="F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46205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2026-07-03T13:15:06Z</dcterms:modified>
</cp:coreProperties>
</file>