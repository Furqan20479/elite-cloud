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99798F1F-559F-460E-9A73-AC72BD43EB2F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K17" i="16" l="1"/>
  <c r="K18" i="16"/>
  <c r="K19" i="16"/>
  <c r="K20" i="16"/>
  <c r="K21" i="16"/>
  <c r="K16" i="16"/>
  <c r="K22" i="17"/>
  <c r="K22" i="19"/>
  <c r="K22" i="18"/>
  <c r="K22" i="20"/>
  <c r="K22" i="21"/>
  <c r="K22" i="22"/>
  <c r="K22" i="23"/>
  <c r="K22" i="24"/>
  <c r="K22" i="25"/>
  <c r="K22" i="26"/>
  <c r="K22" i="27"/>
  <c r="K22" i="28"/>
  <c r="K22" i="29"/>
  <c r="K22" i="30"/>
  <c r="K22" i="31"/>
  <c r="K22" i="32"/>
  <c r="K22" i="33"/>
  <c r="K22" i="34"/>
  <c r="K22" i="35"/>
  <c r="K22" i="16"/>
  <c r="K17" i="17"/>
  <c r="K18" i="17"/>
  <c r="K19" i="17"/>
  <c r="K20" i="17"/>
  <c r="K21" i="17"/>
  <c r="K17" i="19"/>
  <c r="K18" i="19"/>
  <c r="K19" i="19"/>
  <c r="K20" i="19"/>
  <c r="K21" i="19"/>
  <c r="K17" i="18"/>
  <c r="K18" i="18"/>
  <c r="K19" i="18"/>
  <c r="K20" i="18"/>
  <c r="K21" i="18"/>
  <c r="K17" i="20"/>
  <c r="K18" i="20"/>
  <c r="K19" i="20"/>
  <c r="K20" i="20"/>
  <c r="K21" i="20"/>
  <c r="K17" i="21"/>
  <c r="K18" i="21"/>
  <c r="K19" i="21"/>
  <c r="K20" i="21"/>
  <c r="K21" i="21"/>
  <c r="K17" i="22"/>
  <c r="K18" i="22"/>
  <c r="K19" i="22"/>
  <c r="K20" i="22"/>
  <c r="K21" i="22"/>
  <c r="K17" i="23"/>
  <c r="K18" i="23"/>
  <c r="K19" i="23"/>
  <c r="K20" i="23"/>
  <c r="K21" i="23"/>
  <c r="K17" i="24"/>
  <c r="K18" i="24"/>
  <c r="K19" i="24"/>
  <c r="K20" i="24"/>
  <c r="K21" i="24"/>
  <c r="K17" i="25"/>
  <c r="K18" i="25"/>
  <c r="K19" i="25"/>
  <c r="K20" i="25"/>
  <c r="K21" i="25"/>
  <c r="K17" i="26"/>
  <c r="K18" i="26"/>
  <c r="K19" i="26"/>
  <c r="K20" i="26"/>
  <c r="K21" i="26"/>
  <c r="K17" i="27"/>
  <c r="K18" i="27"/>
  <c r="K19" i="27"/>
  <c r="K20" i="27"/>
  <c r="K21" i="27"/>
  <c r="K17" i="28"/>
  <c r="K18" i="28"/>
  <c r="K19" i="28"/>
  <c r="K20" i="28"/>
  <c r="K21" i="28"/>
  <c r="K17" i="29"/>
  <c r="K18" i="29"/>
  <c r="K19" i="29"/>
  <c r="K20" i="29"/>
  <c r="K21" i="29"/>
  <c r="K17" i="30"/>
  <c r="K18" i="30"/>
  <c r="K19" i="30"/>
  <c r="K20" i="30"/>
  <c r="K21" i="30"/>
  <c r="K17" i="31"/>
  <c r="K18" i="31"/>
  <c r="K19" i="31"/>
  <c r="K20" i="31"/>
  <c r="K21" i="31"/>
  <c r="K17" i="32"/>
  <c r="K18" i="32"/>
  <c r="K19" i="32"/>
  <c r="K20" i="32"/>
  <c r="K21" i="32"/>
  <c r="K17" i="33"/>
  <c r="K18" i="33"/>
  <c r="K19" i="33"/>
  <c r="K20" i="33"/>
  <c r="K21" i="33"/>
  <c r="K17" i="34"/>
  <c r="K18" i="34"/>
  <c r="K19" i="34"/>
  <c r="K20" i="34"/>
  <c r="K21" i="34"/>
  <c r="K17" i="35"/>
  <c r="K18" i="35"/>
  <c r="K19" i="35"/>
  <c r="K20" i="35"/>
  <c r="K21" i="35"/>
  <c r="K16" i="17"/>
  <c r="K16" i="19"/>
  <c r="K16" i="18"/>
  <c r="K16" i="20"/>
  <c r="K16" i="21"/>
  <c r="K16" i="22"/>
  <c r="K16" i="23"/>
  <c r="K16" i="24"/>
  <c r="K16" i="25"/>
  <c r="K16" i="26"/>
  <c r="K16" i="27"/>
  <c r="K16" i="28"/>
  <c r="K16" i="29"/>
  <c r="K16" i="30"/>
  <c r="K16" i="31"/>
  <c r="K16" i="32"/>
  <c r="K16" i="33"/>
  <c r="K16" i="34"/>
  <c r="K16" i="35"/>
  <c r="I19" i="16"/>
  <c r="L19" i="16" s="1"/>
  <c r="L17" i="17"/>
  <c r="L18" i="17"/>
  <c r="L19" i="17"/>
  <c r="L20" i="17"/>
  <c r="L21" i="17"/>
  <c r="L17" i="19"/>
  <c r="L18" i="19"/>
  <c r="L19" i="19"/>
  <c r="L20" i="19"/>
  <c r="L21" i="19"/>
  <c r="L17" i="18"/>
  <c r="L18" i="18"/>
  <c r="L19" i="18"/>
  <c r="L20" i="18"/>
  <c r="L21" i="18"/>
  <c r="L17" i="20"/>
  <c r="L18" i="20"/>
  <c r="L19" i="20"/>
  <c r="L20" i="20"/>
  <c r="L21" i="20"/>
  <c r="L17" i="21"/>
  <c r="L18" i="21"/>
  <c r="L19" i="21"/>
  <c r="L20" i="21"/>
  <c r="L21" i="21"/>
  <c r="L17" i="22"/>
  <c r="L18" i="22"/>
  <c r="L19" i="22"/>
  <c r="L20" i="22"/>
  <c r="L21" i="22"/>
  <c r="L17" i="23"/>
  <c r="L18" i="23"/>
  <c r="L19" i="23"/>
  <c r="L20" i="23"/>
  <c r="L21" i="23"/>
  <c r="L17" i="24"/>
  <c r="L18" i="24"/>
  <c r="L19" i="24"/>
  <c r="L20" i="24"/>
  <c r="L21" i="24"/>
  <c r="L17" i="25"/>
  <c r="L18" i="25"/>
  <c r="L19" i="25"/>
  <c r="L20" i="25"/>
  <c r="L21" i="25"/>
  <c r="L17" i="26"/>
  <c r="L18" i="26"/>
  <c r="L19" i="26"/>
  <c r="L20" i="26"/>
  <c r="L21" i="26"/>
  <c r="L17" i="27"/>
  <c r="L18" i="27"/>
  <c r="L19" i="27"/>
  <c r="L20" i="27"/>
  <c r="L21" i="27"/>
  <c r="L17" i="28"/>
  <c r="L18" i="28"/>
  <c r="L19" i="28"/>
  <c r="L20" i="28"/>
  <c r="L21" i="28"/>
  <c r="L17" i="29"/>
  <c r="L18" i="29"/>
  <c r="L19" i="29"/>
  <c r="L20" i="29"/>
  <c r="L21" i="29"/>
  <c r="L17" i="30"/>
  <c r="L18" i="30"/>
  <c r="L19" i="30"/>
  <c r="L20" i="30"/>
  <c r="L21" i="30"/>
  <c r="L17" i="31"/>
  <c r="L18" i="31"/>
  <c r="L19" i="31"/>
  <c r="L20" i="31"/>
  <c r="L21" i="31"/>
  <c r="L17" i="32"/>
  <c r="L18" i="32"/>
  <c r="L19" i="32"/>
  <c r="L20" i="32"/>
  <c r="L21" i="32"/>
  <c r="L17" i="33"/>
  <c r="L18" i="33"/>
  <c r="L19" i="33"/>
  <c r="L20" i="33"/>
  <c r="L21" i="33"/>
  <c r="L17" i="34"/>
  <c r="L18" i="34"/>
  <c r="L19" i="34"/>
  <c r="L20" i="34"/>
  <c r="L21" i="34"/>
  <c r="L17" i="35"/>
  <c r="L18" i="35"/>
  <c r="L19" i="35"/>
  <c r="L20" i="35"/>
  <c r="L21" i="35"/>
  <c r="L16" i="17"/>
  <c r="L16" i="19"/>
  <c r="L16" i="18"/>
  <c r="L16" i="20"/>
  <c r="L16" i="21"/>
  <c r="L16" i="22"/>
  <c r="L16" i="23"/>
  <c r="L16" i="24"/>
  <c r="L16" i="25"/>
  <c r="L16" i="26"/>
  <c r="L16" i="27"/>
  <c r="L16" i="28"/>
  <c r="L16" i="29"/>
  <c r="L16" i="30"/>
  <c r="L16" i="31"/>
  <c r="L16" i="32"/>
  <c r="L16" i="33"/>
  <c r="L16" i="34"/>
  <c r="L16" i="35"/>
  <c r="J17" i="15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C18" i="33"/>
  <c r="B18" i="33"/>
  <c r="F17" i="33"/>
  <c r="I17" i="33" s="1"/>
  <c r="E17" i="33"/>
  <c r="D17" i="33"/>
  <c r="B17" i="33"/>
  <c r="C17" i="33" s="1"/>
  <c r="F16" i="33"/>
  <c r="E16" i="33"/>
  <c r="D16" i="33"/>
  <c r="I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I19" i="31"/>
  <c r="I20" i="31"/>
  <c r="I21" i="31"/>
  <c r="I22" i="31"/>
  <c r="I23" i="31"/>
  <c r="K23" i="31" s="1"/>
  <c r="I24" i="31"/>
  <c r="I23" i="32"/>
  <c r="I22" i="33"/>
  <c r="I16" i="34"/>
  <c r="I25" i="34" s="1"/>
  <c r="P28" i="34" s="1"/>
  <c r="I17" i="34"/>
  <c r="I18" i="34"/>
  <c r="I19" i="34"/>
  <c r="I20" i="34"/>
  <c r="I21" i="34"/>
  <c r="I22" i="34"/>
  <c r="I23" i="34"/>
  <c r="I24" i="34"/>
  <c r="L24" i="34" s="1"/>
  <c r="M24" i="34" s="1"/>
  <c r="I16" i="29"/>
  <c r="I17" i="29"/>
  <c r="I18" i="29"/>
  <c r="I19" i="29"/>
  <c r="I20" i="29"/>
  <c r="I21" i="29"/>
  <c r="I22" i="29"/>
  <c r="I23" i="29"/>
  <c r="L23" i="29" s="1"/>
  <c r="I24" i="29"/>
  <c r="I24" i="32"/>
  <c r="I19" i="33"/>
  <c r="I23" i="33"/>
  <c r="L23" i="33" s="1"/>
  <c r="I25" i="35"/>
  <c r="P28" i="35" s="1"/>
  <c r="M17" i="35"/>
  <c r="M18" i="35"/>
  <c r="M21" i="35"/>
  <c r="L22" i="35"/>
  <c r="M22" i="35"/>
  <c r="K23" i="35"/>
  <c r="L23" i="35"/>
  <c r="M23" i="35" s="1"/>
  <c r="K24" i="35"/>
  <c r="M24" i="35" s="1"/>
  <c r="L24" i="35"/>
  <c r="L22" i="34"/>
  <c r="K23" i="34"/>
  <c r="M23" i="34"/>
  <c r="L23" i="34"/>
  <c r="K24" i="34"/>
  <c r="M22" i="33"/>
  <c r="L22" i="33"/>
  <c r="K23" i="33"/>
  <c r="K24" i="33"/>
  <c r="M24" i="33" s="1"/>
  <c r="L24" i="33"/>
  <c r="M17" i="33"/>
  <c r="M18" i="33"/>
  <c r="K24" i="32"/>
  <c r="M24" i="32" s="1"/>
  <c r="L24" i="32"/>
  <c r="I25" i="32"/>
  <c r="P28" i="32" s="1"/>
  <c r="K23" i="32"/>
  <c r="L23" i="32"/>
  <c r="M23" i="32" s="1"/>
  <c r="L22" i="32"/>
  <c r="M17" i="31"/>
  <c r="L22" i="31"/>
  <c r="M22" i="31" s="1"/>
  <c r="K24" i="31"/>
  <c r="L24" i="31"/>
  <c r="M24" i="31" s="1"/>
  <c r="L23" i="31"/>
  <c r="M21" i="30"/>
  <c r="K23" i="30"/>
  <c r="M23" i="30" s="1"/>
  <c r="L23" i="30"/>
  <c r="I25" i="30"/>
  <c r="P28" i="30" s="1"/>
  <c r="L22" i="30"/>
  <c r="K24" i="30"/>
  <c r="M24" i="30" s="1"/>
  <c r="L24" i="30"/>
  <c r="K24" i="29"/>
  <c r="M24" i="29"/>
  <c r="L24" i="29"/>
  <c r="M22" i="29"/>
  <c r="L22" i="29"/>
  <c r="K23" i="29"/>
  <c r="I25" i="28"/>
  <c r="P28" i="28" s="1"/>
  <c r="M17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3" i="33" l="1"/>
  <c r="I16" i="26"/>
  <c r="I17" i="26"/>
  <c r="I18" i="26"/>
  <c r="I19" i="26"/>
  <c r="I20" i="26"/>
  <c r="I21" i="26"/>
  <c r="I22" i="26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M16" i="34"/>
  <c r="N16" i="34" s="1"/>
  <c r="I25" i="33"/>
  <c r="P28" i="33" s="1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N22" i="30" s="1"/>
  <c r="O22" i="30" s="1"/>
  <c r="P22" i="30" s="1"/>
  <c r="M21" i="33"/>
  <c r="M20" i="34"/>
  <c r="N20" i="34" s="1"/>
  <c r="O20" i="34" s="1"/>
  <c r="M19" i="33"/>
  <c r="N19" i="33" s="1"/>
  <c r="O19" i="33" s="1"/>
  <c r="M19" i="34"/>
  <c r="N19" i="34" s="1"/>
  <c r="O19" i="34" s="1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N19" i="35" s="1"/>
  <c r="O19" i="35" s="1"/>
  <c r="M19" i="31"/>
  <c r="M20" i="31"/>
  <c r="N20" i="31" s="1"/>
  <c r="O20" i="31" s="1"/>
  <c r="M20" i="33"/>
  <c r="N20" i="33" s="1"/>
  <c r="O20" i="33" s="1"/>
  <c r="M20" i="35"/>
  <c r="N20" i="35" s="1"/>
  <c r="O20" i="35" s="1"/>
  <c r="P20" i="35" s="1"/>
  <c r="M21" i="29"/>
  <c r="M21" i="34"/>
  <c r="N21" i="34" s="1"/>
  <c r="O21" i="34" s="1"/>
  <c r="M21" i="32"/>
  <c r="N21" i="32" s="1"/>
  <c r="O21" i="32" s="1"/>
  <c r="M21" i="31"/>
  <c r="N21" i="31" s="1"/>
  <c r="O21" i="31" s="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L25" i="35"/>
  <c r="P29" i="35" s="1"/>
  <c r="M16" i="35"/>
  <c r="N24" i="34"/>
  <c r="O24" i="34" s="1"/>
  <c r="P24" i="34"/>
  <c r="L25" i="34"/>
  <c r="P29" i="34" s="1"/>
  <c r="K25" i="34"/>
  <c r="P30" i="34" s="1"/>
  <c r="N23" i="34"/>
  <c r="O23" i="34" s="1"/>
  <c r="P23" i="34" s="1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4" i="31"/>
  <c r="O24" i="31" s="1"/>
  <c r="P24" i="3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3" i="30"/>
  <c r="O23" i="30" s="1"/>
  <c r="N22" i="29"/>
  <c r="O22" i="29" s="1"/>
  <c r="N21" i="29"/>
  <c r="O21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L22" i="27"/>
  <c r="K23" i="27"/>
  <c r="L23" i="27"/>
  <c r="K24" i="27"/>
  <c r="L24" i="27"/>
  <c r="L22" i="26"/>
  <c r="K23" i="26"/>
  <c r="L23" i="26"/>
  <c r="K24" i="26"/>
  <c r="L24" i="26"/>
  <c r="M24" i="26" s="1"/>
  <c r="T23" i="15"/>
  <c r="T22" i="15"/>
  <c r="T21" i="15"/>
  <c r="T20" i="15"/>
  <c r="T19" i="15"/>
  <c r="T18" i="15"/>
  <c r="T17" i="15"/>
  <c r="T16" i="15"/>
  <c r="T15" i="15"/>
  <c r="T14" i="15"/>
  <c r="I25" i="26" l="1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P33" i="32" l="1"/>
  <c r="I16" i="25"/>
  <c r="I17" i="25"/>
  <c r="I18" i="25"/>
  <c r="I19" i="25"/>
  <c r="I25" i="25" s="1"/>
  <c r="P28" i="25" s="1"/>
  <c r="I20" i="25"/>
  <c r="I22" i="25"/>
  <c r="I23" i="25"/>
  <c r="I24" i="25"/>
  <c r="L24" i="25" s="1"/>
  <c r="I21" i="18"/>
  <c r="I22" i="18"/>
  <c r="L22" i="18" s="1"/>
  <c r="I24" i="18"/>
  <c r="L24" i="18" s="1"/>
  <c r="I19" i="19"/>
  <c r="I20" i="19"/>
  <c r="I21" i="19"/>
  <c r="I22" i="19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I18" i="18"/>
  <c r="I17" i="20"/>
  <c r="I19" i="20"/>
  <c r="I21" i="20"/>
  <c r="I23" i="20"/>
  <c r="L23" i="20" s="1"/>
  <c r="M25" i="27"/>
  <c r="P24" i="27"/>
  <c r="P31" i="26"/>
  <c r="I16" i="24"/>
  <c r="I17" i="24"/>
  <c r="I18" i="24"/>
  <c r="I19" i="24"/>
  <c r="I20" i="24"/>
  <c r="I21" i="24"/>
  <c r="I22" i="24"/>
  <c r="I21" i="23"/>
  <c r="I23" i="23"/>
  <c r="I17" i="21"/>
  <c r="I19" i="21"/>
  <c r="I21" i="21"/>
  <c r="O21" i="27"/>
  <c r="P21" i="27" s="1"/>
  <c r="P31" i="27"/>
  <c r="P23" i="27"/>
  <c r="P18" i="27"/>
  <c r="I21" i="25"/>
  <c r="I23" i="24"/>
  <c r="I24" i="24"/>
  <c r="K24" i="24" s="1"/>
  <c r="I16" i="19"/>
  <c r="I17" i="19"/>
  <c r="I18" i="19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I17" i="18"/>
  <c r="I17" i="23"/>
  <c r="I19" i="23"/>
  <c r="I23" i="22"/>
  <c r="K23" i="22" s="1"/>
  <c r="I24" i="22"/>
  <c r="L24" i="22" s="1"/>
  <c r="I23" i="21"/>
  <c r="K23" i="21" s="1"/>
  <c r="I16" i="23"/>
  <c r="I18" i="23"/>
  <c r="I20" i="23"/>
  <c r="I22" i="23"/>
  <c r="I24" i="23"/>
  <c r="L24" i="23" s="1"/>
  <c r="I16" i="20"/>
  <c r="I18" i="20"/>
  <c r="I20" i="20"/>
  <c r="I22" i="20"/>
  <c r="I24" i="20"/>
  <c r="K24" i="20" s="1"/>
  <c r="I16" i="21"/>
  <c r="I18" i="21"/>
  <c r="I20" i="21"/>
  <c r="I22" i="21"/>
  <c r="I24" i="21"/>
  <c r="K24" i="21" s="1"/>
  <c r="I16" i="17"/>
  <c r="I17" i="17"/>
  <c r="I18" i="17"/>
  <c r="I19" i="17"/>
  <c r="I20" i="17"/>
  <c r="I21" i="17"/>
  <c r="I22" i="17"/>
  <c r="L22" i="17" s="1"/>
  <c r="I23" i="17"/>
  <c r="K23" i="17" s="1"/>
  <c r="I24" i="17"/>
  <c r="K24" i="17" s="1"/>
  <c r="I19" i="18"/>
  <c r="I23" i="18"/>
  <c r="L23" i="18" s="1"/>
  <c r="K24" i="25"/>
  <c r="L22" i="25"/>
  <c r="L23" i="25"/>
  <c r="K23" i="25"/>
  <c r="L23" i="24"/>
  <c r="K23" i="24"/>
  <c r="L23" i="23"/>
  <c r="K23" i="23"/>
  <c r="L22" i="22"/>
  <c r="L24" i="20"/>
  <c r="K23" i="20"/>
  <c r="K24" i="19"/>
  <c r="L24" i="19"/>
  <c r="L22" i="19"/>
  <c r="M22" i="18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3" i="19" l="1"/>
  <c r="M23" i="19" s="1"/>
  <c r="N23" i="19" s="1"/>
  <c r="O23" i="19" s="1"/>
  <c r="L23" i="22"/>
  <c r="L25" i="22" s="1"/>
  <c r="P29" i="22" s="1"/>
  <c r="L25" i="25"/>
  <c r="P29" i="25" s="1"/>
  <c r="M18" i="18"/>
  <c r="N18" i="18" s="1"/>
  <c r="O18" i="18" s="1"/>
  <c r="M21" i="20"/>
  <c r="N21" i="20" s="1"/>
  <c r="O21" i="20" s="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M19" i="24"/>
  <c r="N19" i="24" s="1"/>
  <c r="O19" i="24" s="1"/>
  <c r="P19" i="24" s="1"/>
  <c r="L24" i="21"/>
  <c r="M17" i="20"/>
  <c r="N17" i="20" s="1"/>
  <c r="O17" i="20" s="1"/>
  <c r="M20" i="18"/>
  <c r="N20" i="18" s="1"/>
  <c r="O20" i="18" s="1"/>
  <c r="M17" i="17"/>
  <c r="N17" i="17" s="1"/>
  <c r="O17" i="17" s="1"/>
  <c r="M19" i="20"/>
  <c r="N19" i="20" s="1"/>
  <c r="O19" i="20" s="1"/>
  <c r="M16" i="23"/>
  <c r="N16" i="23" s="1"/>
  <c r="L24" i="24"/>
  <c r="L22" i="21"/>
  <c r="M22" i="21" s="1"/>
  <c r="N22" i="21" s="1"/>
  <c r="O22" i="21" s="1"/>
  <c r="M18" i="21"/>
  <c r="N18" i="21" s="1"/>
  <c r="O18" i="21" s="1"/>
  <c r="M16" i="20"/>
  <c r="N16" i="20" s="1"/>
  <c r="K25" i="19"/>
  <c r="P30" i="19" s="1"/>
  <c r="M22" i="17"/>
  <c r="N22" i="17" s="1"/>
  <c r="O22" i="17" s="1"/>
  <c r="M19" i="21"/>
  <c r="N19" i="21" s="1"/>
  <c r="O19" i="21" s="1"/>
  <c r="M17" i="21"/>
  <c r="N17" i="21" s="1"/>
  <c r="O17" i="21" s="1"/>
  <c r="P17" i="21" s="1"/>
  <c r="M18" i="23"/>
  <c r="N18" i="23" s="1"/>
  <c r="O18" i="23" s="1"/>
  <c r="M19" i="17"/>
  <c r="N19" i="17" s="1"/>
  <c r="O19" i="17" s="1"/>
  <c r="P19" i="17" s="1"/>
  <c r="M20" i="17"/>
  <c r="N20" i="17" s="1"/>
  <c r="O20" i="17" s="1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P33" i="27"/>
  <c r="P34" i="27" s="1"/>
  <c r="P35" i="27" s="1"/>
  <c r="U25" i="15" s="1"/>
  <c r="M20" i="23"/>
  <c r="N20" i="23" s="1"/>
  <c r="O20" i="23" s="1"/>
  <c r="L22" i="23"/>
  <c r="L23" i="21"/>
  <c r="M23" i="21" s="1"/>
  <c r="N23" i="21" s="1"/>
  <c r="O23" i="21" s="1"/>
  <c r="P23" i="21" s="1"/>
  <c r="I25" i="19"/>
  <c r="P28" i="19" s="1"/>
  <c r="L25" i="18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M20" i="20"/>
  <c r="N20" i="20" s="1"/>
  <c r="O20" i="20" s="1"/>
  <c r="M18" i="20"/>
  <c r="N18" i="20" s="1"/>
  <c r="O18" i="20" s="1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8" i="24"/>
  <c r="N18" i="24" s="1"/>
  <c r="O18" i="24" s="1"/>
  <c r="M19" i="23"/>
  <c r="N19" i="23" s="1"/>
  <c r="O19" i="23" s="1"/>
  <c r="M21" i="22"/>
  <c r="N21" i="22" s="1"/>
  <c r="O21" i="22" s="1"/>
  <c r="P21" i="22" s="1"/>
  <c r="M17" i="22"/>
  <c r="N17" i="22" s="1"/>
  <c r="O17" i="22" s="1"/>
  <c r="M20" i="2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I25" i="21"/>
  <c r="P28" i="21" s="1"/>
  <c r="M16" i="2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I17" i="16"/>
  <c r="I18" i="16"/>
  <c r="I20" i="16"/>
  <c r="I21" i="16"/>
  <c r="I22" i="16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K25" i="25"/>
  <c r="P30" i="25" s="1"/>
  <c r="M16" i="25"/>
  <c r="N23" i="25"/>
  <c r="O23" i="25" s="1"/>
  <c r="P23" i="25" s="1"/>
  <c r="N19" i="25"/>
  <c r="O19" i="25" s="1"/>
  <c r="N23" i="24"/>
  <c r="O23" i="24" s="1"/>
  <c r="N24" i="24"/>
  <c r="O24" i="24" s="1"/>
  <c r="K25" i="24"/>
  <c r="P30" i="24" s="1"/>
  <c r="N18" i="22"/>
  <c r="O18" i="22" s="1"/>
  <c r="M16" i="22"/>
  <c r="M21" i="21"/>
  <c r="N21" i="21" s="1"/>
  <c r="M17" i="19"/>
  <c r="N17" i="19" s="1"/>
  <c r="O17" i="19" s="1"/>
  <c r="M21" i="19"/>
  <c r="N24" i="19"/>
  <c r="O24" i="19" s="1"/>
  <c r="L25" i="19"/>
  <c r="P29" i="19" s="1"/>
  <c r="N24" i="18"/>
  <c r="O24" i="18" s="1"/>
  <c r="N22" i="18"/>
  <c r="O22" i="18" s="1"/>
  <c r="M16" i="17"/>
  <c r="I23" i="15"/>
  <c r="L17" i="16" l="1"/>
  <c r="L20" i="16"/>
  <c r="K16" i="15"/>
  <c r="L16" i="16"/>
  <c r="L16" i="15" s="1"/>
  <c r="L18" i="16"/>
  <c r="L21" i="16"/>
  <c r="L21" i="15" s="1"/>
  <c r="K22" i="15"/>
  <c r="M19" i="18"/>
  <c r="N19" i="18" s="1"/>
  <c r="O19" i="18" s="1"/>
  <c r="K18" i="15"/>
  <c r="L25" i="24"/>
  <c r="P29" i="24" s="1"/>
  <c r="P31" i="24" s="1"/>
  <c r="L17" i="15"/>
  <c r="L23" i="15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18" i="15"/>
  <c r="L20" i="15"/>
  <c r="L25" i="21"/>
  <c r="P29" i="21" s="1"/>
  <c r="L22" i="16"/>
  <c r="L22" i="15" s="1"/>
  <c r="M22" i="15" s="1"/>
  <c r="M22" i="23"/>
  <c r="N22" i="23" s="1"/>
  <c r="O22" i="23" s="1"/>
  <c r="M22" i="20"/>
  <c r="N22" i="20" s="1"/>
  <c r="O22" i="20" s="1"/>
  <c r="M25" i="24"/>
  <c r="K20" i="15"/>
  <c r="K21" i="15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5"/>
  <c r="P23" i="22"/>
  <c r="I25" i="15"/>
  <c r="P32" i="15" s="1"/>
  <c r="M24" i="16"/>
  <c r="N24" i="16" s="1"/>
  <c r="K23" i="16"/>
  <c r="K19" i="15"/>
  <c r="O21" i="21"/>
  <c r="P21" i="21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16" i="15" l="1"/>
  <c r="M18" i="15"/>
  <c r="M25" i="19"/>
  <c r="M16" i="16"/>
  <c r="N16" i="16" s="1"/>
  <c r="O16" i="16" s="1"/>
  <c r="M21" i="15"/>
  <c r="N16" i="18"/>
  <c r="M18" i="16"/>
  <c r="N18" i="16" s="1"/>
  <c r="N18" i="15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7"/>
  <c r="O25" i="17" s="1"/>
  <c r="N25" i="17"/>
  <c r="P32" i="17" s="1"/>
  <c r="N16" i="15" l="1"/>
  <c r="O16" i="18"/>
  <c r="O18" i="16"/>
  <c r="O18" i="15" s="1"/>
  <c r="P18" i="15" s="1"/>
  <c r="N22" i="15"/>
  <c r="N20" i="15"/>
  <c r="P20" i="15" s="1"/>
  <c r="P33" i="17"/>
  <c r="P25" i="23"/>
  <c r="P31" i="16"/>
  <c r="P24" i="16"/>
  <c r="N17" i="15"/>
  <c r="P17" i="15" s="1"/>
  <c r="P20" i="16"/>
  <c r="P17" i="16"/>
  <c r="N21" i="15"/>
  <c r="P21" i="15" s="1"/>
  <c r="P21" i="16"/>
  <c r="P22" i="16"/>
  <c r="P24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34" i="17"/>
  <c r="P35" i="17" s="1"/>
  <c r="U15" i="15" s="1"/>
  <c r="P16" i="16"/>
  <c r="P22" i="15"/>
  <c r="P18" i="16" l="1"/>
  <c r="P33" i="16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<sst xmlns="http://schemas.openxmlformats.org/spreadsheetml/2006/main" count="1579" uniqueCount="107">
  <si>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</si>
  <si>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</si>
  <si>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</si>
  <si>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</si>
  <si>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</si>
  <si>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</si>
  <si>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</si>
  <si>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</si>
  <si>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</si>
  <si>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</si>
  <si>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</si>
  <si>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</si>
  <si>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</si>
  <si>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</si>
  <si>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</si>
  <si>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</si>
  <si>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</si>
  <si>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</si>
  <si>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</si>
  <si>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</si>
  <si>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</si>
  <si>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</si>
  <si>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</si>
  <si>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</si>
  <si>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</si>
  <si>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</si>
  <si>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</si>
  <si>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</si>
  <si>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</si>
  <si>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</si>
  <si>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</si>
  <si>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</si>
  <si>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</si>
  <si>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</si>
  <si>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</si>
  <si>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</si>
  <si>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</si>
  <si>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</si>
  <si>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</si>
  <si>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</si>
  <si>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</si>
  <si>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</si>
  <si>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</si>
  <si>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</si>
  <si>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</si>
  <si>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</si>
  <si>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</si>
  <si>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</si>
  <si>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</si>
  <si>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</si>
  <si>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</si>
  <si>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</si>
  <si>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</si>
  <si>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</si>
  <si>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</si>
  <si>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</si>
  <si>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</si>
  <si>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</si>
  <si>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</si>
  <si>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</si>
  <si>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</si>
  <si>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</si>
  <si>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</si>
  <si>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</si>
  <si>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</si>
  <si>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</si>
  <si>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</si>
  <si>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</si>
  <si>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</si>
  <si>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</si>
  <si>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</si>
  <si>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</si>
  <si>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</si>
  <si>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</si>
  <si>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</si>
  <si>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</si>
  <si>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</si>
  <si>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</si>
  <si>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</si>
  <si>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</si>
  <si>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</si>
  <si>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</si>
  <si>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</si>
  <si>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</si>
  <si>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</si>
  <si>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</si>
  <si>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</si>
  <si>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</si>
  <si>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</si>
  <si>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</si>
  <si>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</si>
  <si>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</si>
  <si>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</si>
  <si>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</si>
  <si>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</si>
  <si>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</si>
  <si>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</si>
  <si>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</si>
  <si>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</si>
  <si>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</si>
  <si>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</si>
  <si>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</si>
  <si>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Vacant_01</t>
  </si>
  <si>
    <t>Shop Bill Summary (Vacant_01)</t>
  </si>
  <si>
    <t>1010737-1</t>
  </si>
  <si>
    <t>Customer Name : Jalal Sons  Izmir Town</t>
  </si>
  <si>
    <t>Address: Izmir Town Canal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</si>
</sst>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A5" sqref="A5:C5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A5" sqref="A5:C5"/>
      <selection pane="topRight" activeCell="A5" sqref="A5:C5"/>
      <selection pane="bottomLeft" activeCell="A5" sqref="A5:C5"/>
      <selection pane="bottomRight" activeCell="A5" sqref="A5:C5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zoomScale="70" zoomScaleNormal="70" workbookViewId="0">
      <selection activeCell="A5" sqref="A5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199" t="s">
        <v>45</v>
      </c>
      <c r="B2" s="199"/>
      <c r="C2" s="199"/>
    </row>
    <row r="3" spans="1:21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46214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4" t="s">
        <v>102</v>
      </c>
      <c r="B5" s="204"/>
      <c r="C5" s="204"/>
      <c r="F5" s="70"/>
      <c r="G5" s="71"/>
      <c r="K5" s="201" t="s">
        <v>51</v>
      </c>
      <c r="L5" s="201"/>
      <c r="M5" s="201"/>
      <c r="N5" s="202">
        <f ca="1">N4-1</f>
        <v>46213</v>
      </c>
      <c r="O5" s="200"/>
      <c r="P5" s="200"/>
      <c r="R5" s="70"/>
      <c r="S5" s="71"/>
    </row>
    <row r="6" spans="1:21 16383:16384" ht="15" customHeight="1" x14ac:dyDescent="0.35">
      <c r="A6" s="204"/>
      <c r="B6" s="204"/>
      <c r="C6" s="204"/>
      <c r="F6" s="70"/>
      <c r="G6" s="74"/>
      <c r="K6" s="201" t="s">
        <v>52</v>
      </c>
      <c r="L6" s="201"/>
      <c r="M6" s="201"/>
      <c r="N6" s="203" t="s">
        <v>42</v>
      </c>
      <c r="O6" s="203"/>
      <c r="P6" s="20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21 16383:16384" hidden="1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21 16383:16384" x14ac:dyDescent="0.35">
      <c r="A10" s="206"/>
      <c r="B10" s="75"/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21 16383:16384" ht="15" thickBot="1" x14ac:dyDescent="0.4">
      <c r="A11" s="206"/>
      <c r="B11" s="76"/>
      <c r="C11" s="77"/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21 16383:16384" ht="14.65" customHeight="1" x14ac:dyDescent="0.35">
      <c r="A12" s="206"/>
      <c r="B12" s="76"/>
      <c r="C12" s="77"/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T12" s="215" t="s">
        <v>103</v>
      </c>
      <c r="U12" s="216"/>
      <c r="XFD12" t="s">
        <v>62</v>
      </c>
    </row>
    <row r="13" spans="1:21 16383:16384" ht="15" thickBot="1" x14ac:dyDescent="0.4">
      <c r="A13" s="243"/>
      <c r="J13" s="78"/>
      <c r="K13" s="78"/>
      <c r="L13" s="79">
        <v>0.05</v>
      </c>
      <c r="T13" s="217"/>
      <c r="U13" s="218"/>
      <c r="XFD13" t="s">
        <v>63</v>
      </c>
    </row>
    <row r="14" spans="1:21 16383:16384" ht="29.25" customHeight="1" x14ac:dyDescent="0.6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09" t="s">
        <v>68</v>
      </c>
      <c r="H14" s="210"/>
      <c r="I14" s="210" t="s">
        <v>69</v>
      </c>
      <c r="J14" s="210" t="s">
        <v>70</v>
      </c>
      <c r="K14" s="210"/>
      <c r="L14" s="212"/>
      <c r="M14" s="213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>Customer Name : Jalal Sons  Izmir Town</v>
      </c>
      <c r="U14" s="163">
        <f>+'1'!P35</f>
        <v>12481.297467300003</v>
      </c>
      <c r="XFD14" t="s">
        <v>75</v>
      </c>
    </row>
    <row r="15" spans="1:21 16383:16384" ht="29.25" customHeight="1" thickBot="1" x14ac:dyDescent="0.65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211"/>
      <c r="J15" s="170" t="s">
        <v>78</v>
      </c>
      <c r="K15" s="170" t="s">
        <v>79</v>
      </c>
      <c r="L15" s="173" t="s">
        <v>80</v>
      </c>
      <c r="M15" s="214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>Customer Name : Jalal Sons  Izmir Town</v>
      </c>
      <c r="U15" s="163">
        <f>+'2'!P35</f>
        <v>0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9">
        <f>VLOOKUP(A16,'[1]Cust. Price List'!D6:M14,10,0)</f>
        <v>52.462499999999999</v>
      </c>
      <c r="G16" s="113"/>
      <c r="H16" s="171">
        <f>+'1'!H16+'2'!H16+'4'!H16+'3'!H16+'5'!H16+'6'!H16+'7'!H16+'8'!H16+'9'!H16+'10'!H16+'11'!H16+'12'!H16+'13'!H16+'14'!H16+'15'!H16+'16'!H16</f>
        <v>40</v>
      </c>
      <c r="I16" s="1">
        <f>(G16*D16)*F16+H16*F16</f>
        <v>2098.5</v>
      </c>
      <c r="J16" s="171">
        <f>+'1'!J16+'2'!J16+'4'!J16+'3'!J16+'5'!J16+'6'!J16+'7'!J16+'8'!J16+'9'!J16+'10'!J16+'11'!J16+'12'!J16+'13'!J16+'14'!J16+'15'!J16+'16'!J16+'17'!J16+'18'!J16</f>
        <v>0</v>
      </c>
      <c r="K16" s="171">
        <f>+'1'!K16+'2'!K16+'4'!K16+'3'!K16+'5'!K16+'6'!K16+'7'!K16+'8'!K16+'9'!K16+'10'!K16</f>
        <v>73.447500000000005</v>
      </c>
      <c r="L16" s="174">
        <f>+'1'!L16+'2'!L16+'4'!L16+'3'!L16+'5'!L16+'6'!L16+'7'!L16+'8'!L16+'9'!L16+'10'!L16</f>
        <v>314.77499999999998</v>
      </c>
      <c r="M16" s="105">
        <f>I16-K16-L16</f>
        <v>1710.2775000000001</v>
      </c>
      <c r="N16" s="100">
        <f>+'1'!N16+'2'!N16+'4'!N16+'3'!N16+'5'!N16+'6'!N16+'7'!N16+'8'!N16+'9'!N16+'10'!N16</f>
        <v>307.84995000000004</v>
      </c>
      <c r="O16" s="100">
        <f>+'1'!O16+'2'!O16+'4'!O16+'3'!O16+'5'!O16+'6'!O16+'7'!O16+'8'!O16+'9'!O16+'10'!O16</f>
        <v>10.09063725</v>
      </c>
      <c r="P16" s="104">
        <f t="shared" ref="P16:P24" si="0">M16+N16+O16</f>
        <v>2028.2180872500003</v>
      </c>
      <c r="Q16" s="107"/>
      <c r="T16" s="162" t="str">
        <f>+'4'!A5</f>
        <v>Customer Name : Jalal Sons  Izmir Town</v>
      </c>
      <c r="U16" s="163">
        <f>+'4'!P35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1">
        <f>+'1'!H17+'2'!H17+'4'!H17+'3'!H17+'5'!H17+'6'!H17+'7'!H17+'8'!H17+'9'!H17+'10'!H17+'11'!H17+'12'!H17+'13'!H17+'14'!H17+'15'!H17+'16'!H17</f>
        <v>40</v>
      </c>
      <c r="I17" s="1">
        <f t="shared" ref="I17:I23" si="1">(G17*D17)*F17+H17*F17</f>
        <v>2098.5</v>
      </c>
      <c r="J17" s="171">
        <f>+'1'!J17+'2'!J17+'4'!J17+'3'!J17+'5'!J17+'6'!J17+'7'!J17+'8'!J17+'9'!J17+'10'!J17+'11'!J17+'12'!J17+'13'!J17+'14'!J17+'15'!J17+'16'!J17+'17'!J17+'18'!J17</f>
        <v>0</v>
      </c>
      <c r="K17" s="171">
        <f>+'1'!K17+'2'!K17+'4'!K17+'3'!K17+'5'!K17+'6'!K17+'7'!K17+'8'!K17+'9'!K17+'10'!K17</f>
        <v>73.447500000000005</v>
      </c>
      <c r="L17" s="174">
        <f>+'1'!L17+'2'!L17+'4'!L17+'3'!L17+'5'!L17+'6'!L17+'7'!L17+'8'!L17+'9'!L17+'10'!L17</f>
        <v>314.77499999999998</v>
      </c>
      <c r="M17" s="117">
        <f t="shared" ref="M17:M23" si="2">I17-K17-L17</f>
        <v>1710.2775000000001</v>
      </c>
      <c r="N17" s="100">
        <f>+'1'!N17+'2'!N17+'4'!N17+'3'!N17+'5'!N17+'6'!N17+'7'!N17+'8'!N17+'9'!N17+'10'!N17</f>
        <v>307.84995000000004</v>
      </c>
      <c r="O17" s="100">
        <f>+'1'!O17+'2'!O17+'4'!O17+'3'!O17+'5'!O17+'6'!O17+'7'!O17+'8'!O17+'9'!O17+'10'!O17</f>
        <v>10.09063725</v>
      </c>
      <c r="P17" s="119">
        <f t="shared" si="0"/>
        <v>2028.2180872500003</v>
      </c>
      <c r="S17" s="64"/>
      <c r="T17" s="162" t="str">
        <f>+'3'!A5</f>
        <v>Customer Name : Jalal Sons  Izmir Town</v>
      </c>
      <c r="U17" s="163">
        <f>+'3'!P35</f>
        <v>0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1">
        <f>+'1'!H18+'2'!H18+'4'!H18+'3'!H18+'5'!H18+'6'!H18+'7'!H18+'8'!H18+'9'!H18+'10'!H18+'11'!H18+'12'!H18+'13'!H18+'14'!H18+'15'!H18+'16'!H18</f>
        <v>0</v>
      </c>
      <c r="I18" s="1">
        <f t="shared" si="1"/>
        <v>0</v>
      </c>
      <c r="J18" s="171">
        <f>+'1'!J18+'2'!J18+'4'!J18+'3'!J18+'5'!J18+'6'!J18+'7'!J18+'8'!J18+'9'!J18+'10'!J18+'11'!J18+'12'!J18+'13'!J18+'14'!J18+'15'!J18+'16'!J18+'17'!J18+'18'!J18</f>
        <v>0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0</v>
      </c>
      <c r="M18" s="117">
        <f t="shared" si="2"/>
        <v>0</v>
      </c>
      <c r="N18" s="100">
        <f>+'1'!N18+'2'!N18+'4'!N18+'3'!N18+'5'!N18+'6'!N18+'7'!N18+'8'!N18+'9'!N18+'10'!N18</f>
        <v>0</v>
      </c>
      <c r="O18" s="100">
        <f>+'1'!O18+'2'!O18+'4'!O18+'3'!O18+'5'!O18+'6'!O18+'7'!O18+'8'!O18+'9'!O18+'10'!O18</f>
        <v>0</v>
      </c>
      <c r="P18" s="119">
        <f t="shared" si="0"/>
        <v>0</v>
      </c>
      <c r="T18" s="162" t="str">
        <f>+'5'!A5</f>
        <v>Customer Name : Jalal Sons  Izmir Town</v>
      </c>
      <c r="U18" s="163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1">
        <f>+'1'!H19+'2'!H19+'4'!H19+'3'!H19+'5'!H19+'6'!H19+'7'!H19+'8'!H19+'9'!H19+'10'!H19+'11'!H19+'12'!H19+'13'!H19+'14'!H19+'15'!H19+'16'!H19</f>
        <v>40</v>
      </c>
      <c r="I19" s="1">
        <f t="shared" si="1"/>
        <v>2905.6</v>
      </c>
      <c r="J19" s="171">
        <f>+'1'!J19+'2'!J19+'4'!J19+'3'!J19+'5'!J19+'6'!J19+'7'!J19+'8'!J19+'9'!J19+'10'!J19+'11'!J19+'12'!J19+'13'!J19+'14'!J19+'15'!J19+'16'!J19+'17'!J19+'18'!J19</f>
        <v>0</v>
      </c>
      <c r="K19" s="171">
        <f>+'1'!K19+'2'!K19+'4'!K19+'3'!K19+'5'!K19+'6'!K19+'7'!K19+'8'!K19+'9'!K19+'10'!K19</f>
        <v>101.69600000000001</v>
      </c>
      <c r="L19" s="174">
        <f>+'1'!L19+'2'!L19+'4'!L19+'3'!L19+'5'!L19+'6'!L19+'7'!L19+'8'!L19+'9'!L19+'10'!L19</f>
        <v>435.84</v>
      </c>
      <c r="M19" s="117">
        <f t="shared" si="2"/>
        <v>2368.0639999999999</v>
      </c>
      <c r="N19" s="100">
        <f>+'1'!N19+'2'!N19+'4'!N19+'3'!N19+'5'!N19+'6'!N19+'7'!N19+'8'!N19+'9'!N19+'10'!N19</f>
        <v>426.25151999999997</v>
      </c>
      <c r="O19" s="100">
        <f>+'1'!O19+'2'!O19+'4'!O19+'3'!O19+'5'!O19+'6'!O19+'7'!O19+'8'!O19+'9'!O19+'10'!O19</f>
        <v>13.971577599999998</v>
      </c>
      <c r="P19" s="119">
        <f t="shared" si="0"/>
        <v>2808.2870975999995</v>
      </c>
      <c r="T19" s="162" t="str">
        <f>+'6'!A5</f>
        <v>Customer Name : Jalal Sons  Izmir Town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1">
        <f>+'1'!H20+'2'!H20+'4'!H20+'3'!H20+'5'!H20+'6'!H20+'7'!H20+'8'!H20+'9'!H20+'10'!H20+'11'!H20+'12'!H20+'13'!H20+'14'!H20+'15'!H20+'16'!H20</f>
        <v>40</v>
      </c>
      <c r="I20" s="1">
        <f t="shared" si="1"/>
        <v>2905.6</v>
      </c>
      <c r="J20" s="171">
        <f>+'1'!J20+'2'!J20+'4'!J20+'3'!J20+'5'!J20+'6'!J20+'7'!J20+'8'!J20+'9'!J20+'10'!J20+'11'!J20+'12'!J20+'13'!J20+'14'!J20+'15'!J20+'16'!J20+'17'!J20+'18'!J20</f>
        <v>0</v>
      </c>
      <c r="K20" s="171">
        <f>+'1'!K20+'2'!K20+'4'!K20+'3'!K20+'5'!K20+'6'!K20+'7'!K20+'8'!K20+'9'!K20+'10'!K20</f>
        <v>101.69600000000001</v>
      </c>
      <c r="L20" s="174">
        <f>+'1'!L20+'2'!L20+'4'!L20+'3'!L20+'5'!L20+'6'!L20+'7'!L20+'8'!L20+'9'!L20+'10'!L20</f>
        <v>435.84</v>
      </c>
      <c r="M20" s="117">
        <f t="shared" si="2"/>
        <v>2368.0639999999999</v>
      </c>
      <c r="N20" s="100">
        <f>+'1'!N20+'2'!N20+'4'!N20+'3'!N20+'5'!N20+'6'!N20+'7'!N20+'8'!N20+'9'!N20+'10'!N20</f>
        <v>426.25151999999997</v>
      </c>
      <c r="O20" s="100">
        <f>+'1'!O20+'2'!O20+'4'!O20+'3'!O20+'5'!O20+'6'!O20+'7'!O20+'8'!O20+'9'!O20+'10'!O20</f>
        <v>13.971577599999998</v>
      </c>
      <c r="P20" s="119">
        <f t="shared" si="0"/>
        <v>2808.2870975999995</v>
      </c>
      <c r="T20" s="162" t="str">
        <f>+'7'!A5</f>
        <v>Customer Name : Jalal Sons  Izmir Town</v>
      </c>
      <c r="U20" s="163">
        <f>+'7'!P35</f>
        <v>0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1">
        <f>+'1'!H21+'2'!H21+'4'!H21+'3'!H21+'5'!H21+'6'!H21+'7'!H21+'8'!H21+'9'!H21+'10'!H21+'11'!H21+'12'!H21+'13'!H21+'14'!H21+'15'!H21+'16'!H21</f>
        <v>40</v>
      </c>
      <c r="I21" s="1">
        <f t="shared" si="1"/>
        <v>2905.6</v>
      </c>
      <c r="J21" s="171">
        <f>+'1'!J21+'2'!J21+'4'!J21+'3'!J21+'5'!J21+'6'!J21+'7'!J21+'8'!J21+'9'!J21+'10'!J21+'11'!J21+'12'!J21+'13'!J21+'14'!J21+'15'!J21+'16'!J21+'17'!J21+'18'!J21</f>
        <v>0</v>
      </c>
      <c r="K21" s="171">
        <f>+'1'!K21+'2'!K21+'4'!K21+'3'!K21+'5'!K21+'6'!K21+'7'!K21+'8'!K21+'9'!K21+'10'!K21</f>
        <v>101.69600000000001</v>
      </c>
      <c r="L21" s="174">
        <f>+'1'!L21+'2'!L21+'4'!L21+'3'!L21+'5'!L21+'6'!L21+'7'!L21+'8'!L21+'9'!L21+'10'!L21</f>
        <v>435.84</v>
      </c>
      <c r="M21" s="117">
        <f t="shared" si="2"/>
        <v>2368.0639999999999</v>
      </c>
      <c r="N21" s="100">
        <f>+'1'!N21+'2'!N21+'4'!N21+'3'!N21+'5'!N21+'6'!N21+'7'!N21+'8'!N21+'9'!N21+'10'!N21</f>
        <v>426.25151999999997</v>
      </c>
      <c r="O21" s="100">
        <f>+'1'!O21+'2'!O21+'4'!O21+'3'!O21+'5'!O21+'6'!O21+'7'!O21+'8'!O21+'9'!O21+'10'!O21</f>
        <v>13.971577599999998</v>
      </c>
      <c r="P21" s="119">
        <f t="shared" si="0"/>
        <v>2808.2870975999995</v>
      </c>
      <c r="T21" s="162" t="str">
        <f>+'8'!A5</f>
        <v>Customer Name : Jalal Sons  Izmir Town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1">
        <f>+'1'!H22+'2'!H22+'4'!H22+'3'!H22+'5'!H22+'6'!H22+'7'!H22+'8'!H22+'9'!H22+'10'!H22+'11'!H22+'12'!H22+'13'!H22+'14'!H22+'15'!H22+'16'!H22</f>
        <v>0</v>
      </c>
      <c r="I22" s="1">
        <f t="shared" si="1"/>
        <v>0</v>
      </c>
      <c r="J22" s="171">
        <f>+'1'!J22+'2'!J22+'4'!J22+'3'!J22+'5'!J22+'6'!J22+'7'!J22+'8'!J22+'9'!J22+'10'!J22+'11'!J22+'12'!J22+'13'!J22+'14'!J22+'15'!J22+'16'!J22+'17'!J22+'18'!J22</f>
        <v>0</v>
      </c>
      <c r="K22" s="171">
        <f>+'1'!K22+'2'!K22+'4'!K22+'3'!K22+'5'!K22+'6'!K22+'7'!K22+'8'!K22+'9'!K22+'10'!K22</f>
        <v>0</v>
      </c>
      <c r="L22" s="174">
        <f>+'1'!L22+'2'!L22+'4'!L22+'3'!L22+'5'!L22+'6'!L22+'7'!L22+'8'!L22+'9'!L22+'10'!L22</f>
        <v>0</v>
      </c>
      <c r="M22" s="117">
        <f t="shared" si="2"/>
        <v>0</v>
      </c>
      <c r="N22" s="100">
        <f>+'1'!N22+'2'!N22+'4'!N22+'3'!N22+'5'!N22+'6'!N22+'7'!N22+'8'!N22+'9'!N22+'10'!N22</f>
        <v>0</v>
      </c>
      <c r="O22" s="100">
        <f>+'1'!O22+'2'!O22+'4'!O22+'3'!O22+'5'!O22+'6'!O22+'7'!O22+'8'!O22+'9'!O22+'10'!O22</f>
        <v>0</v>
      </c>
      <c r="P22" s="119">
        <f t="shared" si="0"/>
        <v>0</v>
      </c>
      <c r="T22" s="162" t="str">
        <f>+'9'!A5</f>
        <v>Customer Name : Jalal Sons  Izmir Town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1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>Customer Name : Jalal Sons  Izmir Town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1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>Customer Name : Jalal Sons  Izmir Town</v>
      </c>
      <c r="U24" s="163">
        <f>+'11'!P35</f>
        <v>0</v>
      </c>
    </row>
    <row r="25" spans="1:21 16384:16384" ht="26.5" thickBot="1" x14ac:dyDescent="0.65">
      <c r="A25" s="225" t="s">
        <v>84</v>
      </c>
      <c r="B25" s="226"/>
      <c r="C25" s="227">
        <f>H25/40</f>
        <v>5</v>
      </c>
      <c r="D25" s="221"/>
      <c r="E25" s="221"/>
      <c r="F25" s="221"/>
      <c r="G25" s="175">
        <f t="shared" ref="G25:M25" si="3">SUM(G16:G24)</f>
        <v>0</v>
      </c>
      <c r="H25" s="176">
        <f t="shared" si="3"/>
        <v>200</v>
      </c>
      <c r="I25" s="177">
        <f t="shared" si="3"/>
        <v>12913.800000000001</v>
      </c>
      <c r="J25" s="176">
        <f t="shared" si="3"/>
        <v>0</v>
      </c>
      <c r="K25" s="177">
        <f t="shared" si="3"/>
        <v>451.98300000000006</v>
      </c>
      <c r="L25" s="178">
        <f t="shared" si="3"/>
        <v>1937.0699999999997</v>
      </c>
      <c r="M25" s="140">
        <f t="shared" si="3"/>
        <v>10524.747000000001</v>
      </c>
      <c r="N25" s="141">
        <f>SUM(N16:N24)</f>
        <v>1894.4544600000002</v>
      </c>
      <c r="O25" s="142">
        <f>SUM(O16:O24)</f>
        <v>62.096007299999989</v>
      </c>
      <c r="P25" s="143">
        <f>SUM(P16:P24)</f>
        <v>12481.297467299999</v>
      </c>
      <c r="T25" s="162" t="str">
        <f>+'12'!A5</f>
        <v>Customer Name : Jalal Sons  Izmir Town</v>
      </c>
      <c r="U25" s="163">
        <f>+'12'!P35</f>
        <v>0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>Customer Name : Jalal Sons  Izmir Town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>Customer Name : Jalal Sons  Izmir Town</v>
      </c>
      <c r="U27" s="163">
        <f>+'14'!P35</f>
        <v>0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>Customer Name : Jalal Sons  Izmir Town</v>
      </c>
      <c r="U28" s="181">
        <f>+'15'!P35</f>
        <v>0</v>
      </c>
    </row>
    <row r="29" spans="1:21 16384:16384" ht="26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80"/>
      <c r="U29" s="181"/>
    </row>
    <row r="30" spans="1:21 16384:16384" ht="26.5" thickBot="1" x14ac:dyDescent="0.65">
      <c r="A30" s="144"/>
      <c r="B30" s="144"/>
      <c r="C30" s="144"/>
      <c r="D30" s="144"/>
      <c r="E30" s="144"/>
      <c r="F30" s="144"/>
      <c r="G30" s="145"/>
      <c r="H30" s="145"/>
      <c r="I30" s="146"/>
      <c r="K30" s="147"/>
      <c r="L30" s="147"/>
      <c r="M30" s="147"/>
      <c r="N30" s="147"/>
      <c r="O30" s="148"/>
      <c r="P30" s="147"/>
      <c r="T30" s="165" t="s">
        <v>84</v>
      </c>
      <c r="U30" s="164">
        <f>SUM(U14:U28)</f>
        <v>12481.297467300003</v>
      </c>
    </row>
    <row r="31" spans="1:21 16384:16384" ht="15" thickBot="1" x14ac:dyDescent="0.4">
      <c r="A31" s="69"/>
      <c r="B31" s="69"/>
      <c r="C31" s="149"/>
      <c r="D31" s="149"/>
      <c r="E31" s="149"/>
      <c r="F31" s="149"/>
      <c r="G31" s="150"/>
      <c r="H31" s="150"/>
    </row>
    <row r="32" spans="1:21 16384:16384" x14ac:dyDescent="0.35">
      <c r="B32" s="228" t="s">
        <v>85</v>
      </c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N32" s="237" t="s">
        <v>86</v>
      </c>
      <c r="O32" s="238"/>
      <c r="P32" s="151">
        <f>I25</f>
        <v>12913.800000000001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N33" s="239" t="s">
        <v>87</v>
      </c>
      <c r="O33" s="240"/>
      <c r="P33" s="152">
        <f>L25</f>
        <v>1937.0699999999997</v>
      </c>
    </row>
    <row r="34" spans="2:16" ht="15" customHeight="1" x14ac:dyDescent="0.35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N34" s="239" t="s">
        <v>4</v>
      </c>
      <c r="O34" s="240"/>
      <c r="P34" s="153">
        <f>K25</f>
        <v>451.98300000000006</v>
      </c>
    </row>
    <row r="35" spans="2:16" ht="15" customHeight="1" x14ac:dyDescent="0.35">
      <c r="B35" s="231"/>
      <c r="C35" s="232"/>
      <c r="D35" s="232"/>
      <c r="E35" s="232"/>
      <c r="F35" s="232"/>
      <c r="G35" s="232"/>
      <c r="H35" s="232"/>
      <c r="I35" s="232"/>
      <c r="J35" s="232"/>
      <c r="K35" s="232"/>
      <c r="L35" s="233"/>
      <c r="M35" s="2"/>
      <c r="N35" s="239" t="s">
        <v>88</v>
      </c>
      <c r="O35" s="240"/>
      <c r="P35" s="152">
        <f>P32-P33-P34</f>
        <v>10524.747000000001</v>
      </c>
    </row>
    <row r="36" spans="2:16" ht="15" customHeight="1" x14ac:dyDescent="0.35">
      <c r="B36" s="231"/>
      <c r="C36" s="232"/>
      <c r="D36" s="232"/>
      <c r="E36" s="232"/>
      <c r="F36" s="232"/>
      <c r="G36" s="232"/>
      <c r="H36" s="232"/>
      <c r="I36" s="232"/>
      <c r="J36" s="232"/>
      <c r="K36" s="232"/>
      <c r="L36" s="233"/>
      <c r="M36" s="2"/>
      <c r="N36" s="154" t="s">
        <v>89</v>
      </c>
      <c r="O36" s="155">
        <f>IF(B12="Registered",18%,22%)</f>
        <v>0.22</v>
      </c>
      <c r="P36" s="152">
        <f>N25</f>
        <v>1894.4544600000002</v>
      </c>
    </row>
    <row r="37" spans="2:16" ht="15" customHeight="1" x14ac:dyDescent="0.35">
      <c r="B37" s="231"/>
      <c r="C37" s="232"/>
      <c r="D37" s="232"/>
      <c r="E37" s="232"/>
      <c r="F37" s="232"/>
      <c r="G37" s="232"/>
      <c r="H37" s="232"/>
      <c r="I37" s="232"/>
      <c r="J37" s="232"/>
      <c r="K37" s="232"/>
      <c r="L37" s="233"/>
      <c r="M37" s="2"/>
      <c r="N37" s="241" t="s">
        <v>90</v>
      </c>
      <c r="O37" s="242"/>
      <c r="P37" s="152">
        <f>P35+P36</f>
        <v>12419.201460000002</v>
      </c>
    </row>
    <row r="38" spans="2:16" ht="15" customHeight="1" thickBot="1" x14ac:dyDescent="0.4">
      <c r="B38" s="234"/>
      <c r="C38" s="235"/>
      <c r="D38" s="235"/>
      <c r="E38" s="235"/>
      <c r="F38" s="235"/>
      <c r="G38" s="235"/>
      <c r="H38" s="235"/>
      <c r="I38" s="235"/>
      <c r="J38" s="235"/>
      <c r="K38" s="235"/>
      <c r="L38" s="236"/>
      <c r="M38" s="156"/>
      <c r="N38" s="157" t="s">
        <v>91</v>
      </c>
      <c r="O38" s="158">
        <f>IF(B11="Filer",0.5%,2.5%)</f>
        <v>2.5000000000000001E-2</v>
      </c>
      <c r="P38" s="152">
        <f>O38*P37</f>
        <v>310.4800365000001</v>
      </c>
    </row>
    <row r="39" spans="2:16" ht="15.75" customHeight="1" thickBot="1" x14ac:dyDescent="0.4">
      <c r="N39" s="219" t="s">
        <v>92</v>
      </c>
      <c r="O39" s="220"/>
      <c r="P39" s="159">
        <f>P37+P38</f>
        <v>12729.681496500001</v>
      </c>
    </row>
    <row r="40" spans="2:16" ht="15" thickBot="1" x14ac:dyDescent="0.4">
      <c r="B40" s="160" t="s">
        <v>93</v>
      </c>
      <c r="C40" s="221"/>
      <c r="D40" s="221"/>
      <c r="E40" s="221"/>
      <c r="F40" s="221"/>
      <c r="G40" s="221"/>
      <c r="H40" s="221"/>
      <c r="I40" s="222"/>
      <c r="J40" s="223"/>
      <c r="K40" s="224"/>
    </row>
    <row r="41" spans="2:16" ht="15.75" customHeight="1" x14ac:dyDescent="0.35"/>
  </sheetData>
  <mergeCells count="47"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topLeftCell="A7" workbookViewId="0">
      <selection activeCell="K19" sqref="K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10.816406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2695312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46214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105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46213</v>
      </c>
      <c r="O5" s="200"/>
      <c r="P5" s="200"/>
      <c r="R5" s="70"/>
      <c r="S5" s="71"/>
    </row>
    <row r="6" spans="1:19 16383:16384" ht="15" customHeight="1" x14ac:dyDescent="0.35">
      <c r="A6" s="201" t="s">
        <v>106</v>
      </c>
      <c r="B6" s="201"/>
      <c r="C6" s="201"/>
      <c r="F6" s="70"/>
      <c r="G6" s="74"/>
      <c r="K6" s="201" t="s">
        <v>52</v>
      </c>
      <c r="L6" s="201"/>
      <c r="M6" s="201"/>
      <c r="N6" s="203" t="s">
        <v>101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104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7">
        <v>3520255124113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0.15</v>
      </c>
      <c r="M15" s="250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I16*3.5%</f>
        <v>73.447500000000005</v>
      </c>
      <c r="L16" s="104">
        <f>I16*15%</f>
        <v>314.77499999999998</v>
      </c>
      <c r="M16" s="105">
        <f>I16-K16-L16</f>
        <v>1710.2775000000001</v>
      </c>
      <c r="N16" s="105">
        <f t="shared" ref="N16:N24" si="0">(M16*$N$15)+(J16*F16)*$N$15</f>
        <v>307.84995000000004</v>
      </c>
      <c r="O16" s="106">
        <f t="shared" ref="O16:O24" si="1">(N16+M16)*$O$15</f>
        <v>10.09063725</v>
      </c>
      <c r="P16" s="104">
        <f t="shared" ref="P16:P24" si="2">M16+N16+O16</f>
        <v>2028.2180872500003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40</v>
      </c>
      <c r="I17" s="115">
        <f t="shared" ref="I17:I23" si="3">(G17*D17)*F17+H17*F17</f>
        <v>2098.5</v>
      </c>
      <c r="J17" s="116"/>
      <c r="K17" s="103">
        <f t="shared" ref="K17:K21" si="4">I17*3.5%</f>
        <v>73.447500000000005</v>
      </c>
      <c r="L17" s="104">
        <f t="shared" ref="L17:L21" si="5">I17*15%</f>
        <v>314.77499999999998</v>
      </c>
      <c r="M17" s="117">
        <f t="shared" ref="M17:M23" si="6">I17-K17-L17</f>
        <v>1710.2775000000001</v>
      </c>
      <c r="N17" s="117">
        <f t="shared" si="0"/>
        <v>307.84995000000004</v>
      </c>
      <c r="O17" s="118">
        <f t="shared" si="1"/>
        <v>10.09063725</v>
      </c>
      <c r="P17" s="119">
        <f t="shared" si="2"/>
        <v>2028.2180872500003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3"/>
        <v>0</v>
      </c>
      <c r="J18" s="116"/>
      <c r="K18" s="103">
        <f t="shared" si="4"/>
        <v>0</v>
      </c>
      <c r="L18" s="104">
        <f t="shared" si="5"/>
        <v>0</v>
      </c>
      <c r="M18" s="117">
        <f t="shared" si="6"/>
        <v>0</v>
      </c>
      <c r="N18" s="117">
        <f t="shared" si="0"/>
        <v>0</v>
      </c>
      <c r="O18" s="118">
        <f t="shared" si="1"/>
        <v>0</v>
      </c>
      <c r="P18" s="119">
        <f t="shared" si="2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40</v>
      </c>
      <c r="I19" s="115">
        <f t="shared" si="3"/>
        <v>2905.6</v>
      </c>
      <c r="J19" s="116"/>
      <c r="K19" s="103">
        <f t="shared" si="4"/>
        <v>101.69600000000001</v>
      </c>
      <c r="L19" s="104">
        <f t="shared" si="5"/>
        <v>435.84</v>
      </c>
      <c r="M19" s="117">
        <f t="shared" si="6"/>
        <v>2368.0639999999999</v>
      </c>
      <c r="N19" s="117">
        <f t="shared" si="0"/>
        <v>426.25151999999997</v>
      </c>
      <c r="O19" s="118">
        <f t="shared" si="1"/>
        <v>13.971577599999998</v>
      </c>
      <c r="P19" s="119">
        <f t="shared" si="2"/>
        <v>2808.2870975999995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40</v>
      </c>
      <c r="I20" s="115">
        <f t="shared" si="3"/>
        <v>2905.6</v>
      </c>
      <c r="J20" s="116"/>
      <c r="K20" s="103">
        <f t="shared" si="4"/>
        <v>101.69600000000001</v>
      </c>
      <c r="L20" s="104">
        <f t="shared" si="5"/>
        <v>435.84</v>
      </c>
      <c r="M20" s="117">
        <f t="shared" si="6"/>
        <v>2368.0639999999999</v>
      </c>
      <c r="N20" s="117">
        <f t="shared" si="0"/>
        <v>426.25151999999997</v>
      </c>
      <c r="O20" s="118">
        <f t="shared" si="1"/>
        <v>13.971577599999998</v>
      </c>
      <c r="P20" s="119">
        <f t="shared" si="2"/>
        <v>2808.2870975999995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40</v>
      </c>
      <c r="I21" s="115">
        <f t="shared" si="3"/>
        <v>2905.6</v>
      </c>
      <c r="J21" s="116"/>
      <c r="K21" s="103">
        <f t="shared" si="4"/>
        <v>101.69600000000001</v>
      </c>
      <c r="L21" s="104">
        <f t="shared" si="5"/>
        <v>435.84</v>
      </c>
      <c r="M21" s="117">
        <f t="shared" si="6"/>
        <v>2368.0639999999999</v>
      </c>
      <c r="N21" s="117">
        <f t="shared" si="0"/>
        <v>426.25151999999997</v>
      </c>
      <c r="O21" s="118">
        <f t="shared" si="1"/>
        <v>13.971577599999998</v>
      </c>
      <c r="P21" s="119">
        <f t="shared" si="2"/>
        <v>2808.2870975999995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3"/>
        <v>0</v>
      </c>
      <c r="J22" s="116"/>
      <c r="K22" s="1">
        <f>I22*8.6%</f>
        <v>0</v>
      </c>
      <c r="L22" s="119">
        <f>I22*5%</f>
        <v>0</v>
      </c>
      <c r="M22" s="117">
        <f t="shared" si="6"/>
        <v>0</v>
      </c>
      <c r="N22" s="117">
        <f t="shared" si="0"/>
        <v>0</v>
      </c>
      <c r="O22" s="118">
        <f t="shared" si="1"/>
        <v>0</v>
      </c>
      <c r="P22" s="119">
        <f t="shared" si="2"/>
        <v>0</v>
      </c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200</v>
      </c>
      <c r="I25" s="136">
        <f t="shared" si="9"/>
        <v>12913.800000000001</v>
      </c>
      <c r="J25" s="137"/>
      <c r="K25" s="138">
        <f t="shared" si="9"/>
        <v>451.98300000000006</v>
      </c>
      <c r="L25" s="139">
        <f t="shared" si="9"/>
        <v>1937.0699999999997</v>
      </c>
      <c r="M25" s="140">
        <f t="shared" si="9"/>
        <v>10524.747000000001</v>
      </c>
      <c r="N25" s="141">
        <f>SUM(N16:N24)</f>
        <v>1894.4544600000002</v>
      </c>
      <c r="O25" s="142">
        <f>SUM(O16:O24)</f>
        <v>62.096007299999989</v>
      </c>
      <c r="P25" s="143">
        <f>SUM(P16:P24)</f>
        <v>12481.297467299999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12913.800000000001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1937.0699999999997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451.98300000000006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10524.747000000001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0.18</v>
      </c>
      <c r="P32" s="152">
        <f>N25</f>
        <v>1894.4544600000002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12419.201460000002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5.0000000000000001E-3</v>
      </c>
      <c r="P34" s="152">
        <f>O34*P33</f>
        <v>62.096007300000011</v>
      </c>
    </row>
    <row r="35" spans="2:16" ht="15.75" customHeight="1" thickBot="1" x14ac:dyDescent="0.4">
      <c r="N35" s="219" t="s">
        <v>92</v>
      </c>
      <c r="O35" s="220"/>
      <c r="P35" s="159">
        <f>P33+P34</f>
        <v>12481.297467300003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4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2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46214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105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46213</v>
      </c>
      <c r="O5" s="200"/>
      <c r="P5" s="200"/>
      <c r="R5" s="70"/>
      <c r="S5" s="71"/>
    </row>
    <row r="6" spans="1:19 16383:16384" ht="15" customHeight="1" x14ac:dyDescent="0.35">
      <c r="A6" s="201" t="s">
        <v>106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104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7">
        <v>3520255124113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0.15</v>
      </c>
      <c r="M15" s="250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5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4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46214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105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46213</v>
      </c>
      <c r="O5" s="200"/>
      <c r="P5" s="200"/>
      <c r="R5" s="70"/>
      <c r="S5" s="71"/>
    </row>
    <row r="6" spans="1:19 16383:16384" ht="15" customHeight="1" x14ac:dyDescent="0.35">
      <c r="A6" s="201" t="s">
        <v>106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8" t="s">
        <v>104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56">
        <v>3520255124113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0.15</v>
      </c>
      <c r="M15" s="250"/>
      <c r="N15" s="91">
        <f>IF(B12="Registered",18%,22%)</f>
        <v>0.22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83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3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3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46214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105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46213</v>
      </c>
      <c r="O5" s="200"/>
      <c r="P5" s="200"/>
      <c r="R5" s="70"/>
      <c r="S5" s="71"/>
    </row>
    <row r="6" spans="1:19 16383:16384" ht="15" customHeight="1" x14ac:dyDescent="0.35">
      <c r="A6" s="201" t="s">
        <v>106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104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3520255124113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0.15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81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5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46214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105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46213</v>
      </c>
      <c r="O5" s="200"/>
      <c r="P5" s="200"/>
      <c r="R5" s="70"/>
      <c r="S5" s="71"/>
    </row>
    <row r="6" spans="1:19 16383:16384" ht="15" customHeight="1" x14ac:dyDescent="0.35">
      <c r="A6" s="201" t="s">
        <v>106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8" t="s">
        <v>104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3520255124113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0.15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81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5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6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46214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105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46213</v>
      </c>
      <c r="O5" s="200"/>
      <c r="P5" s="200"/>
      <c r="R5" s="70"/>
      <c r="S5" s="71"/>
    </row>
    <row r="6" spans="1:19 16383:16384" ht="15" customHeight="1" x14ac:dyDescent="0.35">
      <c r="A6" s="201" t="s">
        <v>106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104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3520255124113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0.15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83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6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7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46214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105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46213</v>
      </c>
      <c r="O5" s="200"/>
      <c r="P5" s="200"/>
      <c r="R5" s="70"/>
      <c r="S5" s="71"/>
    </row>
    <row r="6" spans="1:19 16383:16384" ht="15" customHeight="1" x14ac:dyDescent="0.35">
      <c r="A6" s="201" t="s">
        <v>106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8" t="s">
        <v>104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3520255124113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0.15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81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8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46214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105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46213</v>
      </c>
      <c r="O5" s="200"/>
      <c r="P5" s="200"/>
      <c r="R5" s="70"/>
      <c r="S5" s="71"/>
    </row>
    <row r="6" spans="1:19 16383:16384" ht="15" customHeight="1" x14ac:dyDescent="0.35">
      <c r="A6" s="201" t="s">
        <v>106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104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3520255124113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0.15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9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46214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105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46213</v>
      </c>
      <c r="O5" s="200"/>
      <c r="P5" s="200"/>
      <c r="R5" s="70"/>
      <c r="S5" s="71"/>
    </row>
    <row r="6" spans="1:19 16383:16384" ht="15" customHeight="1" x14ac:dyDescent="0.35">
      <c r="A6" s="201" t="s">
        <v>106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6" t="s">
        <v>104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3520255124113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0.15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83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46214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105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46213</v>
      </c>
      <c r="O5" s="200"/>
      <c r="P5" s="200"/>
      <c r="R5" s="70"/>
      <c r="S5" s="71"/>
    </row>
    <row r="6" spans="1:19 16383:16384" ht="15" customHeight="1" x14ac:dyDescent="0.35">
      <c r="A6" s="201" t="s">
        <v>106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104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3520255124113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0.15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83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46214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105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46213</v>
      </c>
      <c r="O5" s="200"/>
      <c r="P5" s="200"/>
      <c r="R5" s="70"/>
      <c r="S5" s="71"/>
    </row>
    <row r="6" spans="1:19 16383:16384" ht="15" customHeight="1" x14ac:dyDescent="0.35">
      <c r="A6" s="201" t="s">
        <v>106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104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3520255124113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0.15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83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46214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105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46213</v>
      </c>
      <c r="O5" s="200"/>
      <c r="P5" s="200"/>
      <c r="R5" s="70"/>
      <c r="S5" s="71"/>
    </row>
    <row r="6" spans="1:19 16383:16384" ht="15" customHeight="1" x14ac:dyDescent="0.35">
      <c r="A6" s="201" t="s">
        <v>106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104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3520255124113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0.15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83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46214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105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46213</v>
      </c>
      <c r="O5" s="200"/>
      <c r="P5" s="200"/>
      <c r="R5" s="70"/>
      <c r="S5" s="71"/>
    </row>
    <row r="6" spans="1:19 16383:16384" ht="15" customHeight="1" x14ac:dyDescent="0.35">
      <c r="A6" s="201" t="s">
        <v>106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104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75">
        <v>3520255124113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0.15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46214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105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46213</v>
      </c>
      <c r="O5" s="200"/>
      <c r="P5" s="200"/>
      <c r="R5" s="70"/>
      <c r="S5" s="71"/>
    </row>
    <row r="6" spans="1:19 16383:16384" ht="15" customHeight="1" x14ac:dyDescent="0.35">
      <c r="A6" s="201" t="s">
        <v>106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104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3520255124113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0.15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46214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105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46213</v>
      </c>
      <c r="O5" s="200"/>
      <c r="P5" s="200"/>
      <c r="R5" s="70"/>
      <c r="S5" s="71"/>
    </row>
    <row r="6" spans="1:19 16383:16384" ht="15" customHeight="1" x14ac:dyDescent="0.35">
      <c r="A6" s="201" t="s">
        <v>106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79" t="s">
        <v>104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3520255124113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0.15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46214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105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46213</v>
      </c>
      <c r="O5" s="200"/>
      <c r="P5" s="200"/>
      <c r="R5" s="70"/>
      <c r="S5" s="71"/>
    </row>
    <row r="6" spans="1:19 16383:16384" ht="15" customHeight="1" x14ac:dyDescent="0.35">
      <c r="A6" s="201" t="s">
        <v>106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104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3520255124113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0.15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46214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105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46213</v>
      </c>
      <c r="O5" s="200"/>
      <c r="P5" s="200"/>
      <c r="R5" s="70"/>
      <c r="S5" s="71"/>
    </row>
    <row r="6" spans="1:19 16383:16384" ht="15" customHeight="1" x14ac:dyDescent="0.35">
      <c r="A6" s="201" t="s">
        <v>106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104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3520255124113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0.15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46214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105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46213</v>
      </c>
      <c r="O5" s="200"/>
      <c r="P5" s="200"/>
      <c r="R5" s="70"/>
      <c r="S5" s="71"/>
    </row>
    <row r="6" spans="1:19 16383:16384" ht="15" customHeight="1" x14ac:dyDescent="0.35">
      <c r="A6" s="201" t="s">
        <v>106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104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3520255124113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0.15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46214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105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46213</v>
      </c>
      <c r="O5" s="200"/>
      <c r="P5" s="200"/>
      <c r="R5" s="70"/>
      <c r="S5" s="71"/>
    </row>
    <row r="6" spans="1:19 16383:16384" ht="15" customHeight="1" x14ac:dyDescent="0.35">
      <c r="A6" s="201" t="s">
        <v>106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104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3520255124113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0.15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46214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105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46213</v>
      </c>
      <c r="O5" s="200"/>
      <c r="P5" s="200"/>
      <c r="R5" s="70"/>
      <c r="S5" s="71"/>
    </row>
    <row r="6" spans="1:19 16383:16384" ht="15" customHeight="1" x14ac:dyDescent="0.35">
      <c r="A6" s="201" t="s">
        <v>106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104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3520255124113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0.15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2026-07-11T05:32:49Z</dcterms:modified>
</cp:coreProperties>
</file>