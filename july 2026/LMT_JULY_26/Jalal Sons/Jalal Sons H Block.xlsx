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15AD87E2-CC4D-40C8-8145-BFBDBF9EAA66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I19" i="16" l="1"/>
  <c r="L19" i="16" s="1"/>
  <c r="L17" i="17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M21" i="35" s="1"/>
  <c r="K22" i="35"/>
  <c r="L22" i="35"/>
  <c r="M22" i="35"/>
  <c r="K23" i="35"/>
  <c r="L23" i="35"/>
  <c r="M23" i="35" s="1"/>
  <c r="K24" i="35"/>
  <c r="M24" i="35" s="1"/>
  <c r="L24" i="35"/>
  <c r="K17" i="34"/>
  <c r="K18" i="34"/>
  <c r="K19" i="34"/>
  <c r="K21" i="34"/>
  <c r="K22" i="34"/>
  <c r="L22" i="34"/>
  <c r="K23" i="34"/>
  <c r="M23" i="34"/>
  <c r="L23" i="34"/>
  <c r="K24" i="34"/>
  <c r="K21" i="33"/>
  <c r="K22" i="33"/>
  <c r="M22" i="33" s="1"/>
  <c r="L22" i="33"/>
  <c r="K19" i="33"/>
  <c r="K23" i="33"/>
  <c r="K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M17" i="31"/>
  <c r="K21" i="31"/>
  <c r="K22" i="31"/>
  <c r="L22" i="31"/>
  <c r="M22" i="31" s="1"/>
  <c r="K24" i="31"/>
  <c r="L24" i="31"/>
  <c r="M24" i="31" s="1"/>
  <c r="K16" i="31"/>
  <c r="K18" i="31"/>
  <c r="K20" i="31"/>
  <c r="L23" i="31"/>
  <c r="K18" i="30"/>
  <c r="K20" i="30"/>
  <c r="K21" i="30"/>
  <c r="M21" i="30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/>
  <c r="L24" i="29"/>
  <c r="K17" i="29"/>
  <c r="K20" i="29"/>
  <c r="K22" i="29"/>
  <c r="M22" i="29" s="1"/>
  <c r="L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N19" i="34" s="1"/>
  <c r="O19" i="34" s="1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N19" i="35" s="1"/>
  <c r="O19" i="35" s="1"/>
  <c r="M19" i="31"/>
  <c r="M20" i="31"/>
  <c r="N20" i="31" s="1"/>
  <c r="O20" i="31" s="1"/>
  <c r="M20" i="33"/>
  <c r="N20" i="33" s="1"/>
  <c r="O20" i="33" s="1"/>
  <c r="M20" i="35"/>
  <c r="N20" i="35" s="1"/>
  <c r="O20" i="35" s="1"/>
  <c r="P20" i="35" s="1"/>
  <c r="M21" i="29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L22" i="26"/>
  <c r="K23" i="26"/>
  <c r="L23" i="26"/>
  <c r="K20" i="26"/>
  <c r="K21" i="26"/>
  <c r="K24" i="26"/>
  <c r="L24" i="26"/>
  <c r="M24" i="26" s="1"/>
  <c r="K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I16" i="25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K20" i="25"/>
  <c r="K16" i="25"/>
  <c r="K24" i="25"/>
  <c r="L22" i="25"/>
  <c r="K17" i="25"/>
  <c r="L23" i="25"/>
  <c r="K23" i="25"/>
  <c r="K17" i="24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2" i="19"/>
  <c r="L22" i="19"/>
  <c r="K21" i="19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3" i="19" l="1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16" i="24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22" i="18"/>
  <c r="O22" i="18" s="1"/>
  <c r="M16" i="17"/>
  <c r="I23" i="15"/>
  <c r="K20" i="16" l="1"/>
  <c r="L20" i="16"/>
  <c r="K16" i="16"/>
  <c r="K16" i="15" s="1"/>
  <c r="M16" i="15" s="1"/>
  <c r="L16" i="16"/>
  <c r="L16" i="15" s="1"/>
  <c r="K18" i="16"/>
  <c r="L18" i="16"/>
  <c r="L21" i="16"/>
  <c r="L21" i="15" s="1"/>
  <c r="K22" i="15"/>
  <c r="M19" i="18"/>
  <c r="N19" i="18" s="1"/>
  <c r="O19" i="18" s="1"/>
  <c r="K18" i="15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M18" i="15" s="1"/>
  <c r="L20" i="15"/>
  <c r="L25" i="21"/>
  <c r="P29" i="21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6" l="1"/>
  <c r="N16" i="16" s="1"/>
  <c r="M21" i="15"/>
  <c r="N16" i="18"/>
  <c r="N16" i="15" s="1"/>
  <c r="M18" i="16"/>
  <c r="N18" i="16" s="1"/>
  <c r="N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O18" i="16" l="1"/>
  <c r="O18" i="15" s="1"/>
  <c r="N22" i="15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<sst xmlns="http://schemas.openxmlformats.org/spreadsheetml/2006/main" count="1579" uniqueCount="108">
  <si>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</si>
  <si>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</si>
  <si>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</si>
  <si>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</si>
  <si>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</si>
  <si>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</si>
  <si>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</si>
  <si>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</si>
  <si>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</si>
  <si>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</si>
  <si>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</si>
  <si>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</si>
  <si>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</si>
  <si>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</si>
  <si>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</si>
  <si>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</si>
  <si>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</si>
  <si>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</si>
  <si>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</si>
  <si>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</si>
  <si>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</si>
  <si>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</si>
  <si>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</si>
  <si>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</si>
  <si>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</si>
  <si>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</si>
  <si>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</si>
  <si>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</si>
  <si>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</si>
  <si>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</si>
  <si>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</si>
  <si>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</si>
  <si>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</si>
  <si>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</si>
  <si>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</si>
  <si>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</si>
  <si>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</si>
  <si>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</si>
  <si>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</si>
  <si>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</si>
  <si>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</si>
  <si>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</si>
  <si>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</si>
  <si>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</si>
  <si>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</si>
  <si>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</si>
  <si>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</si>
  <si>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</si>
  <si>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</si>
  <si>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</si>
  <si>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</si>
  <si>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</si>
  <si>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</si>
  <si>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</si>
  <si>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</si>
  <si>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</si>
  <si>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</si>
  <si>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</si>
  <si>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</si>
  <si>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</si>
  <si>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</si>
  <si>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</si>
  <si>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</si>
  <si>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</si>
  <si>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</si>
  <si>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</si>
  <si>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</si>
  <si>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</si>
  <si>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</si>
  <si>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</si>
  <si>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</si>
  <si>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</si>
  <si>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</si>
  <si>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</si>
  <si>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</si>
  <si>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</si>
  <si>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</si>
  <si>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</si>
  <si>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</si>
  <si>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</si>
  <si>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</si>
  <si>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</si>
  <si>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</si>
  <si>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</si>
  <si>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</si>
  <si>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</si>
  <si>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</si>
  <si>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</si>
  <si>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</si>
  <si>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</si>
  <si>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</si>
  <si>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</si>
  <si>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</si>
  <si>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</si>
  <si>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</si>
  <si>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</si>
  <si>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</si>
  <si>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</si>
  <si>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</si>
  <si>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</si>
  <si>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</si>
  <si>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</si>
  <si>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Vacant_01</t>
  </si>
  <si>
    <t>Shop Bill Summary (Vacant_01)</t>
  </si>
  <si>
    <t>1010737-1</t>
  </si>
  <si>
    <t xml:space="preserve">Customer Name : Jalal Sons </t>
  </si>
  <si>
    <t xml:space="preserve">Address: DHA H Block </t>
  </si>
  <si>
    <t xml:space="preserve">Customer Name : Jalal Sons  H Block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</si>
</sst>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3" sqref="B13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B13" sqref="B13"/>
      <selection pane="topRight" activeCell="B13" sqref="B13"/>
      <selection pane="bottomLeft" activeCell="B13" sqref="B13"/>
      <selection pane="bottomRight" activeCell="B13" sqref="B13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zoomScale="70" zoomScaleNormal="70" workbookViewId="0">
      <selection activeCell="B13" sqref="B1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102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103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 xml:space="preserve">Customer Name : Jalal Sons  H Block </v>
      </c>
      <c r="U14" s="163">
        <f>+'1'!P35</f>
        <v>8786.6651519999978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39"/>
      <c r="J15" s="170" t="s">
        <v>78</v>
      </c>
      <c r="K15" s="170" t="s">
        <v>79</v>
      </c>
      <c r="L15" s="173" t="s">
        <v>80</v>
      </c>
      <c r="M15" s="23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 xml:space="preserve">Customer Name : Jalal Sons 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</f>
        <v>0</v>
      </c>
      <c r="I16" s="1">
        <f>(G16*D16)*F16+H16*F16</f>
        <v>0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0</v>
      </c>
      <c r="M16" s="105">
        <f>I16-K16-L16</f>
        <v>0</v>
      </c>
      <c r="N16" s="100">
        <f>+'1'!N16+'2'!N16+'4'!N16+'3'!N16+'5'!N16+'6'!N16+'7'!N16+'8'!N16+'9'!N16+'10'!N16</f>
        <v>0</v>
      </c>
      <c r="O16" s="100">
        <f>+'1'!O16+'2'!O16+'4'!O16+'3'!O16+'5'!O16+'6'!O16+'7'!O16+'8'!O16+'9'!O16+'10'!O16</f>
        <v>0</v>
      </c>
      <c r="P16" s="104">
        <f t="shared" ref="P16:P24" si="0">M16+N16+O16</f>
        <v>0</v>
      </c>
      <c r="Q16" s="107"/>
      <c r="T16" s="162" t="str">
        <f>+'4'!A5</f>
        <v xml:space="preserve">Customer Name : Jalal Sons 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7">
        <f t="shared" ref="M17:M23" si="2">I17-K17-L17</f>
        <v>0</v>
      </c>
      <c r="N17" s="100">
        <f>+'1'!N17+'2'!N17+'4'!N17+'3'!N17+'5'!N17+'6'!N17+'7'!N17+'8'!N17+'9'!N17+'10'!N17</f>
        <v>0</v>
      </c>
      <c r="O17" s="100">
        <f>+'1'!O17+'2'!O17+'4'!O17+'3'!O17+'5'!O17+'6'!O17+'7'!O17+'8'!O17+'9'!O17+'10'!O17</f>
        <v>0</v>
      </c>
      <c r="P17" s="119">
        <f t="shared" si="0"/>
        <v>0</v>
      </c>
      <c r="S17" s="64"/>
      <c r="T17" s="162" t="str">
        <f>+'3'!A5</f>
        <v xml:space="preserve">Customer Name : Jalal Sons 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 xml:space="preserve">Customer Name : Jalal Sons 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</f>
        <v>40</v>
      </c>
      <c r="I19" s="1">
        <f t="shared" si="1"/>
        <v>2905.6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435.84</v>
      </c>
      <c r="M19" s="117">
        <f t="shared" si="2"/>
        <v>2469.7599999999998</v>
      </c>
      <c r="N19" s="100">
        <f>+'1'!N19+'2'!N19+'4'!N19+'3'!N19+'5'!N19+'6'!N19+'7'!N19+'8'!N19+'9'!N19+'10'!N19</f>
        <v>444.55679999999995</v>
      </c>
      <c r="O19" s="100">
        <f>+'1'!O19+'2'!O19+'4'!O19+'3'!O19+'5'!O19+'6'!O19+'7'!O19+'8'!O19+'9'!O19+'10'!O19</f>
        <v>14.571583999999998</v>
      </c>
      <c r="P19" s="119">
        <f t="shared" si="0"/>
        <v>2928.8883839999994</v>
      </c>
      <c r="T19" s="162" t="str">
        <f>+'6'!A5</f>
        <v xml:space="preserve">Customer Name : Jalal Sons 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</f>
        <v>40</v>
      </c>
      <c r="I20" s="1">
        <f t="shared" si="1"/>
        <v>2905.6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435.84</v>
      </c>
      <c r="M20" s="117">
        <f t="shared" si="2"/>
        <v>2469.7599999999998</v>
      </c>
      <c r="N20" s="100">
        <f>+'1'!N20+'2'!N20+'4'!N20+'3'!N20+'5'!N20+'6'!N20+'7'!N20+'8'!N20+'9'!N20+'10'!N20</f>
        <v>444.55679999999995</v>
      </c>
      <c r="O20" s="100">
        <f>+'1'!O20+'2'!O20+'4'!O20+'3'!O20+'5'!O20+'6'!O20+'7'!O20+'8'!O20+'9'!O20+'10'!O20</f>
        <v>14.571583999999998</v>
      </c>
      <c r="P20" s="119">
        <f t="shared" si="0"/>
        <v>2928.8883839999994</v>
      </c>
      <c r="T20" s="162" t="str">
        <f>+'7'!A5</f>
        <v xml:space="preserve">Customer Name : Jalal Sons 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</f>
        <v>40</v>
      </c>
      <c r="I21" s="1">
        <f t="shared" si="1"/>
        <v>2905.6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435.84</v>
      </c>
      <c r="M21" s="117">
        <f t="shared" si="2"/>
        <v>2469.7599999999998</v>
      </c>
      <c r="N21" s="100">
        <f>+'1'!N21+'2'!N21+'4'!N21+'3'!N21+'5'!N21+'6'!N21+'7'!N21+'8'!N21+'9'!N21+'10'!N21</f>
        <v>444.55679999999995</v>
      </c>
      <c r="O21" s="100">
        <f>+'1'!O21+'2'!O21+'4'!O21+'3'!O21+'5'!O21+'6'!O21+'7'!O21+'8'!O21+'9'!O21+'10'!O21</f>
        <v>14.571583999999998</v>
      </c>
      <c r="P21" s="119">
        <f t="shared" si="0"/>
        <v>2928.8883839999994</v>
      </c>
      <c r="T21" s="162" t="str">
        <f>+'8'!A5</f>
        <v xml:space="preserve">Customer Name : Jalal Sons 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 xml:space="preserve">Customer Name : Jalal Sons 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 xml:space="preserve">Customer Name : Jalal Sons 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 xml:space="preserve">Customer Name : Jalal Sons </v>
      </c>
      <c r="U24" s="163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3</v>
      </c>
      <c r="D25" s="205"/>
      <c r="E25" s="205"/>
      <c r="F25" s="205"/>
      <c r="G25" s="175">
        <f t="shared" ref="G25:M25" si="3">SUM(G16:G24)</f>
        <v>0</v>
      </c>
      <c r="H25" s="176">
        <f t="shared" si="3"/>
        <v>120</v>
      </c>
      <c r="I25" s="177">
        <f t="shared" si="3"/>
        <v>8716.7999999999993</v>
      </c>
      <c r="J25" s="176">
        <f t="shared" si="3"/>
        <v>0</v>
      </c>
      <c r="K25" s="177">
        <f t="shared" si="3"/>
        <v>0</v>
      </c>
      <c r="L25" s="178">
        <f t="shared" si="3"/>
        <v>1307.52</v>
      </c>
      <c r="M25" s="140">
        <f t="shared" si="3"/>
        <v>7409.2799999999988</v>
      </c>
      <c r="N25" s="141">
        <f>SUM(N16:N24)</f>
        <v>1333.6704</v>
      </c>
      <c r="O25" s="142">
        <f>SUM(O16:O24)</f>
        <v>43.71475199999999</v>
      </c>
      <c r="P25" s="143">
        <f>SUM(P16:P24)</f>
        <v>8786.6651519999978</v>
      </c>
      <c r="T25" s="162" t="str">
        <f>+'12'!A5</f>
        <v xml:space="preserve">Customer Name : Jalal Sons 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 xml:space="preserve">Customer Name : Jalal Sons 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 xml:space="preserve">Customer Name : Jalal Sons 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 xml:space="preserve">Customer Name : Jalal Sons 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/>
      <c r="U29" s="181"/>
    </row>
    <row r="30" spans="1:21 16384:16384" ht="26.5" thickBot="1" x14ac:dyDescent="0.65">
      <c r="A30" s="144"/>
      <c r="B30" s="144"/>
      <c r="C30" s="144"/>
      <c r="D30" s="144"/>
      <c r="E30" s="144"/>
      <c r="F30" s="144"/>
      <c r="G30" s="145"/>
      <c r="H30" s="145"/>
      <c r="I30" s="146"/>
      <c r="K30" s="147"/>
      <c r="L30" s="147"/>
      <c r="M30" s="147"/>
      <c r="N30" s="147"/>
      <c r="O30" s="148"/>
      <c r="P30" s="147"/>
      <c r="T30" s="165" t="s">
        <v>84</v>
      </c>
      <c r="U30" s="164">
        <f>SUM(U14:U28)</f>
        <v>8786.6651519999978</v>
      </c>
    </row>
    <row r="31" spans="1:21 16384:16384" ht="15" thickBot="1" x14ac:dyDescent="0.4">
      <c r="A31" s="69"/>
      <c r="B31" s="69"/>
      <c r="C31" s="149"/>
      <c r="D31" s="149"/>
      <c r="E31" s="149"/>
      <c r="F31" s="149"/>
      <c r="G31" s="150"/>
      <c r="H31" s="150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1">
        <f>I25</f>
        <v>8716.7999999999993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2">
        <f>L25</f>
        <v>1307.52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3">
        <f>K25</f>
        <v>0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2">
        <f>P32-P33-P34</f>
        <v>7409.2799999999988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4" t="s">
        <v>89</v>
      </c>
      <c r="O36" s="155">
        <f>IF(B12="Registered",18%,22%)</f>
        <v>0.22</v>
      </c>
      <c r="P36" s="152">
        <f>N25</f>
        <v>1333.6704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2">
        <f>P35+P36</f>
        <v>8742.9503999999979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6"/>
      <c r="N38" s="157" t="s">
        <v>91</v>
      </c>
      <c r="O38" s="158">
        <f>IF(B11="Filer",0.5%,2.5%)</f>
        <v>2.5000000000000001E-2</v>
      </c>
      <c r="P38" s="152">
        <f>O38*P37</f>
        <v>218.57375999999996</v>
      </c>
    </row>
    <row r="39" spans="2:16" ht="15.75" customHeight="1" thickBot="1" x14ac:dyDescent="0.4">
      <c r="N39" s="203" t="s">
        <v>92</v>
      </c>
      <c r="O39" s="204"/>
      <c r="P39" s="159">
        <f>P37+P38</f>
        <v>8961.5241599999972</v>
      </c>
    </row>
    <row r="40" spans="2:16" ht="15" thickBot="1" x14ac:dyDescent="0.4">
      <c r="B40" s="160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F5" sqref="F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107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101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7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 t="shared" ref="O16:O24" si="1">(N16+M16)*$O$15</f>
        <v>0</v>
      </c>
      <c r="P16" s="104">
        <f t="shared" ref="P16:P24" si="2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3">(G17*D17)*F17+H17*F17</f>
        <v>0</v>
      </c>
      <c r="J17" s="116"/>
      <c r="K17" s="1">
        <f t="shared" ref="K17:K21" si="4">I17*$K$13</f>
        <v>0</v>
      </c>
      <c r="L17" s="104">
        <f t="shared" ref="L17:L21" si="5">I17*15%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si="1"/>
        <v>0</v>
      </c>
      <c r="P17" s="119">
        <f t="shared" si="2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3"/>
        <v>2905.6</v>
      </c>
      <c r="J19" s="116"/>
      <c r="K19" s="1">
        <f t="shared" si="4"/>
        <v>0</v>
      </c>
      <c r="L19" s="104">
        <f t="shared" si="5"/>
        <v>435.84</v>
      </c>
      <c r="M19" s="117">
        <f t="shared" si="6"/>
        <v>2469.7599999999998</v>
      </c>
      <c r="N19" s="117">
        <f t="shared" si="0"/>
        <v>444.55679999999995</v>
      </c>
      <c r="O19" s="118">
        <f t="shared" si="1"/>
        <v>14.571583999999998</v>
      </c>
      <c r="P19" s="119">
        <f t="shared" si="2"/>
        <v>2928.8883839999994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40</v>
      </c>
      <c r="I20" s="115">
        <f t="shared" si="3"/>
        <v>2905.6</v>
      </c>
      <c r="J20" s="116"/>
      <c r="K20" s="1">
        <f t="shared" si="4"/>
        <v>0</v>
      </c>
      <c r="L20" s="104">
        <f t="shared" si="5"/>
        <v>435.84</v>
      </c>
      <c r="M20" s="117">
        <f t="shared" si="6"/>
        <v>2469.7599999999998</v>
      </c>
      <c r="N20" s="117">
        <f t="shared" si="0"/>
        <v>444.55679999999995</v>
      </c>
      <c r="O20" s="118">
        <f t="shared" si="1"/>
        <v>14.571583999999998</v>
      </c>
      <c r="P20" s="119">
        <f t="shared" si="2"/>
        <v>2928.8883839999994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40</v>
      </c>
      <c r="I21" s="115">
        <f t="shared" si="3"/>
        <v>2905.6</v>
      </c>
      <c r="J21" s="116"/>
      <c r="K21" s="1">
        <f t="shared" si="4"/>
        <v>0</v>
      </c>
      <c r="L21" s="104">
        <f t="shared" si="5"/>
        <v>435.84</v>
      </c>
      <c r="M21" s="117">
        <f t="shared" si="6"/>
        <v>2469.7599999999998</v>
      </c>
      <c r="N21" s="117">
        <f t="shared" si="0"/>
        <v>444.55679999999995</v>
      </c>
      <c r="O21" s="118">
        <f t="shared" si="1"/>
        <v>14.571583999999998</v>
      </c>
      <c r="P21" s="119">
        <f t="shared" si="2"/>
        <v>2928.8883839999994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120</v>
      </c>
      <c r="I25" s="136">
        <f t="shared" si="9"/>
        <v>8716.7999999999993</v>
      </c>
      <c r="J25" s="137"/>
      <c r="K25" s="138">
        <f t="shared" si="9"/>
        <v>0</v>
      </c>
      <c r="L25" s="139">
        <f t="shared" si="9"/>
        <v>1307.52</v>
      </c>
      <c r="M25" s="140">
        <f t="shared" si="9"/>
        <v>7409.2799999999988</v>
      </c>
      <c r="N25" s="141">
        <f>SUM(N16:N24)</f>
        <v>1333.6704</v>
      </c>
      <c r="O25" s="142">
        <f>SUM(O16:O24)</f>
        <v>43.71475199999999</v>
      </c>
      <c r="P25" s="143">
        <f>SUM(P16:P24)</f>
        <v>8786.6651519999978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8716.7999999999993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1307.52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7409.2799999999988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0.18</v>
      </c>
      <c r="P32" s="152">
        <f>N25</f>
        <v>1333.6704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8742.9503999999979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5.0000000000000001E-3</v>
      </c>
      <c r="P34" s="152">
        <f>O34*P33</f>
        <v>43.71475199999999</v>
      </c>
    </row>
    <row r="35" spans="2:16" ht="15.75" customHeight="1" thickBot="1" x14ac:dyDescent="0.4">
      <c r="N35" s="203" t="s">
        <v>92</v>
      </c>
      <c r="O35" s="204"/>
      <c r="P35" s="159">
        <f>P33+P34</f>
        <v>8786.6651519999978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7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8" t="s">
        <v>104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81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8" t="s">
        <v>104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81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8" t="s">
        <v>104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81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6" t="s">
        <v>104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79" t="s">
        <v>104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2026-07-01T04:14:22Z</dcterms:modified>
</cp:coreProperties>
</file>