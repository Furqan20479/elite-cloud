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A7F94EBE-726D-4454-AC0A-F1CB2A6A544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22" i="16"/>
  <c r="L22" i="17"/>
  <c r="L22" i="19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L22" i="16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7" i="16"/>
  <c r="L18" i="16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L16" i="16"/>
  <c r="K17" i="17"/>
  <c r="K18" i="17"/>
  <c r="K17" i="19"/>
  <c r="K18" i="19"/>
  <c r="K17" i="18"/>
  <c r="K18" i="18"/>
  <c r="K17" i="20"/>
  <c r="K18" i="20"/>
  <c r="K17" i="21"/>
  <c r="K18" i="21"/>
  <c r="K17" i="22"/>
  <c r="K18" i="22"/>
  <c r="K17" i="23"/>
  <c r="K18" i="23"/>
  <c r="K17" i="24"/>
  <c r="K18" i="24"/>
  <c r="K17" i="25"/>
  <c r="K18" i="25"/>
  <c r="K17" i="26"/>
  <c r="K18" i="26"/>
  <c r="K17" i="27"/>
  <c r="K18" i="27"/>
  <c r="K17" i="28"/>
  <c r="K18" i="28"/>
  <c r="K17" i="29"/>
  <c r="K18" i="29"/>
  <c r="K17" i="30"/>
  <c r="K18" i="30"/>
  <c r="K17" i="31"/>
  <c r="K18" i="31"/>
  <c r="K17" i="32"/>
  <c r="K18" i="32"/>
  <c r="K17" i="33"/>
  <c r="K18" i="33"/>
  <c r="K17" i="34"/>
  <c r="K18" i="34"/>
  <c r="K17" i="35"/>
  <c r="K18" i="35"/>
  <c r="K17" i="16"/>
  <c r="K18" i="16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I20" i="33"/>
  <c r="K20" i="33" s="1"/>
  <c r="I16" i="30"/>
  <c r="I17" i="30"/>
  <c r="I18" i="30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I17" i="32"/>
  <c r="I18" i="32"/>
  <c r="I19" i="32"/>
  <c r="K19" i="32" s="1"/>
  <c r="I20" i="32"/>
  <c r="K20" i="32" s="1"/>
  <c r="I21" i="32"/>
  <c r="K21" i="32" s="1"/>
  <c r="I16" i="33"/>
  <c r="I16" i="31"/>
  <c r="I17" i="3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M22" i="33" s="1"/>
  <c r="I16" i="34"/>
  <c r="I17" i="34"/>
  <c r="I18" i="34"/>
  <c r="I19" i="34"/>
  <c r="K19" i="34" s="1"/>
  <c r="I20" i="34"/>
  <c r="K20" i="34" s="1"/>
  <c r="I21" i="34"/>
  <c r="K21" i="34" s="1"/>
  <c r="I22" i="34"/>
  <c r="I23" i="34"/>
  <c r="I24" i="34"/>
  <c r="L24" i="34" s="1"/>
  <c r="I16" i="29"/>
  <c r="I17" i="29"/>
  <c r="I18" i="29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I25" i="35"/>
  <c r="P28" i="35" s="1"/>
  <c r="M17" i="35"/>
  <c r="M18" i="35"/>
  <c r="M22" i="35"/>
  <c r="K23" i="35"/>
  <c r="L23" i="35"/>
  <c r="K24" i="35"/>
  <c r="L24" i="35"/>
  <c r="K23" i="34"/>
  <c r="K24" i="33"/>
  <c r="L24" i="33"/>
  <c r="M17" i="33"/>
  <c r="K24" i="32"/>
  <c r="L24" i="32"/>
  <c r="K23" i="32"/>
  <c r="L23" i="32"/>
  <c r="M23" i="32" s="1"/>
  <c r="M17" i="31"/>
  <c r="K24" i="31"/>
  <c r="L24" i="31"/>
  <c r="L23" i="31"/>
  <c r="L23" i="30"/>
  <c r="K24" i="30"/>
  <c r="L24" i="30"/>
  <c r="K24" i="29"/>
  <c r="M24" i="29" s="1"/>
  <c r="L24" i="29"/>
  <c r="M17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1" i="30" l="1"/>
  <c r="N21" i="30" s="1"/>
  <c r="O21" i="30" s="1"/>
  <c r="I25" i="32"/>
  <c r="P28" i="32" s="1"/>
  <c r="M21" i="32"/>
  <c r="N21" i="32" s="1"/>
  <c r="O21" i="32" s="1"/>
  <c r="I25" i="28"/>
  <c r="P28" i="28" s="1"/>
  <c r="K19" i="33"/>
  <c r="M19" i="28"/>
  <c r="N19" i="28" s="1"/>
  <c r="O19" i="28" s="1"/>
  <c r="K23" i="28"/>
  <c r="M23" i="28" s="1"/>
  <c r="K23" i="29"/>
  <c r="M22" i="29"/>
  <c r="N22" i="29" s="1"/>
  <c r="O22" i="29" s="1"/>
  <c r="L25" i="30"/>
  <c r="P29" i="30" s="1"/>
  <c r="M22" i="31"/>
  <c r="K24" i="34"/>
  <c r="M24" i="34" s="1"/>
  <c r="M20" i="34"/>
  <c r="N20" i="34" s="1"/>
  <c r="O20" i="34" s="1"/>
  <c r="M21" i="35"/>
  <c r="I25" i="34"/>
  <c r="P28" i="34" s="1"/>
  <c r="M24" i="28"/>
  <c r="M24" i="30"/>
  <c r="M24" i="32"/>
  <c r="N24" i="32" s="1"/>
  <c r="O24" i="32" s="1"/>
  <c r="P24" i="32" s="1"/>
  <c r="K23" i="33"/>
  <c r="L23" i="34"/>
  <c r="M23" i="34" s="1"/>
  <c r="N23" i="34" s="1"/>
  <c r="O23" i="34" s="1"/>
  <c r="P23" i="34" s="1"/>
  <c r="L25" i="34"/>
  <c r="P29" i="34" s="1"/>
  <c r="M24" i="35"/>
  <c r="N24" i="35" s="1"/>
  <c r="O24" i="35" s="1"/>
  <c r="P24" i="35" s="1"/>
  <c r="M18" i="33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9" i="34"/>
  <c r="N19" i="34" s="1"/>
  <c r="O19" i="34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K25" i="32"/>
  <c r="P30" i="32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17" i="30"/>
  <c r="O17" i="30" s="1"/>
  <c r="K25" i="30"/>
  <c r="P30" i="30" s="1"/>
  <c r="N24" i="30"/>
  <c r="O24" i="30" s="1"/>
  <c r="P24" i="30" s="1"/>
  <c r="N23" i="30"/>
  <c r="O23" i="30" s="1"/>
  <c r="N16" i="29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M16" i="28"/>
  <c r="N17" i="28"/>
  <c r="O17" i="28" s="1"/>
  <c r="J25" i="15"/>
  <c r="K23" i="27"/>
  <c r="L23" i="27"/>
  <c r="K24" i="27"/>
  <c r="L24" i="27"/>
  <c r="K23" i="26"/>
  <c r="L23" i="26"/>
  <c r="K24" i="26"/>
  <c r="T23" i="15"/>
  <c r="T22" i="15"/>
  <c r="T21" i="15"/>
  <c r="T20" i="15"/>
  <c r="T19" i="15"/>
  <c r="T18" i="15"/>
  <c r="T15" i="15"/>
  <c r="T14" i="15"/>
  <c r="L25" i="26" l="1"/>
  <c r="P29" i="26" s="1"/>
  <c r="I25" i="27"/>
  <c r="P28" i="27" s="1"/>
  <c r="L25" i="32"/>
  <c r="P29" i="32" s="1"/>
  <c r="K20" i="26"/>
  <c r="L25" i="28"/>
  <c r="P29" i="28" s="1"/>
  <c r="M19" i="30"/>
  <c r="N19" i="30" s="1"/>
  <c r="O19" i="30" s="1"/>
  <c r="P19" i="30" s="1"/>
  <c r="L25" i="29"/>
  <c r="P29" i="29" s="1"/>
  <c r="P31" i="29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O25" i="30" l="1"/>
  <c r="N25" i="30"/>
  <c r="P32" i="30" s="1"/>
  <c r="P33" i="30" s="1"/>
  <c r="P34" i="30" s="1"/>
  <c r="P35" i="30" s="1"/>
  <c r="U28" i="15" s="1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K19" i="20" s="1"/>
  <c r="I21" i="20"/>
  <c r="I23" i="20"/>
  <c r="L23" i="20" s="1"/>
  <c r="M25" i="27"/>
  <c r="P24" i="27"/>
  <c r="P31" i="26"/>
  <c r="I16" i="24"/>
  <c r="I17" i="24"/>
  <c r="I18" i="24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K20" i="21" s="1"/>
  <c r="I22" i="21"/>
  <c r="I24" i="21"/>
  <c r="K24" i="21" s="1"/>
  <c r="I16" i="17"/>
  <c r="I17" i="17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K24" i="25"/>
  <c r="L23" i="25"/>
  <c r="K23" i="25"/>
  <c r="L23" i="23"/>
  <c r="K23" i="23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4" l="1"/>
  <c r="M21" i="24" s="1"/>
  <c r="N21" i="24" s="1"/>
  <c r="O21" i="24" s="1"/>
  <c r="K21" i="25"/>
  <c r="M21" i="25" s="1"/>
  <c r="N21" i="25" s="1"/>
  <c r="O21" i="25" s="1"/>
  <c r="P21" i="25" s="1"/>
  <c r="K21" i="20"/>
  <c r="M21" i="20" s="1"/>
  <c r="N21" i="20" s="1"/>
  <c r="O21" i="20" s="1"/>
  <c r="K21" i="17"/>
  <c r="M21" i="19"/>
  <c r="K21" i="19"/>
  <c r="K20" i="20"/>
  <c r="K20" i="23"/>
  <c r="K20" i="18"/>
  <c r="K19" i="19"/>
  <c r="K19" i="24"/>
  <c r="L24" i="17"/>
  <c r="K23" i="24"/>
  <c r="I25" i="25"/>
  <c r="P28" i="25" s="1"/>
  <c r="M22" i="18"/>
  <c r="N22" i="18" s="1"/>
  <c r="O22" i="18" s="1"/>
  <c r="K23" i="19"/>
  <c r="M23" i="19" s="1"/>
  <c r="N23" i="19" s="1"/>
  <c r="O23" i="19" s="1"/>
  <c r="L23" i="22"/>
  <c r="L25" i="22" s="1"/>
  <c r="P29" i="22" s="1"/>
  <c r="M16" i="24"/>
  <c r="N16" i="24" s="1"/>
  <c r="M18" i="18"/>
  <c r="N18" i="18" s="1"/>
  <c r="O18" i="18" s="1"/>
  <c r="M21" i="21"/>
  <c r="N21" i="21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4" i="21"/>
  <c r="M17" i="20"/>
  <c r="N17" i="20" s="1"/>
  <c r="O17" i="20" s="1"/>
  <c r="M16" i="17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M22" i="21"/>
  <c r="N22" i="21" s="1"/>
  <c r="O22" i="21" s="1"/>
  <c r="M18" i="21"/>
  <c r="N18" i="21" s="1"/>
  <c r="O18" i="21" s="1"/>
  <c r="M16" i="20"/>
  <c r="N16" i="20" s="1"/>
  <c r="M22" i="17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M22" i="24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16" i="25"/>
  <c r="N23" i="25"/>
  <c r="O23" i="25" s="1"/>
  <c r="P23" i="25" s="1"/>
  <c r="N24" i="24"/>
  <c r="O24" i="24" s="1"/>
  <c r="N18" i="22"/>
  <c r="O18" i="22" s="1"/>
  <c r="M16" i="22"/>
  <c r="M17" i="19"/>
  <c r="N17" i="19" s="1"/>
  <c r="O17" i="19" s="1"/>
  <c r="N24" i="19"/>
  <c r="O24" i="19" s="1"/>
  <c r="N24" i="18"/>
  <c r="O24" i="18" s="1"/>
  <c r="I23" i="15"/>
  <c r="K21" i="16" l="1"/>
  <c r="L21" i="16"/>
  <c r="K20" i="16"/>
  <c r="L20" i="16"/>
  <c r="K19" i="16"/>
  <c r="L19" i="16"/>
  <c r="K25" i="25"/>
  <c r="P30" i="25" s="1"/>
  <c r="L25" i="25"/>
  <c r="P29" i="25" s="1"/>
  <c r="K25" i="24"/>
  <c r="P30" i="24" s="1"/>
  <c r="L25" i="19"/>
  <c r="P29" i="19" s="1"/>
  <c r="M19" i="24"/>
  <c r="N19" i="24" s="1"/>
  <c r="O19" i="24" s="1"/>
  <c r="P19" i="24" s="1"/>
  <c r="M23" i="22"/>
  <c r="N23" i="22" s="1"/>
  <c r="O23" i="22" s="1"/>
  <c r="L21" i="15"/>
  <c r="K25" i="19"/>
  <c r="P30" i="19" s="1"/>
  <c r="L22" i="15"/>
  <c r="L19" i="15"/>
  <c r="K22" i="15"/>
  <c r="M19" i="18"/>
  <c r="N19" i="18" s="1"/>
  <c r="O19" i="18" s="1"/>
  <c r="K18" i="15"/>
  <c r="L25" i="24"/>
  <c r="P29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24" l="1"/>
  <c r="P19" i="18"/>
  <c r="P31" i="19"/>
  <c r="P22" i="20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25" i="20" l="1"/>
  <c r="P33" i="19"/>
  <c r="P34" i="19" s="1"/>
  <c r="P35" i="19" s="1"/>
  <c r="U16" i="15" s="1"/>
  <c r="N18" i="15"/>
  <c r="N16" i="15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<sst xmlns="http://schemas.openxmlformats.org/spreadsheetml/2006/main" count="1614" uniqueCount="123">
  <si>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</si>
  <si>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</si>
  <si>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</si>
  <si>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</si>
  <si>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</si>
  <si>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</si>
  <si>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</si>
  <si>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</si>
  <si>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</si>
  <si>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</si>
  <si>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</si>
  <si>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</si>
  <si>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</si>
  <si>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</si>
  <si>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</si>
  <si>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</si>
  <si>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</si>
  <si>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</si>
  <si>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</si>
  <si>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</si>
  <si>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</si>
  <si>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</si>
  <si>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</si>
  <si>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</si>
  <si>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</si>
  <si>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</si>
  <si>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</si>
  <si>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</si>
  <si>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</si>
  <si>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</si>
  <si>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</si>
  <si>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</si>
  <si>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</si>
  <si>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</si>
  <si>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</si>
  <si>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</si>
  <si>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</si>
  <si>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</si>
  <si>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</si>
  <si>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</si>
  <si>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</si>
  <si>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</si>
  <si>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</si>
  <si>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</si>
  <si>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</si>
  <si>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</si>
  <si>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</si>
  <si>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</si>
  <si>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</si>
  <si>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</si>
  <si>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</si>
  <si>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</si>
  <si>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</si>
  <si>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</si>
  <si>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</si>
  <si>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</si>
  <si>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</si>
  <si>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</si>
  <si>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</si>
  <si>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</si>
  <si>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</si>
  <si>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</si>
  <si>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</si>
  <si>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</si>
  <si>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</si>
  <si>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</si>
  <si>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</si>
  <si>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</si>
  <si>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</si>
  <si>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</si>
  <si>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</si>
  <si>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</si>
  <si>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</si>
  <si>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</si>
  <si>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</si>
  <si>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</si>
  <si>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</si>
  <si>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</si>
  <si>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</si>
  <si>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</si>
  <si>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</si>
  <si>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</si>
  <si>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</si>
  <si>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</si>
  <si>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</si>
  <si>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</si>
  <si>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</si>
  <si>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</si>
  <si>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</si>
  <si>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</si>
  <si>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</si>
  <si>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</si>
  <si>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</si>
  <si>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</si>
  <si>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</si>
  <si>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</si>
  <si>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</si>
  <si>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</si>
  <si>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</si>
  <si>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</si>
  <si>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</si>
  <si>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</si>
  <si>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</si>
  <si>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</si>
  <si>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</si>
  <si>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</si>
  <si>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</si>
  <si>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</si>
  <si>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</si>
  <si>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</si>
  <si>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</si>
  <si>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</si>
  <si>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</si>
  <si>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</si>
  <si>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</si>
  <si>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</si>
  <si>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</si>
  <si>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</si>
  <si>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Decent Johar Town</t>
  </si>
  <si>
    <t>Shop Bill Summary (Decent)</t>
  </si>
  <si>
    <t>Customer Name : Decent (Johar Town)</t>
  </si>
  <si>
    <t>Address: Johar Town</t>
  </si>
  <si>
    <t>0808678-8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</si>
</sst>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L22" sqref="L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102</v>
      </c>
    </row>
    <row r="15" spans="1:2" x14ac:dyDescent="0.35">
      <c r="A15">
        <v>10</v>
      </c>
      <c r="B15" t="s">
        <v>103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L22" sqref="L22"/>
      <selection pane="topRight" activeCell="L22" sqref="L22"/>
      <selection pane="bottomLeft" activeCell="L22" sqref="L22"/>
      <selection pane="bottomRight" activeCell="L22" sqref="L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zoomScale="70" zoomScaleNormal="7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118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119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Decent (Johar Town)</v>
      </c>
      <c r="U14" s="163">
        <f>+'1'!P35</f>
        <v>14558.298144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21"/>
      <c r="J15" s="170" t="s">
        <v>78</v>
      </c>
      <c r="K15" s="170" t="s">
        <v>79</v>
      </c>
      <c r="L15" s="173" t="s">
        <v>80</v>
      </c>
      <c r="M15" s="22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Decent (Johar Town)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0</v>
      </c>
      <c r="M16" s="105">
        <f>I16-K16-L16</f>
        <v>0</v>
      </c>
      <c r="N16" s="100">
        <f>+'1'!N16+'2'!N16+'4'!N16+'3'!N16+'5'!N16+'6'!N16+'7'!N16+'8'!N16+'9'!N16+'10'!N16</f>
        <v>0</v>
      </c>
      <c r="O16" s="100">
        <f>+'1'!O16+'2'!O16+'4'!O16+'3'!O16+'5'!O16+'6'!O16+'7'!O16+'8'!O16+'9'!O16+'10'!O16</f>
        <v>0</v>
      </c>
      <c r="P16" s="104">
        <f t="shared" ref="P16:P24" si="0">M16+N16+O16</f>
        <v>0</v>
      </c>
      <c r="Q16" s="107"/>
      <c r="T16" s="162" t="str">
        <f>+'3'!A5</f>
        <v>Customer Name : Decent (Johar Town)</v>
      </c>
      <c r="U16" s="163">
        <f>+'3'!P35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+'4'!A5</f>
        <v>Customer Name : Decent (Johar Town)</v>
      </c>
      <c r="U17" s="163">
        <f>+'4'!P35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Decent (Johar Town)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101.69600000000001</v>
      </c>
      <c r="L19" s="174">
        <f>+'1'!L19+'2'!L19+'4'!L19+'3'!L19+'5'!L19+'6'!L19+'7'!L19+'8'!L19+'9'!L19+'10'!L19</f>
        <v>348.67199999999997</v>
      </c>
      <c r="M19" s="117">
        <f t="shared" si="2"/>
        <v>2455.232</v>
      </c>
      <c r="N19" s="100">
        <f>+'1'!N19+'2'!N19+'4'!N19+'3'!N19+'5'!N19+'6'!N19+'7'!N19+'8'!N19+'9'!N19+'10'!N19</f>
        <v>441.94175999999999</v>
      </c>
      <c r="O19" s="100">
        <f>+'1'!O19+'2'!O19+'4'!O19+'3'!O19+'5'!O19+'6'!O19+'7'!O19+'8'!O19+'9'!O19+'10'!O19</f>
        <v>14.4858688</v>
      </c>
      <c r="P19" s="119">
        <f t="shared" si="0"/>
        <v>2911.6596288000001</v>
      </c>
      <c r="T19" s="162" t="str">
        <f>+'6'!A5</f>
        <v>Customer Name : Decent (Johar Town)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</f>
        <v>80</v>
      </c>
      <c r="I20" s="1">
        <f t="shared" si="1"/>
        <v>5811.2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203.39200000000002</v>
      </c>
      <c r="L20" s="174">
        <f>+'1'!L20+'2'!L20+'4'!L20+'3'!L20+'5'!L20+'6'!L20+'7'!L20+'8'!L20+'9'!L20+'10'!L20</f>
        <v>697.34399999999994</v>
      </c>
      <c r="M20" s="117">
        <f t="shared" si="2"/>
        <v>4910.4639999999999</v>
      </c>
      <c r="N20" s="100">
        <f>+'1'!N20+'2'!N20+'4'!N20+'3'!N20+'5'!N20+'6'!N20+'7'!N20+'8'!N20+'9'!N20+'10'!N20</f>
        <v>883.88351999999998</v>
      </c>
      <c r="O20" s="100">
        <f>+'1'!O20+'2'!O20+'4'!O20+'3'!O20+'5'!O20+'6'!O20+'7'!O20+'8'!O20+'9'!O20+'10'!O20</f>
        <v>28.971737600000001</v>
      </c>
      <c r="P20" s="119">
        <f t="shared" si="0"/>
        <v>5823.3192576000001</v>
      </c>
      <c r="T20" s="162" t="str">
        <f>+'7'!A5</f>
        <v>Customer Name : Decent (Johar Town)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203.39200000000002</v>
      </c>
      <c r="L21" s="174">
        <f>+'1'!L21+'2'!L21+'4'!L21+'3'!L21+'5'!L21+'6'!L21+'7'!L21+'8'!L21+'9'!L21+'10'!L21</f>
        <v>697.34399999999994</v>
      </c>
      <c r="M21" s="117">
        <f t="shared" si="2"/>
        <v>4910.4639999999999</v>
      </c>
      <c r="N21" s="100">
        <f>+'1'!N21+'2'!N21+'4'!N21+'3'!N21+'5'!N21+'6'!N21+'7'!N21+'8'!N21+'9'!N21+'10'!N21</f>
        <v>883.88351999999998</v>
      </c>
      <c r="O21" s="100">
        <f>+'1'!O21+'2'!O21+'4'!O21+'3'!O21+'5'!O21+'6'!O21+'7'!O21+'8'!O21+'9'!O21+'10'!O21</f>
        <v>28.971737600000001</v>
      </c>
      <c r="P21" s="119">
        <f t="shared" si="0"/>
        <v>5823.3192576000001</v>
      </c>
      <c r="T21" s="162" t="str">
        <f>+'8'!A5</f>
        <v>Customer Name : Decent (Johar Town)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Decent (Johar Town)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Decent (Johar Town)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Decent (Johar Town)</v>
      </c>
      <c r="U24" s="163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5</v>
      </c>
      <c r="D25" s="231"/>
      <c r="E25" s="231"/>
      <c r="F25" s="231"/>
      <c r="G25" s="175">
        <f t="shared" ref="G25:M25" si="3">SUM(G16:G24)</f>
        <v>0</v>
      </c>
      <c r="H25" s="176">
        <f t="shared" si="3"/>
        <v>200</v>
      </c>
      <c r="I25" s="177">
        <f t="shared" si="3"/>
        <v>14528</v>
      </c>
      <c r="J25" s="176">
        <f t="shared" si="3"/>
        <v>0</v>
      </c>
      <c r="K25" s="177">
        <f t="shared" si="3"/>
        <v>508.48</v>
      </c>
      <c r="L25" s="178">
        <f t="shared" si="3"/>
        <v>1743.3599999999997</v>
      </c>
      <c r="M25" s="140">
        <f t="shared" si="3"/>
        <v>12276.16</v>
      </c>
      <c r="N25" s="141">
        <f>SUM(N16:N24)</f>
        <v>2209.7087999999999</v>
      </c>
      <c r="O25" s="142">
        <f>SUM(O16:O24)</f>
        <v>72.429344</v>
      </c>
      <c r="P25" s="143">
        <f>SUM(P16:P24)</f>
        <v>14558.298144</v>
      </c>
      <c r="T25" s="162" t="str">
        <f>+'12'!A5</f>
        <v>Customer Name : Decent (Johar Town)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Decent (Johar Town)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Decent (Johar Town)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Decent (Johar Town)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Decent (Johar Town)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Decent (Johar Town)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Decent (Johar Town)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 t="str">
        <f>+'19'!A5</f>
        <v>Customer Name : Decent (Johar Town)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80" t="str">
        <f>+'20'!A5</f>
        <v>Customer Name : Decent (Johar Town)</v>
      </c>
      <c r="U33" s="181">
        <f>+'20'!P35</f>
        <v>0</v>
      </c>
    </row>
    <row r="34" spans="1:21" ht="26.5" thickBot="1" x14ac:dyDescent="0.65">
      <c r="A34" s="144"/>
      <c r="B34" s="144"/>
      <c r="C34" s="144"/>
      <c r="D34" s="144"/>
      <c r="E34" s="144"/>
      <c r="F34" s="144"/>
      <c r="G34" s="145"/>
      <c r="H34" s="145"/>
      <c r="I34" s="146"/>
      <c r="K34" s="147"/>
      <c r="L34" s="147"/>
      <c r="M34" s="147"/>
      <c r="N34" s="147"/>
      <c r="O34" s="148"/>
      <c r="P34" s="147"/>
      <c r="T34" s="165" t="s">
        <v>84</v>
      </c>
      <c r="U34" s="164">
        <f>SUM(U14:U33)</f>
        <v>14558.298144</v>
      </c>
    </row>
    <row r="35" spans="1:21" ht="15" thickBot="1" x14ac:dyDescent="0.4">
      <c r="A35" s="69"/>
      <c r="B35" s="69"/>
      <c r="C35" s="149"/>
      <c r="D35" s="149"/>
      <c r="E35" s="149"/>
      <c r="F35" s="149"/>
      <c r="G35" s="150"/>
      <c r="H35" s="150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1">
        <f>I25</f>
        <v>14528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2">
        <f>L25</f>
        <v>1743.3599999999997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3">
        <f>K25</f>
        <v>508.48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2">
        <f>P36-P37-P38</f>
        <v>12276.16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4" t="s">
        <v>89</v>
      </c>
      <c r="O40" s="155">
        <f>IF(B12="Registered",18%,22%)</f>
        <v>0.22</v>
      </c>
      <c r="P40" s="152">
        <f>N25</f>
        <v>2209.7087999999999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2">
        <f>P39+P40</f>
        <v>14485.8688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6"/>
      <c r="N42" s="157" t="s">
        <v>91</v>
      </c>
      <c r="O42" s="158">
        <f>IF(B11="Filer",0.5%,2.5%)</f>
        <v>2.5000000000000001E-2</v>
      </c>
      <c r="P42" s="152">
        <f>O42*P41</f>
        <v>362.14672000000002</v>
      </c>
    </row>
    <row r="43" spans="1:21" ht="15.75" customHeight="1" thickBot="1" x14ac:dyDescent="0.4">
      <c r="N43" s="229" t="s">
        <v>92</v>
      </c>
      <c r="O43" s="230"/>
      <c r="P43" s="159">
        <f>P41+P42</f>
        <v>14848.015520000001</v>
      </c>
    </row>
    <row r="44" spans="1:21" ht="15" thickBot="1" x14ac:dyDescent="0.4">
      <c r="B44" s="160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26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101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 t="s">
        <v>122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7" t="s">
        <v>122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115</v>
      </c>
      <c r="T14" s="263"/>
      <c r="U14" s="263"/>
      <c r="V14" s="263"/>
      <c r="W14" s="264" t="s">
        <v>117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S15" s="184" t="s">
        <v>107</v>
      </c>
      <c r="T15" s="184" t="s">
        <v>108</v>
      </c>
      <c r="U15" s="184" t="s">
        <v>112</v>
      </c>
      <c r="V15" s="184" t="s">
        <v>113</v>
      </c>
      <c r="W15" s="185" t="s">
        <v>107</v>
      </c>
      <c r="X15" s="185" t="s">
        <v>108</v>
      </c>
      <c r="Y15" s="185" t="s">
        <v>112</v>
      </c>
      <c r="Z15" s="185" t="s">
        <v>113</v>
      </c>
      <c r="XFD15" t="s">
        <v>81</v>
      </c>
    </row>
    <row r="16" spans="1:26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 t="shared" ref="O16:O24" si="1">(N16+M16)*$O$15</f>
        <v>0</v>
      </c>
      <c r="P16" s="104">
        <f t="shared" ref="P16:P24" si="2">M16+N16+O16</f>
        <v>0</v>
      </c>
      <c r="Q16" s="107"/>
      <c r="S16" s="182" t="s">
        <v>104</v>
      </c>
      <c r="T16" s="182">
        <v>1697</v>
      </c>
      <c r="U16" s="182" t="s">
        <v>109</v>
      </c>
      <c r="V16" s="182">
        <f>T16/40</f>
        <v>42.424999999999997</v>
      </c>
      <c r="W16" s="186" t="s">
        <v>104</v>
      </c>
      <c r="X16" s="186">
        <v>1664</v>
      </c>
      <c r="Y16" s="186" t="s">
        <v>109</v>
      </c>
      <c r="Z16" s="186">
        <f>X16/40</f>
        <v>41.6</v>
      </c>
      <c r="XFD16" t="s">
        <v>82</v>
      </c>
    </row>
    <row r="17" spans="1:26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3">(G17*D17)*F17+H17*F17</f>
        <v>0</v>
      </c>
      <c r="J17" s="116"/>
      <c r="K17" s="103">
        <f t="shared" ref="K17:K21" si="4">I17*3.5%</f>
        <v>0</v>
      </c>
      <c r="L17" s="104">
        <f t="shared" ref="L17:L21" si="5">I17*12%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183" t="s">
        <v>106</v>
      </c>
      <c r="T17" s="182">
        <v>2322</v>
      </c>
      <c r="U17" s="182" t="s">
        <v>110</v>
      </c>
      <c r="V17" s="182">
        <f t="shared" ref="V17:V18" si="7">T17/40</f>
        <v>58.05</v>
      </c>
      <c r="W17" s="187" t="s">
        <v>106</v>
      </c>
      <c r="X17" s="186">
        <v>2277</v>
      </c>
      <c r="Y17" s="186" t="s">
        <v>110</v>
      </c>
      <c r="Z17" s="186">
        <f t="shared" ref="Z17:Z18" si="8">X17/40</f>
        <v>56.924999999999997</v>
      </c>
      <c r="XFD17" t="s">
        <v>83</v>
      </c>
    </row>
    <row r="18" spans="1:26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S18" s="182" t="s">
        <v>105</v>
      </c>
      <c r="T18" s="182">
        <v>3216</v>
      </c>
      <c r="U18" s="182" t="s">
        <v>111</v>
      </c>
      <c r="V18" s="182">
        <f t="shared" si="7"/>
        <v>80.400000000000006</v>
      </c>
      <c r="W18" s="186" t="s">
        <v>105</v>
      </c>
      <c r="X18" s="186">
        <v>3153</v>
      </c>
      <c r="Y18" s="186" t="s">
        <v>111</v>
      </c>
      <c r="Z18" s="186">
        <f t="shared" si="8"/>
        <v>78.825000000000003</v>
      </c>
    </row>
    <row r="19" spans="1:26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03">
        <f t="shared" si="4"/>
        <v>101.69600000000001</v>
      </c>
      <c r="L19" s="104">
        <f t="shared" si="5"/>
        <v>348.67199999999997</v>
      </c>
      <c r="M19" s="117">
        <f t="shared" si="6"/>
        <v>2455.232</v>
      </c>
      <c r="N19" s="117">
        <f t="shared" si="0"/>
        <v>441.94175999999999</v>
      </c>
      <c r="O19" s="118">
        <f t="shared" si="1"/>
        <v>14.4858688</v>
      </c>
      <c r="P19" s="119">
        <f t="shared" si="2"/>
        <v>2911.6596288000001</v>
      </c>
      <c r="S19" s="265" t="s">
        <v>116</v>
      </c>
      <c r="T19" s="265"/>
      <c r="U19" s="265"/>
      <c r="V19" s="265"/>
      <c r="W19" s="266" t="s">
        <v>114</v>
      </c>
      <c r="X19" s="266"/>
      <c r="Y19" s="266"/>
      <c r="Z19" s="266"/>
    </row>
    <row r="20" spans="1:26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3"/>
        <v>5811.2</v>
      </c>
      <c r="J20" s="116"/>
      <c r="K20" s="103">
        <f t="shared" si="4"/>
        <v>203.39200000000002</v>
      </c>
      <c r="L20" s="104">
        <f t="shared" si="5"/>
        <v>697.34399999999994</v>
      </c>
      <c r="M20" s="117">
        <f t="shared" si="6"/>
        <v>4910.4639999999999</v>
      </c>
      <c r="N20" s="117">
        <f t="shared" si="0"/>
        <v>883.88351999999998</v>
      </c>
      <c r="O20" s="118">
        <f t="shared" si="1"/>
        <v>28.971737600000001</v>
      </c>
      <c r="P20" s="119">
        <f t="shared" si="2"/>
        <v>5823.3192576000001</v>
      </c>
      <c r="S20" s="184" t="s">
        <v>107</v>
      </c>
      <c r="T20" s="184" t="s">
        <v>108</v>
      </c>
      <c r="U20" s="184" t="s">
        <v>112</v>
      </c>
      <c r="V20" s="184" t="s">
        <v>113</v>
      </c>
      <c r="W20" s="184" t="s">
        <v>107</v>
      </c>
      <c r="X20" s="184" t="s">
        <v>108</v>
      </c>
      <c r="Y20" s="184" t="s">
        <v>112</v>
      </c>
      <c r="Z20" s="184" t="s">
        <v>113</v>
      </c>
    </row>
    <row r="21" spans="1:26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03">
        <f t="shared" si="4"/>
        <v>203.39200000000002</v>
      </c>
      <c r="L21" s="104">
        <f t="shared" si="5"/>
        <v>697.34399999999994</v>
      </c>
      <c r="M21" s="117">
        <f t="shared" si="6"/>
        <v>4910.4639999999999</v>
      </c>
      <c r="N21" s="117">
        <f t="shared" si="0"/>
        <v>883.88351999999998</v>
      </c>
      <c r="O21" s="118">
        <f t="shared" si="1"/>
        <v>28.971737600000001</v>
      </c>
      <c r="P21" s="119">
        <f t="shared" si="2"/>
        <v>5823.3192576000001</v>
      </c>
      <c r="S21" s="188" t="s">
        <v>104</v>
      </c>
      <c r="T21" s="188">
        <v>1610</v>
      </c>
      <c r="U21" s="188" t="s">
        <v>109</v>
      </c>
      <c r="V21" s="188">
        <f>T21/40</f>
        <v>40.25</v>
      </c>
      <c r="W21" s="190" t="s">
        <v>104</v>
      </c>
      <c r="X21" s="190">
        <v>1642</v>
      </c>
      <c r="Y21" s="190" t="s">
        <v>109</v>
      </c>
      <c r="Z21" s="190">
        <f>X21/40</f>
        <v>41.05</v>
      </c>
    </row>
    <row r="22" spans="1:26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I22*8.6%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S22" s="189" t="s">
        <v>106</v>
      </c>
      <c r="T22" s="188">
        <v>2202</v>
      </c>
      <c r="U22" s="188" t="s">
        <v>110</v>
      </c>
      <c r="V22" s="188">
        <f t="shared" ref="V22:V25" si="9">T22/40</f>
        <v>55.05</v>
      </c>
      <c r="W22" s="191" t="s">
        <v>106</v>
      </c>
      <c r="X22" s="190">
        <v>2246</v>
      </c>
      <c r="Y22" s="190" t="s">
        <v>110</v>
      </c>
      <c r="Z22" s="190">
        <f t="shared" ref="Z22:Z25" si="10">X22/40</f>
        <v>56.15</v>
      </c>
    </row>
    <row r="23" spans="1:26 16384:16384" ht="15" hidden="1" customHeight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11">I23*3.5%</f>
        <v>0</v>
      </c>
      <c r="L23" s="119">
        <f t="shared" ref="L23:L24" si="12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  <c r="S23" s="188" t="s">
        <v>105</v>
      </c>
      <c r="T23" s="188">
        <v>3216</v>
      </c>
      <c r="U23" s="188" t="s">
        <v>111</v>
      </c>
      <c r="V23" s="188">
        <f t="shared" si="9"/>
        <v>80.400000000000006</v>
      </c>
      <c r="W23" s="190" t="s">
        <v>105</v>
      </c>
      <c r="X23" s="190">
        <v>3216</v>
      </c>
      <c r="Y23" s="190" t="s">
        <v>110</v>
      </c>
      <c r="Z23" s="190">
        <f t="shared" si="10"/>
        <v>80.400000000000006</v>
      </c>
    </row>
    <row r="24" spans="1:26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11"/>
        <v>0</v>
      </c>
      <c r="L24" s="131">
        <f t="shared" si="12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  <c r="S24" s="188" t="s">
        <v>105</v>
      </c>
      <c r="T24" s="188">
        <v>3216</v>
      </c>
      <c r="U24" s="188" t="s">
        <v>111</v>
      </c>
      <c r="V24" s="188">
        <f t="shared" si="9"/>
        <v>80.400000000000006</v>
      </c>
      <c r="W24" s="190"/>
      <c r="X24" s="190"/>
      <c r="Y24" s="190" t="s">
        <v>110</v>
      </c>
      <c r="Z24" s="190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13">SUM(G16:G24)</f>
        <v>0</v>
      </c>
      <c r="H25" s="135">
        <f t="shared" si="13"/>
        <v>200</v>
      </c>
      <c r="I25" s="136">
        <f t="shared" si="13"/>
        <v>14528</v>
      </c>
      <c r="J25" s="137"/>
      <c r="K25" s="138">
        <f t="shared" si="13"/>
        <v>508.48</v>
      </c>
      <c r="L25" s="139">
        <f t="shared" si="13"/>
        <v>1743.3599999999997</v>
      </c>
      <c r="M25" s="140">
        <f t="shared" si="13"/>
        <v>12276.16</v>
      </c>
      <c r="N25" s="141">
        <f>SUM(N16:N24)</f>
        <v>2209.7087999999999</v>
      </c>
      <c r="O25" s="142">
        <f>SUM(O16:O24)</f>
        <v>72.429344</v>
      </c>
      <c r="P25" s="143">
        <f>SUM(P16:P24)</f>
        <v>14558.298144</v>
      </c>
      <c r="S25" s="188" t="s">
        <v>105</v>
      </c>
      <c r="T25" s="188">
        <v>3216</v>
      </c>
      <c r="U25" s="188" t="s">
        <v>111</v>
      </c>
      <c r="V25" s="188">
        <f t="shared" si="9"/>
        <v>80.400000000000006</v>
      </c>
      <c r="W25" s="190" t="s">
        <v>105</v>
      </c>
      <c r="X25" s="190">
        <v>3110</v>
      </c>
      <c r="Y25" s="190" t="s">
        <v>111</v>
      </c>
      <c r="Z25" s="190">
        <f t="shared" si="10"/>
        <v>77.75</v>
      </c>
    </row>
    <row r="26" spans="1:26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26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14528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1743.3599999999997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508.48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12276.16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2209.7087999999999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14485.8688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72.429344</v>
      </c>
    </row>
    <row r="35" spans="2:16" ht="15.75" customHeight="1" thickBot="1" x14ac:dyDescent="0.4">
      <c r="N35" s="229" t="s">
        <v>92</v>
      </c>
      <c r="O35" s="230"/>
      <c r="P35" s="159">
        <f>P33+P34</f>
        <v>14558.298144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8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6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7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46216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46215</v>
      </c>
      <c r="O5" s="210"/>
      <c r="P5" s="210"/>
      <c r="R5" s="70"/>
      <c r="S5" s="71"/>
    </row>
    <row r="6" spans="1:19 16383:16384" ht="15" customHeight="1" x14ac:dyDescent="0.35">
      <c r="A6" s="211" t="s">
        <v>121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192">
        <v>0.12</v>
      </c>
      <c r="M15" s="26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I16*3.5%</f>
        <v>0</v>
      </c>
      <c r="L16" s="104">
        <f>I16*12%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03">
        <f t="shared" ref="K17:K21" si="3">I17*3.5%</f>
        <v>0</v>
      </c>
      <c r="L17" s="104">
        <f t="shared" ref="L17:L21" si="4">I17*12%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1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2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3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2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2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9" t="s">
        <v>92</v>
      </c>
      <c r="O35" s="230"/>
      <c r="P35" s="159">
        <f>P33+P34</f>
        <v>0</v>
      </c>
    </row>
    <row r="36" spans="2:16" ht="15" thickBot="1" x14ac:dyDescent="0.4">
      <c r="B36" s="160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2026-07-13T05:22:17Z</dcterms:modified>
</cp:coreProperties>
</file>