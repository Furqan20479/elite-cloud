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0D7760B5-6E2D-4C71-88B7-C2259A80F8E6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B21" i="33"/>
  <c r="C21" i="33" s="1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7" i="28" l="1"/>
  <c r="K17" i="28" s="1"/>
  <c r="I19" i="28"/>
  <c r="I20" i="28"/>
  <c r="K20" i="28" s="1"/>
  <c r="I22" i="28"/>
  <c r="I24" i="28"/>
  <c r="L24" i="28" s="1"/>
  <c r="I17" i="33"/>
  <c r="K17" i="33" s="1"/>
  <c r="I21" i="33"/>
  <c r="I16" i="28"/>
  <c r="I18" i="28"/>
  <c r="K18" i="28" s="1"/>
  <c r="I21" i="28"/>
  <c r="I23" i="28"/>
  <c r="K23" i="28" s="1"/>
  <c r="I16" i="31"/>
  <c r="I17" i="31"/>
  <c r="K17" i="31" s="1"/>
  <c r="I18" i="31"/>
  <c r="I19" i="31"/>
  <c r="K19" i="31" s="1"/>
  <c r="I20" i="31"/>
  <c r="I21" i="31"/>
  <c r="I22" i="31"/>
  <c r="I23" i="31"/>
  <c r="K23" i="31" s="1"/>
  <c r="I24" i="31"/>
  <c r="I23" i="32"/>
  <c r="K23" i="32" s="1"/>
  <c r="I22" i="33"/>
  <c r="I16" i="34"/>
  <c r="I17" i="34"/>
  <c r="I18" i="34"/>
  <c r="K18" i="34" s="1"/>
  <c r="I19" i="34"/>
  <c r="I20" i="34"/>
  <c r="K20" i="34" s="1"/>
  <c r="I21" i="34"/>
  <c r="I22" i="34"/>
  <c r="L22" i="34" s="1"/>
  <c r="I23" i="34"/>
  <c r="I24" i="34"/>
  <c r="L24" i="34" s="1"/>
  <c r="I16" i="29"/>
  <c r="I17" i="29"/>
  <c r="K17" i="29" s="1"/>
  <c r="I18" i="29"/>
  <c r="I19" i="29"/>
  <c r="K19" i="29" s="1"/>
  <c r="I20" i="29"/>
  <c r="I21" i="29"/>
  <c r="I22" i="29"/>
  <c r="I23" i="29"/>
  <c r="L23" i="29" s="1"/>
  <c r="I24" i="29"/>
  <c r="I24" i="32"/>
  <c r="L24" i="32" s="1"/>
  <c r="I19" i="33"/>
  <c r="I23" i="33"/>
  <c r="L23" i="33" s="1"/>
  <c r="I25" i="35"/>
  <c r="P28" i="35" s="1"/>
  <c r="K16" i="35"/>
  <c r="K17" i="35"/>
  <c r="M17" i="35" s="1"/>
  <c r="K18" i="35"/>
  <c r="M18" i="35"/>
  <c r="K19" i="35"/>
  <c r="K20" i="35"/>
  <c r="K21" i="35"/>
  <c r="K22" i="35"/>
  <c r="L22" i="35"/>
  <c r="M22" i="35" s="1"/>
  <c r="K23" i="35"/>
  <c r="L23" i="35"/>
  <c r="K24" i="35"/>
  <c r="M24" i="35" s="1"/>
  <c r="L24" i="35"/>
  <c r="K17" i="34"/>
  <c r="K19" i="34"/>
  <c r="K21" i="34"/>
  <c r="K22" i="34"/>
  <c r="K23" i="34"/>
  <c r="M23" i="34" s="1"/>
  <c r="L23" i="34"/>
  <c r="K21" i="33"/>
  <c r="K22" i="33"/>
  <c r="M22" i="33" s="1"/>
  <c r="L22" i="33"/>
  <c r="K19" i="33"/>
  <c r="K20" i="33"/>
  <c r="K24" i="33"/>
  <c r="L24" i="33"/>
  <c r="M17" i="33"/>
  <c r="M18" i="33"/>
  <c r="K16" i="33"/>
  <c r="K24" i="32"/>
  <c r="I25" i="32"/>
  <c r="P28" i="32" s="1"/>
  <c r="K16" i="32"/>
  <c r="K17" i="32"/>
  <c r="K18" i="32"/>
  <c r="K19" i="32"/>
  <c r="K20" i="32"/>
  <c r="K21" i="32"/>
  <c r="L23" i="32"/>
  <c r="K22" i="32"/>
  <c r="L22" i="32"/>
  <c r="K21" i="31"/>
  <c r="K22" i="31"/>
  <c r="L22" i="31"/>
  <c r="K24" i="31"/>
  <c r="L24" i="31"/>
  <c r="K16" i="31"/>
  <c r="K18" i="31"/>
  <c r="K20" i="31"/>
  <c r="L23" i="31"/>
  <c r="K18" i="30"/>
  <c r="K20" i="30"/>
  <c r="K21" i="30"/>
  <c r="M21" i="30"/>
  <c r="K23" i="30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 s="1"/>
  <c r="L24" i="29"/>
  <c r="K20" i="29"/>
  <c r="K22" i="29"/>
  <c r="L22" i="29"/>
  <c r="K18" i="29"/>
  <c r="I25" i="28"/>
  <c r="P28" i="28" s="1"/>
  <c r="K16" i="28"/>
  <c r="K19" i="28"/>
  <c r="K21" i="28"/>
  <c r="K22" i="28"/>
  <c r="L22" i="28"/>
  <c r="K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B23" i="27"/>
  <c r="C23" i="27" s="1"/>
  <c r="F22" i="27"/>
  <c r="E22" i="27"/>
  <c r="D22" i="27"/>
  <c r="B22" i="27"/>
  <c r="C22" i="27" s="1"/>
  <c r="F21" i="27"/>
  <c r="E21" i="27"/>
  <c r="D21" i="27"/>
  <c r="B21" i="27"/>
  <c r="C21" i="27" s="1"/>
  <c r="F20" i="27"/>
  <c r="E20" i="27"/>
  <c r="D20" i="27"/>
  <c r="B20" i="27"/>
  <c r="C20" i="27" s="1"/>
  <c r="F19" i="27"/>
  <c r="E19" i="27"/>
  <c r="D19" i="27"/>
  <c r="B19" i="27"/>
  <c r="C19" i="27" s="1"/>
  <c r="F18" i="27"/>
  <c r="E18" i="27"/>
  <c r="D18" i="27"/>
  <c r="B18" i="27"/>
  <c r="C18" i="27" s="1"/>
  <c r="F17" i="27"/>
  <c r="E17" i="27"/>
  <c r="D17" i="27"/>
  <c r="B17" i="27"/>
  <c r="C17" i="27" s="1"/>
  <c r="F16" i="27"/>
  <c r="E16" i="27"/>
  <c r="D16" i="27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28" l="1"/>
  <c r="L23" i="28"/>
  <c r="M24" i="31"/>
  <c r="M24" i="33"/>
  <c r="M23" i="35"/>
  <c r="I17" i="27"/>
  <c r="I20" i="27"/>
  <c r="I25" i="34"/>
  <c r="P28" i="34" s="1"/>
  <c r="I16" i="27"/>
  <c r="I18" i="27"/>
  <c r="I19" i="27"/>
  <c r="I22" i="27"/>
  <c r="I23" i="27"/>
  <c r="M17" i="28"/>
  <c r="K23" i="29"/>
  <c r="M22" i="29"/>
  <c r="M23" i="30"/>
  <c r="M22" i="31"/>
  <c r="K24" i="34"/>
  <c r="M24" i="34" s="1"/>
  <c r="M21" i="35"/>
  <c r="N21" i="35" s="1"/>
  <c r="O21" i="35" s="1"/>
  <c r="M24" i="28"/>
  <c r="M17" i="31"/>
  <c r="M23" i="32"/>
  <c r="M24" i="32"/>
  <c r="K23" i="33"/>
  <c r="M23" i="33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L22" i="26"/>
  <c r="K23" i="26"/>
  <c r="L23" i="26"/>
  <c r="K20" i="26"/>
  <c r="K21" i="26"/>
  <c r="K24" i="26"/>
  <c r="L24" i="26"/>
  <c r="M24" i="26" s="1"/>
  <c r="K16" i="26"/>
  <c r="T23" i="15"/>
  <c r="T22" i="15"/>
  <c r="T21" i="15"/>
  <c r="T20" i="15"/>
  <c r="T19" i="15"/>
  <c r="T18" i="15"/>
  <c r="T17" i="15"/>
  <c r="T16" i="15"/>
  <c r="T15" i="15"/>
  <c r="T14" i="15"/>
  <c r="N24" i="34" l="1"/>
  <c r="O24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N24" i="27" s="1"/>
  <c r="O24" i="27" s="1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B22" i="22"/>
  <c r="C22" i="22" s="1"/>
  <c r="F21" i="22"/>
  <c r="E21" i="22"/>
  <c r="D21" i="22"/>
  <c r="B21" i="22"/>
  <c r="C21" i="22" s="1"/>
  <c r="F20" i="22"/>
  <c r="E20" i="22"/>
  <c r="D20" i="22"/>
  <c r="B20" i="22"/>
  <c r="C20" i="22" s="1"/>
  <c r="F19" i="22"/>
  <c r="E19" i="22"/>
  <c r="D19" i="22"/>
  <c r="B19" i="22"/>
  <c r="C19" i="22" s="1"/>
  <c r="F18" i="22"/>
  <c r="E18" i="22"/>
  <c r="D18" i="22"/>
  <c r="B18" i="22"/>
  <c r="C18" i="22" s="1"/>
  <c r="F17" i="22"/>
  <c r="E17" i="22"/>
  <c r="D17" i="22"/>
  <c r="B17" i="22"/>
  <c r="C17" i="22" s="1"/>
  <c r="F16" i="22"/>
  <c r="E16" i="22"/>
  <c r="D16" i="22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2" l="1"/>
  <c r="I17" i="22"/>
  <c r="I18" i="22"/>
  <c r="I19" i="22"/>
  <c r="I20" i="22"/>
  <c r="I21" i="22"/>
  <c r="I22" i="22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K23" i="23" s="1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L23" i="24" s="1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K20" i="25"/>
  <c r="K16" i="25"/>
  <c r="K24" i="25"/>
  <c r="L22" i="25"/>
  <c r="K17" i="25"/>
  <c r="L23" i="25"/>
  <c r="K23" i="25"/>
  <c r="K17" i="24"/>
  <c r="K21" i="24"/>
  <c r="K17" i="23"/>
  <c r="L23" i="23"/>
  <c r="K16" i="22"/>
  <c r="K18" i="22"/>
  <c r="K20" i="22"/>
  <c r="K22" i="22"/>
  <c r="L22" i="22"/>
  <c r="K17" i="22"/>
  <c r="K19" i="22"/>
  <c r="K21" i="22"/>
  <c r="L24" i="20"/>
  <c r="K20" i="19"/>
  <c r="K18" i="19"/>
  <c r="K24" i="19"/>
  <c r="L24" i="19"/>
  <c r="K22" i="19"/>
  <c r="L22" i="19"/>
  <c r="K21" i="19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3" i="24" l="1"/>
  <c r="M23" i="24" s="1"/>
  <c r="N23" i="24" s="1"/>
  <c r="O23" i="24" s="1"/>
  <c r="I25" i="25"/>
  <c r="P28" i="25" s="1"/>
  <c r="K23" i="20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K16" i="24"/>
  <c r="K18" i="18"/>
  <c r="M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M18" i="24"/>
  <c r="N18" i="24" s="1"/>
  <c r="O18" i="24" s="1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M21" i="23"/>
  <c r="N21" i="23" s="1"/>
  <c r="O21" i="23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17" i="23"/>
  <c r="N17" i="23" s="1"/>
  <c r="O17" i="23" s="1"/>
  <c r="M18" i="17"/>
  <c r="N18" i="17" s="1"/>
  <c r="O18" i="17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M16" i="22"/>
  <c r="M21" i="21"/>
  <c r="N21" i="21" s="1"/>
  <c r="M17" i="19"/>
  <c r="N17" i="19" s="1"/>
  <c r="O17" i="19" s="1"/>
  <c r="M21" i="19"/>
  <c r="L25" i="19"/>
  <c r="P29" i="19" s="1"/>
  <c r="N24" i="18"/>
  <c r="O24" i="18" s="1"/>
  <c r="N18" i="18"/>
  <c r="O18" i="18" s="1"/>
  <c r="N22" i="18"/>
  <c r="O22" i="18" s="1"/>
  <c r="M16" i="17"/>
  <c r="I23" i="15"/>
  <c r="K20" i="16" l="1"/>
  <c r="L20" i="16"/>
  <c r="K16" i="16"/>
  <c r="K16" i="15" s="1"/>
  <c r="L16" i="16"/>
  <c r="L16" i="15" s="1"/>
  <c r="K18" i="16"/>
  <c r="L18" i="16"/>
  <c r="L21" i="15"/>
  <c r="K22" i="15"/>
  <c r="M19" i="18"/>
  <c r="N19" i="18" s="1"/>
  <c r="O19" i="18" s="1"/>
  <c r="K18" i="15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5"/>
  <c r="M18" i="15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1" i="15" l="1"/>
  <c r="M16" i="16"/>
  <c r="N16" i="16" s="1"/>
  <c r="M16" i="15"/>
  <c r="M22" i="15"/>
  <c r="N16" i="18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16" i="15" l="1"/>
  <c r="N22" i="15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<sst xmlns="http://schemas.openxmlformats.org/spreadsheetml/2006/main" count="1579" uniqueCount="107">
  <si>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</si>
  <si>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</si>
  <si>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</si>
  <si>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</si>
  <si>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</si>
  <si>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</si>
  <si>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</si>
  <si>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</si>
  <si>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</si>
  <si>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</si>
  <si>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</si>
  <si>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</si>
  <si>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</si>
  <si>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</si>
  <si>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</si>
  <si>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</si>
  <si>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</si>
  <si>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</si>
  <si>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</si>
  <si>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</si>
  <si>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</si>
  <si>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</si>
  <si>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</si>
  <si>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</si>
  <si>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</si>
  <si>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</si>
  <si>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</si>
  <si>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</si>
  <si>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</si>
  <si>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</si>
  <si>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</si>
  <si>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</si>
  <si>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</si>
  <si>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</si>
  <si>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</si>
  <si>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</si>
  <si>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</si>
  <si>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</si>
  <si>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</si>
  <si>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</si>
  <si>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</si>
  <si>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</si>
  <si>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</si>
  <si>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</si>
  <si>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</si>
  <si>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</si>
  <si>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</si>
  <si>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</si>
  <si>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</si>
  <si>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</si>
  <si>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</si>
  <si>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</si>
  <si>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</si>
  <si>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</si>
  <si>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</si>
  <si>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</si>
  <si>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</si>
  <si>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</si>
  <si>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</si>
  <si>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</si>
  <si>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</si>
  <si>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</si>
  <si>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</si>
  <si>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</si>
  <si>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</si>
  <si>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</si>
  <si>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</si>
  <si>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</si>
  <si>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</si>
  <si>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</si>
  <si>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</si>
  <si>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</si>
  <si>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</si>
  <si>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</si>
  <si>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</si>
  <si>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</si>
  <si>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</si>
  <si>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</si>
  <si>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</si>
  <si>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</si>
  <si>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</si>
  <si>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</si>
  <si>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</si>
  <si>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</si>
  <si>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</si>
  <si>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</si>
  <si>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</si>
  <si>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</si>
  <si>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</si>
  <si>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</si>
  <si>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</si>
  <si>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</si>
  <si>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</si>
  <si>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</si>
  <si>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</si>
  <si>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</si>
  <si>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</si>
  <si>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</si>
  <si>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</si>
  <si>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</si>
  <si>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</si>
  <si>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</si>
  <si>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4987374-2</t>
  </si>
  <si>
    <t>Manavan (Risen)</t>
  </si>
  <si>
    <t>Shop Bill Summary (Manavan (Risen))</t>
  </si>
  <si>
    <t>Customer Name : Manawa (Risen)</t>
  </si>
  <si>
    <t>Address: Manawan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</si>
</sst>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6" sqref="H2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6" sqref="H26"/>
      <selection pane="topRight" activeCell="H26" sqref="H26"/>
      <selection pane="bottomLeft" activeCell="H26" sqref="H26"/>
      <selection pane="bottomRight" activeCell="H26" sqref="H2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H26" sqref="H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103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104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Manawa (Risen)</v>
      </c>
      <c r="U14" s="163">
        <f>+'1'!P35</f>
        <v>26659.367770499997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11"/>
      <c r="J15" s="170" t="s">
        <v>78</v>
      </c>
      <c r="K15" s="170" t="s">
        <v>79</v>
      </c>
      <c r="L15" s="173" t="s">
        <v>80</v>
      </c>
      <c r="M15" s="214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Manawa (Risen)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</f>
        <v>120</v>
      </c>
      <c r="I16" s="1">
        <f>(G16*D16)*F16+H16*F16</f>
        <v>6295.5</v>
      </c>
      <c r="J16" s="171">
        <f>+'1'!J16+'2'!J16+'4'!J16+'3'!J16+'5'!J16+'6'!J16+'7'!J16+'8'!J16+'9'!J16+'10'!J16+'11'!J16+'12'!J16+'13'!J16+'14'!J16+'15'!J16+'16'!J16+'17'!J16+'18'!J16</f>
        <v>6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881.37000000000012</v>
      </c>
      <c r="M16" s="105">
        <f>I16-K16-L16</f>
        <v>5414.13</v>
      </c>
      <c r="N16" s="100">
        <f>+'1'!N16+'2'!N16+'4'!N16+'3'!N16+'5'!N16+'6'!N16+'7'!N16+'8'!N16+'9'!N16+'10'!N16</f>
        <v>1260.3591000000001</v>
      </c>
      <c r="O16" s="100">
        <f>+'1'!O16+'2'!O16+'4'!O16+'3'!O16+'5'!O16+'6'!O16+'7'!O16+'8'!O16+'9'!O16+'10'!O16</f>
        <v>33.372445500000005</v>
      </c>
      <c r="P16" s="104">
        <f t="shared" ref="P16:P24" si="0">M16+N16+O16</f>
        <v>6707.8615455000008</v>
      </c>
      <c r="Q16" s="107"/>
      <c r="T16" s="162" t="str">
        <f>+'4'!A5</f>
        <v>Customer Name : Manawa (Risen)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</f>
        <v>80</v>
      </c>
      <c r="I17" s="1">
        <f t="shared" ref="I17:I23" si="1">(G17*D17)*F17+H17*F17</f>
        <v>4197</v>
      </c>
      <c r="J17" s="171">
        <f>+'1'!J17+'2'!J17+'4'!J17+'3'!J17+'5'!J17+'6'!J17+'7'!J17+'8'!J17+'9'!J17+'10'!J17+'11'!J17+'12'!J17+'13'!J17+'14'!J17+'15'!J17+'16'!J17+'17'!J17+'18'!J17</f>
        <v>4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587.58000000000004</v>
      </c>
      <c r="M17" s="117">
        <f t="shared" ref="M17:M23" si="2">I17-K17-L17</f>
        <v>3609.42</v>
      </c>
      <c r="N17" s="100">
        <f>+'1'!N17+'2'!N17+'4'!N17+'3'!N17+'5'!N17+'6'!N17+'7'!N17+'8'!N17+'9'!N17+'10'!N17</f>
        <v>840.23940000000005</v>
      </c>
      <c r="O17" s="100">
        <f>+'1'!O17+'2'!O17+'4'!O17+'3'!O17+'5'!O17+'6'!O17+'7'!O17+'8'!O17+'9'!O17+'10'!O17</f>
        <v>22.248297000000004</v>
      </c>
      <c r="P17" s="119">
        <f t="shared" si="0"/>
        <v>4471.9076970000006</v>
      </c>
      <c r="S17" s="64"/>
      <c r="T17" s="162" t="str">
        <f>+'3'!A5</f>
        <v>Customer Name : Manawa (Risen)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Manawa (Risen)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</f>
        <v>40</v>
      </c>
      <c r="I19" s="1">
        <f t="shared" si="1"/>
        <v>2905.6</v>
      </c>
      <c r="J19" s="171">
        <f>+'1'!J19+'2'!J19+'4'!J19+'3'!J19+'5'!J19+'6'!J19+'7'!J19+'8'!J19+'9'!J19+'10'!J19+'11'!J19+'12'!J19+'13'!J19+'14'!J19+'15'!J19+'16'!J19+'17'!J19+'18'!J19</f>
        <v>2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406.78400000000005</v>
      </c>
      <c r="M19" s="117">
        <f t="shared" si="2"/>
        <v>2498.8159999999998</v>
      </c>
      <c r="N19" s="100">
        <f>+'1'!N19+'2'!N19+'4'!N19+'3'!N19+'5'!N19+'6'!N19+'7'!N19+'8'!N19+'9'!N19+'10'!N19</f>
        <v>581.70111999999995</v>
      </c>
      <c r="O19" s="100">
        <f>+'1'!O19+'2'!O19+'4'!O19+'3'!O19+'5'!O19+'6'!O19+'7'!O19+'8'!O19+'9'!O19+'10'!O19</f>
        <v>15.402585599999998</v>
      </c>
      <c r="P19" s="119">
        <f t="shared" si="0"/>
        <v>3095.9197055999994</v>
      </c>
      <c r="T19" s="162" t="str">
        <f>+'6'!A5</f>
        <v>Customer Name : Manawa (Risen)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</f>
        <v>40</v>
      </c>
      <c r="I20" s="1">
        <f t="shared" si="1"/>
        <v>2905.6</v>
      </c>
      <c r="J20" s="171">
        <f>+'1'!J20+'2'!J20+'4'!J20+'3'!J20+'5'!J20+'6'!J20+'7'!J20+'8'!J20+'9'!J20+'10'!J20+'11'!J20+'12'!J20+'13'!J20+'14'!J20+'15'!J20+'16'!J20+'17'!J20+'18'!J20</f>
        <v>2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406.78400000000005</v>
      </c>
      <c r="M20" s="117">
        <f t="shared" si="2"/>
        <v>2498.8159999999998</v>
      </c>
      <c r="N20" s="100">
        <f>+'1'!N20+'2'!N20+'4'!N20+'3'!N20+'5'!N20+'6'!N20+'7'!N20+'8'!N20+'9'!N20+'10'!N20</f>
        <v>581.70111999999995</v>
      </c>
      <c r="O20" s="100">
        <f>+'1'!O20+'2'!O20+'4'!O20+'3'!O20+'5'!O20+'6'!O20+'7'!O20+'8'!O20+'9'!O20+'10'!O20</f>
        <v>15.402585599999998</v>
      </c>
      <c r="P20" s="119">
        <f t="shared" si="0"/>
        <v>3095.9197055999994</v>
      </c>
      <c r="T20" s="162" t="str">
        <f>+'7'!A5</f>
        <v>Customer Name : Manawa (Risen)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</f>
        <v>120</v>
      </c>
      <c r="I21" s="1">
        <f t="shared" si="1"/>
        <v>8716.7999999999993</v>
      </c>
      <c r="J21" s="171">
        <f>+'1'!J21+'2'!J21+'4'!J21+'3'!J21+'5'!J21+'6'!J21+'7'!J21+'8'!J21+'9'!J21+'10'!J21+'11'!J21+'12'!J21+'13'!J21+'14'!J21+'15'!J21+'16'!J21+'17'!J21+'18'!J21</f>
        <v>6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1220.3520000000001</v>
      </c>
      <c r="M21" s="117">
        <f t="shared" si="2"/>
        <v>7496.4479999999994</v>
      </c>
      <c r="N21" s="100">
        <f>+'1'!N21+'2'!N21+'4'!N21+'3'!N21+'5'!N21+'6'!N21+'7'!N21+'8'!N21+'9'!N21+'10'!N21</f>
        <v>1745.1033599999998</v>
      </c>
      <c r="O21" s="100">
        <f>+'1'!O21+'2'!O21+'4'!O21+'3'!O21+'5'!O21+'6'!O21+'7'!O21+'8'!O21+'9'!O21+'10'!O21</f>
        <v>46.207756799999999</v>
      </c>
      <c r="P21" s="119">
        <f t="shared" si="0"/>
        <v>9287.7591167999999</v>
      </c>
      <c r="T21" s="162" t="str">
        <f>+'8'!A5</f>
        <v>Customer Name : Manawa (Risen)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Manawa (Risen)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Manawa (Risen)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Manawa (Risen)</v>
      </c>
      <c r="U24" s="163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10</v>
      </c>
      <c r="D25" s="221"/>
      <c r="E25" s="221"/>
      <c r="F25" s="221"/>
      <c r="G25" s="175">
        <f t="shared" ref="G25:M25" si="3">SUM(G16:G24)</f>
        <v>0</v>
      </c>
      <c r="H25" s="176">
        <f t="shared" si="3"/>
        <v>400</v>
      </c>
      <c r="I25" s="177">
        <f t="shared" si="3"/>
        <v>25020.5</v>
      </c>
      <c r="J25" s="176">
        <f t="shared" si="3"/>
        <v>20</v>
      </c>
      <c r="K25" s="177">
        <f t="shared" si="3"/>
        <v>0</v>
      </c>
      <c r="L25" s="178">
        <f t="shared" si="3"/>
        <v>3502.8700000000008</v>
      </c>
      <c r="M25" s="140">
        <f t="shared" si="3"/>
        <v>21517.629999999997</v>
      </c>
      <c r="N25" s="141">
        <f>SUM(N16:N24)</f>
        <v>5009.1040999999996</v>
      </c>
      <c r="O25" s="142">
        <f>SUM(O16:O24)</f>
        <v>132.63367049999999</v>
      </c>
      <c r="P25" s="143">
        <f>SUM(P16:P24)</f>
        <v>26659.367770500001</v>
      </c>
      <c r="T25" s="162" t="str">
        <f>+'12'!A5</f>
        <v>Customer Name : Manawa (Risen)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Manawa (Risen)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Manawa (Risen)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Manawa (Risen)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/>
      <c r="U29" s="181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26659.367770499997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1">
        <f>I25</f>
        <v>25020.5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2">
        <f>L25</f>
        <v>3502.8700000000008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3">
        <f>K25</f>
        <v>0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2">
        <f>P32-P33-P34</f>
        <v>21517.629999999997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4" t="s">
        <v>89</v>
      </c>
      <c r="O36" s="155">
        <f>IF(B12="Registered",18%,22%)</f>
        <v>0.22</v>
      </c>
      <c r="P36" s="152">
        <f>N25</f>
        <v>5009.1040999999996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2">
        <f>P35+P36</f>
        <v>26526.734099999998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6"/>
      <c r="N38" s="157" t="s">
        <v>91</v>
      </c>
      <c r="O38" s="158">
        <f>IF(B11="Filer",0.5%,2.5%)</f>
        <v>2.5000000000000001E-2</v>
      </c>
      <c r="P38" s="152">
        <f>O38*P37</f>
        <v>663.16835249999997</v>
      </c>
    </row>
    <row r="39" spans="2:16" ht="15.75" customHeight="1" thickBot="1" x14ac:dyDescent="0.4">
      <c r="N39" s="219" t="s">
        <v>92</v>
      </c>
      <c r="O39" s="220"/>
      <c r="P39" s="159">
        <f>P37+P38</f>
        <v>27189.902452499999</v>
      </c>
    </row>
    <row r="40" spans="2:16" ht="15" thickBot="1" x14ac:dyDescent="0.4">
      <c r="B40" s="160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H4" sqref="H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101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120</v>
      </c>
      <c r="I16" s="101">
        <f>(G16*D16)*F16+H16*F16</f>
        <v>6295.5</v>
      </c>
      <c r="J16" s="102">
        <v>6</v>
      </c>
      <c r="K16" s="103">
        <f>I16*$K$13</f>
        <v>0</v>
      </c>
      <c r="L16" s="104">
        <f>I16*14%</f>
        <v>881.37000000000012</v>
      </c>
      <c r="M16" s="105">
        <f>I16-K16-L16</f>
        <v>5414.13</v>
      </c>
      <c r="N16" s="105">
        <f t="shared" ref="N16:N24" si="0">(M16*$N$15)+(J16*F16)*$N$15</f>
        <v>1260.3591000000001</v>
      </c>
      <c r="O16" s="106">
        <f t="shared" ref="O16:O24" si="1">(N16+M16)*$O$15</f>
        <v>33.372445500000005</v>
      </c>
      <c r="P16" s="104">
        <f t="shared" ref="P16:P24" si="2">M16+N16+O16</f>
        <v>6707.8615455000008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3">(G17*D17)*F17+H17*F17</f>
        <v>4197</v>
      </c>
      <c r="J17" s="116">
        <v>4</v>
      </c>
      <c r="K17" s="1">
        <f t="shared" ref="K17:K21" si="4">I17*$K$13</f>
        <v>0</v>
      </c>
      <c r="L17" s="104">
        <f t="shared" ref="L17:L21" si="5">I17*14%</f>
        <v>587.58000000000004</v>
      </c>
      <c r="M17" s="117">
        <f t="shared" ref="M17:M23" si="6">I17-K17-L17</f>
        <v>3609.42</v>
      </c>
      <c r="N17" s="117">
        <f t="shared" si="0"/>
        <v>840.23940000000005</v>
      </c>
      <c r="O17" s="118">
        <f t="shared" si="1"/>
        <v>22.248297000000004</v>
      </c>
      <c r="P17" s="119">
        <f t="shared" si="2"/>
        <v>4471.9076970000006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16">
        <v>2</v>
      </c>
      <c r="K19" s="1">
        <f t="shared" si="4"/>
        <v>0</v>
      </c>
      <c r="L19" s="104">
        <f t="shared" si="5"/>
        <v>406.78400000000005</v>
      </c>
      <c r="M19" s="117">
        <f t="shared" si="6"/>
        <v>2498.8159999999998</v>
      </c>
      <c r="N19" s="117">
        <f t="shared" si="0"/>
        <v>581.70111999999995</v>
      </c>
      <c r="O19" s="118">
        <f t="shared" si="1"/>
        <v>15.402585599999998</v>
      </c>
      <c r="P19" s="119">
        <f t="shared" si="2"/>
        <v>3095.9197055999994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3"/>
        <v>2905.6</v>
      </c>
      <c r="J20" s="116">
        <v>2</v>
      </c>
      <c r="K20" s="1">
        <f t="shared" si="4"/>
        <v>0</v>
      </c>
      <c r="L20" s="104">
        <f t="shared" si="5"/>
        <v>406.78400000000005</v>
      </c>
      <c r="M20" s="117">
        <f t="shared" si="6"/>
        <v>2498.8159999999998</v>
      </c>
      <c r="N20" s="117">
        <f t="shared" si="0"/>
        <v>581.70111999999995</v>
      </c>
      <c r="O20" s="118">
        <f t="shared" si="1"/>
        <v>15.402585599999998</v>
      </c>
      <c r="P20" s="119">
        <f t="shared" si="2"/>
        <v>3095.9197055999994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120</v>
      </c>
      <c r="I21" s="115">
        <f t="shared" si="3"/>
        <v>8716.7999999999993</v>
      </c>
      <c r="J21" s="116">
        <v>6</v>
      </c>
      <c r="K21" s="1">
        <f t="shared" si="4"/>
        <v>0</v>
      </c>
      <c r="L21" s="104">
        <f t="shared" si="5"/>
        <v>1220.3520000000001</v>
      </c>
      <c r="M21" s="117">
        <f t="shared" si="6"/>
        <v>7496.4479999999994</v>
      </c>
      <c r="N21" s="117">
        <f t="shared" si="0"/>
        <v>1745.1033599999998</v>
      </c>
      <c r="O21" s="118">
        <f t="shared" si="1"/>
        <v>46.207756799999999</v>
      </c>
      <c r="P21" s="119">
        <f t="shared" si="2"/>
        <v>9287.7591167999999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400</v>
      </c>
      <c r="I25" s="136">
        <f t="shared" si="9"/>
        <v>25020.5</v>
      </c>
      <c r="J25" s="137"/>
      <c r="K25" s="138">
        <f t="shared" si="9"/>
        <v>0</v>
      </c>
      <c r="L25" s="139">
        <f t="shared" si="9"/>
        <v>3502.8700000000008</v>
      </c>
      <c r="M25" s="140">
        <f t="shared" si="9"/>
        <v>21517.629999999997</v>
      </c>
      <c r="N25" s="141">
        <f>SUM(N16:N24)</f>
        <v>5009.1040999999996</v>
      </c>
      <c r="O25" s="142">
        <f>SUM(O16:O24)</f>
        <v>132.63367049999999</v>
      </c>
      <c r="P25" s="143">
        <f>SUM(P16:P24)</f>
        <v>26659.367770500001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25020.5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3502.8700000000008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21517.629999999997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5009.1040999999996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26526.734099999998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132.63367049999999</v>
      </c>
    </row>
    <row r="35" spans="2:16" ht="15.75" customHeight="1" thickBot="1" x14ac:dyDescent="0.4">
      <c r="N35" s="219" t="s">
        <v>92</v>
      </c>
      <c r="O35" s="220"/>
      <c r="P35" s="159">
        <f>P33+P34</f>
        <v>26659.367770499997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8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6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79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1001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46202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46201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 t="s">
        <v>102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182">
        <v>0.14000000000000001</v>
      </c>
      <c r="M15" s="250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1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2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3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2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2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9" t="s">
        <v>92</v>
      </c>
      <c r="O35" s="220"/>
      <c r="P35" s="159">
        <f>P33+P34</f>
        <v>0</v>
      </c>
    </row>
    <row r="36" spans="2:16" ht="15" thickBot="1" x14ac:dyDescent="0.4">
      <c r="B36" s="160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2026-06-29T05:42:15Z</dcterms:modified>
</cp:coreProperties>
</file>