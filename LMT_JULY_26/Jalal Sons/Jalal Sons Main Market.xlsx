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48377FB3-1109-40A1-A218-5E73DD819E2C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I19" i="16" l="1"/>
  <c r="L17" i="17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7" i="16"/>
  <c r="L19" i="16"/>
  <c r="L20" i="16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M21" i="35" s="1"/>
  <c r="K22" i="35"/>
  <c r="L22" i="35"/>
  <c r="M22" i="35"/>
  <c r="K23" i="35"/>
  <c r="L23" i="35"/>
  <c r="M23" i="35" s="1"/>
  <c r="K24" i="35"/>
  <c r="M24" i="35" s="1"/>
  <c r="L24" i="35"/>
  <c r="K17" i="34"/>
  <c r="K18" i="34"/>
  <c r="K19" i="34"/>
  <c r="K21" i="34"/>
  <c r="K22" i="34"/>
  <c r="L22" i="34"/>
  <c r="K23" i="34"/>
  <c r="M23" i="34"/>
  <c r="L23" i="34"/>
  <c r="K24" i="34"/>
  <c r="K21" i="33"/>
  <c r="K22" i="33"/>
  <c r="M22" i="33" s="1"/>
  <c r="L22" i="33"/>
  <c r="K19" i="33"/>
  <c r="K23" i="33"/>
  <c r="K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K17" i="32"/>
  <c r="K18" i="32"/>
  <c r="K19" i="32"/>
  <c r="K20" i="32"/>
  <c r="K21" i="32"/>
  <c r="K23" i="32"/>
  <c r="L23" i="32"/>
  <c r="M23" i="32" s="1"/>
  <c r="K22" i="32"/>
  <c r="L22" i="32"/>
  <c r="K17" i="31"/>
  <c r="M17" i="31"/>
  <c r="K21" i="31"/>
  <c r="K22" i="31"/>
  <c r="L22" i="31"/>
  <c r="M22" i="31" s="1"/>
  <c r="K24" i="31"/>
  <c r="L24" i="31"/>
  <c r="M24" i="31" s="1"/>
  <c r="K16" i="31"/>
  <c r="K18" i="31"/>
  <c r="K20" i="31"/>
  <c r="L23" i="31"/>
  <c r="K18" i="30"/>
  <c r="K20" i="30"/>
  <c r="K21" i="30"/>
  <c r="M21" i="30"/>
  <c r="K23" i="30"/>
  <c r="M23" i="30" s="1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/>
  <c r="L24" i="29"/>
  <c r="K17" i="29"/>
  <c r="K20" i="29"/>
  <c r="K22" i="29"/>
  <c r="M22" i="29" s="1"/>
  <c r="L22" i="29"/>
  <c r="K18" i="29"/>
  <c r="K23" i="29"/>
  <c r="I25" i="28"/>
  <c r="P28" i="28" s="1"/>
  <c r="K16" i="28"/>
  <c r="K17" i="28"/>
  <c r="M17" i="28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N19" i="34" s="1"/>
  <c r="O19" i="34" s="1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N19" i="35" s="1"/>
  <c r="O19" i="35" s="1"/>
  <c r="M19" i="31"/>
  <c r="M20" i="31"/>
  <c r="N20" i="31" s="1"/>
  <c r="O20" i="31" s="1"/>
  <c r="M20" i="33"/>
  <c r="N20" i="33" s="1"/>
  <c r="O20" i="33" s="1"/>
  <c r="M20" i="35"/>
  <c r="N20" i="35" s="1"/>
  <c r="O20" i="35" s="1"/>
  <c r="P20" i="35" s="1"/>
  <c r="M21" i="29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L22" i="26"/>
  <c r="K23" i="26"/>
  <c r="L23" i="26"/>
  <c r="K20" i="26"/>
  <c r="K21" i="26"/>
  <c r="K24" i="26"/>
  <c r="L24" i="26"/>
  <c r="M24" i="26" s="1"/>
  <c r="K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I16" i="25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K20" i="25"/>
  <c r="K16" i="25"/>
  <c r="K24" i="25"/>
  <c r="L22" i="25"/>
  <c r="K17" i="25"/>
  <c r="L23" i="25"/>
  <c r="K23" i="25"/>
  <c r="K17" i="24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18" i="19"/>
  <c r="K24" i="19"/>
  <c r="L24" i="19"/>
  <c r="K22" i="19"/>
  <c r="L22" i="19"/>
  <c r="K21" i="19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3" i="19" l="1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16" i="24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I18" i="16"/>
  <c r="I20" i="16"/>
  <c r="K20" i="16" s="1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22" i="18"/>
  <c r="O22" i="18" s="1"/>
  <c r="M16" i="17"/>
  <c r="I23" i="15"/>
  <c r="K16" i="16" l="1"/>
  <c r="L16" i="16"/>
  <c r="K18" i="16"/>
  <c r="L18" i="16"/>
  <c r="L21" i="16"/>
  <c r="L21" i="15" s="1"/>
  <c r="K22" i="15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M18" i="15" s="1"/>
  <c r="L20" i="15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N16" i="18"/>
  <c r="N16" i="15" s="1"/>
  <c r="M18" i="16"/>
  <c r="N18" i="16" s="1"/>
  <c r="N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O18" i="16" l="1"/>
  <c r="O18" i="15" s="1"/>
  <c r="N22" i="15"/>
  <c r="N20" i="15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<sst xmlns="http://schemas.openxmlformats.org/spreadsheetml/2006/main" count="1579" uniqueCount="107">
  <si>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</si>
  <si>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</si>
  <si>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</si>
  <si>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</si>
  <si>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</si>
  <si>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</si>
  <si>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</si>
  <si>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</si>
  <si>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</si>
  <si>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</si>
  <si>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</si>
  <si>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</si>
  <si>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</si>
  <si>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</si>
  <si>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</si>
  <si>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</si>
  <si>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</si>
  <si>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</si>
  <si>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</si>
  <si>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</si>
  <si>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</si>
  <si>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</si>
  <si>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</si>
  <si>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</si>
  <si>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</si>
  <si>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</si>
  <si>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</si>
  <si>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</si>
  <si>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</si>
  <si>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</si>
  <si>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</si>
  <si>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</si>
  <si>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</si>
  <si>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</si>
  <si>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</si>
  <si>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</si>
  <si>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</si>
  <si>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</si>
  <si>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</si>
  <si>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</si>
  <si>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</si>
  <si>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</si>
  <si>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</si>
  <si>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</si>
  <si>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</si>
  <si>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</si>
  <si>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</si>
  <si>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</si>
  <si>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</si>
  <si>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</si>
  <si>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</si>
  <si>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</si>
  <si>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</si>
  <si>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</si>
  <si>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</si>
  <si>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</si>
  <si>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</si>
  <si>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</si>
  <si>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</si>
  <si>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</si>
  <si>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</si>
  <si>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</si>
  <si>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</si>
  <si>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</si>
  <si>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</si>
  <si>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</si>
  <si>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</si>
  <si>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</si>
  <si>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</si>
  <si>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</si>
  <si>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</si>
  <si>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</si>
  <si>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</si>
  <si>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</si>
  <si>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</si>
  <si>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</si>
  <si>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</si>
  <si>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</si>
  <si>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</si>
  <si>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</si>
  <si>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</si>
  <si>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</si>
  <si>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</si>
  <si>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</si>
  <si>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</si>
  <si>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</si>
  <si>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</si>
  <si>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</si>
  <si>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</si>
  <si>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</si>
  <si>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</si>
  <si>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</si>
  <si>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</si>
  <si>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</si>
  <si>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</si>
  <si>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</si>
  <si>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</si>
  <si>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</si>
  <si>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</si>
  <si>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</si>
  <si>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</si>
  <si>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</si>
  <si>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Vacant_01</t>
  </si>
  <si>
    <t>Shop Bill Summary (Vacant_01)</t>
  </si>
  <si>
    <t>1010737-1</t>
  </si>
  <si>
    <t xml:space="preserve">Customer Name : Jalal Sons </t>
  </si>
  <si>
    <t xml:space="preserve">Address: DHA H Block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</si>
</sst>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9" fontId="13" fillId="0" borderId="45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3" sqref="B13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B13" sqref="B13"/>
      <selection pane="topRight" activeCell="B13" sqref="B13"/>
      <selection pane="bottomLeft" activeCell="B13" sqref="B13"/>
      <selection pane="bottomRight" activeCell="B13" sqref="B13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2"/>
      <c r="B3" s="182"/>
      <c r="C3" s="182"/>
      <c r="D3" s="182"/>
      <c r="E3" s="182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</row>
    <row r="4" spans="1:29" x14ac:dyDescent="0.35">
      <c r="A4" s="184" t="s">
        <v>6</v>
      </c>
      <c r="B4" s="5" t="s">
        <v>7</v>
      </c>
      <c r="C4" s="5"/>
      <c r="D4" s="186" t="s">
        <v>8</v>
      </c>
      <c r="E4" s="188" t="s">
        <v>9</v>
      </c>
      <c r="F4" s="190" t="s">
        <v>3</v>
      </c>
      <c r="G4" s="190"/>
      <c r="H4" s="191" t="s">
        <v>10</v>
      </c>
      <c r="I4" s="191"/>
      <c r="J4" s="192" t="s">
        <v>11</v>
      </c>
      <c r="K4" s="193"/>
      <c r="L4" s="192" t="s">
        <v>12</v>
      </c>
      <c r="M4" s="193"/>
      <c r="N4" s="194" t="s">
        <v>13</v>
      </c>
      <c r="O4" s="194"/>
      <c r="P4" s="192" t="s">
        <v>4</v>
      </c>
      <c r="Q4" s="193"/>
      <c r="R4" s="192" t="s">
        <v>14</v>
      </c>
      <c r="S4" s="193"/>
      <c r="T4" s="195" t="s">
        <v>15</v>
      </c>
      <c r="U4" s="195"/>
      <c r="V4" s="196" t="s">
        <v>16</v>
      </c>
      <c r="W4" s="197"/>
      <c r="X4" s="196" t="s">
        <v>17</v>
      </c>
      <c r="Y4" s="197"/>
    </row>
    <row r="5" spans="1:29" ht="26.25" customHeight="1" thickBot="1" x14ac:dyDescent="0.4">
      <c r="A5" s="185"/>
      <c r="B5" s="7" t="s">
        <v>18</v>
      </c>
      <c r="C5" s="7" t="s">
        <v>8</v>
      </c>
      <c r="D5" s="187"/>
      <c r="E5" s="18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zoomScale="70" zoomScaleNormal="70" workbookViewId="0">
      <selection activeCell="B13" sqref="B1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4" t="s">
        <v>45</v>
      </c>
      <c r="B2" s="244"/>
      <c r="C2" s="244"/>
    </row>
    <row r="3" spans="1:21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46192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3" t="s">
        <v>102</v>
      </c>
      <c r="B5" s="243"/>
      <c r="C5" s="243"/>
      <c r="F5" s="70"/>
      <c r="G5" s="71"/>
      <c r="K5" s="228" t="s">
        <v>51</v>
      </c>
      <c r="L5" s="228"/>
      <c r="M5" s="228"/>
      <c r="N5" s="242">
        <f ca="1">N4-1</f>
        <v>46191</v>
      </c>
      <c r="O5" s="229"/>
      <c r="P5" s="229"/>
      <c r="R5" s="70"/>
      <c r="S5" s="71"/>
    </row>
    <row r="6" spans="1:21 16383:16384" ht="15" customHeight="1" x14ac:dyDescent="0.35">
      <c r="A6" s="243"/>
      <c r="B6" s="243"/>
      <c r="C6" s="243"/>
      <c r="F6" s="70"/>
      <c r="G6" s="74"/>
      <c r="K6" s="228" t="s">
        <v>52</v>
      </c>
      <c r="L6" s="228"/>
      <c r="M6" s="228"/>
      <c r="N6" s="241" t="s">
        <v>42</v>
      </c>
      <c r="O6" s="241"/>
      <c r="P6" s="24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21 16383:16384" hidden="1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21 16383:16384" x14ac:dyDescent="0.35">
      <c r="A10" s="226"/>
      <c r="B10" s="75"/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21 16383:16384" ht="15" thickBot="1" x14ac:dyDescent="0.4">
      <c r="A11" s="226"/>
      <c r="B11" s="76"/>
      <c r="C11" s="77"/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21 16383:16384" ht="14.65" customHeight="1" x14ac:dyDescent="0.35">
      <c r="A12" s="226"/>
      <c r="B12" s="76"/>
      <c r="C12" s="77"/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T12" s="198" t="s">
        <v>103</v>
      </c>
      <c r="U12" s="199"/>
      <c r="XFD12" t="s">
        <v>62</v>
      </c>
    </row>
    <row r="13" spans="1:21 16383:16384" ht="15" thickBot="1" x14ac:dyDescent="0.4">
      <c r="A13" s="227"/>
      <c r="J13" s="78"/>
      <c r="K13" s="78"/>
      <c r="L13" s="79">
        <v>0.05</v>
      </c>
      <c r="T13" s="200"/>
      <c r="U13" s="201"/>
      <c r="XFD13" t="s">
        <v>63</v>
      </c>
    </row>
    <row r="14" spans="1:21 16383:16384" ht="29.25" customHeight="1" x14ac:dyDescent="0.6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36" t="s">
        <v>68</v>
      </c>
      <c r="H14" s="237"/>
      <c r="I14" s="237" t="s">
        <v>69</v>
      </c>
      <c r="J14" s="237" t="s">
        <v>70</v>
      </c>
      <c r="K14" s="237"/>
      <c r="L14" s="239"/>
      <c r="M14" s="231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 xml:space="preserve">Customer Name : Jalal Sons </v>
      </c>
      <c r="U14" s="163">
        <f>+'1'!P35</f>
        <v>5044.2078615000009</v>
      </c>
      <c r="XFD14" t="s">
        <v>75</v>
      </c>
    </row>
    <row r="15" spans="1:21 16383:16384" ht="29.25" customHeight="1" thickBot="1" x14ac:dyDescent="0.65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38"/>
      <c r="J15" s="170" t="s">
        <v>78</v>
      </c>
      <c r="K15" s="170" t="s">
        <v>79</v>
      </c>
      <c r="L15" s="173" t="s">
        <v>80</v>
      </c>
      <c r="M15" s="23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 xml:space="preserve">Customer Name : Jalal Sons 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</f>
        <v>20</v>
      </c>
      <c r="I16" s="1">
        <f>(G16*D16)*F16+H16*F16</f>
        <v>1049.25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157.38749999999999</v>
      </c>
      <c r="M16" s="105">
        <f>I16-K16-L16</f>
        <v>891.86249999999995</v>
      </c>
      <c r="N16" s="100">
        <f>+'1'!N16+'2'!N16+'4'!N16+'3'!N16+'5'!N16+'6'!N16+'7'!N16+'8'!N16+'9'!N16+'10'!N16</f>
        <v>160.53524999999999</v>
      </c>
      <c r="O16" s="100">
        <f>+'1'!O16+'2'!O16+'4'!O16+'3'!O16+'5'!O16+'6'!O16+'7'!O16+'8'!O16+'9'!O16+'10'!O16</f>
        <v>5.2619887499999995</v>
      </c>
      <c r="P16" s="104">
        <f t="shared" ref="P16:P24" si="0">M16+N16+O16</f>
        <v>1057.6597387499999</v>
      </c>
      <c r="Q16" s="107"/>
      <c r="T16" s="162" t="str">
        <f>+'4'!A5</f>
        <v xml:space="preserve">Customer Name : Jalal Sons 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</f>
        <v>0</v>
      </c>
      <c r="I17" s="1">
        <f t="shared" ref="I17:I23" si="1">(G17*D17)*F17+H17*F17</f>
        <v>0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7">
        <f t="shared" ref="M17:M23" si="2">I17-K17-L17</f>
        <v>0</v>
      </c>
      <c r="N17" s="100">
        <f>+'1'!N17+'2'!N17+'4'!N17+'3'!N17+'5'!N17+'6'!N17+'7'!N17+'8'!N17+'9'!N17+'10'!N17</f>
        <v>0</v>
      </c>
      <c r="O17" s="100">
        <f>+'1'!O17+'2'!O17+'4'!O17+'3'!O17+'5'!O17+'6'!O17+'7'!O17+'8'!O17+'9'!O17+'10'!O17</f>
        <v>0</v>
      </c>
      <c r="P17" s="119">
        <f t="shared" si="0"/>
        <v>0</v>
      </c>
      <c r="S17" s="64"/>
      <c r="T17" s="162" t="str">
        <f>+'3'!A5</f>
        <v xml:space="preserve">Customer Name : Jalal Sons 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</f>
        <v>20</v>
      </c>
      <c r="I18" s="1">
        <f t="shared" si="1"/>
        <v>1049.25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157.38749999999999</v>
      </c>
      <c r="M18" s="117">
        <f t="shared" si="2"/>
        <v>891.86249999999995</v>
      </c>
      <c r="N18" s="100">
        <f>+'1'!N18+'2'!N18+'4'!N18+'3'!N18+'5'!N18+'6'!N18+'7'!N18+'8'!N18+'9'!N18+'10'!N18</f>
        <v>160.53524999999999</v>
      </c>
      <c r="O18" s="100">
        <f>+'1'!O18+'2'!O18+'4'!O18+'3'!O18+'5'!O18+'6'!O18+'7'!O18+'8'!O18+'9'!O18+'10'!O18</f>
        <v>5.2619887499999995</v>
      </c>
      <c r="P18" s="119">
        <f t="shared" si="0"/>
        <v>1057.6597387499999</v>
      </c>
      <c r="T18" s="162" t="str">
        <f>+'5'!A5</f>
        <v xml:space="preserve">Customer Name : Jalal Sons 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</f>
        <v>20</v>
      </c>
      <c r="I19" s="1">
        <f t="shared" si="1"/>
        <v>1452.8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217.92</v>
      </c>
      <c r="M19" s="117">
        <f t="shared" si="2"/>
        <v>1234.8799999999999</v>
      </c>
      <c r="N19" s="100">
        <f>+'1'!N19+'2'!N19+'4'!N19+'3'!N19+'5'!N19+'6'!N19+'7'!N19+'8'!N19+'9'!N19+'10'!N19</f>
        <v>222.27839999999998</v>
      </c>
      <c r="O19" s="100">
        <f>+'1'!O19+'2'!O19+'4'!O19+'3'!O19+'5'!O19+'6'!O19+'7'!O19+'8'!O19+'9'!O19+'10'!O19</f>
        <v>7.2857919999999989</v>
      </c>
      <c r="P19" s="119">
        <f t="shared" si="0"/>
        <v>1464.4441919999997</v>
      </c>
      <c r="T19" s="162" t="str">
        <f>+'6'!A5</f>
        <v xml:space="preserve">Customer Name : Jalal Sons 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7">
        <f t="shared" si="2"/>
        <v>0</v>
      </c>
      <c r="N20" s="100">
        <f>+'1'!N20+'2'!N20+'4'!N20+'3'!N20+'5'!N20+'6'!N20+'7'!N20+'8'!N20+'9'!N20+'10'!N20</f>
        <v>0</v>
      </c>
      <c r="O20" s="100">
        <f>+'1'!O20+'2'!O20+'4'!O20+'3'!O20+'5'!O20+'6'!O20+'7'!O20+'8'!O20+'9'!O20+'10'!O20</f>
        <v>0</v>
      </c>
      <c r="P20" s="119">
        <f t="shared" si="0"/>
        <v>0</v>
      </c>
      <c r="T20" s="162" t="str">
        <f>+'7'!A5</f>
        <v xml:space="preserve">Customer Name : Jalal Sons 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</f>
        <v>20</v>
      </c>
      <c r="I21" s="1">
        <f t="shared" si="1"/>
        <v>1452.8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217.92</v>
      </c>
      <c r="M21" s="117">
        <f t="shared" si="2"/>
        <v>1234.8799999999999</v>
      </c>
      <c r="N21" s="100">
        <f>+'1'!N21+'2'!N21+'4'!N21+'3'!N21+'5'!N21+'6'!N21+'7'!N21+'8'!N21+'9'!N21+'10'!N21</f>
        <v>222.27839999999998</v>
      </c>
      <c r="O21" s="100">
        <f>+'1'!O21+'2'!O21+'4'!O21+'3'!O21+'5'!O21+'6'!O21+'7'!O21+'8'!O21+'9'!O21+'10'!O21</f>
        <v>7.2857919999999989</v>
      </c>
      <c r="P21" s="119">
        <f t="shared" si="0"/>
        <v>1464.4441919999997</v>
      </c>
      <c r="T21" s="162" t="str">
        <f>+'8'!A5</f>
        <v xml:space="preserve">Customer Name : Jalal Sons 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 xml:space="preserve">Customer Name : Jalal Sons 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 xml:space="preserve">Customer Name : Jalal Sons 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 xml:space="preserve">Customer Name : Jalal Sons </v>
      </c>
      <c r="U24" s="163">
        <f>+'11'!P35</f>
        <v>0</v>
      </c>
    </row>
    <row r="25" spans="1:21 16384:16384" ht="26.5" thickBot="1" x14ac:dyDescent="0.65">
      <c r="A25" s="208" t="s">
        <v>84</v>
      </c>
      <c r="B25" s="209"/>
      <c r="C25" s="210">
        <f>H25/40</f>
        <v>2</v>
      </c>
      <c r="D25" s="204"/>
      <c r="E25" s="204"/>
      <c r="F25" s="204"/>
      <c r="G25" s="175">
        <f t="shared" ref="G25:M25" si="3">SUM(G16:G24)</f>
        <v>0</v>
      </c>
      <c r="H25" s="176">
        <f t="shared" si="3"/>
        <v>80</v>
      </c>
      <c r="I25" s="177">
        <f t="shared" si="3"/>
        <v>5004.1000000000004</v>
      </c>
      <c r="J25" s="176">
        <f t="shared" si="3"/>
        <v>0</v>
      </c>
      <c r="K25" s="177">
        <f t="shared" si="3"/>
        <v>0</v>
      </c>
      <c r="L25" s="178">
        <f t="shared" si="3"/>
        <v>750.6149999999999</v>
      </c>
      <c r="M25" s="140">
        <f t="shared" si="3"/>
        <v>4253.4849999999997</v>
      </c>
      <c r="N25" s="141">
        <f>SUM(N16:N24)</f>
        <v>765.62729999999988</v>
      </c>
      <c r="O25" s="142">
        <f>SUM(O16:O24)</f>
        <v>25.095561499999995</v>
      </c>
      <c r="P25" s="143">
        <f>SUM(P16:P24)</f>
        <v>5044.2078614999991</v>
      </c>
      <c r="T25" s="162" t="str">
        <f>+'12'!A5</f>
        <v xml:space="preserve">Customer Name : Jalal Sons 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 xml:space="preserve">Customer Name : Jalal Sons 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 xml:space="preserve">Customer Name : Jalal Sons 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 xml:space="preserve">Customer Name : Jalal Sons 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/>
      <c r="U29" s="181"/>
    </row>
    <row r="30" spans="1:21 16384:16384" ht="26.5" thickBot="1" x14ac:dyDescent="0.65">
      <c r="A30" s="144"/>
      <c r="B30" s="144"/>
      <c r="C30" s="144"/>
      <c r="D30" s="144"/>
      <c r="E30" s="144"/>
      <c r="F30" s="144"/>
      <c r="G30" s="145"/>
      <c r="H30" s="145"/>
      <c r="I30" s="146"/>
      <c r="K30" s="147"/>
      <c r="L30" s="147"/>
      <c r="M30" s="147"/>
      <c r="N30" s="147"/>
      <c r="O30" s="148"/>
      <c r="P30" s="147"/>
      <c r="T30" s="165" t="s">
        <v>84</v>
      </c>
      <c r="U30" s="164">
        <f>SUM(U14:U28)</f>
        <v>5044.2078615000009</v>
      </c>
    </row>
    <row r="31" spans="1:21 16384:16384" ht="15" thickBot="1" x14ac:dyDescent="0.4">
      <c r="A31" s="69"/>
      <c r="B31" s="69"/>
      <c r="C31" s="149"/>
      <c r="D31" s="149"/>
      <c r="E31" s="149"/>
      <c r="F31" s="149"/>
      <c r="G31" s="150"/>
      <c r="H31" s="150"/>
    </row>
    <row r="32" spans="1:21 16384:16384" x14ac:dyDescent="0.35">
      <c r="B32" s="211" t="s">
        <v>85</v>
      </c>
      <c r="C32" s="212"/>
      <c r="D32" s="212"/>
      <c r="E32" s="212"/>
      <c r="F32" s="212"/>
      <c r="G32" s="212"/>
      <c r="H32" s="212"/>
      <c r="I32" s="212"/>
      <c r="J32" s="212"/>
      <c r="K32" s="212"/>
      <c r="L32" s="213"/>
      <c r="N32" s="220" t="s">
        <v>86</v>
      </c>
      <c r="O32" s="221"/>
      <c r="P32" s="151">
        <f>I25</f>
        <v>5004.1000000000004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N33" s="222" t="s">
        <v>87</v>
      </c>
      <c r="O33" s="223"/>
      <c r="P33" s="152">
        <f>L25</f>
        <v>750.6149999999999</v>
      </c>
    </row>
    <row r="34" spans="2:16" ht="15" customHeight="1" x14ac:dyDescent="0.35">
      <c r="B34" s="214"/>
      <c r="C34" s="215"/>
      <c r="D34" s="215"/>
      <c r="E34" s="215"/>
      <c r="F34" s="215"/>
      <c r="G34" s="215"/>
      <c r="H34" s="215"/>
      <c r="I34" s="215"/>
      <c r="J34" s="215"/>
      <c r="K34" s="215"/>
      <c r="L34" s="216"/>
      <c r="N34" s="222" t="s">
        <v>4</v>
      </c>
      <c r="O34" s="223"/>
      <c r="P34" s="153">
        <f>K25</f>
        <v>0</v>
      </c>
    </row>
    <row r="35" spans="2:16" ht="15" customHeight="1" x14ac:dyDescent="0.35">
      <c r="B35" s="214"/>
      <c r="C35" s="215"/>
      <c r="D35" s="215"/>
      <c r="E35" s="215"/>
      <c r="F35" s="215"/>
      <c r="G35" s="215"/>
      <c r="H35" s="215"/>
      <c r="I35" s="215"/>
      <c r="J35" s="215"/>
      <c r="K35" s="215"/>
      <c r="L35" s="216"/>
      <c r="M35" s="2"/>
      <c r="N35" s="222" t="s">
        <v>88</v>
      </c>
      <c r="O35" s="223"/>
      <c r="P35" s="152">
        <f>P32-P33-P34</f>
        <v>4253.4850000000006</v>
      </c>
    </row>
    <row r="36" spans="2:16" ht="15" customHeight="1" x14ac:dyDescent="0.35">
      <c r="B36" s="214"/>
      <c r="C36" s="215"/>
      <c r="D36" s="215"/>
      <c r="E36" s="215"/>
      <c r="F36" s="215"/>
      <c r="G36" s="215"/>
      <c r="H36" s="215"/>
      <c r="I36" s="215"/>
      <c r="J36" s="215"/>
      <c r="K36" s="215"/>
      <c r="L36" s="216"/>
      <c r="M36" s="2"/>
      <c r="N36" s="154" t="s">
        <v>89</v>
      </c>
      <c r="O36" s="155">
        <f>IF(B12="Registered",18%,22%)</f>
        <v>0.22</v>
      </c>
      <c r="P36" s="152">
        <f>N25</f>
        <v>765.62729999999988</v>
      </c>
    </row>
    <row r="37" spans="2:16" ht="15" customHeight="1" x14ac:dyDescent="0.35">
      <c r="B37" s="214"/>
      <c r="C37" s="215"/>
      <c r="D37" s="215"/>
      <c r="E37" s="215"/>
      <c r="F37" s="215"/>
      <c r="G37" s="215"/>
      <c r="H37" s="215"/>
      <c r="I37" s="215"/>
      <c r="J37" s="215"/>
      <c r="K37" s="215"/>
      <c r="L37" s="216"/>
      <c r="M37" s="2"/>
      <c r="N37" s="224" t="s">
        <v>90</v>
      </c>
      <c r="O37" s="225"/>
      <c r="P37" s="152">
        <f>P35+P36</f>
        <v>5019.1123000000007</v>
      </c>
    </row>
    <row r="38" spans="2:16" ht="15" customHeight="1" thickBot="1" x14ac:dyDescent="0.4">
      <c r="B38" s="217"/>
      <c r="C38" s="218"/>
      <c r="D38" s="218"/>
      <c r="E38" s="218"/>
      <c r="F38" s="218"/>
      <c r="G38" s="218"/>
      <c r="H38" s="218"/>
      <c r="I38" s="218"/>
      <c r="J38" s="218"/>
      <c r="K38" s="218"/>
      <c r="L38" s="219"/>
      <c r="M38" s="156"/>
      <c r="N38" s="157" t="s">
        <v>91</v>
      </c>
      <c r="O38" s="158">
        <f>IF(B11="Filer",0.5%,2.5%)</f>
        <v>2.5000000000000001E-2</v>
      </c>
      <c r="P38" s="152">
        <f>O38*P37</f>
        <v>125.47780750000003</v>
      </c>
    </row>
    <row r="39" spans="2:16" ht="15.75" customHeight="1" thickBot="1" x14ac:dyDescent="0.4">
      <c r="N39" s="202" t="s">
        <v>92</v>
      </c>
      <c r="O39" s="203"/>
      <c r="P39" s="159">
        <f>P37+P38</f>
        <v>5144.5901075000011</v>
      </c>
    </row>
    <row r="40" spans="2:16" ht="15" thickBot="1" x14ac:dyDescent="0.4">
      <c r="B40" s="160" t="s">
        <v>93</v>
      </c>
      <c r="C40" s="204"/>
      <c r="D40" s="204"/>
      <c r="E40" s="204"/>
      <c r="F40" s="204"/>
      <c r="G40" s="204"/>
      <c r="H40" s="204"/>
      <c r="I40" s="205"/>
      <c r="J40" s="206"/>
      <c r="K40" s="207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17"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46192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105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46191</v>
      </c>
      <c r="O5" s="229"/>
      <c r="P5" s="229"/>
      <c r="R5" s="70"/>
      <c r="S5" s="71"/>
    </row>
    <row r="6" spans="1:19 16383:16384" ht="15" customHeight="1" x14ac:dyDescent="0.35">
      <c r="A6" s="228" t="s">
        <v>106</v>
      </c>
      <c r="B6" s="228"/>
      <c r="C6" s="228"/>
      <c r="F6" s="70"/>
      <c r="G6" s="74"/>
      <c r="K6" s="228" t="s">
        <v>52</v>
      </c>
      <c r="L6" s="228"/>
      <c r="M6" s="228"/>
      <c r="N6" s="241" t="s">
        <v>101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104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48</v>
      </c>
      <c r="C11" s="77" t="str">
        <f>IF($O34&gt;2.49%,"No","Yes")</f>
        <v>Yes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167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252">
        <v>0.15</v>
      </c>
      <c r="M15" s="249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20</v>
      </c>
      <c r="I16" s="101">
        <f>(G16*D16)*F16+H16*F16</f>
        <v>1049.25</v>
      </c>
      <c r="J16" s="102"/>
      <c r="K16" s="103">
        <f>I16*$K$13</f>
        <v>0</v>
      </c>
      <c r="L16" s="104">
        <f>I16*15%</f>
        <v>157.38749999999999</v>
      </c>
      <c r="M16" s="105">
        <f>I16-K16-L16</f>
        <v>891.86249999999995</v>
      </c>
      <c r="N16" s="105">
        <f t="shared" ref="N16:N24" si="0">(M16*$N$15)+(J16*F16)*$N$15</f>
        <v>160.53524999999999</v>
      </c>
      <c r="O16" s="106">
        <f t="shared" ref="O16:O24" si="1">(N16+M16)*$O$15</f>
        <v>5.2619887499999995</v>
      </c>
      <c r="P16" s="104">
        <f t="shared" ref="P16:P24" si="2">M16+N16+O16</f>
        <v>1057.6597387499999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3">(G17*D17)*F17+H17*F17</f>
        <v>0</v>
      </c>
      <c r="J17" s="116"/>
      <c r="K17" s="1">
        <f t="shared" ref="K17:K21" si="4">I17*$K$13</f>
        <v>0</v>
      </c>
      <c r="L17" s="104">
        <f t="shared" ref="L17:L21" si="5">I17*15%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si="1"/>
        <v>0</v>
      </c>
      <c r="P17" s="119">
        <f t="shared" si="2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20</v>
      </c>
      <c r="I18" s="115">
        <f t="shared" si="3"/>
        <v>1049.25</v>
      </c>
      <c r="J18" s="116"/>
      <c r="K18" s="1">
        <f t="shared" si="4"/>
        <v>0</v>
      </c>
      <c r="L18" s="104">
        <f t="shared" si="5"/>
        <v>157.38749999999999</v>
      </c>
      <c r="M18" s="117">
        <f t="shared" si="6"/>
        <v>891.86249999999995</v>
      </c>
      <c r="N18" s="117">
        <f t="shared" si="0"/>
        <v>160.53524999999999</v>
      </c>
      <c r="O18" s="118">
        <f t="shared" si="1"/>
        <v>5.2619887499999995</v>
      </c>
      <c r="P18" s="119">
        <f t="shared" si="2"/>
        <v>1057.6597387499999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20</v>
      </c>
      <c r="I19" s="115">
        <f t="shared" si="3"/>
        <v>1452.8</v>
      </c>
      <c r="J19" s="116"/>
      <c r="K19" s="1">
        <f t="shared" si="4"/>
        <v>0</v>
      </c>
      <c r="L19" s="104">
        <f t="shared" si="5"/>
        <v>217.92</v>
      </c>
      <c r="M19" s="117">
        <f t="shared" si="6"/>
        <v>1234.8799999999999</v>
      </c>
      <c r="N19" s="117">
        <f t="shared" si="0"/>
        <v>222.27839999999998</v>
      </c>
      <c r="O19" s="118">
        <f t="shared" si="1"/>
        <v>7.2857919999999989</v>
      </c>
      <c r="P19" s="119">
        <f t="shared" si="2"/>
        <v>1464.4441919999997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3"/>
        <v>0</v>
      </c>
      <c r="J20" s="116"/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1"/>
        <v>0</v>
      </c>
      <c r="P20" s="119">
        <f t="shared" si="2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20</v>
      </c>
      <c r="I21" s="115">
        <f t="shared" si="3"/>
        <v>1452.8</v>
      </c>
      <c r="J21" s="116"/>
      <c r="K21" s="1">
        <f t="shared" si="4"/>
        <v>0</v>
      </c>
      <c r="L21" s="104">
        <f t="shared" si="5"/>
        <v>217.92</v>
      </c>
      <c r="M21" s="117">
        <f t="shared" si="6"/>
        <v>1234.8799999999999</v>
      </c>
      <c r="N21" s="117">
        <f t="shared" si="0"/>
        <v>222.27839999999998</v>
      </c>
      <c r="O21" s="118">
        <f t="shared" si="1"/>
        <v>7.2857919999999989</v>
      </c>
      <c r="P21" s="119">
        <f t="shared" si="2"/>
        <v>1464.4441919999997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80</v>
      </c>
      <c r="I25" s="136">
        <f t="shared" si="9"/>
        <v>5004.1000000000004</v>
      </c>
      <c r="J25" s="137"/>
      <c r="K25" s="138">
        <f t="shared" si="9"/>
        <v>0</v>
      </c>
      <c r="L25" s="139">
        <f t="shared" si="9"/>
        <v>750.6149999999999</v>
      </c>
      <c r="M25" s="140">
        <f t="shared" si="9"/>
        <v>4253.4849999999997</v>
      </c>
      <c r="N25" s="141">
        <f>SUM(N16:N24)</f>
        <v>765.62729999999988</v>
      </c>
      <c r="O25" s="142">
        <f>SUM(O16:O24)</f>
        <v>25.095561499999995</v>
      </c>
      <c r="P25" s="143">
        <f>SUM(P16:P24)</f>
        <v>5044.2078614999991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5004.1000000000004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750.6149999999999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4253.4850000000006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0.18</v>
      </c>
      <c r="P32" s="152">
        <f>N25</f>
        <v>765.62729999999988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5019.1123000000007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5.0000000000000001E-3</v>
      </c>
      <c r="P34" s="152">
        <f>O34*P33</f>
        <v>25.095561500000002</v>
      </c>
    </row>
    <row r="35" spans="2:16" ht="15.75" customHeight="1" thickBot="1" x14ac:dyDescent="0.4">
      <c r="N35" s="202" t="s">
        <v>92</v>
      </c>
      <c r="O35" s="203"/>
      <c r="P35" s="159">
        <f>P33+P34</f>
        <v>5044.2078615000009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2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46192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105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46191</v>
      </c>
      <c r="O5" s="229"/>
      <c r="P5" s="229"/>
      <c r="R5" s="70"/>
      <c r="S5" s="71"/>
    </row>
    <row r="6" spans="1:19 16383:16384" ht="15" customHeight="1" x14ac:dyDescent="0.35">
      <c r="A6" s="228" t="s">
        <v>106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104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48</v>
      </c>
      <c r="C11" s="77" t="str">
        <f>IF($O34&gt;2.49%,"No","Yes")</f>
        <v>Yes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167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252">
        <v>0.15</v>
      </c>
      <c r="M15" s="249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4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46192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105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46191</v>
      </c>
      <c r="O5" s="229"/>
      <c r="P5" s="229"/>
      <c r="R5" s="70"/>
      <c r="S5" s="71"/>
    </row>
    <row r="6" spans="1:19 16383:16384" ht="15" customHeight="1" x14ac:dyDescent="0.35">
      <c r="A6" s="228" t="s">
        <v>106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168" t="s">
        <v>104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48</v>
      </c>
      <c r="C11" s="77" t="str">
        <f>IF($O34&gt;2.49%,"No","Yes")</f>
        <v>Yes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56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252">
        <v>0.15</v>
      </c>
      <c r="M15" s="249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3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46192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105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46191</v>
      </c>
      <c r="O5" s="229"/>
      <c r="P5" s="229"/>
      <c r="R5" s="70"/>
      <c r="S5" s="71"/>
    </row>
    <row r="6" spans="1:19 16383:16384" ht="15" customHeight="1" x14ac:dyDescent="0.35">
      <c r="A6" s="228" t="s">
        <v>106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104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252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81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5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46192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105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46191</v>
      </c>
      <c r="O5" s="229"/>
      <c r="P5" s="229"/>
      <c r="R5" s="70"/>
      <c r="S5" s="71"/>
    </row>
    <row r="6" spans="1:19 16383:16384" ht="15" customHeight="1" x14ac:dyDescent="0.35">
      <c r="A6" s="228" t="s">
        <v>106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168" t="s">
        <v>104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252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81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6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46192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105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46191</v>
      </c>
      <c r="O5" s="229"/>
      <c r="P5" s="229"/>
      <c r="R5" s="70"/>
      <c r="S5" s="71"/>
    </row>
    <row r="6" spans="1:19 16383:16384" ht="15" customHeight="1" x14ac:dyDescent="0.35">
      <c r="A6" s="228" t="s">
        <v>106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104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252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7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46192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105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46191</v>
      </c>
      <c r="O5" s="229"/>
      <c r="P5" s="229"/>
      <c r="R5" s="70"/>
      <c r="S5" s="71"/>
    </row>
    <row r="6" spans="1:19 16383:16384" ht="15" customHeight="1" x14ac:dyDescent="0.35">
      <c r="A6" s="228" t="s">
        <v>106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168" t="s">
        <v>104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252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81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8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46192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105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46191</v>
      </c>
      <c r="O5" s="229"/>
      <c r="P5" s="229"/>
      <c r="R5" s="70"/>
      <c r="S5" s="71"/>
    </row>
    <row r="6" spans="1:19 16383:16384" ht="15" customHeight="1" x14ac:dyDescent="0.35">
      <c r="A6" s="228" t="s">
        <v>106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104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252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9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46192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105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46191</v>
      </c>
      <c r="O5" s="229"/>
      <c r="P5" s="229"/>
      <c r="R5" s="70"/>
      <c r="S5" s="71"/>
    </row>
    <row r="6" spans="1:19 16383:16384" ht="15" customHeight="1" x14ac:dyDescent="0.35">
      <c r="A6" s="228" t="s">
        <v>106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166" t="s">
        <v>104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252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46192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105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46191</v>
      </c>
      <c r="O5" s="229"/>
      <c r="P5" s="229"/>
      <c r="R5" s="70"/>
      <c r="S5" s="71"/>
    </row>
    <row r="6" spans="1:19 16383:16384" ht="15" customHeight="1" x14ac:dyDescent="0.35">
      <c r="A6" s="228" t="s">
        <v>106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104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252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46192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105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46191</v>
      </c>
      <c r="O5" s="229"/>
      <c r="P5" s="229"/>
      <c r="R5" s="70"/>
      <c r="S5" s="71"/>
    </row>
    <row r="6" spans="1:19 16383:16384" ht="15" customHeight="1" x14ac:dyDescent="0.35">
      <c r="A6" s="228" t="s">
        <v>106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104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252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46192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105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46191</v>
      </c>
      <c r="O5" s="229"/>
      <c r="P5" s="229"/>
      <c r="R5" s="70"/>
      <c r="S5" s="71"/>
    </row>
    <row r="6" spans="1:19 16383:16384" ht="15" customHeight="1" x14ac:dyDescent="0.35">
      <c r="A6" s="228" t="s">
        <v>106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104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252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46192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105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46191</v>
      </c>
      <c r="O5" s="229"/>
      <c r="P5" s="229"/>
      <c r="R5" s="70"/>
      <c r="S5" s="71"/>
    </row>
    <row r="6" spans="1:19 16383:16384" ht="15" customHeight="1" x14ac:dyDescent="0.35">
      <c r="A6" s="228" t="s">
        <v>106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104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252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46192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105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46191</v>
      </c>
      <c r="O5" s="229"/>
      <c r="P5" s="229"/>
      <c r="R5" s="70"/>
      <c r="S5" s="71"/>
    </row>
    <row r="6" spans="1:19 16383:16384" ht="15" customHeight="1" x14ac:dyDescent="0.35">
      <c r="A6" s="228" t="s">
        <v>106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104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252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46192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105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46191</v>
      </c>
      <c r="O5" s="229"/>
      <c r="P5" s="229"/>
      <c r="R5" s="70"/>
      <c r="S5" s="71"/>
    </row>
    <row r="6" spans="1:19 16383:16384" ht="15" customHeight="1" x14ac:dyDescent="0.35">
      <c r="A6" s="228" t="s">
        <v>106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179" t="s">
        <v>104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252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46192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105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46191</v>
      </c>
      <c r="O5" s="229"/>
      <c r="P5" s="229"/>
      <c r="R5" s="70"/>
      <c r="S5" s="71"/>
    </row>
    <row r="6" spans="1:19 16383:16384" ht="15" customHeight="1" x14ac:dyDescent="0.35">
      <c r="A6" s="228" t="s">
        <v>106</v>
      </c>
      <c r="B6" s="228"/>
      <c r="C6" s="228"/>
      <c r="F6" s="70"/>
      <c r="G6" s="74"/>
      <c r="K6" s="228" t="s">
        <v>52</v>
      </c>
      <c r="L6" s="228"/>
      <c r="M6" s="228"/>
      <c r="N6" s="241" t="s">
        <v>97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104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252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46192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105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46191</v>
      </c>
      <c r="O5" s="229"/>
      <c r="P5" s="229"/>
      <c r="R5" s="70"/>
      <c r="S5" s="71"/>
    </row>
    <row r="6" spans="1:19 16383:16384" ht="15" customHeight="1" x14ac:dyDescent="0.35">
      <c r="A6" s="228" t="s">
        <v>106</v>
      </c>
      <c r="B6" s="228"/>
      <c r="C6" s="228"/>
      <c r="F6" s="70"/>
      <c r="G6" s="74"/>
      <c r="K6" s="228" t="s">
        <v>52</v>
      </c>
      <c r="L6" s="228"/>
      <c r="M6" s="228"/>
      <c r="N6" s="241" t="s">
        <v>97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104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252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46192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105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46191</v>
      </c>
      <c r="O5" s="229"/>
      <c r="P5" s="229"/>
      <c r="R5" s="70"/>
      <c r="S5" s="71"/>
    </row>
    <row r="6" spans="1:19 16383:16384" ht="15" customHeight="1" x14ac:dyDescent="0.35">
      <c r="A6" s="228" t="s">
        <v>106</v>
      </c>
      <c r="B6" s="228"/>
      <c r="C6" s="228"/>
      <c r="F6" s="70"/>
      <c r="G6" s="74"/>
      <c r="K6" s="228" t="s">
        <v>52</v>
      </c>
      <c r="L6" s="228"/>
      <c r="M6" s="228"/>
      <c r="N6" s="241" t="s">
        <v>97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104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252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46192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105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46191</v>
      </c>
      <c r="O5" s="229"/>
      <c r="P5" s="229"/>
      <c r="R5" s="70"/>
      <c r="S5" s="71"/>
    </row>
    <row r="6" spans="1:19 16383:16384" ht="15" customHeight="1" x14ac:dyDescent="0.35">
      <c r="A6" s="228" t="s">
        <v>106</v>
      </c>
      <c r="B6" s="228"/>
      <c r="C6" s="228"/>
      <c r="F6" s="70"/>
      <c r="G6" s="74"/>
      <c r="K6" s="228" t="s">
        <v>52</v>
      </c>
      <c r="L6" s="228"/>
      <c r="M6" s="228"/>
      <c r="N6" s="241" t="s">
        <v>97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104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252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46192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105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46191</v>
      </c>
      <c r="O5" s="229"/>
      <c r="P5" s="229"/>
      <c r="R5" s="70"/>
      <c r="S5" s="71"/>
    </row>
    <row r="6" spans="1:19 16383:16384" ht="15" customHeight="1" x14ac:dyDescent="0.35">
      <c r="A6" s="228" t="s">
        <v>106</v>
      </c>
      <c r="B6" s="228"/>
      <c r="C6" s="228"/>
      <c r="F6" s="70"/>
      <c r="G6" s="74"/>
      <c r="K6" s="228" t="s">
        <v>52</v>
      </c>
      <c r="L6" s="228"/>
      <c r="M6" s="228"/>
      <c r="N6" s="241" t="s">
        <v>97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104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252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2026-06-19T05:40:13Z</dcterms:modified>
</cp:coreProperties>
</file>