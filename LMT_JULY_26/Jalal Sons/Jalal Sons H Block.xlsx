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05D7B79-D3A4-47B8-B2A1-4BEF4B65019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I19" i="16" l="1"/>
  <c r="L19" i="16" s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0" i="16" l="1"/>
  <c r="L20" i="16"/>
  <c r="K16" i="16"/>
  <c r="K16" i="15" s="1"/>
  <c r="M16" i="15" s="1"/>
  <c r="L16" i="16"/>
  <c r="L16" i="15" s="1"/>
  <c r="K18" i="16"/>
  <c r="L18" i="16"/>
  <c r="L21" i="16"/>
  <c r="L21" i="15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21" i="15"/>
  <c r="N16" i="18"/>
  <c r="N16" i="15" s="1"/>
  <c r="M18" i="16"/>
  <c r="N18" i="16" s="1"/>
  <c r="N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18" i="16" l="1"/>
  <c r="O18" i="15" s="1"/>
  <c r="N22" i="15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<sst xmlns="http://schemas.openxmlformats.org/spreadsheetml/2006/main" count="1579" uniqueCount="108">
  <si>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</si>
  <si>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</si>
  <si>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</si>
  <si>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</si>
  <si>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</si>
  <si>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</si>
  <si>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</si>
  <si>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</si>
  <si>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</si>
  <si>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</si>
  <si>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</si>
  <si>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</si>
  <si>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</si>
  <si>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</si>
  <si>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</si>
  <si>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</si>
  <si>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</si>
  <si>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</si>
  <si>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</si>
  <si>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</si>
  <si>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</si>
  <si>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</si>
  <si>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</si>
  <si>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</si>
  <si>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</si>
  <si>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</si>
  <si>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</si>
  <si>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</si>
  <si>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</si>
  <si>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</si>
  <si>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</si>
  <si>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</si>
  <si>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</si>
  <si>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</si>
  <si>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</si>
  <si>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</si>
  <si>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</si>
  <si>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</si>
  <si>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</si>
  <si>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</si>
  <si>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</si>
  <si>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</si>
  <si>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</si>
  <si>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</si>
  <si>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</si>
  <si>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</si>
  <si>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</si>
  <si>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</si>
  <si>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</si>
  <si>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</si>
  <si>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</si>
  <si>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</si>
  <si>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</si>
  <si>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</si>
  <si>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</si>
  <si>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</si>
  <si>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</si>
  <si>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</si>
  <si>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</si>
  <si>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</si>
  <si>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</si>
  <si>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</si>
  <si>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</si>
  <si>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</si>
  <si>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</si>
  <si>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</si>
  <si>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</si>
  <si>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</si>
  <si>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</si>
  <si>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</si>
  <si>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</si>
  <si>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</si>
  <si>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</si>
  <si>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</si>
  <si>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</si>
  <si>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</si>
  <si>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</si>
  <si>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</si>
  <si>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</si>
  <si>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</si>
  <si>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</si>
  <si>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</si>
  <si>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</si>
  <si>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</si>
  <si>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</si>
  <si>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</si>
  <si>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</si>
  <si>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</si>
  <si>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</si>
  <si>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</si>
  <si>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</si>
  <si>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</si>
  <si>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</si>
  <si>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</si>
  <si>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</si>
  <si>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</si>
  <si>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</si>
  <si>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</si>
  <si>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</si>
  <si>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</si>
  <si>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</si>
  <si>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</si>
  <si>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</si>
  <si>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</si>
  <si>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1010737-1</t>
  </si>
  <si>
    <t xml:space="preserve">Customer Name : Jalal Sons </t>
  </si>
  <si>
    <t xml:space="preserve">Address: DHA H Block </t>
  </si>
  <si>
    <t xml:space="preserve">Customer Name : Jalal Sons  H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</si>
</sst>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3" sqref="B13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Jalal Sons  H Block </v>
      </c>
      <c r="U14" s="163">
        <f>+'1'!P35</f>
        <v>8786.6651519999978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Jalal Sons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435.84</v>
      </c>
      <c r="M19" s="117">
        <f t="shared" si="2"/>
        <v>2469.7599999999998</v>
      </c>
      <c r="N19" s="100">
        <f>+'1'!N19+'2'!N19+'4'!N19+'3'!N19+'5'!N19+'6'!N19+'7'!N19+'8'!N19+'9'!N19+'10'!N19</f>
        <v>444.55679999999995</v>
      </c>
      <c r="O19" s="100">
        <f>+'1'!O19+'2'!O19+'4'!O19+'3'!O19+'5'!O19+'6'!O19+'7'!O19+'8'!O19+'9'!O19+'10'!O19</f>
        <v>14.571583999999998</v>
      </c>
      <c r="P19" s="119">
        <f t="shared" si="0"/>
        <v>2928.8883839999994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435.84</v>
      </c>
      <c r="M20" s="117">
        <f t="shared" si="2"/>
        <v>2469.7599999999998</v>
      </c>
      <c r="N20" s="100">
        <f>+'1'!N20+'2'!N20+'4'!N20+'3'!N20+'5'!N20+'6'!N20+'7'!N20+'8'!N20+'9'!N20+'10'!N20</f>
        <v>444.55679999999995</v>
      </c>
      <c r="O20" s="100">
        <f>+'1'!O20+'2'!O20+'4'!O20+'3'!O20+'5'!O20+'6'!O20+'7'!O20+'8'!O20+'9'!O20+'10'!O20</f>
        <v>14.571583999999998</v>
      </c>
      <c r="P20" s="119">
        <f t="shared" si="0"/>
        <v>2928.8883839999994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435.84</v>
      </c>
      <c r="M21" s="117">
        <f t="shared" si="2"/>
        <v>2469.7599999999998</v>
      </c>
      <c r="N21" s="100">
        <f>+'1'!N21+'2'!N21+'4'!N21+'3'!N21+'5'!N21+'6'!N21+'7'!N21+'8'!N21+'9'!N21+'10'!N21</f>
        <v>444.55679999999995</v>
      </c>
      <c r="O21" s="100">
        <f>+'1'!O21+'2'!O21+'4'!O21+'3'!O21+'5'!O21+'6'!O21+'7'!O21+'8'!O21+'9'!O21+'10'!O21</f>
        <v>14.571583999999998</v>
      </c>
      <c r="P21" s="119">
        <f t="shared" si="0"/>
        <v>2928.8883839999994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</v>
      </c>
      <c r="D25" s="221"/>
      <c r="E25" s="221"/>
      <c r="F25" s="221"/>
      <c r="G25" s="175">
        <f t="shared" ref="G25:M25" si="3">SUM(G16:G24)</f>
        <v>0</v>
      </c>
      <c r="H25" s="176">
        <f t="shared" si="3"/>
        <v>120</v>
      </c>
      <c r="I25" s="177">
        <f t="shared" si="3"/>
        <v>8716.7999999999993</v>
      </c>
      <c r="J25" s="176">
        <f t="shared" si="3"/>
        <v>0</v>
      </c>
      <c r="K25" s="177">
        <f t="shared" si="3"/>
        <v>0</v>
      </c>
      <c r="L25" s="178">
        <f t="shared" si="3"/>
        <v>1307.52</v>
      </c>
      <c r="M25" s="140">
        <f t="shared" si="3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8786.6651519999978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8716.7999999999993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1307.52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7409.2799999999988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1333.6704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8742.9503999999979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218.57375999999996</v>
      </c>
    </row>
    <row r="39" spans="2:16" ht="15.75" customHeight="1" thickBot="1" x14ac:dyDescent="0.4">
      <c r="N39" s="219" t="s">
        <v>92</v>
      </c>
      <c r="O39" s="220"/>
      <c r="P39" s="159">
        <f>P37+P38</f>
        <v>8961.5241599999972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435.84</v>
      </c>
      <c r="M19" s="117">
        <f t="shared" si="6"/>
        <v>2469.7599999999998</v>
      </c>
      <c r="N19" s="117">
        <f t="shared" si="0"/>
        <v>444.55679999999995</v>
      </c>
      <c r="O19" s="118">
        <f t="shared" si="1"/>
        <v>14.571583999999998</v>
      </c>
      <c r="P19" s="119">
        <f t="shared" si="2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435.84</v>
      </c>
      <c r="M21" s="117">
        <f t="shared" si="6"/>
        <v>2469.7599999999998</v>
      </c>
      <c r="N21" s="117">
        <f t="shared" si="0"/>
        <v>444.55679999999995</v>
      </c>
      <c r="O21" s="118">
        <f t="shared" si="1"/>
        <v>14.571583999999998</v>
      </c>
      <c r="P21" s="119">
        <f t="shared" si="2"/>
        <v>2928.8883839999994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120</v>
      </c>
      <c r="I25" s="136">
        <f t="shared" si="9"/>
        <v>8716.7999999999993</v>
      </c>
      <c r="J25" s="137"/>
      <c r="K25" s="138">
        <f t="shared" si="9"/>
        <v>0</v>
      </c>
      <c r="L25" s="139">
        <f t="shared" si="9"/>
        <v>1307.52</v>
      </c>
      <c r="M25" s="140">
        <f t="shared" si="9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8716.7999999999993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1307.52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7409.2799999999988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1333.6704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8742.9503999999979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43.71475199999999</v>
      </c>
    </row>
    <row r="35" spans="2:16" ht="15.75" customHeight="1" thickBot="1" x14ac:dyDescent="0.4">
      <c r="N35" s="219" t="s">
        <v>92</v>
      </c>
      <c r="O35" s="220"/>
      <c r="P35" s="159">
        <f>P33+P34</f>
        <v>8786.6651519999978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D35" sqref="D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2026-06-30T12:51:16Z</dcterms:modified>
</cp:coreProperties>
</file>