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04BA53E-FF55-482A-9633-DF87ABF706C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<sst xmlns="http://schemas.openxmlformats.org/spreadsheetml/2006/main" count="3948" uniqueCount="532">
  <si>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</si>
  <si>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</si>
  <si>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</si>
  <si>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</si>
  <si>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</si>
  <si>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</si>
  <si>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</si>
  <si>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</si>
  <si>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</si>
  <si>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</si>
  <si>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</si>
  <si>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</si>
  <si>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</si>
  <si>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</si>
  <si>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</si>
  <si>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</si>
  <si>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</si>
  <si>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</si>
  <si>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</si>
  <si>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</si>
  <si>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</si>
  <si>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</si>
  <si>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</si>
  <si>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</si>
  <si>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</si>
  <si>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</si>
  <si>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</si>
  <si>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</si>
  <si>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</si>
  <si>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</si>
  <si>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</si>
  <si>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</si>
  <si>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</si>
  <si>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</si>
  <si>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</si>
  <si>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</si>
  <si>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</si>
  <si>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</si>
  <si>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</si>
  <si>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</si>
  <si>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</si>
  <si>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</si>
  <si>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</si>
  <si>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</si>
  <si>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</si>
  <si>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</si>
  <si>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</si>
  <si>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</si>
  <si>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</si>
  <si>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</si>
  <si>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</si>
  <si>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</si>
  <si>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</si>
  <si>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</si>
  <si>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</si>
  <si>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</si>
  <si>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</si>
  <si>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</si>
  <si>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</si>
  <si>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</si>
  <si>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</si>
  <si>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</si>
  <si>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</si>
  <si>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</si>
  <si>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</si>
  <si>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</si>
  <si>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</si>
  <si>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</si>
  <si>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</si>
  <si>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</si>
  <si>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</si>
  <si>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</si>
  <si>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</si>
  <si>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</si>
  <si>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</si>
  <si>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</si>
  <si>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</si>
  <si>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</si>
  <si>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</si>
  <si>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</si>
  <si>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</si>
  <si>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</si>
  <si>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</si>
  <si>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</si>
  <si>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</si>
  <si>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</si>
  <si>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</si>
  <si>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</si>
  <si>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</si>
  <si>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</si>
  <si>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</si>
  <si>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</si>
  <si>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</si>
  <si>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</si>
  <si>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</si>
  <si>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</si>
  <si>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</si>
  <si>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</si>
  <si>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</si>
  <si>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</si>
  <si>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</si>
  <si>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</si>
  <si>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</si>
  <si>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</si>
  <si>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</si>
  <si>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</si>
  <si>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</si>
  <si>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</si>
  <si>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</si>
  <si>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</si>
  <si>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</si>
  <si>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</si>
  <si>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</si>
  <si>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</si>
  <si>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</si>
  <si>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</si>
  <si>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</si>
  <si>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</si>
  <si>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</si>
  <si>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</si>
  <si>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</si>
  <si>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</si>
  <si>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</si>
  <si>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</si>
  <si>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</si>
  <si>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</si>
  <si>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</si>
  <si>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</si>
  <si>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</si>
  <si>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</si>
  <si>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</si>
  <si>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</si>
  <si>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</si>
  <si>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</si>
  <si>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</si>
  <si>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</si>
  <si>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</si>
  <si>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</si>
  <si>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</si>
  <si>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</si>
  <si>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</si>
  <si>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</si>
  <si>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</si>
  <si>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</si>
  <si>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</si>
  <si>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</si>
  <si>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</si>
  <si>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</si>
  <si>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</si>
  <si>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</si>
  <si>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</si>
  <si>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</si>
  <si>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</si>
  <si>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</si>
  <si>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</si>
  <si>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</si>
  <si>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</si>
  <si>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</si>
  <si>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</si>
  <si>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</si>
  <si>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</si>
  <si>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</si>
  <si>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</si>
  <si>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</si>
  <si>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</si>
  <si>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</si>
  <si>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</si>
  <si>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</si>
  <si>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</si>
  <si>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</si>
  <si>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</si>
  <si>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</si>
  <si>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</si>
  <si>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</si>
  <si>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</si>
  <si>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</si>
  <si>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</si>
  <si>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</si>
  <si>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</si>
  <si>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</si>
  <si>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</si>
  <si>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</si>
  <si>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</si>
  <si>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</si>
  <si>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</si>
  <si>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</si>
  <si>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</si>
  <si>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</si>
  <si>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</si>
  <si>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</si>
  <si>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</si>
  <si>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</si>
  <si>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</si>
  <si>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</si>
  <si>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</si>
  <si>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</si>
  <si>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</si>
  <si>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</si>
  <si>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</si>
  <si>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</si>
  <si>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</si>
  <si>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</si>
  <si>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</si>
  <si>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</si>
  <si>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</si>
  <si>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</si>
  <si>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</si>
  <si>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</si>
  <si>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</si>
  <si>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</si>
  <si>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</si>
  <si>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</si>
  <si>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</si>
  <si>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</si>
  <si>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</si>
  <si>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</si>
  <si>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</si>
  <si>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</si>
  <si>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</si>
  <si>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</si>
  <si>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</si>
  <si>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</si>
  <si>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</si>
  <si>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</si>
  <si>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</si>
  <si>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</si>
  <si>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</si>
  <si>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</si>
  <si>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</si>
  <si>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</si>
  <si>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</si>
  <si>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</si>
  <si>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</si>
  <si>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</si>
  <si>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</si>
  <si>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</si>
  <si>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</si>
  <si>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</si>
  <si>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</si>
  <si>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</si>
  <si>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</si>
  <si>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</si>
  <si>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</si>
  <si>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</si>
  <si>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</si>
  <si>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</si>
  <si>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</si>
  <si>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</si>
  <si>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</si>
  <si>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</si>
  <si>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</si>
  <si>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</si>
  <si>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</si>
  <si>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</si>
  <si>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</si>
  <si>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</si>
  <si>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</si>
  <si>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</si>
  <si>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</si>
  <si>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</si>
  <si>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</si>
  <si>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</si>
  <si>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</si>
  <si>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</si>
  <si>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</si>
  <si>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</si>
  <si>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</si>
  <si>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</si>
  <si>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</si>
  <si>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</si>
  <si>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</si>
  <si>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</si>
  <si>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</si>
  <si>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</si>
  <si>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</si>
  <si>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</si>
  <si>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</si>
  <si>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</si>
  <si>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</si>
  <si>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</si>
  <si>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</si>
  <si>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</si>
  <si>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</si>
  <si>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</si>
  <si>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</si>
  <si>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</si>
  <si>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</si>
  <si>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</si>
  <si>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</si>
  <si>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</si>
  <si>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</si>
  <si>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</si>
  <si>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</si>
  <si>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</si>
  <si>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</si>
  <si>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</si>
  <si>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</si>
  <si>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</si>
  <si>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</si>
  <si>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</si>
  <si>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</si>
  <si>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</si>
  <si>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</si>
  <si>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</si>
  <si>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</si>
  <si>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</si>
  <si>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</si>
  <si>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</si>
  <si>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</si>
  <si>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</si>
  <si>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</si>
  <si>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</si>
  <si>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</si>
  <si>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</si>
  <si>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</si>
  <si>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</si>
  <si>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</si>
  <si>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</si>
  <si>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</si>
  <si>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</si>
  <si>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</si>
  <si>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</si>
  <si>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</si>
  <si>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</si>
  <si>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</si>
  <si>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</si>
  <si>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</si>
  <si>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</si>
  <si>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</si>
  <si>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</si>
  <si>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</si>
  <si>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</si>
  <si>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</si>
  <si>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</si>
  <si>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</si>
  <si>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</si>
  <si>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</si>
  <si>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</si>
  <si>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</si>
  <si>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</si>
  <si>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</si>
  <si>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</si>
  <si>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</si>
  <si>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</si>
  <si>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</si>
  <si>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</si>
  <si>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</si>
  <si>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</si>
  <si>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</si>
  <si>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</si>
  <si>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</si>
  <si>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</si>
  <si>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</si>
  <si>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</si>
  <si>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</si>
  <si>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</si>
  <si>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</si>
  <si>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</si>
  <si>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</si>
  <si>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</si>
  <si>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</si>
  <si>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</si>
  <si>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</si>
  <si>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</si>
  <si>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</si>
  <si>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</si>
  <si>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</si>
  <si>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</si>
  <si>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</si>
  <si>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</si>
  <si>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</si>
  <si>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</si>
  <si>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</si>
  <si>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</si>
  <si>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</si>
  <si>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</si>
  <si>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</si>
  <si>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</si>
  <si>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</si>
  <si>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</si>
  <si>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</si>
  <si>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</si>
  <si>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</si>
  <si>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</si>
  <si>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</si>
  <si>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</si>
  <si>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</si>
  <si>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</si>
  <si>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</si>
  <si>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</si>
  <si>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</si>
  <si>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</si>
  <si>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</si>
  <si>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</si>
  <si>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</si>
  <si>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</si>
  <si>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</si>
  <si>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</si>
  <si>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</si>
  <si>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</si>
  <si>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</si>
  <si>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</si>
  <si>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</si>
  <si>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</si>
  <si>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</si>
  <si>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</si>
  <si>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</si>
  <si>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</si>
  <si>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</si>
  <si>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</si>
  <si>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</si>
  <si>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</si>
  <si>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</si>
  <si>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</si>
  <si>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</si>
  <si>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</si>
  <si>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</si>
  <si>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</si>
  <si>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</si>
  <si>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</si>
  <si>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</si>
  <si>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</si>
  <si>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</si>
  <si>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</si>
  <si>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</si>
  <si>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</si>
  <si>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</si>
  <si>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</si>
  <si>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</si>
  <si>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</si>
  <si>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</si>
  <si>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</si>
  <si>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</si>
  <si>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</si>
  <si>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</si>
  <si>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</si>
  <si>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</si>
  <si>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</si>
  <si>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</si>
  <si>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</si>
  <si>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</si>
  <si>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</si>
  <si>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</si>
  <si>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</si>
  <si>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</si>
  <si>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</si>
  <si>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</si>
  <si>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</si>
  <si>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</si>
  <si>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</si>
  <si>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</si>
  <si>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</si>
  <si>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</si>
  <si>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</si>
  <si>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</si>
  <si>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</si>
  <si>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</si>
  <si>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</si>
  <si>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</si>
  <si>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</si>
  <si>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</si>
  <si>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</si>
  <si>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</si>
  <si>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</si>
  <si>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</si>
  <si>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</si>
  <si>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</si>
  <si>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</si>
  <si>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</si>
  <si>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</si>
  <si>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</si>
  <si>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</si>
  <si>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</si>
  <si>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</si>
  <si>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</si>
  <si>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</si>
  <si>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</si>
  <si>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</si>
  <si>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</si>
  <si>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</si>
  <si>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</si>
  <si>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</si>
  <si>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</si>
  <si>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</si>
  <si>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</si>
  <si>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</si>
  <si>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</si>
  <si>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</si>
  <si>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</si>
  <si>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</si>
  <si>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</si>
  <si>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</si>
  <si>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</si>
  <si>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</si>
  <si>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</si>
  <si>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</si>
  <si>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</si>
  <si>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</si>
  <si>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</si>
  <si>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</si>
  <si>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</si>
  <si>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</si>
  <si>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</si>
  <si>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</si>
  <si>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</si>
  <si>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</si>
  <si>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</si>
  <si>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</si>
  <si>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</si>
  <si>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</si>
  <si>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</si>
  <si>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</si>
  <si>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</si>
  <si>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</si>
  <si>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Address:Rifal Range </t>
  </si>
  <si>
    <t xml:space="preserve">Eliza &amp; Brothers </t>
  </si>
  <si>
    <t xml:space="preserve">A One Mart </t>
  </si>
  <si>
    <t>Madina Medical Store</t>
  </si>
  <si>
    <t>Address: Shah Taj Colony</t>
  </si>
  <si>
    <t>Sheikh Ashraf Kareyana Store</t>
  </si>
  <si>
    <t>TLP Store</t>
  </si>
  <si>
    <t>Address: Qadri Colony</t>
  </si>
  <si>
    <t>Bismillah Mediacal Store</t>
  </si>
  <si>
    <t>AB Store</t>
  </si>
  <si>
    <t>Address: Qadri colony</t>
  </si>
  <si>
    <t>Hafiz GS</t>
  </si>
  <si>
    <t>Abid GS</t>
  </si>
  <si>
    <t>Address: Qadri Colony Near Allah Rehmat Masjid</t>
  </si>
  <si>
    <t xml:space="preserve">Iftakhar Pharmacy </t>
  </si>
  <si>
    <t xml:space="preserve">Address: Qadri Colony  Opposite Masjid </t>
  </si>
  <si>
    <t>SM Store</t>
  </si>
  <si>
    <t>Murad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</si>
</sst>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I31" sqref="I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Eliza &amp; Brothers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 One Mart </v>
      </c>
      <c r="T4" s="301">
        <f>+'2'!P35</f>
        <v>250.37668702372881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Madina Medical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Sheikh Ashraf Kareyana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34</v>
      </c>
      <c r="I7" s="235">
        <f>(G7*D7)*F7+H7*F7</f>
        <v>1783.7249999999999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142.69799999999998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62.430374999999998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1578.5966249999999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337.11864406779648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9.5785763453389823</v>
      </c>
      <c r="P7" s="310">
        <f>M7+N7+O7</f>
        <v>1925.2938454131352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</v>
      </c>
      <c r="R7" s="313">
        <v>5</v>
      </c>
      <c r="S7" s="300" t="str">
        <f>+'5'!A6:A6</f>
        <v>TLP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22</v>
      </c>
      <c r="I8" s="236">
        <f t="shared" ref="I8:I14" si="0">(G8*D8)*F8+H8*F8</f>
        <v>1154.175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92.334000000000003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40.396124999999998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1021.4448749999999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218.13559322033888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6.1979023411016945</v>
      </c>
      <c r="P8" s="311">
        <f t="shared" ref="P8:P15" si="2">M8+N8+O8</f>
        <v>1245.7783705614406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19</v>
      </c>
      <c r="R8" s="313">
        <v>6</v>
      </c>
      <c r="S8" s="300" t="str">
        <f>+'6'!A6:A6</f>
        <v>Bismillah Mediacal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6</v>
      </c>
      <c r="R9" s="313">
        <v>7</v>
      </c>
      <c r="S9" s="300" t="str">
        <f>+'7'!A6:A6</f>
        <v>AB Store</v>
      </c>
      <c r="T9" s="301">
        <f>+'7'!P35</f>
        <v>5502.3352888728805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</v>
      </c>
      <c r="I10" s="236">
        <f t="shared" si="0"/>
        <v>363.2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29.056000000000001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12.712000000000002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321.43200000000002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68.644067796610173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1.950380338983051</v>
      </c>
      <c r="P10" s="311">
        <f t="shared" si="2"/>
        <v>392.02644813559323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16</v>
      </c>
      <c r="R10" s="313">
        <v>8</v>
      </c>
      <c r="S10" s="300" t="str">
        <f>+'8'!A6:A6</f>
        <v>Hafiz GS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</v>
      </c>
      <c r="I11" s="236">
        <f t="shared" si="0"/>
        <v>363.2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29.056000000000001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12.712000000000002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321.43200000000002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68.644067796610173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1.950380338983051</v>
      </c>
      <c r="P11" s="311">
        <f t="shared" si="2"/>
        <v>392.02644813559323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Abid GS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642.86400000000003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Iftakhar Pharmacy </v>
      </c>
      <c r="T12" s="301">
        <f>+'10'!P35</f>
        <v>2038.5464245550845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70</v>
      </c>
      <c r="I13" s="236">
        <f t="shared" si="0"/>
        <v>2746.1000000000004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137.30500000000004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96.113500000000016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140.05110000000002</v>
      </c>
      <c r="M13" s="230">
        <f t="shared" si="1"/>
        <v>2372.6304000000005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533.89830508474552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14.532643525423728</v>
      </c>
      <c r="P13" s="311">
        <f t="shared" si="2"/>
        <v>2921.0613486101697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80</v>
      </c>
      <c r="R13" s="313">
        <v>11</v>
      </c>
      <c r="S13" s="300" t="str">
        <f>+'11'!A6:A6</f>
        <v>SM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Murad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4.1500000000000004</v>
      </c>
      <c r="H16" s="113">
        <f t="shared" ref="H16:M16" si="3">SUM(H7:H15)</f>
        <v>166</v>
      </c>
      <c r="I16" s="114">
        <f t="shared" si="3"/>
        <v>8186.0499999999993</v>
      </c>
      <c r="J16" s="274">
        <f>SUM(J7:J15)</f>
        <v>572.50099999999998</v>
      </c>
      <c r="K16" s="275">
        <f t="shared" si="3"/>
        <v>286.51175000000001</v>
      </c>
      <c r="L16" s="276">
        <f t="shared" si="3"/>
        <v>140.05110000000002</v>
      </c>
      <c r="M16" s="232">
        <f t="shared" si="3"/>
        <v>7186.9861499999988</v>
      </c>
      <c r="N16" s="233">
        <f>SUM(N7:N15)</f>
        <v>1562.0338983050842</v>
      </c>
      <c r="O16" s="101">
        <f>SUM(O7:O15)</f>
        <v>43.745100241525421</v>
      </c>
      <c r="P16" s="113">
        <f>SUM(P7:P15)</f>
        <v>8792.7651485466104</v>
      </c>
      <c r="Q16" s="128">
        <f>SUM(Q7:Q15)</f>
        <v>127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8186.0499999999993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572.50099999999998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426.56285000000003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7186.9861499999988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1562.0338983050842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8749.020048305083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43.745100241525421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8792.7651485466085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8792.7651485466085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4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235.38000000000002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11.769000000000002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20.242680000000004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203.36832000000001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249.13103186440676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5" t="s">
        <v>88</v>
      </c>
      <c r="O35" s="346"/>
      <c r="P35" s="297">
        <f>+P33+P34</f>
        <v>250.37668702372881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2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470.76000000000005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23.538000000000004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40.485360000000007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406.73664000000002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498.26206372881353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5" t="s">
        <v>88</v>
      </c>
      <c r="O35" s="346"/>
      <c r="P35" s="297">
        <f>+P33+P34</f>
        <v>500.75337404745761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H22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470.76000000000005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23.538000000000004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40.485360000000007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406.73664000000002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498.26206372881353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5" t="s">
        <v>88</v>
      </c>
      <c r="O35" s="346"/>
      <c r="P35" s="297">
        <f>+P33+P34</f>
        <v>500.75337404745761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100</v>
      </c>
      <c r="I25" s="114">
        <f t="shared" si="7"/>
        <v>5120.5</v>
      </c>
      <c r="J25" s="274">
        <f>SUM(J16:J24)</f>
        <v>362.56400000000008</v>
      </c>
      <c r="K25" s="275">
        <f t="shared" si="7"/>
        <v>179.21750000000003</v>
      </c>
      <c r="L25" s="276">
        <f t="shared" si="7"/>
        <v>80.029200000000003</v>
      </c>
      <c r="M25" s="232">
        <f t="shared" si="7"/>
        <v>4498.6893</v>
      </c>
      <c r="N25" s="233">
        <f>SUM(N16:N24)</f>
        <v>976.27118644067764</v>
      </c>
      <c r="O25" s="101">
        <f>SUM(O16:O24)</f>
        <v>27.374802432203388</v>
      </c>
      <c r="P25" s="234">
        <f>SUM(P16:P24)</f>
        <v>5502.3352888728814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5120.5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362.56400000000008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259.24670000000003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4498.6893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976.27118644067764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5474.9604864406774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27.374802432203388</v>
      </c>
    </row>
    <row r="35" spans="2:16" ht="15.75" customHeight="1" thickBot="1" x14ac:dyDescent="0.4">
      <c r="N35" s="345" t="s">
        <v>88</v>
      </c>
      <c r="O35" s="346"/>
      <c r="P35" s="297">
        <f>+P33+P34</f>
        <v>5502.3352888728805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24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24</v>
      </c>
      <c r="I16" s="235">
        <f>(G16*D16)*F16+H16*F16</f>
        <v>1259.0999999999999</v>
      </c>
      <c r="J16" s="271">
        <f>$I16*S16</f>
        <v>100.72799999999999</v>
      </c>
      <c r="K16" s="127">
        <f>$I16*T16</f>
        <v>44.0685</v>
      </c>
      <c r="L16" s="118">
        <f>$I16*U16</f>
        <v>0</v>
      </c>
      <c r="M16" s="229">
        <f>I16-SUM(J16:L16)</f>
        <v>1114.3035</v>
      </c>
      <c r="N16" s="248">
        <f>+(G16*D16+H16)*V16</f>
        <v>237.96610169491515</v>
      </c>
      <c r="O16" s="238">
        <f>(N16+M16)*$O$15</f>
        <v>6.7613480084745756</v>
      </c>
      <c r="P16" s="118">
        <f>M16+N16+O16</f>
        <v>1359.0309497033898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234">
        <f>SUM(P16:P24)</f>
        <v>2038.5464245550847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1888.6499999999999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151.09199999999998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66.10275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1671.45525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2028.4044025423727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45" t="s">
        <v>88</v>
      </c>
      <c r="O35" s="346"/>
      <c r="P35" s="297">
        <f>+P33+P34</f>
        <v>2038.5464245550845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activeCell="H22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18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2026-09-17T04:31:09Z</dcterms:modified>
</cp:coreProperties>
</file>