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0B65F01-4C85-4090-B44D-6B1A13CD4785}" xr6:coauthVersionLast="47" xr6:coauthVersionMax="47" xr10:uidLastSave="{00000000-0000-0000-0000-000000000000}"/>
  <bookViews>
    <workbookView xWindow="-110" yWindow="-110" windowWidth="19420" windowHeight="10420" tabRatio="87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43"/>
  <c r="N4" i="44"/>
  <c r="N4" i="45"/>
  <c r="N4" i="46"/>
  <c r="N4" i="47"/>
  <c r="N4" i="48"/>
  <c r="N4" i="49"/>
  <c r="N4" i="50"/>
  <c r="N4" i="51"/>
  <c r="N4" i="52"/>
  <c r="N4" i="53"/>
  <c r="N4" i="54"/>
  <c r="N4" i="55"/>
  <c r="N4" i="56"/>
  <c r="N4" i="57"/>
  <c r="N4" i="58"/>
  <c r="N4" i="59"/>
  <c r="N4" i="60"/>
  <c r="N4" i="61"/>
  <c r="N4" i="63"/>
  <c r="N4" i="64"/>
  <c r="N4" i="65"/>
  <c r="N4" i="66"/>
  <c r="N4" i="67"/>
  <c r="N4" i="68"/>
  <c r="N4" i="69"/>
  <c r="N4" i="70"/>
  <c r="N4" i="71"/>
  <c r="N4" i="72"/>
  <c r="N4" i="1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O22" i="51" s="1"/>
  <c r="P22" i="51" s="1"/>
  <c r="M24" i="56"/>
  <c r="O24" i="56" s="1"/>
  <c r="P24" i="56" s="1"/>
  <c r="M24" i="46"/>
  <c r="O24" i="46" s="1"/>
  <c r="P24" i="46" s="1"/>
  <c r="M24" i="43"/>
  <c r="O24" i="43" s="1"/>
  <c r="P24" i="43" s="1"/>
  <c r="M22" i="56"/>
  <c r="O22" i="56" s="1"/>
  <c r="P22" i="56" s="1"/>
  <c r="M24" i="48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54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<sst xmlns="http://schemas.openxmlformats.org/spreadsheetml/2006/main" count="3919" uniqueCount="560">
  <si>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</si>
  <si>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</si>
  <si>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</si>
  <si>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</si>
  <si>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</si>
  <si>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</si>
  <si>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</si>
  <si>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</si>
  <si>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</si>
  <si>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</si>
  <si>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</si>
  <si>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</si>
  <si>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</si>
  <si>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</si>
  <si>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</si>
  <si>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</si>
  <si>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</si>
  <si>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</si>
  <si>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</si>
  <si>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</si>
  <si>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</si>
  <si>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</si>
  <si>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</si>
  <si>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</si>
  <si>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</si>
  <si>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</si>
  <si>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</si>
  <si>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</si>
  <si>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</si>
  <si>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</si>
  <si>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</si>
  <si>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</si>
  <si>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</si>
  <si>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</si>
  <si>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</si>
  <si>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</si>
  <si>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</si>
  <si>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</si>
  <si>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</si>
  <si>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</si>
  <si>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</si>
  <si>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</si>
  <si>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</si>
  <si>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</si>
  <si>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</si>
  <si>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</si>
  <si>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</si>
  <si>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</si>
  <si>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</si>
  <si>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</si>
  <si>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</si>
  <si>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</si>
  <si>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</si>
  <si>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</si>
  <si>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</si>
  <si>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</si>
  <si>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</si>
  <si>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</si>
  <si>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</si>
  <si>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</si>
  <si>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</si>
  <si>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</si>
  <si>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</si>
  <si>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</si>
  <si>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</si>
  <si>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</si>
  <si>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</si>
  <si>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</si>
  <si>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</si>
  <si>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</si>
  <si>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</si>
  <si>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</si>
  <si>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</si>
  <si>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</si>
  <si>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</si>
  <si>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</si>
  <si>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</si>
  <si>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</si>
  <si>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</si>
  <si>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</si>
  <si>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</si>
  <si>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</si>
  <si>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</si>
  <si>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</si>
  <si>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</si>
  <si>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</si>
  <si>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</si>
  <si>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</si>
  <si>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</si>
  <si>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</si>
  <si>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</si>
  <si>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</si>
  <si>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</si>
  <si>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</si>
  <si>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</si>
  <si>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</si>
  <si>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</si>
  <si>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</si>
  <si>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</si>
  <si>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</si>
  <si>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</si>
  <si>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</si>
  <si>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</si>
  <si>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</si>
  <si>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</si>
  <si>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</si>
  <si>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</si>
  <si>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</si>
  <si>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</si>
  <si>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</si>
  <si>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</si>
  <si>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</si>
  <si>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</si>
  <si>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</si>
  <si>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</si>
  <si>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</si>
  <si>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</si>
  <si>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</si>
  <si>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</si>
  <si>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</si>
  <si>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</si>
  <si>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</si>
  <si>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</si>
  <si>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</si>
  <si>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</si>
  <si>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</si>
  <si>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</si>
  <si>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</si>
  <si>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</si>
  <si>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</si>
  <si>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</si>
  <si>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</si>
  <si>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</si>
  <si>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</si>
  <si>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</si>
  <si>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</si>
  <si>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</si>
  <si>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</si>
  <si>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</si>
  <si>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</si>
  <si>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</si>
  <si>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</si>
  <si>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</si>
  <si>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</si>
  <si>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</si>
  <si>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</si>
  <si>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</si>
  <si>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</si>
  <si>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</si>
  <si>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</si>
  <si>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</si>
  <si>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</si>
  <si>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</si>
  <si>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</si>
  <si>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</si>
  <si>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</si>
  <si>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</si>
  <si>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</si>
  <si>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</si>
  <si>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</si>
  <si>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</si>
  <si>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</si>
  <si>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</si>
  <si>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</si>
  <si>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</si>
  <si>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</si>
  <si>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</si>
  <si>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</si>
  <si>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</si>
  <si>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</si>
  <si>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</si>
  <si>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</si>
  <si>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</si>
  <si>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</si>
  <si>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</si>
  <si>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</si>
  <si>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</si>
  <si>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</si>
  <si>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</si>
  <si>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</si>
  <si>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</si>
  <si>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</si>
  <si>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</si>
  <si>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</si>
  <si>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</si>
  <si>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</si>
  <si>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</si>
  <si>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</si>
  <si>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</si>
  <si>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</si>
  <si>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</si>
  <si>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</si>
  <si>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</si>
  <si>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</si>
  <si>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</si>
  <si>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</si>
  <si>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</si>
  <si>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</si>
  <si>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</si>
  <si>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</si>
  <si>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</si>
  <si>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</si>
  <si>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</si>
  <si>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</si>
  <si>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</si>
  <si>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</si>
  <si>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</si>
  <si>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</si>
  <si>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</si>
  <si>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</si>
  <si>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</si>
  <si>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</si>
  <si>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</si>
  <si>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</si>
  <si>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</si>
  <si>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</si>
  <si>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</si>
  <si>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</si>
  <si>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</si>
  <si>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</si>
  <si>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</si>
  <si>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</si>
  <si>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</si>
  <si>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</si>
  <si>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</si>
  <si>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</si>
  <si>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</si>
  <si>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</si>
  <si>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</si>
  <si>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</si>
  <si>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</si>
  <si>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</si>
  <si>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</si>
  <si>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</si>
  <si>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</si>
  <si>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</si>
  <si>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</si>
  <si>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</si>
  <si>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</si>
  <si>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</si>
  <si>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</si>
  <si>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</si>
  <si>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</si>
  <si>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</si>
  <si>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</si>
  <si>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</si>
  <si>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</si>
  <si>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</si>
  <si>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</si>
  <si>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</si>
  <si>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</si>
  <si>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</si>
  <si>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</si>
  <si>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</si>
  <si>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</si>
  <si>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</si>
  <si>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</si>
  <si>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</si>
  <si>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</si>
  <si>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</si>
  <si>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</si>
  <si>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</si>
  <si>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</si>
  <si>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</si>
  <si>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</si>
  <si>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</si>
  <si>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</si>
  <si>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</si>
  <si>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</si>
  <si>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</si>
  <si>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</si>
  <si>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</si>
  <si>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</si>
  <si>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</si>
  <si>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</si>
  <si>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</si>
  <si>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</si>
  <si>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</si>
  <si>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</si>
  <si>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</si>
  <si>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</si>
  <si>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</si>
  <si>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</si>
  <si>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</si>
  <si>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</si>
  <si>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</si>
  <si>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</si>
  <si>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</si>
  <si>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</si>
  <si>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</si>
  <si>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</si>
  <si>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</si>
  <si>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</si>
  <si>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</si>
  <si>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</si>
  <si>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</si>
  <si>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</si>
  <si>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</si>
  <si>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</si>
  <si>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</si>
  <si>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</si>
  <si>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</si>
  <si>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</si>
  <si>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</si>
  <si>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</si>
  <si>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</si>
  <si>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</si>
  <si>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</si>
  <si>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</si>
  <si>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</si>
  <si>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</si>
  <si>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</si>
  <si>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</si>
  <si>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</si>
  <si>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</si>
  <si>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</si>
  <si>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</si>
  <si>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</si>
  <si>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</si>
  <si>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</si>
  <si>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</si>
  <si>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</si>
  <si>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</si>
  <si>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</si>
  <si>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</si>
  <si>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</si>
  <si>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</si>
  <si>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</si>
  <si>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</si>
  <si>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</si>
  <si>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</si>
  <si>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</si>
  <si>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</si>
  <si>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</si>
  <si>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</si>
  <si>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</si>
  <si>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</si>
  <si>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</si>
  <si>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</si>
  <si>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</si>
  <si>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</si>
  <si>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</si>
  <si>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</si>
  <si>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</si>
  <si>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</si>
  <si>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</si>
  <si>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</si>
  <si>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</si>
  <si>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</si>
  <si>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</si>
  <si>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</si>
  <si>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</si>
  <si>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</si>
  <si>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</si>
  <si>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</si>
  <si>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</si>
  <si>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</si>
  <si>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</si>
  <si>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</si>
  <si>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</si>
  <si>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</si>
  <si>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</si>
  <si>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</si>
  <si>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</si>
  <si>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</si>
  <si>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</si>
  <si>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</si>
  <si>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</si>
  <si>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</si>
  <si>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</si>
  <si>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</si>
  <si>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</si>
  <si>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</si>
  <si>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</si>
  <si>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</si>
  <si>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</si>
  <si>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</si>
  <si>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</si>
  <si>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</si>
  <si>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</si>
  <si>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</si>
  <si>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</si>
  <si>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</si>
  <si>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</si>
  <si>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</si>
  <si>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</si>
  <si>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</si>
  <si>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</si>
  <si>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</si>
  <si>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</si>
  <si>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</si>
  <si>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</si>
  <si>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</si>
  <si>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</si>
  <si>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</si>
  <si>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</si>
  <si>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</si>
  <si>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</si>
  <si>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</si>
  <si>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</si>
  <si>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</si>
  <si>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</si>
  <si>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</si>
  <si>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</si>
  <si>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</si>
  <si>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</si>
  <si>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</si>
  <si>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</si>
  <si>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</si>
  <si>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</si>
  <si>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</si>
  <si>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</si>
  <si>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</si>
  <si>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</si>
  <si>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</si>
  <si>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</si>
  <si>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</si>
  <si>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</si>
  <si>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</si>
  <si>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</si>
  <si>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</si>
  <si>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</si>
  <si>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</si>
  <si>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</si>
  <si>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</si>
  <si>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</si>
  <si>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</si>
  <si>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</si>
  <si>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</si>
  <si>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</si>
  <si>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</si>
  <si>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</si>
  <si>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</si>
  <si>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</si>
  <si>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</si>
  <si>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</si>
  <si>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</si>
  <si>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</si>
  <si>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</si>
  <si>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</si>
  <si>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</si>
  <si>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</si>
  <si>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</si>
  <si>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</si>
  <si>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</si>
  <si>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</si>
  <si>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</si>
  <si>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</si>
  <si>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</si>
  <si>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</si>
  <si>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</si>
  <si>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</si>
  <si>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</si>
  <si>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</si>
  <si>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</si>
  <si>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</si>
  <si>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</si>
  <si>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</si>
  <si>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</si>
  <si>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</si>
  <si>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</si>
  <si>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</si>
  <si>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</si>
  <si>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</si>
  <si>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</si>
  <si>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</si>
  <si>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</si>
  <si>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</si>
  <si>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</si>
  <si>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</si>
  <si>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</si>
  <si>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</si>
  <si>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</si>
  <si>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</si>
  <si>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</si>
  <si>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</si>
  <si>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</si>
  <si>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</si>
  <si>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</si>
  <si>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</si>
  <si>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</si>
  <si>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</si>
  <si>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</si>
  <si>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</si>
  <si>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</si>
  <si>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</si>
  <si>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</si>
  <si>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</si>
  <si>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</si>
  <si>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</si>
  <si>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</si>
  <si>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</si>
  <si>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</si>
  <si>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</si>
  <si>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</si>
  <si>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</si>
  <si>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</si>
  <si>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</si>
  <si>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</si>
  <si>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</si>
  <si>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</si>
  <si>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</si>
  <si>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</si>
  <si>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</si>
  <si>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</si>
  <si>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</si>
  <si>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</si>
  <si>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</si>
  <si>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</si>
  <si>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</si>
  <si>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</si>
  <si>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</si>
  <si>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</si>
  <si>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 xml:space="preserve">Gourmet Food C Block Model Town </t>
  </si>
  <si>
    <t xml:space="preserve">Gourmet Food Liyaqat Chowk </t>
  </si>
  <si>
    <t>Gourmet Food Krishan Nagar</t>
  </si>
  <si>
    <t>Gourmet Food Poonch Road</t>
  </si>
  <si>
    <t xml:space="preserve">Gourmet Food Nadeem Shaheed </t>
  </si>
  <si>
    <t xml:space="preserve">Gourmet Food Gulshan Ravi </t>
  </si>
  <si>
    <t xml:space="preserve">Gourmet Food Riwind City </t>
  </si>
  <si>
    <t xml:space="preserve">Gourmet Food Link Road Model Town </t>
  </si>
  <si>
    <t>Gourmet Food Batapur</t>
  </si>
  <si>
    <t xml:space="preserve">Gourmet Food Jauray Pull </t>
  </si>
  <si>
    <t xml:space="preserve">Gourmet Food Bhatta Chowk </t>
  </si>
  <si>
    <t xml:space="preserve">Gourmet Food EME Society </t>
  </si>
  <si>
    <t xml:space="preserve">Gourmet Food  DHA XX- Block </t>
  </si>
  <si>
    <t>Gourmet Food Riwind Road Thokar</t>
  </si>
  <si>
    <t xml:space="preserve"> </t>
  </si>
  <si>
    <t>Gourmet Food Walton</t>
  </si>
  <si>
    <t xml:space="preserve">Shakoor </t>
  </si>
  <si>
    <t>Invoice No # 56156</t>
  </si>
  <si>
    <t xml:space="preserve">Gourmet Food Zahore Ilahi </t>
  </si>
  <si>
    <t>Gourmet Food Younaabad</t>
  </si>
  <si>
    <t xml:space="preserve">Gourmet Food Wahdat Road </t>
  </si>
  <si>
    <t xml:space="preserve">Address: Multan </t>
  </si>
  <si>
    <t>Gourmet Food Riwind Road</t>
  </si>
  <si>
    <t xml:space="preserve">Gourmet Food Muslim Town Ayoubia </t>
  </si>
  <si>
    <t>Gourmet Food Barkat Market</t>
  </si>
  <si>
    <t xml:space="preserve">Gourmet Food Kahna </t>
  </si>
  <si>
    <t xml:space="preserve">Gourmet Food Joahr Town B Block </t>
  </si>
  <si>
    <t>Gourmet Food Faisal Town</t>
  </si>
  <si>
    <t>Gourmet Food EME</t>
  </si>
  <si>
    <t xml:space="preserve">Gourmet Food DHA Z Block </t>
  </si>
  <si>
    <t xml:space="preserve">Gourmet Food Central Park </t>
  </si>
  <si>
    <t xml:space="preserve">Gourmet Food Bankers Society </t>
  </si>
  <si>
    <t xml:space="preserve">Gourmet Food Air Line </t>
  </si>
  <si>
    <t>Gourmet Food 12-G</t>
  </si>
  <si>
    <t>Invoice No # 56654</t>
  </si>
  <si>
    <t>Invoice No # 561561</t>
  </si>
  <si>
    <t>Invoice No # 561784</t>
  </si>
  <si>
    <t>Invoice No # 564861</t>
  </si>
  <si>
    <t>Invoice No # 5615645</t>
  </si>
  <si>
    <t>Invoice No # 56156846</t>
  </si>
  <si>
    <t>Invoice No # 561568496</t>
  </si>
  <si>
    <t>Invoice No # 56158941</t>
  </si>
  <si>
    <t>Invoice No # 5611561</t>
  </si>
  <si>
    <t>Invoice No # 56154161</t>
  </si>
  <si>
    <t>Invoice No # 56145561</t>
  </si>
  <si>
    <t>Invoice No # 56151651</t>
  </si>
  <si>
    <t>Invoice No # 561565651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</si>
</sst>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F4" sqref="F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5" customWidth="1"/>
    <col min="10" max="10" width="9.179687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529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46281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18" t="str">
        <f>+'1'!A6:A6</f>
        <v xml:space="preserve">Gourmet Food Zahore Ilahi </v>
      </c>
      <c r="T3" s="300">
        <f>+'1'!P35</f>
        <v>4255.9341406779649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8" t="str">
        <f>+'2'!A6:A6</f>
        <v>Gourmet Food Younaabad</v>
      </c>
      <c r="T4" s="300">
        <f>+'2'!P35</f>
        <v>21607.012217288135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18" t="str">
        <f>+'3'!A6:A6</f>
        <v xml:space="preserve">Gourmet Food Wahdat Road </v>
      </c>
      <c r="T5" s="300">
        <f>+'3'!P35</f>
        <v>13095.143935932207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18" t="str">
        <f>+'4'!A6:A6</f>
        <v>Gourmet Food Riwind Road</v>
      </c>
      <c r="T6" s="300">
        <f>+'4'!P35</f>
        <v>10148.740670847459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460</v>
      </c>
      <c r="I7" s="235">
        <f>(G7*D7)*F7+H7*F7</f>
        <v>24132.75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4343.8949999999995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19788.855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4561.0169491525394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121.7493597457627</v>
      </c>
      <c r="P7" s="309">
        <f>M7+N7+O7</f>
        <v>24471.621308898302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18" t="str">
        <f>+'5'!A6:A6</f>
        <v xml:space="preserve">Gourmet Food Muslim Town Ayoubia </v>
      </c>
      <c r="T7" s="300">
        <f>+'5'!P35</f>
        <v>10557.958768220338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720</v>
      </c>
      <c r="I8" s="236">
        <f t="shared" ref="I8:I14" si="0">(G8*D8)*F8+H8*F8</f>
        <v>37773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6799.1399999999985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30973.86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7138.9830508474533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190.56421525423727</v>
      </c>
      <c r="P8" s="310">
        <f t="shared" ref="P8:P15" si="2">M8+N8+O8</f>
        <v>38303.407266101691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18" t="str">
        <f>+'6'!A6:A6</f>
        <v>Gourmet Food Barkat Market</v>
      </c>
      <c r="T8" s="300">
        <f>+'6'!P35</f>
        <v>20297.481341694918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760</v>
      </c>
      <c r="I9" s="236">
        <f t="shared" si="0"/>
        <v>39871.5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7176.869999999999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32694.63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7535.5932203389784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201.1511161016949</v>
      </c>
      <c r="P9" s="310">
        <f t="shared" si="2"/>
        <v>40431.374336440676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18" t="str">
        <f>+'7'!A6:A6</f>
        <v xml:space="preserve">Gourmet Food Kahna </v>
      </c>
      <c r="T9" s="300">
        <f>+'7'!P35</f>
        <v>22425.448412033897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440</v>
      </c>
      <c r="I10" s="236">
        <f t="shared" si="0"/>
        <v>31961.599999999999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5753.0879999999988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26208.511999999999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6040.6779661016963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161.24594983050849</v>
      </c>
      <c r="P10" s="310">
        <f t="shared" si="2"/>
        <v>32410.435915932201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18" t="str">
        <f>+'8'!A6:A6</f>
        <v xml:space="preserve">Gourmet Food Joahr Town B Block </v>
      </c>
      <c r="T10" s="300">
        <f>+'8'!P35</f>
        <v>17351.078076610171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500</v>
      </c>
      <c r="I11" s="236">
        <f t="shared" si="0"/>
        <v>36320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6537.5999999999985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29782.400000000001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6864.4067796610179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183.23403389830514</v>
      </c>
      <c r="P11" s="310">
        <f t="shared" si="2"/>
        <v>36830.040813559324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18" t="str">
        <f>+'9'!A6:A6</f>
        <v>Gourmet Food Faisal Town</v>
      </c>
      <c r="T11" s="300">
        <f>+'9'!P35</f>
        <v>20297.481341694918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660</v>
      </c>
      <c r="I12" s="236">
        <f t="shared" si="0"/>
        <v>47942.400000000001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8629.6319999999996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39312.768000000004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9061.016949152543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241.86892474576277</v>
      </c>
      <c r="P12" s="310">
        <f t="shared" si="2"/>
        <v>48615.653873898314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18" t="str">
        <f>+'10'!A6:A6</f>
        <v>Gourmet Food EME</v>
      </c>
      <c r="T12" s="300">
        <f>+'10'!P35</f>
        <v>13095.143935932207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18" t="str">
        <f>+'11'!A6:A6</f>
        <v xml:space="preserve">Gourmet Food DHA Z Block </v>
      </c>
      <c r="T13" s="300">
        <f>+'11'!P35</f>
        <v>16041.547201016952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18" t="str">
        <f>+'12'!A6:A6</f>
        <v xml:space="preserve">Gourmet Food Central Park </v>
      </c>
      <c r="T14" s="300">
        <f>+'12'!P35</f>
        <v>8675.5390383050853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18" t="str">
        <f>+'13'!A6:A6</f>
        <v xml:space="preserve">Gourmet Food Bankers Society </v>
      </c>
      <c r="T15" s="300">
        <f>+'13'!P35</f>
        <v>12276.707741186441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274">
        <f>H16/40</f>
        <v>88.5</v>
      </c>
      <c r="H16" s="113">
        <f t="shared" ref="H16:M16" si="3">SUM(H7:H15)</f>
        <v>3540</v>
      </c>
      <c r="I16" s="114">
        <f t="shared" si="3"/>
        <v>218001.25</v>
      </c>
      <c r="J16" s="274">
        <f>SUM(J7:J15)</f>
        <v>39240.224999999999</v>
      </c>
      <c r="K16" s="275">
        <f t="shared" si="3"/>
        <v>0</v>
      </c>
      <c r="L16" s="276">
        <f t="shared" si="3"/>
        <v>0</v>
      </c>
      <c r="M16" s="232">
        <f t="shared" si="3"/>
        <v>178761.02500000002</v>
      </c>
      <c r="N16" s="233">
        <f>SUM(N7:N15)</f>
        <v>41201.694915254229</v>
      </c>
      <c r="O16" s="101">
        <f>SUM(O7:O15)</f>
        <v>1099.8135995762711</v>
      </c>
      <c r="P16" s="113">
        <f>SUM(P7:P15)</f>
        <v>221062.53351483052</v>
      </c>
      <c r="Q16" s="128">
        <f>SUM(Q7:Q15)</f>
        <v>0</v>
      </c>
      <c r="R16" s="313">
        <v>14</v>
      </c>
      <c r="S16" s="318" t="str">
        <f>+'14'!A6:A6</f>
        <v xml:space="preserve">Gourmet Food Air Line </v>
      </c>
      <c r="T16" s="300">
        <f>+'14'!P35</f>
        <v>10803.506108644067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8" t="str">
        <f>+'15'!A6:A6</f>
        <v>Gourmet Food 12-G</v>
      </c>
      <c r="T17" s="300">
        <f>+'15'!P35</f>
        <v>20133.810584745759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9" t="str">
        <f>+'16'!A6:A6</f>
        <v>Gourmet Food Walton</v>
      </c>
      <c r="T18" s="300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218001.25</v>
      </c>
      <c r="R19" s="299">
        <v>17</v>
      </c>
      <c r="S19" s="318" t="str">
        <f>+'17'!A6:A6</f>
        <v xml:space="preserve">Gourmet Food C Block Model Town </v>
      </c>
      <c r="T19" s="300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39240.224999999999</v>
      </c>
      <c r="R20" s="299">
        <v>18</v>
      </c>
      <c r="S20" s="318" t="str">
        <f>+'18'!A6:A6</f>
        <v xml:space="preserve">Gourmet Food Liyaqat Chowk </v>
      </c>
      <c r="T20" s="300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18" t="str">
        <f>+'19'!A6:A6</f>
        <v>Gourmet Food Krishan Nagar</v>
      </c>
      <c r="T21" s="300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178761.02499999999</v>
      </c>
      <c r="R22" s="299">
        <v>20</v>
      </c>
      <c r="S22" s="318" t="str">
        <f>+'20'!A6:A6</f>
        <v>Gourmet Food Poonch Road</v>
      </c>
      <c r="T22" s="300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41201.694915254229</v>
      </c>
      <c r="R23" s="299">
        <v>21</v>
      </c>
      <c r="S23" s="318" t="str">
        <f>+'21'!A6:A6</f>
        <v xml:space="preserve">Gourmet Food Nadeem Shaheed </v>
      </c>
      <c r="T23" s="300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219962.71991525422</v>
      </c>
      <c r="R24" s="299">
        <v>22</v>
      </c>
      <c r="S24" s="318" t="str">
        <f>+'22'!A6:A6</f>
        <v xml:space="preserve">Gourmet Food Gulshan Ravi </v>
      </c>
      <c r="T24" s="300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1099.8135995762711</v>
      </c>
      <c r="R25" s="299">
        <v>23</v>
      </c>
      <c r="S25" s="318" t="str">
        <f>+'23'!A6:A6</f>
        <v xml:space="preserve">Gourmet Food Riwind City </v>
      </c>
      <c r="T25" s="300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221062.53351483049</v>
      </c>
      <c r="R26" s="299">
        <v>24</v>
      </c>
      <c r="S26" s="318" t="str">
        <f>+'24'!A6:A6</f>
        <v xml:space="preserve">Gourmet Food Link Road Model Town 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18" t="str">
        <f>+'25'!A6:A6</f>
        <v>Gourmet Food Batapur</v>
      </c>
      <c r="T27" s="300">
        <f>+'25'!P35</f>
        <v>0</v>
      </c>
    </row>
    <row r="28" spans="1:20" ht="21.75" customHeight="1" x14ac:dyDescent="0.35">
      <c r="R28" s="299">
        <v>26</v>
      </c>
      <c r="S28" s="318" t="str">
        <f>+'26'!A6:A6</f>
        <v xml:space="preserve">Gourmet Food Jauray Pull 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8" t="str">
        <f>+'27'!A6:A6</f>
        <v xml:space="preserve">Gourmet Food Bhatta Chowk </v>
      </c>
      <c r="T29" s="300">
        <f>+'27'!P35</f>
        <v>0</v>
      </c>
    </row>
    <row r="30" spans="1:20" ht="21.75" customHeight="1" x14ac:dyDescent="0.35">
      <c r="R30" s="299">
        <v>28</v>
      </c>
      <c r="S30" s="318" t="str">
        <f>+'28'!A6:A6</f>
        <v xml:space="preserve">Gourmet Food EME Society </v>
      </c>
      <c r="T30" s="300">
        <f>+'28'!P35</f>
        <v>0</v>
      </c>
    </row>
    <row r="31" spans="1:20" ht="21.75" customHeight="1" x14ac:dyDescent="0.35">
      <c r="R31" s="299">
        <v>29</v>
      </c>
      <c r="S31" s="318" t="str">
        <f>+'29'!A6:A6</f>
        <v xml:space="preserve">Gourmet Food  DHA XX- Block </v>
      </c>
      <c r="T31" s="300">
        <f>+'29'!P35</f>
        <v>0</v>
      </c>
    </row>
    <row r="32" spans="1:20" ht="21.75" customHeight="1" x14ac:dyDescent="0.35">
      <c r="R32" s="299">
        <v>30</v>
      </c>
      <c r="S32" s="318" t="str">
        <f>+'30'!A6:A6</f>
        <v>Gourmet Food Riwind Road Thokar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221062.53351483049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zoomScaleNormal="100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7.2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4197</v>
      </c>
      <c r="J25" s="274">
        <f>SUM(J16:J24)</f>
        <v>755.45999999999992</v>
      </c>
      <c r="K25" s="275">
        <f t="shared" si="10"/>
        <v>0</v>
      </c>
      <c r="L25" s="276">
        <f t="shared" si="10"/>
        <v>0</v>
      </c>
      <c r="M25" s="232">
        <f t="shared" si="10"/>
        <v>3441.54</v>
      </c>
      <c r="N25" s="233">
        <f>SUM(N16:N24)</f>
        <v>793.22033898305051</v>
      </c>
      <c r="O25" s="101">
        <f>SUM(O16:O24)</f>
        <v>21.173801694915252</v>
      </c>
      <c r="P25" s="113">
        <f>SUM(P16:P24)</f>
        <v>4255.9341406779649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4197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755.45999999999992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3441.54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4234.7603389830501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21.173801694915252</v>
      </c>
    </row>
    <row r="35" spans="2:16" ht="15.75" customHeight="1" thickBot="1" x14ac:dyDescent="0.4">
      <c r="N35" s="373" t="s">
        <v>88</v>
      </c>
      <c r="O35" s="374"/>
      <c r="P35" s="297">
        <f>+P33+P34</f>
        <v>4255.9341406779649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  <c r="F2" t="s">
        <v>527</v>
      </c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755.45999999999992</v>
      </c>
      <c r="K16" s="127">
        <f>$I16*T16</f>
        <v>0</v>
      </c>
      <c r="L16" s="118">
        <f>$I16*U16</f>
        <v>0</v>
      </c>
      <c r="M16" s="229">
        <f>I16-SUM(J16:L16)</f>
        <v>3441.54</v>
      </c>
      <c r="N16" s="248">
        <f>+(G16*D16+H16)*V16</f>
        <v>793.22033898305051</v>
      </c>
      <c r="O16" s="238">
        <f>(N16+M16)*$O$15</f>
        <v>21.173801694915252</v>
      </c>
      <c r="P16" s="309">
        <f>M16+N16+O16</f>
        <v>4255.9341406779649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360</v>
      </c>
      <c r="I25" s="114">
        <f t="shared" si="7"/>
        <v>21307.8</v>
      </c>
      <c r="J25" s="274">
        <f>SUM(J16:J24)</f>
        <v>3835.4039999999991</v>
      </c>
      <c r="K25" s="275">
        <f t="shared" si="7"/>
        <v>0</v>
      </c>
      <c r="L25" s="276">
        <f t="shared" si="7"/>
        <v>0</v>
      </c>
      <c r="M25" s="232">
        <f t="shared" si="7"/>
        <v>17472.396000000001</v>
      </c>
      <c r="N25" s="233">
        <f>SUM(N16:N24)</f>
        <v>4027.1186440677952</v>
      </c>
      <c r="O25" s="101">
        <f>SUM(O16:O24)</f>
        <v>107.49757322033898</v>
      </c>
      <c r="P25" s="113">
        <f>SUM(P16:P24)</f>
        <v>21607.012217288131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21307.8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3835.4039999999991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17472.396000000001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4027.1186440677952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21499.514644067796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107.49757322033898</v>
      </c>
    </row>
    <row r="35" spans="2:16" ht="15.75" customHeight="1" thickBot="1" x14ac:dyDescent="0.4">
      <c r="N35" s="373" t="s">
        <v>88</v>
      </c>
      <c r="O35" s="374"/>
      <c r="P35" s="297">
        <f>+P33+P34</f>
        <v>21607.012217288135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8.7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534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12913.800000000001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2324.4839999999995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10589.316000000003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13029.993966101698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73" t="s">
        <v>88</v>
      </c>
      <c r="O35" s="374"/>
      <c r="P35" s="297">
        <f>+P33+P34</f>
        <v>13095.143935932207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549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10008.200000000001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1801.4759999999997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8206.724000000002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10098.249423728816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73" t="s">
        <v>88</v>
      </c>
      <c r="O35" s="374"/>
      <c r="P35" s="297">
        <f>+P33+P34</f>
        <v>10148.740670847459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zoomScaleNormal="100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550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188.86499999999998</v>
      </c>
      <c r="K16" s="127">
        <f>$I16*T16</f>
        <v>0</v>
      </c>
      <c r="L16" s="118">
        <f>$I16*U16</f>
        <v>0</v>
      </c>
      <c r="M16" s="229">
        <f>I16-SUM(J16:L16)</f>
        <v>860.38499999999999</v>
      </c>
      <c r="N16" s="248">
        <f>+(G16*D16+H16)*V16</f>
        <v>198.30508474576263</v>
      </c>
      <c r="O16" s="238">
        <f>(N16+M16)*$O$15</f>
        <v>5.2934504237288129</v>
      </c>
      <c r="P16" s="309">
        <f>M16+N16+O16</f>
        <v>1063.9835351694912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10411.75</v>
      </c>
      <c r="J25" s="274">
        <f>SUM(J16:J24)</f>
        <v>1874.1149999999998</v>
      </c>
      <c r="K25" s="275">
        <f t="shared" si="7"/>
        <v>0</v>
      </c>
      <c r="L25" s="276">
        <f t="shared" si="7"/>
        <v>0</v>
      </c>
      <c r="M25" s="232">
        <f t="shared" si="7"/>
        <v>8537.6350000000002</v>
      </c>
      <c r="N25" s="233">
        <f>SUM(N16:N24)</f>
        <v>1967.7966101694915</v>
      </c>
      <c r="O25" s="101">
        <f>SUM(O16:O24)</f>
        <v>52.527158050847454</v>
      </c>
      <c r="P25" s="113">
        <f>SUM(P16:P24)</f>
        <v>10557.958768220338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10411.75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1874.1149999999998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8537.6350000000002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1967.7966101694915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10505.431610169491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52.527158050847454</v>
      </c>
    </row>
    <row r="35" spans="2:16" ht="15.75" customHeight="1" thickBot="1" x14ac:dyDescent="0.4">
      <c r="N35" s="373" t="s">
        <v>88</v>
      </c>
      <c r="O35" s="374"/>
      <c r="P35" s="297">
        <f>+P33+P34</f>
        <v>10557.958768220338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1046.0159999999998</v>
      </c>
      <c r="K21" s="128">
        <f t="shared" si="1"/>
        <v>0</v>
      </c>
      <c r="L21" s="119">
        <f t="shared" si="1"/>
        <v>0</v>
      </c>
      <c r="M21" s="230">
        <f t="shared" si="2"/>
        <v>4765.1840000000002</v>
      </c>
      <c r="N21" s="277">
        <f t="shared" si="3"/>
        <v>1098.3050847457628</v>
      </c>
      <c r="O21" s="239">
        <f t="shared" si="4"/>
        <v>29.317445423728813</v>
      </c>
      <c r="P21" s="310">
        <f t="shared" si="5"/>
        <v>5892.8065301694915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320</v>
      </c>
      <c r="I25" s="114">
        <f t="shared" si="7"/>
        <v>20016.400000000001</v>
      </c>
      <c r="J25" s="274">
        <f>SUM(J16:J24)</f>
        <v>3602.9519999999993</v>
      </c>
      <c r="K25" s="275">
        <f t="shared" si="7"/>
        <v>0</v>
      </c>
      <c r="L25" s="276">
        <f t="shared" si="7"/>
        <v>0</v>
      </c>
      <c r="M25" s="232">
        <f t="shared" si="7"/>
        <v>16413.448</v>
      </c>
      <c r="N25" s="233">
        <f>SUM(N16:N24)</f>
        <v>3783.0508474576263</v>
      </c>
      <c r="O25" s="101">
        <f>SUM(O16:O24)</f>
        <v>100.98249423728812</v>
      </c>
      <c r="P25" s="113">
        <f>SUM(P16:P24)</f>
        <v>20297.481341694911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20016.400000000001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3602.9519999999993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16413.448000000004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3783.0508474576263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20196.498847457631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100.98249423728817</v>
      </c>
    </row>
    <row r="35" spans="2:16" ht="15.75" customHeight="1" thickBot="1" x14ac:dyDescent="0.4">
      <c r="N35" s="373" t="s">
        <v>88</v>
      </c>
      <c r="O35" s="374"/>
      <c r="P35" s="297">
        <f>+P33+P34</f>
        <v>20297.481341694918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551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1046.0159999999998</v>
      </c>
      <c r="K21" s="128">
        <f t="shared" si="1"/>
        <v>0</v>
      </c>
      <c r="L21" s="119">
        <f t="shared" si="1"/>
        <v>0</v>
      </c>
      <c r="M21" s="230">
        <f t="shared" si="2"/>
        <v>4765.1840000000002</v>
      </c>
      <c r="N21" s="277">
        <f t="shared" si="3"/>
        <v>1098.3050847457628</v>
      </c>
      <c r="O21" s="239">
        <f t="shared" si="4"/>
        <v>29.317445423728813</v>
      </c>
      <c r="P21" s="310">
        <f t="shared" si="5"/>
        <v>5892.8065301694915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360</v>
      </c>
      <c r="I25" s="114">
        <f t="shared" si="7"/>
        <v>22114.9</v>
      </c>
      <c r="J25" s="274">
        <f>SUM(J16:J24)</f>
        <v>3980.6819999999989</v>
      </c>
      <c r="K25" s="275">
        <f t="shared" si="7"/>
        <v>0</v>
      </c>
      <c r="L25" s="276">
        <f t="shared" si="7"/>
        <v>0</v>
      </c>
      <c r="M25" s="232">
        <f t="shared" si="7"/>
        <v>18134.218000000001</v>
      </c>
      <c r="N25" s="233">
        <f>SUM(N16:N24)</f>
        <v>4179.6610169491514</v>
      </c>
      <c r="O25" s="101">
        <f>SUM(O16:O24)</f>
        <v>111.56939508474575</v>
      </c>
      <c r="P25" s="113">
        <f>SUM(P16:P24)</f>
        <v>22425.448412033897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22114.9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3980.6819999999989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18134.218000000001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4179.6610169491514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22313.879016949151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111.56939508474576</v>
      </c>
    </row>
    <row r="35" spans="2:16" ht="15.75" customHeight="1" thickBot="1" x14ac:dyDescent="0.4">
      <c r="N35" s="373" t="s">
        <v>88</v>
      </c>
      <c r="O35" s="374"/>
      <c r="P35" s="297">
        <f>+P33+P34</f>
        <v>22425.448412033897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zoomScale="110" zoomScaleNormal="110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552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280</v>
      </c>
      <c r="I25" s="114">
        <f t="shared" si="7"/>
        <v>17110.8</v>
      </c>
      <c r="J25" s="274">
        <f>SUM(J16:J24)</f>
        <v>3079.9439999999995</v>
      </c>
      <c r="K25" s="275">
        <f t="shared" si="7"/>
        <v>0</v>
      </c>
      <c r="L25" s="276">
        <f t="shared" si="7"/>
        <v>0</v>
      </c>
      <c r="M25" s="232">
        <f t="shared" si="7"/>
        <v>14030.856000000002</v>
      </c>
      <c r="N25" s="233">
        <f>SUM(N16:N24)</f>
        <v>3233.8983050847451</v>
      </c>
      <c r="O25" s="101">
        <f>SUM(O16:O24)</f>
        <v>86.323771525423723</v>
      </c>
      <c r="P25" s="113">
        <f>SUM(P16:P24)</f>
        <v>17351.078076610167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17110.8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3079.9439999999995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14030.856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3233.8983050847451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17264.754305084745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86.323771525423723</v>
      </c>
    </row>
    <row r="35" spans="2:16" ht="15.75" customHeight="1" thickBot="1" x14ac:dyDescent="0.4">
      <c r="N35" s="373" t="s">
        <v>88</v>
      </c>
      <c r="O35" s="374"/>
      <c r="P35" s="297">
        <f>+P33+P34</f>
        <v>17351.078076610171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553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540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1046.0159999999998</v>
      </c>
      <c r="K19" s="128">
        <f t="shared" si="1"/>
        <v>0</v>
      </c>
      <c r="L19" s="119">
        <f t="shared" si="1"/>
        <v>0</v>
      </c>
      <c r="M19" s="230">
        <f t="shared" si="2"/>
        <v>4765.1840000000002</v>
      </c>
      <c r="N19" s="277">
        <f t="shared" si="3"/>
        <v>1098.3050847457628</v>
      </c>
      <c r="O19" s="239">
        <f t="shared" si="4"/>
        <v>29.317445423728813</v>
      </c>
      <c r="P19" s="310">
        <f t="shared" si="5"/>
        <v>5892.8065301694915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1046.0159999999998</v>
      </c>
      <c r="K21" s="128">
        <f t="shared" si="1"/>
        <v>0</v>
      </c>
      <c r="L21" s="119">
        <f t="shared" si="1"/>
        <v>0</v>
      </c>
      <c r="M21" s="230">
        <f t="shared" si="2"/>
        <v>4765.1840000000002</v>
      </c>
      <c r="N21" s="277">
        <f t="shared" si="3"/>
        <v>1098.3050847457628</v>
      </c>
      <c r="O21" s="239">
        <f t="shared" si="4"/>
        <v>29.317445423728813</v>
      </c>
      <c r="P21" s="310">
        <f t="shared" si="5"/>
        <v>5892.8065301694915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320</v>
      </c>
      <c r="I25" s="114">
        <f t="shared" si="7"/>
        <v>20016.400000000001</v>
      </c>
      <c r="J25" s="274">
        <f>SUM(J16:J24)</f>
        <v>3602.9519999999993</v>
      </c>
      <c r="K25" s="275">
        <f t="shared" si="7"/>
        <v>0</v>
      </c>
      <c r="L25" s="276">
        <f t="shared" si="7"/>
        <v>0</v>
      </c>
      <c r="M25" s="232">
        <f t="shared" si="7"/>
        <v>16413.448</v>
      </c>
      <c r="N25" s="233">
        <f>SUM(N16:N24)</f>
        <v>3783.0508474576263</v>
      </c>
      <c r="O25" s="101">
        <f>SUM(O16:O24)</f>
        <v>100.98249423728812</v>
      </c>
      <c r="P25" s="113">
        <f>SUM(P16:P24)</f>
        <v>20297.481341694911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20016.400000000001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3602.9519999999993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16413.448000000004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3783.0508474576263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20196.498847457631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100.98249423728817</v>
      </c>
    </row>
    <row r="35" spans="2:16" ht="15.75" customHeight="1" thickBot="1" x14ac:dyDescent="0.4">
      <c r="N35" s="373" t="s">
        <v>88</v>
      </c>
      <c r="O35" s="374"/>
      <c r="P35" s="297">
        <f>+P33+P34</f>
        <v>20297.481341694918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554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12913.800000000001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2324.4839999999995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10589.316000000003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13029.993966101698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73" t="s">
        <v>88</v>
      </c>
      <c r="O35" s="374"/>
      <c r="P35" s="297">
        <f>+P33+P34</f>
        <v>13095.143935932207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555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542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1046.0159999999998</v>
      </c>
      <c r="K20" s="128">
        <f t="shared" si="1"/>
        <v>0</v>
      </c>
      <c r="L20" s="119">
        <f t="shared" si="1"/>
        <v>0</v>
      </c>
      <c r="M20" s="230">
        <f t="shared" si="2"/>
        <v>4765.1840000000002</v>
      </c>
      <c r="N20" s="277">
        <f t="shared" si="3"/>
        <v>1098.3050847457628</v>
      </c>
      <c r="O20" s="239">
        <f t="shared" si="4"/>
        <v>29.317445423728813</v>
      </c>
      <c r="P20" s="310">
        <f t="shared" si="5"/>
        <v>5892.8065301694915</v>
      </c>
      <c r="Q20" s="156"/>
      <c r="R20">
        <f>P20/21</f>
        <v>280.60983476997581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1046.0159999999998</v>
      </c>
      <c r="K21" s="128">
        <f t="shared" si="1"/>
        <v>0</v>
      </c>
      <c r="L21" s="119">
        <f t="shared" si="1"/>
        <v>0</v>
      </c>
      <c r="M21" s="230">
        <f t="shared" si="2"/>
        <v>4765.1840000000002</v>
      </c>
      <c r="N21" s="277">
        <f t="shared" si="3"/>
        <v>1098.3050847457628</v>
      </c>
      <c r="O21" s="239">
        <f t="shared" si="4"/>
        <v>29.317445423728813</v>
      </c>
      <c r="P21" s="310">
        <f t="shared" si="5"/>
        <v>5892.8065301694915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240</v>
      </c>
      <c r="I25" s="114">
        <f t="shared" si="7"/>
        <v>15819.400000000001</v>
      </c>
      <c r="J25" s="274">
        <f>SUM(J16:J24)</f>
        <v>2847.4919999999993</v>
      </c>
      <c r="K25" s="275">
        <f t="shared" si="7"/>
        <v>0</v>
      </c>
      <c r="L25" s="276">
        <f t="shared" si="7"/>
        <v>0</v>
      </c>
      <c r="M25" s="232">
        <f t="shared" si="7"/>
        <v>12971.907999999999</v>
      </c>
      <c r="N25" s="233">
        <f>SUM(N16:N24)</f>
        <v>2989.8305084745762</v>
      </c>
      <c r="O25" s="101">
        <f>SUM(O16:O24)</f>
        <v>79.808692542372881</v>
      </c>
      <c r="P25" s="113">
        <f>SUM(P16:P24)</f>
        <v>16041.547201016947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15819.400000000001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2847.4919999999993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12971.908000000003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2989.8305084745762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15961.73850847458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79.808692542372896</v>
      </c>
    </row>
    <row r="35" spans="2:16" ht="15.75" customHeight="1" thickBot="1" x14ac:dyDescent="0.4">
      <c r="N35" s="373" t="s">
        <v>88</v>
      </c>
      <c r="O35" s="374"/>
      <c r="P35" s="297">
        <f>+P33+P34</f>
        <v>16041.547201016952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2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556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543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140</v>
      </c>
      <c r="I25" s="114">
        <f t="shared" si="7"/>
        <v>8555.4</v>
      </c>
      <c r="J25" s="274">
        <f>SUM(J16:J24)</f>
        <v>1539.9719999999998</v>
      </c>
      <c r="K25" s="275">
        <f t="shared" si="7"/>
        <v>0</v>
      </c>
      <c r="L25" s="276">
        <f t="shared" si="7"/>
        <v>0</v>
      </c>
      <c r="M25" s="232">
        <f t="shared" si="7"/>
        <v>7015.4279999999999</v>
      </c>
      <c r="N25" s="233">
        <f>SUM(N16:N24)</f>
        <v>1616.9491525423725</v>
      </c>
      <c r="O25" s="101">
        <f>SUM(O16:O24)</f>
        <v>43.161885762711862</v>
      </c>
      <c r="P25" s="113">
        <f>SUM(P16:P24)</f>
        <v>8675.5390383050835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8555.4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1539.9719999999998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7015.4279999999999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1616.9491525423725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8632.3771525423726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43.161885762711862</v>
      </c>
    </row>
    <row r="35" spans="2:16" ht="15.75" customHeight="1" thickBot="1" x14ac:dyDescent="0.4">
      <c r="N35" s="373" t="s">
        <v>88</v>
      </c>
      <c r="O35" s="374"/>
      <c r="P35" s="297">
        <f>+P33+P34</f>
        <v>8675.5390383050853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557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544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</v>
      </c>
      <c r="I25" s="114">
        <f t="shared" si="7"/>
        <v>12106.7</v>
      </c>
      <c r="J25" s="274">
        <f>SUM(J16:J24)</f>
        <v>2179.2059999999997</v>
      </c>
      <c r="K25" s="275">
        <f t="shared" si="7"/>
        <v>0</v>
      </c>
      <c r="L25" s="276">
        <f t="shared" si="7"/>
        <v>0</v>
      </c>
      <c r="M25" s="232">
        <f t="shared" si="7"/>
        <v>9927.4940000000006</v>
      </c>
      <c r="N25" s="233">
        <f>SUM(N16:N24)</f>
        <v>2288.1355932203383</v>
      </c>
      <c r="O25" s="101">
        <f>SUM(O16:O24)</f>
        <v>61.078147966101689</v>
      </c>
      <c r="P25" s="113">
        <f>SUM(P16:P24)</f>
        <v>12276.707741186439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12106.7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2179.2059999999997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9927.4940000000006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12215.629593220339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61.078147966101696</v>
      </c>
    </row>
    <row r="35" spans="2:16" ht="15.75" customHeight="1" thickBot="1" x14ac:dyDescent="0.4">
      <c r="N35" s="373" t="s">
        <v>88</v>
      </c>
      <c r="O35" s="374"/>
      <c r="P35" s="297">
        <f>+P33+P34</f>
        <v>12276.707741186441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558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545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0</v>
      </c>
      <c r="L25" s="276">
        <f t="shared" si="7"/>
        <v>0</v>
      </c>
      <c r="M25" s="232">
        <f t="shared" si="7"/>
        <v>8736.1980000000003</v>
      </c>
      <c r="N25" s="233">
        <f>SUM(N16:N24)</f>
        <v>2013.5593220338976</v>
      </c>
      <c r="O25" s="101">
        <f>SUM(O16:O24)</f>
        <v>53.748786610169489</v>
      </c>
      <c r="P25" s="113">
        <f>SUM(P16:P24)</f>
        <v>10803.506108644066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10653.9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1917.7019999999995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8736.1980000000003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10749.757322033898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53.748786610169489</v>
      </c>
    </row>
    <row r="35" spans="2:16" ht="15.75" customHeight="1" thickBot="1" x14ac:dyDescent="0.4">
      <c r="N35" s="373" t="s">
        <v>88</v>
      </c>
      <c r="O35" s="374"/>
      <c r="P35" s="297">
        <f>+P33+P34</f>
        <v>10803.506108644067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559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546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755.45999999999992</v>
      </c>
      <c r="K16" s="127">
        <f>$I16*T16</f>
        <v>0</v>
      </c>
      <c r="L16" s="118">
        <f>$I16*U16</f>
        <v>0</v>
      </c>
      <c r="M16" s="229">
        <f>I16-SUM(J16:L16)</f>
        <v>3441.54</v>
      </c>
      <c r="N16" s="248">
        <f>+(G16*D16+H16)*V16</f>
        <v>793.22033898305051</v>
      </c>
      <c r="O16" s="238">
        <f>(N16+M16)*$O$15</f>
        <v>21.173801694915252</v>
      </c>
      <c r="P16" s="309">
        <f>M16+N16+O16</f>
        <v>4255.9341406779649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340</v>
      </c>
      <c r="I25" s="114">
        <f t="shared" si="7"/>
        <v>19855</v>
      </c>
      <c r="J25" s="274">
        <f>SUM(J16:J24)</f>
        <v>3573.8999999999992</v>
      </c>
      <c r="K25" s="275">
        <f t="shared" si="7"/>
        <v>0</v>
      </c>
      <c r="L25" s="276">
        <f t="shared" si="7"/>
        <v>0</v>
      </c>
      <c r="M25" s="232">
        <f t="shared" si="7"/>
        <v>16281.1</v>
      </c>
      <c r="N25" s="233">
        <f>SUM(N16:N24)</f>
        <v>3752.5423728813548</v>
      </c>
      <c r="O25" s="101">
        <f>SUM(O16:O24)</f>
        <v>100.16821186440677</v>
      </c>
      <c r="P25" s="113">
        <f>SUM(P16:P24)</f>
        <v>20133.810584745759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19855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3573.8999999999992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16281.1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3752.5423728813548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20033.642372881353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100.16821186440677</v>
      </c>
    </row>
    <row r="35" spans="2:16" ht="15.75" customHeight="1" thickBot="1" x14ac:dyDescent="0.4">
      <c r="N35" s="373" t="s">
        <v>88</v>
      </c>
      <c r="O35" s="374"/>
      <c r="P35" s="297">
        <f>+P33+P34</f>
        <v>20133.810584745759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6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  <c r="S30" s="215"/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8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10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8.7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8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8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6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4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530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46281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46280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Shakoor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46282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46281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2026-09-16T05:59:27Z</dcterms:modified>
</cp:coreProperties>
</file>