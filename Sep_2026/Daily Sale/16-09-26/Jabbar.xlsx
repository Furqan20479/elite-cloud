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75D4085-01EC-4FB0-97F4-82AA3B77D56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7" l="1"/>
  <c r="O21" i="47" s="1"/>
  <c r="P21" i="47" s="1"/>
  <c r="M20" i="47"/>
  <c r="O20" i="47" s="1"/>
  <c r="P20" i="47" s="1"/>
  <c r="R20" i="47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<sst xmlns="http://schemas.openxmlformats.org/spreadsheetml/2006/main" count="3948" uniqueCount="524">
  <si>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</si>
  <si>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</si>
  <si>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</si>
  <si>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</si>
  <si>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</si>
  <si>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</si>
  <si>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</si>
  <si>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</si>
  <si>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</si>
  <si>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</si>
  <si>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</si>
  <si>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</si>
  <si>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</si>
  <si>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</si>
  <si>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</si>
  <si>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</si>
  <si>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</si>
  <si>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</si>
  <si>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</si>
  <si>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</si>
  <si>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</si>
  <si>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</si>
  <si>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</si>
  <si>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</si>
  <si>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</si>
  <si>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</si>
  <si>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</si>
  <si>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</si>
  <si>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</si>
  <si>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</si>
  <si>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</si>
  <si>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</si>
  <si>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</si>
  <si>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</si>
  <si>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</si>
  <si>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</si>
  <si>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</si>
  <si>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</si>
  <si>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</si>
  <si>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</si>
  <si>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</si>
  <si>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</si>
  <si>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</si>
  <si>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</si>
  <si>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</si>
  <si>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</si>
  <si>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</si>
  <si>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</si>
  <si>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</si>
  <si>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</si>
  <si>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</si>
  <si>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</si>
  <si>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</si>
  <si>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</si>
  <si>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</si>
  <si>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</si>
  <si>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</si>
  <si>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</si>
  <si>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</si>
  <si>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</si>
  <si>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</si>
  <si>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</si>
  <si>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</si>
  <si>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</si>
  <si>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</si>
  <si>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</si>
  <si>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</si>
  <si>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</si>
  <si>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</si>
  <si>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</si>
  <si>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</si>
  <si>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</si>
  <si>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</si>
  <si>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</si>
  <si>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</si>
  <si>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</si>
  <si>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</si>
  <si>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</si>
  <si>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</si>
  <si>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</si>
  <si>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</si>
  <si>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</si>
  <si>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</si>
  <si>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</si>
  <si>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</si>
  <si>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</si>
  <si>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</si>
  <si>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</si>
  <si>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</si>
  <si>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</si>
  <si>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</si>
  <si>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</si>
  <si>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</si>
  <si>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</si>
  <si>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</si>
  <si>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</si>
  <si>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</si>
  <si>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</si>
  <si>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</si>
  <si>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</si>
  <si>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</si>
  <si>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</si>
  <si>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</si>
  <si>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</si>
  <si>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</si>
  <si>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</si>
  <si>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</si>
  <si>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</si>
  <si>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</si>
  <si>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</si>
  <si>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</si>
  <si>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</si>
  <si>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</si>
  <si>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</si>
  <si>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</si>
  <si>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</si>
  <si>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</si>
  <si>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</si>
  <si>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</si>
  <si>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</si>
  <si>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</si>
  <si>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</si>
  <si>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</si>
  <si>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</si>
  <si>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</si>
  <si>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</si>
  <si>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</si>
  <si>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</si>
  <si>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</si>
  <si>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</si>
  <si>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</si>
  <si>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</si>
  <si>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</si>
  <si>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</si>
  <si>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</si>
  <si>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</si>
  <si>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</si>
  <si>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</si>
  <si>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</si>
  <si>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</si>
  <si>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</si>
  <si>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</si>
  <si>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</si>
  <si>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</si>
  <si>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</si>
  <si>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</si>
  <si>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</si>
  <si>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</si>
  <si>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</si>
  <si>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</si>
  <si>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</si>
  <si>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</si>
  <si>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</si>
  <si>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</si>
  <si>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</si>
  <si>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</si>
  <si>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</si>
  <si>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</si>
  <si>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</si>
  <si>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</si>
  <si>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</si>
  <si>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</si>
  <si>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</si>
  <si>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</si>
  <si>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</si>
  <si>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</si>
  <si>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</si>
  <si>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</si>
  <si>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</si>
  <si>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</si>
  <si>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</si>
  <si>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</si>
  <si>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</si>
  <si>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</si>
  <si>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</si>
  <si>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</si>
  <si>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</si>
  <si>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</si>
  <si>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</si>
  <si>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</si>
  <si>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</si>
  <si>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</si>
  <si>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</si>
  <si>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</si>
  <si>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</si>
  <si>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</si>
  <si>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</si>
  <si>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</si>
  <si>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</si>
  <si>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</si>
  <si>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</si>
  <si>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</si>
  <si>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</si>
  <si>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</si>
  <si>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</si>
  <si>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</si>
  <si>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</si>
  <si>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</si>
  <si>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</si>
  <si>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</si>
  <si>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</si>
  <si>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</si>
  <si>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</si>
  <si>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</si>
  <si>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</si>
  <si>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</si>
  <si>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</si>
  <si>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</si>
  <si>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</si>
  <si>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</si>
  <si>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</si>
  <si>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</si>
  <si>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</si>
  <si>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</si>
  <si>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</si>
  <si>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</si>
  <si>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</si>
  <si>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</si>
  <si>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</si>
  <si>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</si>
  <si>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</si>
  <si>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</si>
  <si>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</si>
  <si>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</si>
  <si>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</si>
  <si>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</si>
  <si>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</si>
  <si>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</si>
  <si>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</si>
  <si>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</si>
  <si>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</si>
  <si>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</si>
  <si>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</si>
  <si>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</si>
  <si>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</si>
  <si>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</si>
  <si>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</si>
  <si>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</si>
  <si>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</si>
  <si>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</si>
  <si>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</si>
  <si>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</si>
  <si>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</si>
  <si>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</si>
  <si>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</si>
  <si>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</si>
  <si>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</si>
  <si>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</si>
  <si>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</si>
  <si>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</si>
  <si>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</si>
  <si>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</si>
  <si>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</si>
  <si>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</si>
  <si>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</si>
  <si>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</si>
  <si>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</si>
  <si>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</si>
  <si>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</si>
  <si>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</si>
  <si>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</si>
  <si>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</si>
  <si>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</si>
  <si>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</si>
  <si>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</si>
  <si>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</si>
  <si>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</si>
  <si>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</si>
  <si>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</si>
  <si>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</si>
  <si>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</si>
  <si>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</si>
  <si>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</si>
  <si>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</si>
  <si>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</si>
  <si>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</si>
  <si>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</si>
  <si>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</si>
  <si>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</si>
  <si>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</si>
  <si>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</si>
  <si>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</si>
  <si>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</si>
  <si>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</si>
  <si>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</si>
  <si>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</si>
  <si>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</si>
  <si>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</si>
  <si>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</si>
  <si>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</si>
  <si>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</si>
  <si>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</si>
  <si>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</si>
  <si>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</si>
  <si>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</si>
  <si>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</si>
  <si>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</si>
  <si>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</si>
  <si>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</si>
  <si>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</si>
  <si>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</si>
  <si>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</si>
  <si>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</si>
  <si>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</si>
  <si>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</si>
  <si>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</si>
  <si>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</si>
  <si>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</si>
  <si>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</si>
  <si>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</si>
  <si>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</si>
  <si>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</si>
  <si>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</si>
  <si>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</si>
  <si>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</si>
  <si>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</si>
  <si>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</si>
  <si>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</si>
  <si>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</si>
  <si>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</si>
  <si>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</si>
  <si>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</si>
  <si>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</si>
  <si>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</si>
  <si>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</si>
  <si>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</si>
  <si>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</si>
  <si>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</si>
  <si>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</si>
  <si>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</si>
  <si>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</si>
  <si>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</si>
  <si>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</si>
  <si>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</si>
  <si>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</si>
  <si>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</si>
  <si>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</si>
  <si>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</si>
  <si>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</si>
  <si>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</si>
  <si>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</si>
  <si>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</si>
  <si>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</si>
  <si>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</si>
  <si>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</si>
  <si>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</si>
  <si>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</si>
  <si>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</si>
  <si>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</si>
  <si>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</si>
  <si>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</si>
  <si>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</si>
  <si>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</si>
  <si>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</si>
  <si>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</si>
  <si>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</si>
  <si>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</si>
  <si>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</si>
  <si>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</si>
  <si>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</si>
  <si>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</si>
  <si>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</si>
  <si>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</si>
  <si>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</si>
  <si>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</si>
  <si>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</si>
  <si>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</si>
  <si>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</si>
  <si>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</si>
  <si>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</si>
  <si>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</si>
  <si>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</si>
  <si>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</si>
  <si>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</si>
  <si>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</si>
  <si>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</si>
  <si>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</si>
  <si>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</si>
  <si>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</si>
  <si>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</si>
  <si>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</si>
  <si>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</si>
  <si>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</si>
  <si>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</si>
  <si>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</si>
  <si>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</si>
  <si>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</si>
  <si>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</si>
  <si>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</si>
  <si>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</si>
  <si>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</si>
  <si>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</si>
  <si>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</si>
  <si>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</si>
  <si>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</si>
  <si>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</si>
  <si>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</si>
  <si>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</si>
  <si>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</si>
  <si>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</si>
  <si>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</si>
  <si>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</si>
  <si>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</si>
  <si>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</si>
  <si>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</si>
  <si>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</si>
  <si>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</si>
  <si>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</si>
  <si>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</si>
  <si>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</si>
  <si>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</si>
  <si>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</si>
  <si>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</si>
  <si>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</si>
  <si>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</si>
  <si>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</si>
  <si>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</si>
  <si>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</si>
  <si>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</si>
  <si>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</si>
  <si>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</si>
  <si>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</si>
  <si>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</si>
  <si>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</si>
  <si>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</si>
  <si>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</si>
  <si>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</si>
  <si>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</si>
  <si>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</si>
  <si>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</si>
  <si>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</si>
  <si>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</si>
  <si>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</si>
  <si>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</si>
  <si>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</si>
  <si>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</si>
  <si>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</si>
  <si>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</si>
  <si>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</si>
  <si>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</si>
  <si>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</si>
  <si>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</si>
  <si>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</si>
  <si>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</si>
  <si>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</si>
  <si>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</si>
  <si>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</si>
  <si>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</si>
  <si>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</si>
  <si>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</si>
  <si>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</si>
  <si>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</si>
  <si>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</si>
  <si>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</si>
  <si>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</si>
  <si>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</si>
  <si>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</si>
  <si>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</si>
  <si>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</si>
  <si>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</si>
  <si>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</si>
  <si>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</si>
  <si>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</si>
  <si>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</si>
  <si>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</si>
  <si>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</si>
  <si>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</si>
  <si>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</si>
  <si>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</si>
  <si>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</si>
  <si>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</si>
  <si>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</si>
  <si>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</si>
  <si>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</si>
  <si>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</si>
  <si>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</si>
  <si>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</si>
  <si>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</si>
  <si>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</si>
  <si>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</si>
  <si>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</si>
  <si>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</si>
  <si>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</si>
  <si>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</si>
  <si>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</si>
  <si>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</si>
  <si>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</si>
  <si>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</si>
  <si>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</si>
  <si>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</si>
  <si>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</si>
  <si>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</si>
  <si>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</si>
  <si>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</si>
  <si>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</si>
  <si>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</si>
  <si>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</si>
  <si>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</si>
  <si>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</si>
  <si>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</si>
  <si>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</si>
  <si>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</si>
  <si>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</si>
  <si>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</si>
  <si>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</si>
  <si>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</si>
  <si>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</si>
  <si>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</si>
  <si>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</si>
  <si>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</si>
  <si>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</si>
  <si>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</si>
  <si>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</si>
  <si>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</si>
  <si>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>Bilal Store</t>
  </si>
  <si>
    <t xml:space="preserve">Address: Mian Meer Phatak </t>
  </si>
  <si>
    <t>Haji Dipartmental Store</t>
  </si>
  <si>
    <t xml:space="preserve">Ali Ice Cream </t>
  </si>
  <si>
    <t>Address: Ghosia Colony</t>
  </si>
  <si>
    <t xml:space="preserve">Rehman Bakery </t>
  </si>
  <si>
    <t>Bismillah Store</t>
  </si>
  <si>
    <t>Address:Ghosia Store</t>
  </si>
  <si>
    <t xml:space="preserve">Shell Pump </t>
  </si>
  <si>
    <t>Address: Ferozpur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</si>
</sst>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Bilal Store</v>
      </c>
      <c r="T3" s="301">
        <f>+'1'!P35</f>
        <v>3970.8005418305079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Haji Dipartmental Store</v>
      </c>
      <c r="T4" s="301">
        <f>+'2'!P35</f>
        <v>500.75337404745761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Ali Ice Cream </v>
      </c>
      <c r="T5" s="301">
        <f>+'3'!P35</f>
        <v>6272.4231701694916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Rehman Bakery 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Bismillah Store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Shell Pump </v>
      </c>
      <c r="T8" s="301">
        <f>+'6'!P35</f>
        <v>5401.2631679237293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50</v>
      </c>
      <c r="I10" s="236">
        <f t="shared" si="0"/>
        <v>3632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127.12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3214.32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686.4406779661017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19.503803389830509</v>
      </c>
      <c r="P10" s="311">
        <f t="shared" si="2"/>
        <v>3920.2644813559323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3214.32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19.503803389830509</v>
      </c>
      <c r="P11" s="311">
        <f t="shared" si="2"/>
        <v>3920.2644813559323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100</v>
      </c>
      <c r="I12" s="236">
        <f t="shared" si="0"/>
        <v>7264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254.24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6428.64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1372.8813559322034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39.007606779661018</v>
      </c>
      <c r="P12" s="311">
        <f t="shared" si="2"/>
        <v>7840.5289627118646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44</v>
      </c>
      <c r="I13" s="236">
        <f t="shared" si="0"/>
        <v>1726.1200000000001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86.306000000000012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60.414200000000015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88.032119999999992</v>
      </c>
      <c r="M13" s="230">
        <f t="shared" si="1"/>
        <v>1491.3676800000001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335.59322033898286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9.1348045016949158</v>
      </c>
      <c r="P13" s="311">
        <f t="shared" si="2"/>
        <v>1836.0957048406776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7.1</v>
      </c>
      <c r="H16" s="113">
        <f t="shared" ref="H16:M16" si="3">SUM(H7:H15)</f>
        <v>284</v>
      </c>
      <c r="I16" s="114">
        <f t="shared" si="3"/>
        <v>18352.62</v>
      </c>
      <c r="J16" s="274">
        <f>SUM(J7:J15)</f>
        <v>1416.4259999999999</v>
      </c>
      <c r="K16" s="275">
        <f t="shared" si="3"/>
        <v>642.34170000000006</v>
      </c>
      <c r="L16" s="276">
        <f t="shared" si="3"/>
        <v>88.032119999999992</v>
      </c>
      <c r="M16" s="232">
        <f t="shared" si="3"/>
        <v>16205.820179999999</v>
      </c>
      <c r="N16" s="233">
        <f>SUM(N7:N15)</f>
        <v>3477.9661016949149</v>
      </c>
      <c r="O16" s="101">
        <f>SUM(O7:O15)</f>
        <v>98.418931408474577</v>
      </c>
      <c r="P16" s="113">
        <f>SUM(P7:P15)</f>
        <v>19782.205213103389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18352.62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1416.4259999999999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730.37382000000002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16205.820179999999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3477.9661016949149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19683.786281694913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98.418931408474577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19782.205213103389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19782.205213103389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3690.2</v>
      </c>
      <c r="J25" s="274">
        <f>SUM(J16:J24)</f>
        <v>271.678</v>
      </c>
      <c r="K25" s="275">
        <f t="shared" si="10"/>
        <v>129.15700000000001</v>
      </c>
      <c r="L25" s="276">
        <f t="shared" si="10"/>
        <v>40.014600000000002</v>
      </c>
      <c r="M25" s="232">
        <f t="shared" si="10"/>
        <v>3249.3504000000003</v>
      </c>
      <c r="N25" s="233">
        <f>SUM(N16:N24)</f>
        <v>701.69491525423723</v>
      </c>
      <c r="O25" s="101">
        <f>SUM(O16:O24)</f>
        <v>19.755226576271188</v>
      </c>
      <c r="P25" s="234">
        <f>SUM(P16:P24)</f>
        <v>3970.8005418305083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3690.2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271.678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169.17160000000001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3249.3503999999998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701.69491525423723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3951.0453152542368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19.755226576271184</v>
      </c>
    </row>
    <row r="35" spans="2:16" ht="15.75" customHeight="1" thickBot="1" x14ac:dyDescent="0.4">
      <c r="N35" s="374" t="s">
        <v>88</v>
      </c>
      <c r="O35" s="375"/>
      <c r="P35" s="297">
        <f>+P33+P34</f>
        <v>3970.8005418305079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0"/>
        <v>1816</v>
      </c>
      <c r="J19" s="272">
        <f t="shared" si="1"/>
        <v>145.28</v>
      </c>
      <c r="K19" s="128">
        <f t="shared" si="1"/>
        <v>63.560000000000009</v>
      </c>
      <c r="L19" s="119">
        <f t="shared" si="1"/>
        <v>0</v>
      </c>
      <c r="M19" s="230">
        <f t="shared" si="2"/>
        <v>1607.16</v>
      </c>
      <c r="N19" s="277">
        <f t="shared" si="3"/>
        <v>343.22033898305085</v>
      </c>
      <c r="O19" s="239">
        <f t="shared" si="4"/>
        <v>9.7519016949152544</v>
      </c>
      <c r="P19" s="119">
        <f t="shared" si="5"/>
        <v>1960.1322406779661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30</v>
      </c>
      <c r="I20" s="236">
        <f t="shared" si="0"/>
        <v>2179.1999999999998</v>
      </c>
      <c r="J20" s="272">
        <f t="shared" si="1"/>
        <v>174.33599999999998</v>
      </c>
      <c r="K20" s="128">
        <f t="shared" si="1"/>
        <v>76.272000000000006</v>
      </c>
      <c r="L20" s="119">
        <f t="shared" si="1"/>
        <v>0</v>
      </c>
      <c r="M20" s="230">
        <f t="shared" si="2"/>
        <v>1928.5919999999999</v>
      </c>
      <c r="N20" s="277">
        <f t="shared" si="3"/>
        <v>411.86440677966107</v>
      </c>
      <c r="O20" s="239">
        <f t="shared" si="4"/>
        <v>11.702282033898305</v>
      </c>
      <c r="P20" s="119">
        <f t="shared" si="5"/>
        <v>2352.1586888135594</v>
      </c>
      <c r="Q20" s="319"/>
      <c r="R20">
        <f>P20/21</f>
        <v>112.00755661016949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25</v>
      </c>
      <c r="I21" s="236">
        <f t="shared" si="0"/>
        <v>1816</v>
      </c>
      <c r="J21" s="272">
        <f t="shared" si="1"/>
        <v>145.28</v>
      </c>
      <c r="K21" s="128">
        <f t="shared" si="1"/>
        <v>63.560000000000009</v>
      </c>
      <c r="L21" s="119">
        <f t="shared" si="1"/>
        <v>0</v>
      </c>
      <c r="M21" s="230">
        <f t="shared" si="2"/>
        <v>1607.16</v>
      </c>
      <c r="N21" s="277">
        <f t="shared" si="3"/>
        <v>343.22033898305085</v>
      </c>
      <c r="O21" s="239">
        <f t="shared" si="4"/>
        <v>9.7519016949152544</v>
      </c>
      <c r="P21" s="119">
        <f t="shared" si="5"/>
        <v>1960.1322406779661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464.89599999999996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464.89599999999996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2026-09-16T04:41:59Z</dcterms:modified>
</cp:coreProperties>
</file>