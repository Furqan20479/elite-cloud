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1DEBAFE5-7F51-4A15-B582-39B1C807905B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64" l="1"/>
  <c r="K12" i="62"/>
  <c r="M21" i="44"/>
  <c r="O21" i="44" s="1"/>
  <c r="P21" i="44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<sst xmlns="http://schemas.openxmlformats.org/spreadsheetml/2006/main" count="3948" uniqueCount="539">
  <si>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</si>
  <si>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</si>
  <si>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</si>
  <si>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</si>
  <si>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</si>
  <si>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</si>
  <si>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</si>
  <si>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</si>
  <si>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</si>
  <si>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</si>
  <si>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</si>
  <si>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</si>
  <si>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</si>
  <si>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</si>
  <si>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</si>
  <si>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</si>
  <si>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</si>
  <si>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</si>
  <si>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</si>
  <si>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</si>
  <si>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</si>
  <si>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</si>
  <si>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</si>
  <si>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</si>
  <si>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</si>
  <si>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</si>
  <si>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</si>
  <si>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</si>
  <si>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</si>
  <si>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</si>
  <si>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</si>
  <si>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</si>
  <si>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</si>
  <si>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</si>
  <si>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</si>
  <si>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</si>
  <si>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</si>
  <si>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</si>
  <si>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</si>
  <si>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</si>
  <si>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</si>
  <si>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</si>
  <si>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</si>
  <si>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</si>
  <si>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</si>
  <si>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</si>
  <si>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</si>
  <si>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</si>
  <si>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</si>
  <si>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</si>
  <si>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</si>
  <si>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</si>
  <si>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</si>
  <si>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</si>
  <si>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</si>
  <si>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</si>
  <si>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</si>
  <si>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</si>
  <si>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</si>
  <si>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</si>
  <si>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</si>
  <si>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</si>
  <si>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</si>
  <si>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</si>
  <si>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</si>
  <si>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</si>
  <si>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</si>
  <si>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</si>
  <si>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</si>
  <si>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</si>
  <si>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</si>
  <si>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</si>
  <si>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</si>
  <si>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</si>
  <si>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</si>
  <si>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</si>
  <si>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</si>
  <si>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</si>
  <si>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</si>
  <si>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</si>
  <si>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</si>
  <si>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</si>
  <si>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</si>
  <si>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</si>
  <si>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</si>
  <si>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</si>
  <si>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</si>
  <si>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</si>
  <si>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</si>
  <si>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</si>
  <si>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</si>
  <si>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</si>
  <si>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</si>
  <si>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</si>
  <si>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</si>
  <si>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</si>
  <si>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</si>
  <si>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</si>
  <si>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</si>
  <si>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</si>
  <si>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</si>
  <si>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</si>
  <si>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</si>
  <si>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</si>
  <si>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</si>
  <si>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</si>
  <si>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</si>
  <si>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</si>
  <si>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</si>
  <si>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</si>
  <si>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</si>
  <si>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</si>
  <si>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</si>
  <si>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</si>
  <si>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</si>
  <si>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</si>
  <si>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</si>
  <si>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</si>
  <si>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</si>
  <si>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</si>
  <si>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</si>
  <si>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</si>
  <si>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</si>
  <si>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</si>
  <si>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</si>
  <si>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</si>
  <si>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</si>
  <si>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</si>
  <si>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</si>
  <si>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</si>
  <si>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</si>
  <si>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</si>
  <si>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</si>
  <si>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</si>
  <si>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</si>
  <si>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</si>
  <si>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</si>
  <si>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</si>
  <si>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</si>
  <si>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</si>
  <si>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</si>
  <si>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</si>
  <si>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</si>
  <si>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</si>
  <si>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</si>
  <si>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</si>
  <si>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</si>
  <si>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</si>
  <si>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</si>
  <si>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</si>
  <si>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</si>
  <si>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</si>
  <si>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</si>
  <si>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</si>
  <si>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</si>
  <si>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</si>
  <si>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</si>
  <si>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</si>
  <si>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</si>
  <si>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</si>
  <si>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</si>
  <si>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</si>
  <si>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</si>
  <si>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</si>
  <si>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</si>
  <si>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</si>
  <si>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</si>
  <si>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</si>
  <si>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</si>
  <si>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</si>
  <si>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</si>
  <si>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</si>
  <si>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</si>
  <si>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</si>
  <si>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</si>
  <si>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</si>
  <si>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</si>
  <si>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</si>
  <si>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</si>
  <si>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</si>
  <si>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</si>
  <si>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</si>
  <si>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</si>
  <si>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</si>
  <si>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</si>
  <si>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</si>
  <si>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</si>
  <si>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</si>
  <si>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</si>
  <si>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</si>
  <si>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</si>
  <si>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</si>
  <si>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</si>
  <si>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</si>
  <si>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</si>
  <si>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</si>
  <si>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</si>
  <si>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</si>
  <si>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</si>
  <si>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</si>
  <si>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</si>
  <si>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</si>
  <si>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</si>
  <si>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</si>
  <si>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</si>
  <si>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</si>
  <si>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</si>
  <si>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</si>
  <si>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</si>
  <si>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</si>
  <si>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</si>
  <si>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</si>
  <si>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</si>
  <si>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</si>
  <si>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</si>
  <si>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</si>
  <si>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</si>
  <si>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</si>
  <si>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</si>
  <si>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</si>
  <si>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</si>
  <si>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</si>
  <si>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</si>
  <si>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</si>
  <si>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</si>
  <si>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</si>
  <si>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</si>
  <si>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</si>
  <si>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</si>
  <si>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</si>
  <si>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</si>
  <si>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</si>
  <si>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</si>
  <si>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</si>
  <si>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</si>
  <si>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</si>
  <si>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</si>
  <si>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</si>
  <si>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</si>
  <si>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</si>
  <si>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</si>
  <si>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</si>
  <si>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</si>
  <si>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</si>
  <si>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</si>
  <si>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</si>
  <si>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</si>
  <si>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</si>
  <si>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</si>
  <si>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</si>
  <si>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</si>
  <si>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</si>
  <si>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</si>
  <si>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</si>
  <si>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</si>
  <si>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</si>
  <si>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</si>
  <si>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</si>
  <si>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</si>
  <si>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</si>
  <si>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</si>
  <si>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</si>
  <si>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</si>
  <si>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</si>
  <si>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</si>
  <si>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</si>
  <si>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</si>
  <si>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</si>
  <si>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</si>
  <si>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</si>
  <si>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</si>
  <si>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</si>
  <si>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</si>
  <si>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</si>
  <si>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</si>
  <si>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</si>
  <si>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</si>
  <si>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</si>
  <si>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</si>
  <si>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</si>
  <si>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</si>
  <si>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</si>
  <si>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</si>
  <si>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</si>
  <si>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</si>
  <si>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</si>
  <si>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</si>
  <si>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</si>
  <si>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</si>
  <si>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</si>
  <si>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</si>
  <si>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</si>
  <si>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</si>
  <si>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</si>
  <si>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</si>
  <si>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</si>
  <si>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</si>
  <si>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</si>
  <si>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</si>
  <si>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</si>
  <si>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</si>
  <si>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</si>
  <si>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</si>
  <si>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</si>
  <si>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</si>
  <si>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</si>
  <si>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</si>
  <si>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</si>
  <si>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</si>
  <si>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</si>
  <si>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</si>
  <si>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</si>
  <si>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</si>
  <si>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</si>
  <si>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</si>
  <si>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</si>
  <si>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</si>
  <si>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</si>
  <si>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</si>
  <si>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</si>
  <si>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</si>
  <si>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</si>
  <si>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</si>
  <si>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</si>
  <si>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</si>
  <si>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</si>
  <si>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</si>
  <si>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</si>
  <si>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</si>
  <si>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</si>
  <si>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</si>
  <si>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</si>
  <si>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</si>
  <si>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</si>
  <si>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</si>
  <si>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</si>
  <si>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</si>
  <si>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</si>
  <si>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</si>
  <si>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</si>
  <si>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</si>
  <si>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</si>
  <si>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</si>
  <si>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</si>
  <si>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</si>
  <si>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</si>
  <si>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</si>
  <si>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</si>
  <si>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</si>
  <si>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</si>
  <si>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</si>
  <si>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</si>
  <si>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</si>
  <si>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</si>
  <si>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</si>
  <si>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</si>
  <si>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</si>
  <si>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</si>
  <si>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</si>
  <si>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</si>
  <si>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</si>
  <si>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</si>
  <si>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</si>
  <si>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</si>
  <si>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</si>
  <si>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</si>
  <si>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</si>
  <si>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</si>
  <si>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</si>
  <si>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</si>
  <si>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</si>
  <si>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</si>
  <si>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</si>
  <si>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</si>
  <si>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</si>
  <si>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</si>
  <si>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</si>
  <si>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</si>
  <si>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</si>
  <si>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</si>
  <si>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</si>
  <si>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</si>
  <si>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</si>
  <si>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</si>
  <si>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</si>
  <si>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</si>
  <si>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</si>
  <si>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</si>
  <si>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</si>
  <si>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</si>
  <si>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</si>
  <si>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</si>
  <si>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</si>
  <si>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</si>
  <si>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</si>
  <si>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</si>
  <si>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</si>
  <si>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</si>
  <si>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</si>
  <si>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</si>
  <si>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</si>
  <si>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</si>
  <si>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</si>
  <si>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</si>
  <si>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</si>
  <si>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</si>
  <si>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</si>
  <si>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</si>
  <si>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</si>
  <si>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</si>
  <si>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</si>
  <si>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</si>
  <si>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</si>
  <si>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</si>
  <si>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</si>
  <si>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</si>
  <si>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</si>
  <si>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</si>
  <si>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</si>
  <si>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</si>
  <si>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</si>
  <si>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</si>
  <si>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</si>
  <si>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</si>
  <si>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</si>
  <si>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</si>
  <si>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</si>
  <si>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</si>
  <si>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</si>
  <si>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</si>
  <si>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</si>
  <si>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</si>
  <si>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</si>
  <si>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</si>
  <si>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</si>
  <si>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</si>
  <si>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</si>
  <si>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</si>
  <si>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</si>
  <si>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</si>
  <si>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</si>
  <si>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</si>
  <si>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</si>
  <si>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</si>
  <si>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</si>
  <si>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</si>
  <si>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</si>
  <si>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</si>
  <si>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</si>
  <si>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</si>
  <si>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</si>
  <si>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</si>
  <si>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</si>
  <si>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</si>
  <si>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</si>
  <si>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</si>
  <si>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</si>
  <si>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</si>
  <si>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</si>
  <si>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</si>
  <si>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</si>
  <si>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</si>
  <si>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</si>
  <si>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</si>
  <si>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</si>
  <si>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</si>
  <si>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</si>
  <si>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</si>
  <si>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</si>
  <si>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</si>
  <si>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</si>
  <si>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</si>
  <si>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</si>
  <si>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</si>
  <si>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</si>
  <si>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</si>
  <si>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</si>
  <si>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</si>
  <si>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</si>
  <si>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</si>
  <si>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</si>
  <si>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</si>
  <si>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</si>
  <si>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</si>
  <si>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</si>
  <si>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</si>
  <si>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</si>
  <si>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</si>
  <si>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</si>
  <si>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</si>
  <si>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</si>
  <si>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</si>
  <si>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</si>
  <si>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</si>
  <si>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</si>
  <si>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</si>
  <si>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</si>
  <si>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</si>
  <si>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</si>
  <si>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</si>
  <si>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</si>
  <si>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</si>
  <si>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</si>
  <si>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</si>
  <si>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</si>
  <si>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</si>
  <si>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</si>
  <si>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</si>
  <si>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</si>
  <si>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</si>
  <si>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</si>
  <si>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</si>
  <si>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</si>
  <si>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Address: Sadar</t>
  </si>
  <si>
    <t>Cantt Store</t>
  </si>
  <si>
    <t>Shaheen Store</t>
  </si>
  <si>
    <t xml:space="preserve">Askari Cash N Carry </t>
  </si>
  <si>
    <t xml:space="preserve">Chalet Bakers </t>
  </si>
  <si>
    <t xml:space="preserve">Sitara Bakers </t>
  </si>
  <si>
    <t xml:space="preserve">Hafiz Ali </t>
  </si>
  <si>
    <t>Wahab Store</t>
  </si>
  <si>
    <t>Dilshad Store</t>
  </si>
  <si>
    <t>Waleed Store</t>
  </si>
  <si>
    <t>Qazi Store</t>
  </si>
  <si>
    <t>Haris Ali Store</t>
  </si>
  <si>
    <t xml:space="preserve">Bashir </t>
  </si>
  <si>
    <t>Riaz Store</t>
  </si>
  <si>
    <t xml:space="preserve">Al Makkah </t>
  </si>
  <si>
    <t>Iqbal Store</t>
  </si>
  <si>
    <t>Raheem Store</t>
  </si>
  <si>
    <t>Yaseen Store</t>
  </si>
  <si>
    <t>Lalli Store</t>
  </si>
  <si>
    <t>Tariq Store</t>
  </si>
  <si>
    <t>Javaid Store</t>
  </si>
  <si>
    <t>Aashiyana Store</t>
  </si>
  <si>
    <t>Al Fateh Super Store</t>
  </si>
  <si>
    <t xml:space="preserve">Salman </t>
  </si>
  <si>
    <t xml:space="preserve">Shop </t>
  </si>
  <si>
    <t>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</si>
</sst>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21" workbookViewId="0">
      <selection activeCell="C27" sqref="C27:I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5.6328125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536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46281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Cantt Store</v>
      </c>
      <c r="T3" s="301">
        <f>+'1'!P35</f>
        <v>13342.864251584748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Shaheen Store</v>
      </c>
      <c r="T4" s="301">
        <f>+'2'!P35</f>
        <v>4805.3894985762709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Askari Cash N Carry </v>
      </c>
      <c r="T5" s="301">
        <f>+'3'!P35</f>
        <v>9408.6347552542375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 xml:space="preserve">Chalet Bakers </v>
      </c>
      <c r="T6" s="301">
        <f>+'4'!P35</f>
        <v>3136.2115850847458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52</v>
      </c>
      <c r="I7" s="235">
        <f>(G7*D7)*F7+H7*F7</f>
        <v>2728.0499999999997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218.244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95.481750000000005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2414.3242499999997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515.59322033898286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14.649587351694915</v>
      </c>
      <c r="P7" s="310">
        <f>M7+N7+O7</f>
        <v>2944.5670576906778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 xml:space="preserve">Sitara Bakers 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8</v>
      </c>
      <c r="I8" s="236">
        <f t="shared" ref="I8:I14" si="0">(G8*D8)*F8+H8*F8</f>
        <v>419.7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33.576000000000001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14.689500000000001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371.43449999999996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79.322033898305051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2.2537826694915251</v>
      </c>
      <c r="P8" s="311">
        <f t="shared" ref="P8:P15" si="2">M8+N8+O8</f>
        <v>453.01031656779651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10</v>
      </c>
      <c r="R8" s="313">
        <v>6</v>
      </c>
      <c r="S8" s="300" t="str">
        <f>+'6'!A6:A6</f>
        <v xml:space="preserve">Hafiz Ali </v>
      </c>
      <c r="T8" s="301">
        <f>+'6'!P35</f>
        <v>392.02644813559323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20</v>
      </c>
      <c r="I9" s="236">
        <f t="shared" si="0"/>
        <v>1049.25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83.94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36.723750000000003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928.58625000000006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198.30508474576263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5.6344566737288133</v>
      </c>
      <c r="P9" s="311">
        <f t="shared" si="2"/>
        <v>1132.5257914194915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Wahab Store</v>
      </c>
      <c r="T9" s="301">
        <f>+'7'!P35</f>
        <v>392.02644813559323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137</v>
      </c>
      <c r="I10" s="236">
        <f t="shared" si="0"/>
        <v>9951.68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796.13440000000014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348.30879999999996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8807.2368000000006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1880.847457627119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53.440421288135603</v>
      </c>
      <c r="P10" s="311">
        <f t="shared" si="2"/>
        <v>10741.524678915255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20</v>
      </c>
      <c r="R10" s="313">
        <v>8</v>
      </c>
      <c r="S10" s="300" t="str">
        <f>+'8'!A6:A6</f>
        <v>Dilshad Store</v>
      </c>
      <c r="T10" s="301">
        <f>+'8'!P35</f>
        <v>392.02644813559323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123</v>
      </c>
      <c r="I11" s="236">
        <f t="shared" si="0"/>
        <v>8934.7199999999993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714.77760000000012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312.71519999999998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7907.2271999999994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1688.6440677966102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47.979356338983052</v>
      </c>
      <c r="P11" s="311">
        <f t="shared" si="2"/>
        <v>9643.8506241355935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20</v>
      </c>
      <c r="R11" s="313">
        <v>9</v>
      </c>
      <c r="S11" s="300" t="str">
        <f>+'9'!A6:A6</f>
        <v>Waleed Store</v>
      </c>
      <c r="T11" s="301">
        <f>+'9'!P35</f>
        <v>392.02644813559323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150</v>
      </c>
      <c r="I12" s="236">
        <f t="shared" si="0"/>
        <v>10896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871.68000000000029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381.35999999999996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9642.9599999999991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2059.3220338983056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58.511410169491533</v>
      </c>
      <c r="P12" s="311">
        <f t="shared" si="2"/>
        <v>11760.793444067795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50</v>
      </c>
      <c r="R12" s="313">
        <v>10</v>
      </c>
      <c r="S12" s="300" t="str">
        <f>+'10'!A6:A6</f>
        <v>Qazi Store</v>
      </c>
      <c r="T12" s="301">
        <f>+'10'!P35</f>
        <v>392.02644813559323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80</v>
      </c>
      <c r="I13" s="236">
        <f t="shared" si="0"/>
        <v>3138.4000000000005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156.92000000000004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109.84400000000002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160.05840000000001</v>
      </c>
      <c r="M13" s="230">
        <f t="shared" si="1"/>
        <v>2711.5776000000005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610.16949152542338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16.60873545762712</v>
      </c>
      <c r="P13" s="311">
        <f t="shared" si="2"/>
        <v>3338.355826983051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Haris Ali Store</v>
      </c>
      <c r="T13" s="301">
        <f>+'11'!P35</f>
        <v>392.02644813559323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 xml:space="preserve">Bashir </v>
      </c>
      <c r="T14" s="301">
        <f>+'12'!P35</f>
        <v>392.02644813559323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Riaz Store</v>
      </c>
      <c r="T15" s="301">
        <f>+'13'!P35</f>
        <v>392.02644813559323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274">
        <f>H16/40</f>
        <v>14.25</v>
      </c>
      <c r="H16" s="113">
        <f t="shared" ref="H16:M16" si="3">SUM(H7:H15)</f>
        <v>570</v>
      </c>
      <c r="I16" s="114">
        <f t="shared" si="3"/>
        <v>37117.800000000003</v>
      </c>
      <c r="J16" s="274">
        <f>SUM(J7:J15)</f>
        <v>2875.2720000000008</v>
      </c>
      <c r="K16" s="275">
        <f t="shared" si="3"/>
        <v>1299.123</v>
      </c>
      <c r="L16" s="276">
        <f t="shared" si="3"/>
        <v>160.05840000000001</v>
      </c>
      <c r="M16" s="232">
        <f t="shared" si="3"/>
        <v>32783.346600000004</v>
      </c>
      <c r="N16" s="233">
        <f>SUM(N7:N15)</f>
        <v>7032.203389830509</v>
      </c>
      <c r="O16" s="101">
        <f>SUM(O7:O15)</f>
        <v>199.07774994915258</v>
      </c>
      <c r="P16" s="113">
        <f>SUM(P7:P15)</f>
        <v>40014.627739779666</v>
      </c>
      <c r="Q16" s="128">
        <f>SUM(Q7:Q15)</f>
        <v>100</v>
      </c>
      <c r="R16" s="313">
        <v>14</v>
      </c>
      <c r="S16" s="315" t="str">
        <f>+'14'!A6:A6</f>
        <v xml:space="preserve">Al Makkah </v>
      </c>
      <c r="T16" s="301">
        <f>+'14'!P35</f>
        <v>392.02644813559323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Iqbal Store</v>
      </c>
      <c r="T17" s="301">
        <f>+'15'!P35</f>
        <v>392.02644813559323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Raheem Store</v>
      </c>
      <c r="T18" s="301">
        <f>+'16'!P35</f>
        <v>392.02644813559323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37117.800000000003</v>
      </c>
      <c r="R19" s="299">
        <v>17</v>
      </c>
      <c r="S19" s="300" t="str">
        <f>+'17'!A6:A6</f>
        <v>Yaseen Store</v>
      </c>
      <c r="T19" s="301">
        <f>+'17'!P35</f>
        <v>392.02644813559323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2875.2720000000008</v>
      </c>
      <c r="R20" s="299">
        <v>18</v>
      </c>
      <c r="S20" s="300" t="str">
        <f>+'18'!A6:A6</f>
        <v>Lalli Store</v>
      </c>
      <c r="T20" s="301">
        <f>+'18'!P35</f>
        <v>392.02644813559323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1459.1813999999999</v>
      </c>
      <c r="R21" s="299">
        <v>19</v>
      </c>
      <c r="S21" s="300" t="str">
        <f>+'19'!A6:A6</f>
        <v>Tariq Store</v>
      </c>
      <c r="T21" s="301">
        <f>+'19'!P35</f>
        <v>392.02644813559323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32783.346600000004</v>
      </c>
      <c r="R22" s="299">
        <v>20</v>
      </c>
      <c r="S22" s="300" t="str">
        <f>+'20'!A6:A6</f>
        <v>Javaid Store</v>
      </c>
      <c r="T22" s="301">
        <f>+'20'!P35</f>
        <v>784.05289627118646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7032.203389830509</v>
      </c>
      <c r="R23" s="299">
        <v>21</v>
      </c>
      <c r="S23" s="300" t="str">
        <f>+'21'!A6:A6</f>
        <v>Aashiyana Store</v>
      </c>
      <c r="T23" s="301">
        <f>+'21'!P35</f>
        <v>784.05289627118646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39815.549989830513</v>
      </c>
      <c r="R24" s="299">
        <v>22</v>
      </c>
      <c r="S24" s="300" t="str">
        <f>+'22'!A6:A6</f>
        <v>Al Fateh Super Store</v>
      </c>
      <c r="T24" s="301">
        <f>+'22'!P35</f>
        <v>2265.051582838983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199.07774994915258</v>
      </c>
      <c r="R25" s="299">
        <v>23</v>
      </c>
      <c r="S25" s="300" t="str">
        <f>+'23'!A6:A6</f>
        <v xml:space="preserve">Shop 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40014.627739779666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40014.627739779637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0" workbookViewId="0">
      <selection activeCell="E5" sqref="E5: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8.726562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7.2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167.88</v>
      </c>
      <c r="K16" s="127">
        <f>$I16*T16</f>
        <v>73.447500000000005</v>
      </c>
      <c r="L16" s="118">
        <f>$I16*U16</f>
        <v>0</v>
      </c>
      <c r="M16" s="229">
        <f>I16-SUM(J16:L16)</f>
        <v>1857.1725000000001</v>
      </c>
      <c r="N16" s="248">
        <f>+(G16*D16+H16)*V16</f>
        <v>396.61016949152526</v>
      </c>
      <c r="O16" s="238">
        <f>(N16+M16)*$O$15</f>
        <v>11.268913347457627</v>
      </c>
      <c r="P16" s="118">
        <f>M16+N16+O16</f>
        <v>2265.051582838983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200</v>
      </c>
      <c r="I25" s="114">
        <f t="shared" ref="I25:M25" si="10">SUM(I16:I24)</f>
        <v>12384.500000000002</v>
      </c>
      <c r="J25" s="274">
        <f>SUM(J16:J24)</f>
        <v>943.68399999999997</v>
      </c>
      <c r="K25" s="275">
        <f t="shared" si="10"/>
        <v>433.4575000000001</v>
      </c>
      <c r="L25" s="276">
        <f t="shared" si="10"/>
        <v>80.029200000000003</v>
      </c>
      <c r="M25" s="232">
        <f t="shared" si="10"/>
        <v>10927.329300000001</v>
      </c>
      <c r="N25" s="233">
        <f>SUM(N16:N24)</f>
        <v>2349.1525423728808</v>
      </c>
      <c r="O25" s="101">
        <f>SUM(O16:O24)</f>
        <v>66.382409211864413</v>
      </c>
      <c r="P25" s="234">
        <f>SUM(P16:P24)</f>
        <v>13342.864251584746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12384.500000000002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943.68399999999997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513.48670000000016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10927.329300000003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2349.1525423728808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13276.481842372883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66.382409211864413</v>
      </c>
    </row>
    <row r="35" spans="2:16" ht="15.75" customHeight="1" thickBot="1" x14ac:dyDescent="0.4">
      <c r="N35" s="345" t="s">
        <v>88</v>
      </c>
      <c r="O35" s="346"/>
      <c r="P35" s="297">
        <f>+P33+P34</f>
        <v>13342.864251584748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6" workbookViewId="0">
      <selection activeCell="E5" sqref="E5: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4474.8</v>
      </c>
      <c r="J25" s="274">
        <f>SUM(J16:J24)</f>
        <v>310.90800000000002</v>
      </c>
      <c r="K25" s="275">
        <f t="shared" si="7"/>
        <v>156.61799999999999</v>
      </c>
      <c r="L25" s="276">
        <f t="shared" si="7"/>
        <v>80.029200000000003</v>
      </c>
      <c r="M25" s="232">
        <f t="shared" si="7"/>
        <v>3927.2447999999999</v>
      </c>
      <c r="N25" s="233">
        <f>SUM(N16:N24)</f>
        <v>854.23728813559308</v>
      </c>
      <c r="O25" s="101">
        <f>SUM(O16:O24)</f>
        <v>23.907410440677968</v>
      </c>
      <c r="P25" s="234">
        <f>SUM(P16:P24)</f>
        <v>4805.3894985762709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4474.8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310.90800000000002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236.6472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3927.2447999999999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854.23728813559308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4781.4820881355927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23.907410440677964</v>
      </c>
    </row>
    <row r="35" spans="2:16" ht="15.75" customHeight="1" thickBot="1" x14ac:dyDescent="0.4">
      <c r="N35" s="345" t="s">
        <v>88</v>
      </c>
      <c r="O35" s="346"/>
      <c r="P35" s="297">
        <f>+P33+P34</f>
        <v>4805.3894985762709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activeCell="E5" sqref="E5: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8.7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697.34400000000005</v>
      </c>
      <c r="K25" s="275">
        <f t="shared" si="7"/>
        <v>305.08800000000002</v>
      </c>
      <c r="L25" s="276">
        <f t="shared" si="7"/>
        <v>0</v>
      </c>
      <c r="M25" s="232">
        <f t="shared" si="7"/>
        <v>7714.3680000000004</v>
      </c>
      <c r="N25" s="233">
        <f>SUM(N16:N24)</f>
        <v>1647.4576271186443</v>
      </c>
      <c r="O25" s="101">
        <f>SUM(O16:O24)</f>
        <v>46.809128135593227</v>
      </c>
      <c r="P25" s="234">
        <f>SUM(P16:P24)</f>
        <v>9408.6347552542375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8716.7999999999993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697.34400000000005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305.08800000000002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7714.3679999999995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9361.8256271186438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46.80912813559322</v>
      </c>
    </row>
    <row r="35" spans="2:16" ht="15.75" customHeight="1" thickBot="1" x14ac:dyDescent="0.4">
      <c r="N35" s="345" t="s">
        <v>88</v>
      </c>
      <c r="O35" s="346"/>
      <c r="P35" s="297">
        <f>+P33+P34</f>
        <v>9408.6347552542375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activeCell="E5" sqref="E5: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119">
        <f t="shared" si="5"/>
        <v>940.86347552542372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13</v>
      </c>
      <c r="I20" s="236">
        <f t="shared" si="0"/>
        <v>944.32</v>
      </c>
      <c r="J20" s="272">
        <f t="shared" si="1"/>
        <v>75.545600000000007</v>
      </c>
      <c r="K20" s="128">
        <f t="shared" si="1"/>
        <v>33.051200000000001</v>
      </c>
      <c r="L20" s="119">
        <f t="shared" si="1"/>
        <v>0</v>
      </c>
      <c r="M20" s="230">
        <f t="shared" si="2"/>
        <v>835.72320000000002</v>
      </c>
      <c r="N20" s="277">
        <f t="shared" si="3"/>
        <v>178.47457627118644</v>
      </c>
      <c r="O20" s="239">
        <f t="shared" si="4"/>
        <v>5.070988881355933</v>
      </c>
      <c r="P20" s="119">
        <f t="shared" si="5"/>
        <v>1019.2687651525424</v>
      </c>
      <c r="Q20" s="319"/>
      <c r="R20">
        <f>P20/21</f>
        <v>48.536607864406783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232.44800000000004</v>
      </c>
      <c r="K25" s="275">
        <f t="shared" si="7"/>
        <v>101.696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232.44800000000004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8" workbookViewId="0">
      <selection activeCell="H21" sqref="H19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20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10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40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70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8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4" workbookViewId="0">
      <selection activeCell="L15" sqref="L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7"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E5" sqref="E5: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119">
        <f t="shared" si="5"/>
        <v>392.02644813559323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E5" sqref="E5: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119">
        <f t="shared" si="5"/>
        <v>392.02644813559323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5" workbookViewId="0">
      <selection activeCell="E5" sqref="E5: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3" workbookViewId="0">
      <selection activeCell="E5" sqref="E5: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5</v>
      </c>
      <c r="I20" s="236">
        <f t="shared" si="0"/>
        <v>363.2</v>
      </c>
      <c r="J20" s="272">
        <f t="shared" si="1"/>
        <v>29.056000000000001</v>
      </c>
      <c r="K20" s="128">
        <f t="shared" si="1"/>
        <v>12.712000000000002</v>
      </c>
      <c r="L20" s="119">
        <f t="shared" si="1"/>
        <v>0</v>
      </c>
      <c r="M20" s="230">
        <f t="shared" si="2"/>
        <v>321.43200000000002</v>
      </c>
      <c r="N20" s="277">
        <f t="shared" si="3"/>
        <v>68.644067796610173</v>
      </c>
      <c r="O20" s="239">
        <f t="shared" si="4"/>
        <v>1.950380338983051</v>
      </c>
      <c r="P20" s="119">
        <f t="shared" si="5"/>
        <v>392.02644813559323</v>
      </c>
      <c r="Q20" s="319"/>
      <c r="R20">
        <f>P20/21</f>
        <v>18.667926101694917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4" workbookViewId="0">
      <selection activeCell="E5" sqref="E5: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526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5</v>
      </c>
      <c r="I20" s="236">
        <f t="shared" si="0"/>
        <v>363.2</v>
      </c>
      <c r="J20" s="272">
        <f t="shared" si="1"/>
        <v>29.056000000000001</v>
      </c>
      <c r="K20" s="128">
        <f t="shared" si="1"/>
        <v>12.712000000000002</v>
      </c>
      <c r="L20" s="119">
        <f t="shared" si="1"/>
        <v>0</v>
      </c>
      <c r="M20" s="230">
        <f t="shared" si="2"/>
        <v>321.43200000000002</v>
      </c>
      <c r="N20" s="277">
        <f t="shared" si="3"/>
        <v>68.644067796610173</v>
      </c>
      <c r="O20" s="239">
        <f t="shared" si="4"/>
        <v>1.950380338983051</v>
      </c>
      <c r="P20" s="119">
        <f t="shared" si="5"/>
        <v>392.02644813559323</v>
      </c>
      <c r="Q20" s="319"/>
      <c r="R20">
        <f>P20/21</f>
        <v>18.667926101694917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3" workbookViewId="0">
      <selection activeCell="E5" sqref="E5: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527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119">
        <f t="shared" si="5"/>
        <v>392.02644813559323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3" workbookViewId="0">
      <selection activeCell="E5" sqref="E5: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528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119">
        <f t="shared" si="5"/>
        <v>392.02644813559323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E5" sqref="E5: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529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E5" sqref="E5: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530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E5" sqref="E5: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531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E5" sqref="E5: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532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4" workbookViewId="0">
      <selection activeCell="E5" sqref="E5: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8.75" customHeight="1" x14ac:dyDescent="0.4">
      <c r="A6" s="399" t="s">
        <v>533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11" workbookViewId="0">
      <selection activeCell="O18" sqref="O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534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>
        <v>10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10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10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30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E5" sqref="E5: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535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118">
        <f>M16+N16+O16</f>
        <v>679.51547485169488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</v>
      </c>
      <c r="I17" s="236">
        <f t="shared" ref="I17:I23" si="0">(G17*D17)*F17+H17*F17</f>
        <v>419.7</v>
      </c>
      <c r="J17" s="272">
        <f t="shared" ref="J17:L24" si="1">$I17*S17</f>
        <v>33.576000000000001</v>
      </c>
      <c r="K17" s="128">
        <f>$I17*T17</f>
        <v>14.689500000000001</v>
      </c>
      <c r="L17" s="119">
        <f>$I17*U17</f>
        <v>0</v>
      </c>
      <c r="M17" s="230">
        <f t="shared" ref="M17:M24" si="2">I17-SUM(J17:L17)</f>
        <v>371.43449999999996</v>
      </c>
      <c r="N17" s="277">
        <f t="shared" ref="N17:N24" si="3">+(G17*D17+H17)*V17</f>
        <v>79.322033898305051</v>
      </c>
      <c r="O17" s="239">
        <f t="shared" ref="O17:O24" si="4">(N17+M17)*$O$15</f>
        <v>2.2537826694915251</v>
      </c>
      <c r="P17" s="119">
        <f t="shared" ref="P17:P24" si="5">M17+N17+O17</f>
        <v>453.01031656779651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</v>
      </c>
      <c r="I18" s="236">
        <f t="shared" si="0"/>
        <v>1049.25</v>
      </c>
      <c r="J18" s="272">
        <f t="shared" si="1"/>
        <v>83.94</v>
      </c>
      <c r="K18" s="128">
        <f t="shared" si="1"/>
        <v>36.723750000000003</v>
      </c>
      <c r="L18" s="119">
        <f t="shared" si="1"/>
        <v>0</v>
      </c>
      <c r="M18" s="230">
        <f t="shared" si="2"/>
        <v>928.58625000000006</v>
      </c>
      <c r="N18" s="277">
        <f t="shared" si="3"/>
        <v>198.30508474576263</v>
      </c>
      <c r="O18" s="239">
        <f t="shared" si="4"/>
        <v>5.6344566737288133</v>
      </c>
      <c r="P18" s="119">
        <f t="shared" si="5"/>
        <v>1132.5257914194915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73.447500000000005</v>
      </c>
      <c r="L25" s="276">
        <f t="shared" si="7"/>
        <v>0</v>
      </c>
      <c r="M25" s="232">
        <f t="shared" si="7"/>
        <v>1857.1725000000001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2265.0515828389825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2098.5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167.88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73.447500000000005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1857.1724999999999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2253.7826694915252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45" t="s">
        <v>88</v>
      </c>
      <c r="O35" s="346"/>
      <c r="P35" s="297">
        <f>+P33+P34</f>
        <v>2265.051582838983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537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538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08984375" customWidth="1"/>
    <col min="16" max="16" width="12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46283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46282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2026-09-17T04:38:35Z</dcterms:modified>
</cp:coreProperties>
</file>