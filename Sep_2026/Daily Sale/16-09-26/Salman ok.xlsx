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78B535-3D82-478D-B2B4-44BD92858D9E}" xr6:coauthVersionLast="47" xr6:coauthVersionMax="47" xr10:uidLastSave="{00000000-0000-0000-0000-000000000000}"/>
  <bookViews>
    <workbookView xWindow="-110" yWindow="-110" windowWidth="19420" windowHeight="10420" tabRatio="948" firstSheet="3" activeTab="2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4" l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<sst xmlns="http://schemas.openxmlformats.org/spreadsheetml/2006/main" count="3948" uniqueCount="539">
  <si>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</si>
  <si>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</si>
  <si>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</si>
  <si>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</si>
  <si>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</si>
  <si>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</si>
  <si>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</si>
  <si>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</si>
  <si>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</si>
  <si>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</si>
  <si>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</si>
  <si>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</si>
  <si>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</si>
  <si>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</si>
  <si>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</si>
  <si>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</si>
  <si>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</si>
  <si>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</si>
  <si>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</si>
  <si>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</si>
  <si>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</si>
  <si>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</si>
  <si>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</si>
  <si>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</si>
  <si>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</si>
  <si>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</si>
  <si>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</si>
  <si>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</si>
  <si>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</si>
  <si>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</si>
  <si>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</si>
  <si>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</si>
  <si>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</si>
  <si>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</si>
  <si>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</si>
  <si>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</si>
  <si>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</si>
  <si>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</si>
  <si>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</si>
  <si>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</si>
  <si>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</si>
  <si>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</si>
  <si>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</si>
  <si>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</si>
  <si>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</si>
  <si>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</si>
  <si>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</si>
  <si>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</si>
  <si>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</si>
  <si>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</si>
  <si>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</si>
  <si>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</si>
  <si>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</si>
  <si>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</si>
  <si>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</si>
  <si>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</si>
  <si>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</si>
  <si>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</si>
  <si>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</si>
  <si>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</si>
  <si>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</si>
  <si>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</si>
  <si>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</si>
  <si>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</si>
  <si>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</si>
  <si>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</si>
  <si>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</si>
  <si>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</si>
  <si>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</si>
  <si>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</si>
  <si>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</si>
  <si>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</si>
  <si>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</si>
  <si>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</si>
  <si>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</si>
  <si>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</si>
  <si>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</si>
  <si>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</si>
  <si>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</si>
  <si>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</si>
  <si>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</si>
  <si>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</si>
  <si>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</si>
  <si>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</si>
  <si>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</si>
  <si>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</si>
  <si>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</si>
  <si>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</si>
  <si>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</si>
  <si>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</si>
  <si>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</si>
  <si>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</si>
  <si>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</si>
  <si>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</si>
  <si>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</si>
  <si>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</si>
  <si>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</si>
  <si>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</si>
  <si>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</si>
  <si>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</si>
  <si>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</si>
  <si>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</si>
  <si>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</si>
  <si>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</si>
  <si>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</si>
  <si>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</si>
  <si>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</si>
  <si>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</si>
  <si>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</si>
  <si>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</si>
  <si>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</si>
  <si>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</si>
  <si>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</si>
  <si>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</si>
  <si>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</si>
  <si>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</si>
  <si>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</si>
  <si>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</si>
  <si>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</si>
  <si>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</si>
  <si>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</si>
  <si>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</si>
  <si>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</si>
  <si>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</si>
  <si>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</si>
  <si>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</si>
  <si>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</si>
  <si>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</si>
  <si>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</si>
  <si>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</si>
  <si>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</si>
  <si>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</si>
  <si>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</si>
  <si>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</si>
  <si>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</si>
  <si>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</si>
  <si>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</si>
  <si>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</si>
  <si>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</si>
  <si>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</si>
  <si>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</si>
  <si>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</si>
  <si>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</si>
  <si>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</si>
  <si>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</si>
  <si>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</si>
  <si>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</si>
  <si>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</si>
  <si>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</si>
  <si>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</si>
  <si>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</si>
  <si>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</si>
  <si>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</si>
  <si>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</si>
  <si>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</si>
  <si>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</si>
  <si>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</si>
  <si>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</si>
  <si>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</si>
  <si>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</si>
  <si>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</si>
  <si>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</si>
  <si>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</si>
  <si>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</si>
  <si>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</si>
  <si>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</si>
  <si>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</si>
  <si>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</si>
  <si>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</si>
  <si>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</si>
  <si>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</si>
  <si>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</si>
  <si>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</si>
  <si>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</si>
  <si>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</si>
  <si>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</si>
  <si>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</si>
  <si>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</si>
  <si>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</si>
  <si>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</si>
  <si>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</si>
  <si>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</si>
  <si>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</si>
  <si>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</si>
  <si>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</si>
  <si>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</si>
  <si>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</si>
  <si>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</si>
  <si>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</si>
  <si>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</si>
  <si>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</si>
  <si>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</si>
  <si>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</si>
  <si>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</si>
  <si>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</si>
  <si>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</si>
  <si>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</si>
  <si>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</si>
  <si>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</si>
  <si>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</si>
  <si>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</si>
  <si>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</si>
  <si>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</si>
  <si>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</si>
  <si>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</si>
  <si>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</si>
  <si>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</si>
  <si>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</si>
  <si>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</si>
  <si>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</si>
  <si>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</si>
  <si>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</si>
  <si>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</si>
  <si>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</si>
  <si>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</si>
  <si>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</si>
  <si>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</si>
  <si>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</si>
  <si>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</si>
  <si>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</si>
  <si>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</si>
  <si>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</si>
  <si>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</si>
  <si>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</si>
  <si>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</si>
  <si>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</si>
  <si>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</si>
  <si>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</si>
  <si>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</si>
  <si>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</si>
  <si>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</si>
  <si>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</si>
  <si>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</si>
  <si>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</si>
  <si>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</si>
  <si>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</si>
  <si>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</si>
  <si>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</si>
  <si>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</si>
  <si>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</si>
  <si>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</si>
  <si>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</si>
  <si>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</si>
  <si>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</si>
  <si>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</si>
  <si>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</si>
  <si>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</si>
  <si>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</si>
  <si>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</si>
  <si>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</si>
  <si>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</si>
  <si>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</si>
  <si>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</si>
  <si>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</si>
  <si>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</si>
  <si>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</si>
  <si>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</si>
  <si>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</si>
  <si>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</si>
  <si>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</si>
  <si>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</si>
  <si>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</si>
  <si>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</si>
  <si>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</si>
  <si>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</si>
  <si>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</si>
  <si>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</si>
  <si>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</si>
  <si>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</si>
  <si>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</si>
  <si>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</si>
  <si>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</si>
  <si>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</si>
  <si>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</si>
  <si>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</si>
  <si>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</si>
  <si>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</si>
  <si>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</si>
  <si>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</si>
  <si>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</si>
  <si>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</si>
  <si>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</si>
  <si>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</si>
  <si>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</si>
  <si>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</si>
  <si>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</si>
  <si>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</si>
  <si>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</si>
  <si>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</si>
  <si>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</si>
  <si>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</si>
  <si>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</si>
  <si>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</si>
  <si>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</si>
  <si>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</si>
  <si>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</si>
  <si>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</si>
  <si>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</si>
  <si>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</si>
  <si>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</si>
  <si>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</si>
  <si>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</si>
  <si>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</si>
  <si>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</si>
  <si>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</si>
  <si>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</si>
  <si>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</si>
  <si>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</si>
  <si>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</si>
  <si>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</si>
  <si>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</si>
  <si>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</si>
  <si>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</si>
  <si>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</si>
  <si>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</si>
  <si>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</si>
  <si>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</si>
  <si>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</si>
  <si>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</si>
  <si>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</si>
  <si>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</si>
  <si>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</si>
  <si>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</si>
  <si>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</si>
  <si>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</si>
  <si>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</si>
  <si>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</si>
  <si>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</si>
  <si>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</si>
  <si>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</si>
  <si>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</si>
  <si>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</si>
  <si>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</si>
  <si>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</si>
  <si>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</si>
  <si>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</si>
  <si>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</si>
  <si>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</si>
  <si>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</si>
  <si>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</si>
  <si>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</si>
  <si>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</si>
  <si>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</si>
  <si>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</si>
  <si>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</si>
  <si>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</si>
  <si>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</si>
  <si>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</si>
  <si>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</si>
  <si>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</si>
  <si>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</si>
  <si>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</si>
  <si>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</si>
  <si>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</si>
  <si>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</si>
  <si>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</si>
  <si>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</si>
  <si>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</si>
  <si>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</si>
  <si>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</si>
  <si>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</si>
  <si>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</si>
  <si>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</si>
  <si>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</si>
  <si>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</si>
  <si>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</si>
  <si>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</si>
  <si>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</si>
  <si>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</si>
  <si>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</si>
  <si>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</si>
  <si>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</si>
  <si>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</si>
  <si>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</si>
  <si>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</si>
  <si>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</si>
  <si>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</si>
  <si>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</si>
  <si>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</si>
  <si>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</si>
  <si>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</si>
  <si>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</si>
  <si>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</si>
  <si>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</si>
  <si>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</si>
  <si>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</si>
  <si>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</si>
  <si>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</si>
  <si>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</si>
  <si>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</si>
  <si>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</si>
  <si>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</si>
  <si>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</si>
  <si>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</si>
  <si>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</si>
  <si>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</si>
  <si>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</si>
  <si>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</si>
  <si>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</si>
  <si>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</si>
  <si>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</si>
  <si>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</si>
  <si>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</si>
  <si>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</si>
  <si>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</si>
  <si>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</si>
  <si>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</si>
  <si>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</si>
  <si>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</si>
  <si>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</si>
  <si>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</si>
  <si>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</si>
  <si>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</si>
  <si>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</si>
  <si>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</si>
  <si>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</si>
  <si>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</si>
  <si>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</si>
  <si>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</si>
  <si>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</si>
  <si>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</si>
  <si>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</si>
  <si>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</si>
  <si>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</si>
  <si>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</si>
  <si>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</si>
  <si>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</si>
  <si>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</si>
  <si>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</si>
  <si>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</si>
  <si>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</si>
  <si>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</si>
  <si>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</si>
  <si>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</si>
  <si>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</si>
  <si>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</si>
  <si>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</si>
  <si>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</si>
  <si>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</si>
  <si>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</si>
  <si>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</si>
  <si>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</si>
  <si>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</si>
  <si>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</si>
  <si>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</si>
  <si>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</si>
  <si>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</si>
  <si>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</si>
  <si>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</si>
  <si>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</si>
  <si>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</si>
  <si>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</si>
  <si>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</si>
  <si>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</si>
  <si>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</si>
  <si>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</si>
  <si>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</si>
  <si>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</si>
  <si>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</si>
  <si>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</si>
  <si>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</si>
  <si>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</si>
  <si>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</si>
  <si>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</si>
  <si>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</si>
  <si>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</si>
  <si>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</si>
  <si>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</si>
  <si>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</si>
  <si>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</si>
  <si>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</si>
  <si>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</si>
  <si>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</si>
  <si>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</si>
  <si>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</si>
  <si>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</si>
  <si>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</si>
  <si>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</si>
  <si>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</si>
  <si>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</si>
  <si>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</si>
  <si>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</si>
  <si>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</si>
  <si>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</si>
  <si>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</si>
  <si>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</si>
  <si>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</si>
  <si>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</si>
  <si>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</si>
  <si>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</si>
  <si>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</si>
  <si>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</si>
  <si>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</si>
  <si>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</si>
  <si>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</si>
  <si>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</si>
  <si>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</si>
  <si>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</si>
  <si>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</si>
  <si>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</si>
  <si>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</si>
  <si>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</si>
  <si>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</si>
  <si>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</si>
  <si>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</si>
  <si>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</si>
  <si>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</si>
  <si>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</si>
  <si>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</si>
  <si>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</si>
  <si>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</si>
  <si>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</si>
  <si>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</si>
  <si>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Sadar</t>
  </si>
  <si>
    <t>Cantt Store</t>
  </si>
  <si>
    <t>Shaheen Store</t>
  </si>
  <si>
    <t xml:space="preserve">Askari Cash N Carry </t>
  </si>
  <si>
    <t xml:space="preserve">Chalet Bakers </t>
  </si>
  <si>
    <t xml:space="preserve">Sitara Bakers </t>
  </si>
  <si>
    <t xml:space="preserve">Hafiz Ali </t>
  </si>
  <si>
    <t>Wahab Store</t>
  </si>
  <si>
    <t>Dilshad Store</t>
  </si>
  <si>
    <t>Waleed Store</t>
  </si>
  <si>
    <t>Qazi Store</t>
  </si>
  <si>
    <t>Haris Ali Store</t>
  </si>
  <si>
    <t xml:space="preserve">Bashir </t>
  </si>
  <si>
    <t>Riaz Store</t>
  </si>
  <si>
    <t xml:space="preserve">Al Makkah </t>
  </si>
  <si>
    <t>Iqbal Store</t>
  </si>
  <si>
    <t>Raheem Store</t>
  </si>
  <si>
    <t>Yaseen Store</t>
  </si>
  <si>
    <t>Lalli Store</t>
  </si>
  <si>
    <t>Tariq Store</t>
  </si>
  <si>
    <t>Javaid Store</t>
  </si>
  <si>
    <t>Aashiyana Store</t>
  </si>
  <si>
    <t>Al Fateh Super Store</t>
  </si>
  <si>
    <t xml:space="preserve">Salman </t>
  </si>
  <si>
    <t xml:space="preserve">Shop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</si>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</sst>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" sqref="S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5.6328125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536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Cantt Store</v>
      </c>
      <c r="T3" s="301">
        <f>+'1'!P35</f>
        <v>13342.864251584748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Shaheen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Askari Cash N Carry </v>
      </c>
      <c r="T5" s="301">
        <f>+'3'!P35</f>
        <v>9408.6347552542375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Chalet Bakers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52</v>
      </c>
      <c r="I7" s="235">
        <f>(G7*D7)*F7+H7*F7</f>
        <v>2728.0499999999997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218.244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95.481750000000005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2414.3242499999997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515.59322033898286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14.649587351694915</v>
      </c>
      <c r="P7" s="310">
        <f>M7+N7+O7</f>
        <v>2944.5670576906778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Sitara Bakers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</v>
      </c>
      <c r="I8" s="236">
        <f t="shared" ref="I8:I14" si="0">(G8*D8)*F8+H8*F8</f>
        <v>419.7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33.576000000000001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14.689500000000001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371.43449999999996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79.322033898305051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2.2537826694915251</v>
      </c>
      <c r="P8" s="311">
        <f t="shared" ref="P8:P15" si="2">M8+N8+O8</f>
        <v>453.01031656779651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Hafiz Ali 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Wahab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137</v>
      </c>
      <c r="I10" s="236">
        <f t="shared" si="0"/>
        <v>9951.68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796.13440000000014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348.30879999999996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8807.2368000000006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1880.847457627119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53.440421288135603</v>
      </c>
      <c r="P10" s="311">
        <f t="shared" si="2"/>
        <v>10741.524678915255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Dilshad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123</v>
      </c>
      <c r="I11" s="236">
        <f t="shared" si="0"/>
        <v>8934.7199999999993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714.77760000000012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312.71519999999998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7907.2271999999994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1688.6440677966102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47.979356338983052</v>
      </c>
      <c r="P11" s="311">
        <f t="shared" si="2"/>
        <v>9643.8506241355935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Waleed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150</v>
      </c>
      <c r="I12" s="236">
        <f t="shared" si="0"/>
        <v>10896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871.68000000000029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381.35999999999996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9642.9599999999991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2059.3220338983056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58.511410169491533</v>
      </c>
      <c r="P12" s="311">
        <f t="shared" si="2"/>
        <v>11760.793444067795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50</v>
      </c>
      <c r="R12" s="313">
        <v>10</v>
      </c>
      <c r="S12" s="300" t="str">
        <f>+'10'!A6:A6</f>
        <v>Qazi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Haris Ali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Bashir 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Riaz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274">
        <f>H16/40</f>
        <v>14.25</v>
      </c>
      <c r="H16" s="113">
        <f t="shared" ref="H16:M16" si="3">SUM(H7:H15)</f>
        <v>570</v>
      </c>
      <c r="I16" s="114">
        <f t="shared" si="3"/>
        <v>37117.800000000003</v>
      </c>
      <c r="J16" s="274">
        <f>SUM(J7:J15)</f>
        <v>2875.2720000000008</v>
      </c>
      <c r="K16" s="275">
        <f t="shared" si="3"/>
        <v>1299.123</v>
      </c>
      <c r="L16" s="276">
        <f t="shared" si="3"/>
        <v>160.05840000000001</v>
      </c>
      <c r="M16" s="232">
        <f t="shared" si="3"/>
        <v>32783.346600000004</v>
      </c>
      <c r="N16" s="233">
        <f>SUM(N7:N15)</f>
        <v>7032.203389830509</v>
      </c>
      <c r="O16" s="101">
        <f>SUM(O7:O15)</f>
        <v>199.07774994915258</v>
      </c>
      <c r="P16" s="113">
        <f>SUM(P7:P15)</f>
        <v>40014.627739779666</v>
      </c>
      <c r="Q16" s="128">
        <f>SUM(Q7:Q15)</f>
        <v>100</v>
      </c>
      <c r="R16" s="313">
        <v>14</v>
      </c>
      <c r="S16" s="315" t="str">
        <f>+'14'!A6:A6</f>
        <v xml:space="preserve">Al Makkah 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Iqbal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392.02644813559323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37117.800000000003</v>
      </c>
      <c r="R19" s="299">
        <v>17</v>
      </c>
      <c r="S19" s="300" t="str">
        <f>+'17'!A6:A6</f>
        <v>Yaseen Store</v>
      </c>
      <c r="T19" s="301">
        <f>+'17'!P35</f>
        <v>392.02644813559323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2875.2720000000008</v>
      </c>
      <c r="R20" s="299">
        <v>18</v>
      </c>
      <c r="S20" s="300" t="str">
        <f>+'18'!A6:A6</f>
        <v>Lalli Store</v>
      </c>
      <c r="T20" s="301">
        <f>+'18'!P35</f>
        <v>392.02644813559323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1459.1813999999999</v>
      </c>
      <c r="R21" s="299">
        <v>19</v>
      </c>
      <c r="S21" s="300" t="str">
        <f>+'19'!A6:A6</f>
        <v>Tariq Store</v>
      </c>
      <c r="T21" s="301">
        <f>+'19'!P35</f>
        <v>392.02644813559323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32783.346600000004</v>
      </c>
      <c r="R22" s="299">
        <v>20</v>
      </c>
      <c r="S22" s="300" t="str">
        <f>+'20'!A6:A6</f>
        <v>Javaid Store</v>
      </c>
      <c r="T22" s="301">
        <f>+'20'!P35</f>
        <v>784.05289627118646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7032.203389830509</v>
      </c>
      <c r="R23" s="299">
        <v>21</v>
      </c>
      <c r="S23" s="300" t="str">
        <f>+'21'!A6:A6</f>
        <v>Aashiyana Store</v>
      </c>
      <c r="T23" s="301">
        <f>+'21'!P35</f>
        <v>784.05289627118646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39815.549989830513</v>
      </c>
      <c r="R24" s="299">
        <v>22</v>
      </c>
      <c r="S24" s="300" t="str">
        <f>+'22'!A6:A6</f>
        <v>Al Fateh Super Store</v>
      </c>
      <c r="T24" s="301">
        <f>+'22'!P35</f>
        <v>2265.051582838983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199.07774994915258</v>
      </c>
      <c r="R25" s="299">
        <v>23</v>
      </c>
      <c r="S25" s="300" t="str">
        <f>+'23'!A6:A6</f>
        <v xml:space="preserve">Shop 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40014.627739779666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40014.627739779637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8.726562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12384.500000000002</v>
      </c>
      <c r="J25" s="274">
        <f>SUM(J16:J24)</f>
        <v>943.68399999999997</v>
      </c>
      <c r="K25" s="275">
        <f t="shared" si="10"/>
        <v>433.4575000000001</v>
      </c>
      <c r="L25" s="276">
        <f t="shared" si="10"/>
        <v>80.029200000000003</v>
      </c>
      <c r="M25" s="232">
        <f t="shared" si="10"/>
        <v>10927.329300000001</v>
      </c>
      <c r="N25" s="233">
        <f>SUM(N16:N24)</f>
        <v>2349.1525423728808</v>
      </c>
      <c r="O25" s="101">
        <f>SUM(O16:O24)</f>
        <v>66.382409211864413</v>
      </c>
      <c r="P25" s="234">
        <f>SUM(P16:P24)</f>
        <v>13342.864251584746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12384.500000000002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943.68399999999997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513.48670000000016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10927.329300000003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2349.1525423728808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13276.481842372883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66.382409211864413</v>
      </c>
    </row>
    <row r="35" spans="2:16" ht="15.75" customHeight="1" thickBot="1" x14ac:dyDescent="0.4">
      <c r="N35" s="374" t="s">
        <v>88</v>
      </c>
      <c r="O35" s="375"/>
      <c r="P35" s="297">
        <f>+P33+P34</f>
        <v>13342.864251584748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697.34400000000005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7714.3679999999995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9361.8256271186438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4" t="s">
        <v>88</v>
      </c>
      <c r="O35" s="375"/>
      <c r="P35" s="297">
        <f>+P33+P34</f>
        <v>9408.6347552542375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21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70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L15" sqref="L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E23" sqref="E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8" workbookViewId="0">
      <selection activeCell="E27" sqref="E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E26" sqref="E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11" workbookViewId="0">
      <selection activeCell="O18" sqref="O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activeCell="E26" sqref="E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10" workbookViewId="0">
      <selection activeCell="A29" sqref="A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538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2026-09-30T07:33:45Z</dcterms:modified>
</cp:coreProperties>
</file>