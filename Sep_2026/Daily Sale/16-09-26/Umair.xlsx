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25DF93E-5A87-4E24-B420-33142C1412A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4" l="1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<sst xmlns="http://schemas.openxmlformats.org/spreadsheetml/2006/main" count="3948" uniqueCount="524">
  <si>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</si>
  <si>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</si>
  <si>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</si>
  <si>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</si>
  <si>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</si>
  <si>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</si>
  <si>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</si>
  <si>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</si>
  <si>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</si>
  <si>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</si>
  <si>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</si>
  <si>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</si>
  <si>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</si>
  <si>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</si>
  <si>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</si>
  <si>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</si>
  <si>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</si>
  <si>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</si>
  <si>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</si>
  <si>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</si>
  <si>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</si>
  <si>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</si>
  <si>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</si>
  <si>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</si>
  <si>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</si>
  <si>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</si>
  <si>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</si>
  <si>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</si>
  <si>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</si>
  <si>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</si>
  <si>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</si>
  <si>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</si>
  <si>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</si>
  <si>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</si>
  <si>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</si>
  <si>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</si>
  <si>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</si>
  <si>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</si>
  <si>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</si>
  <si>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</si>
  <si>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</si>
  <si>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</si>
  <si>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</si>
  <si>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</si>
  <si>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</si>
  <si>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</si>
  <si>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</si>
  <si>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</si>
  <si>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</si>
  <si>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</si>
  <si>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</si>
  <si>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</si>
  <si>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</si>
  <si>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</si>
  <si>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</si>
  <si>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</si>
  <si>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</si>
  <si>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</si>
  <si>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</si>
  <si>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</si>
  <si>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</si>
  <si>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</si>
  <si>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</si>
  <si>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</si>
  <si>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</si>
  <si>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</si>
  <si>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</si>
  <si>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</si>
  <si>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</si>
  <si>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</si>
  <si>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</si>
  <si>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</si>
  <si>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</si>
  <si>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</si>
  <si>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</si>
  <si>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</si>
  <si>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</si>
  <si>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</si>
  <si>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</si>
  <si>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</si>
  <si>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</si>
  <si>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</si>
  <si>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</si>
  <si>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</si>
  <si>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</si>
  <si>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</si>
  <si>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</si>
  <si>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</si>
  <si>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</si>
  <si>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</si>
  <si>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</si>
  <si>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</si>
  <si>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</si>
  <si>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</si>
  <si>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</si>
  <si>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</si>
  <si>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</si>
  <si>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</si>
  <si>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</si>
  <si>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</si>
  <si>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</si>
  <si>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</si>
  <si>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</si>
  <si>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</si>
  <si>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</si>
  <si>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</si>
  <si>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</si>
  <si>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</si>
  <si>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</si>
  <si>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</si>
  <si>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</si>
  <si>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</si>
  <si>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</si>
  <si>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</si>
  <si>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</si>
  <si>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</si>
  <si>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</si>
  <si>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</si>
  <si>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</si>
  <si>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</si>
  <si>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</si>
  <si>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</si>
  <si>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</si>
  <si>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</si>
  <si>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</si>
  <si>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</si>
  <si>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</si>
  <si>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</si>
  <si>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</si>
  <si>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</si>
  <si>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</si>
  <si>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</si>
  <si>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</si>
  <si>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</si>
  <si>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</si>
  <si>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</si>
  <si>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</si>
  <si>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</si>
  <si>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</si>
  <si>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</si>
  <si>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</si>
  <si>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</si>
  <si>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</si>
  <si>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</si>
  <si>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</si>
  <si>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</si>
  <si>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</si>
  <si>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</si>
  <si>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</si>
  <si>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</si>
  <si>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</si>
  <si>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</si>
  <si>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</si>
  <si>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</si>
  <si>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</si>
  <si>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</si>
  <si>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</si>
  <si>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</si>
  <si>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</si>
  <si>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</si>
  <si>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</si>
  <si>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</si>
  <si>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</si>
  <si>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</si>
  <si>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</si>
  <si>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</si>
  <si>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</si>
  <si>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</si>
  <si>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</si>
  <si>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</si>
  <si>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</si>
  <si>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</si>
  <si>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</si>
  <si>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</si>
  <si>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</si>
  <si>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</si>
  <si>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</si>
  <si>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</si>
  <si>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</si>
  <si>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</si>
  <si>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</si>
  <si>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</si>
  <si>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</si>
  <si>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</si>
  <si>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</si>
  <si>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</si>
  <si>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</si>
  <si>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</si>
  <si>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</si>
  <si>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</si>
  <si>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</si>
  <si>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</si>
  <si>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</si>
  <si>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</si>
  <si>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</si>
  <si>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</si>
  <si>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</si>
  <si>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</si>
  <si>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</si>
  <si>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</si>
  <si>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</si>
  <si>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</si>
  <si>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</si>
  <si>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</si>
  <si>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</si>
  <si>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</si>
  <si>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</si>
  <si>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</si>
  <si>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</si>
  <si>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</si>
  <si>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</si>
  <si>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</si>
  <si>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</si>
  <si>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</si>
  <si>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</si>
  <si>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</si>
  <si>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</si>
  <si>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</si>
  <si>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</si>
  <si>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</si>
  <si>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</si>
  <si>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</si>
  <si>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</si>
  <si>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</si>
  <si>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</si>
  <si>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</si>
  <si>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</si>
  <si>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</si>
  <si>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</si>
  <si>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</si>
  <si>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</si>
  <si>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</si>
  <si>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</si>
  <si>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</si>
  <si>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</si>
  <si>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</si>
  <si>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</si>
  <si>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</si>
  <si>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</si>
  <si>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</si>
  <si>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</si>
  <si>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</si>
  <si>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</si>
  <si>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</si>
  <si>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</si>
  <si>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</si>
  <si>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</si>
  <si>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</si>
  <si>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</si>
  <si>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</si>
  <si>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</si>
  <si>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</si>
  <si>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</si>
  <si>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</si>
  <si>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</si>
  <si>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</si>
  <si>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</si>
  <si>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</si>
  <si>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</si>
  <si>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</si>
  <si>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</si>
  <si>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</si>
  <si>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</si>
  <si>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</si>
  <si>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</si>
  <si>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</si>
  <si>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</si>
  <si>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</si>
  <si>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</si>
  <si>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</si>
  <si>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</si>
  <si>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</si>
  <si>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</si>
  <si>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</si>
  <si>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</si>
  <si>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</si>
  <si>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</si>
  <si>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</si>
  <si>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</si>
  <si>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</si>
  <si>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</si>
  <si>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</si>
  <si>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</si>
  <si>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</si>
  <si>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</si>
  <si>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</si>
  <si>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</si>
  <si>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</si>
  <si>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</si>
  <si>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</si>
  <si>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</si>
  <si>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</si>
  <si>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</si>
  <si>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</si>
  <si>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</si>
  <si>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</si>
  <si>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</si>
  <si>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</si>
  <si>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</si>
  <si>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</si>
  <si>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</si>
  <si>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</si>
  <si>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</si>
  <si>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</si>
  <si>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</si>
  <si>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</si>
  <si>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</si>
  <si>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</si>
  <si>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</si>
  <si>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</si>
  <si>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</si>
  <si>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</si>
  <si>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</si>
  <si>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</si>
  <si>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</si>
  <si>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</si>
  <si>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</si>
  <si>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</si>
  <si>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</si>
  <si>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</si>
  <si>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</si>
  <si>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</si>
  <si>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</si>
  <si>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</si>
  <si>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</si>
  <si>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</si>
  <si>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</si>
  <si>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</si>
  <si>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</si>
  <si>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</si>
  <si>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</si>
  <si>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</si>
  <si>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</si>
  <si>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</si>
  <si>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</si>
  <si>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</si>
  <si>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</si>
  <si>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</si>
  <si>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</si>
  <si>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</si>
  <si>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</si>
  <si>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</si>
  <si>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</si>
  <si>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</si>
  <si>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</si>
  <si>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</si>
  <si>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</si>
  <si>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</si>
  <si>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</si>
  <si>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</si>
  <si>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</si>
  <si>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</si>
  <si>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</si>
  <si>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</si>
  <si>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</si>
  <si>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</si>
  <si>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</si>
  <si>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</si>
  <si>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</si>
  <si>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</si>
  <si>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</si>
  <si>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</si>
  <si>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</si>
  <si>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</si>
  <si>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</si>
  <si>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</si>
  <si>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</si>
  <si>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</si>
  <si>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</si>
  <si>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</si>
  <si>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</si>
  <si>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</si>
  <si>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</si>
  <si>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</si>
  <si>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</si>
  <si>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</si>
  <si>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</si>
  <si>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</si>
  <si>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</si>
  <si>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</si>
  <si>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</si>
  <si>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</si>
  <si>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</si>
  <si>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</si>
  <si>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</si>
  <si>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</si>
  <si>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</si>
  <si>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</si>
  <si>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</si>
  <si>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</si>
  <si>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</si>
  <si>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</si>
  <si>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</si>
  <si>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</si>
  <si>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</si>
  <si>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</si>
  <si>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</si>
  <si>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</si>
  <si>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</si>
  <si>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</si>
  <si>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</si>
  <si>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</si>
  <si>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</si>
  <si>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</si>
  <si>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</si>
  <si>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</si>
  <si>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</si>
  <si>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</si>
  <si>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</si>
  <si>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</si>
  <si>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</si>
  <si>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</si>
  <si>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</si>
  <si>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</si>
  <si>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</si>
  <si>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</si>
  <si>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</si>
  <si>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</si>
  <si>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</si>
  <si>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</si>
  <si>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</si>
  <si>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</si>
  <si>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</si>
  <si>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</si>
  <si>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</si>
  <si>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</si>
  <si>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</si>
  <si>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</si>
  <si>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</si>
  <si>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</si>
  <si>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</si>
  <si>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</si>
  <si>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</si>
  <si>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</si>
  <si>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</si>
  <si>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</si>
  <si>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</si>
  <si>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</si>
  <si>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</si>
  <si>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</si>
  <si>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</si>
  <si>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</si>
  <si>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</si>
  <si>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</si>
  <si>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</si>
  <si>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</si>
  <si>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</si>
  <si>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</si>
  <si>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</si>
  <si>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</si>
  <si>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</si>
  <si>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</si>
  <si>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</si>
  <si>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</si>
  <si>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</si>
  <si>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</si>
  <si>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</si>
  <si>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</si>
  <si>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</si>
  <si>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</si>
  <si>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</si>
  <si>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</si>
  <si>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</si>
  <si>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</si>
  <si>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</si>
  <si>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</si>
  <si>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</si>
  <si>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</si>
  <si>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</si>
  <si>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</si>
  <si>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</si>
  <si>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</si>
  <si>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</si>
  <si>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</si>
  <si>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</si>
  <si>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</si>
  <si>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</si>
  <si>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</si>
  <si>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</si>
  <si>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</si>
  <si>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</si>
  <si>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</si>
  <si>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</si>
  <si>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</si>
  <si>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</si>
  <si>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</si>
  <si>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</si>
  <si>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</si>
  <si>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</si>
  <si>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</si>
  <si>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</si>
  <si>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</si>
  <si>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</si>
  <si>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</si>
  <si>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</si>
  <si>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</si>
  <si>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</si>
  <si>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</si>
  <si>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</si>
  <si>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</si>
  <si>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</si>
  <si>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</si>
  <si>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</si>
  <si>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</si>
  <si>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</si>
  <si>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</si>
  <si>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</si>
  <si>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</si>
  <si>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</si>
  <si>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</si>
  <si>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</si>
  <si>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</si>
  <si>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</si>
  <si>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</si>
  <si>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>Address: Aashiyana Road</t>
  </si>
  <si>
    <t>Rizwan Kareyana Store</t>
  </si>
  <si>
    <t xml:space="preserve">Ghosia Goldtra Bakery </t>
  </si>
  <si>
    <t xml:space="preserve">Ok Bakers </t>
  </si>
  <si>
    <t xml:space="preserve">Address: Awan Market </t>
  </si>
  <si>
    <t xml:space="preserve">Ameen Super Mart </t>
  </si>
  <si>
    <t xml:space="preserve">Gulshan Bakery </t>
  </si>
  <si>
    <t>Sabri Kareyana Store</t>
  </si>
  <si>
    <t>Address: Awan Market</t>
  </si>
  <si>
    <t xml:space="preserve">Hafiz Bakery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</si>
</sst>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B4" sqref="B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Rizwan Kareyana Store</v>
      </c>
      <c r="T3" s="301">
        <f>+'1'!P35</f>
        <v>1669.1779134915255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Ghosia Goldtra Bakery </v>
      </c>
      <c r="T4" s="301">
        <f>+'2'!P35</f>
        <v>2688.4511257690679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Ok Bakers </v>
      </c>
      <c r="T5" s="301">
        <f>+'3'!P35</f>
        <v>4883.7947882033905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Ameen Super Mart </v>
      </c>
      <c r="T6" s="301">
        <f>+'4'!P35</f>
        <v>1669.1779134915255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</v>
      </c>
      <c r="I7" s="235">
        <f>(G7*D7)*F7+H7*F7</f>
        <v>314.77499999999998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25.181999999999999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11.017125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278.575875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59.491525423728788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1.6903370021186439</v>
      </c>
      <c r="P7" s="310">
        <f>M7+N7+O7</f>
        <v>339.75773742584744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Gulshan Bakery 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</v>
      </c>
      <c r="I8" s="236">
        <f t="shared" ref="I8:I14" si="0">(G8*D8)*F8+H8*F8</f>
        <v>314.77499999999998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25.181999999999999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11.017125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278.575875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59.491525423728788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1.6903370021186439</v>
      </c>
      <c r="P8" s="311">
        <f t="shared" ref="P8:P15" si="2">M8+N8+O8</f>
        <v>339.75773742584744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Sabri Kareyana Store</v>
      </c>
      <c r="T8" s="301">
        <f>+'6'!P35</f>
        <v>1669.1779134915255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Hafiz Bakery 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15</v>
      </c>
      <c r="I10" s="236">
        <f t="shared" si="0"/>
        <v>1089.5999999999999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87.167999999999992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38.136000000000003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964.29599999999994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205.93220338983053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5.8511410169491525</v>
      </c>
      <c r="P10" s="311">
        <f t="shared" si="2"/>
        <v>1176.0793444067797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13</v>
      </c>
      <c r="I11" s="236">
        <f t="shared" si="0"/>
        <v>944.32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75.545600000000007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33.051200000000001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835.72320000000002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178.47457627118644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5.070988881355933</v>
      </c>
      <c r="P11" s="311">
        <f t="shared" si="2"/>
        <v>1019.2687651525424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</v>
      </c>
      <c r="I12" s="236">
        <f t="shared" si="0"/>
        <v>944.32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75.545600000000007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33.051200000000001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835.72320000000002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178.47457627118644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5.070988881355933</v>
      </c>
      <c r="P12" s="311">
        <f t="shared" si="2"/>
        <v>1019.2687651525424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252</v>
      </c>
      <c r="I13" s="236">
        <f t="shared" si="0"/>
        <v>9885.9600000000009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494.29800000000017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346.00860000000011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504.18396000000001</v>
      </c>
      <c r="M13" s="230">
        <f t="shared" si="1"/>
        <v>8541.4694400000008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1922.0338983050838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52.317516691525427</v>
      </c>
      <c r="P13" s="311">
        <f t="shared" si="2"/>
        <v>10515.820854996611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7.7750000000000004</v>
      </c>
      <c r="H16" s="113">
        <f t="shared" ref="H16:M16" si="3">SUM(H7:H15)</f>
        <v>311</v>
      </c>
      <c r="I16" s="114">
        <f t="shared" si="3"/>
        <v>13808.525000000001</v>
      </c>
      <c r="J16" s="274">
        <f>SUM(J7:J15)</f>
        <v>808.10320000000024</v>
      </c>
      <c r="K16" s="275">
        <f t="shared" si="3"/>
        <v>483.29837500000008</v>
      </c>
      <c r="L16" s="276">
        <f t="shared" si="3"/>
        <v>504.18396000000001</v>
      </c>
      <c r="M16" s="232">
        <f t="shared" si="3"/>
        <v>12012.939464999999</v>
      </c>
      <c r="N16" s="233">
        <f>SUM(N7:N15)</f>
        <v>2663.3898305084736</v>
      </c>
      <c r="O16" s="101">
        <f>SUM(O7:O15)</f>
        <v>73.381646477542375</v>
      </c>
      <c r="P16" s="113">
        <f>SUM(P7:P15)</f>
        <v>14749.710941986017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13808.525000000001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808.10320000000024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987.48233500000015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12012.939465000001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2663.3898305084736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14676.329295508474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73.381646477542375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14749.710941986017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14749.710941986015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1569.2000000000003</v>
      </c>
      <c r="J25" s="274">
        <f>SUM(J16:J24)</f>
        <v>78.460000000000022</v>
      </c>
      <c r="K25" s="275">
        <f t="shared" si="10"/>
        <v>54.922000000000011</v>
      </c>
      <c r="L25" s="276">
        <f t="shared" si="10"/>
        <v>80.029200000000003</v>
      </c>
      <c r="M25" s="232">
        <f t="shared" si="10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58</v>
      </c>
      <c r="I25" s="114">
        <f t="shared" si="7"/>
        <v>2513.5250000000001</v>
      </c>
      <c r="J25" s="274">
        <f>SUM(J16:J24)</f>
        <v>154.00600000000003</v>
      </c>
      <c r="K25" s="275">
        <f t="shared" si="7"/>
        <v>87.973375000000004</v>
      </c>
      <c r="L25" s="276">
        <f t="shared" si="7"/>
        <v>80.029200000000003</v>
      </c>
      <c r="M25" s="232">
        <f t="shared" si="7"/>
        <v>2191.5164250000003</v>
      </c>
      <c r="N25" s="233">
        <f>SUM(N16:N24)</f>
        <v>483.55932203389807</v>
      </c>
      <c r="O25" s="101">
        <f>SUM(O16:O24)</f>
        <v>13.375378735169491</v>
      </c>
      <c r="P25" s="234">
        <f>SUM(P16:P24)</f>
        <v>2688.4511257690679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2513.5250000000001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154.00600000000003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168.00257500000001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2191.5164250000003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483.55932203389807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2675.0757470338986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13.375378735169493</v>
      </c>
    </row>
    <row r="35" spans="2:16" ht="15.75" customHeight="1" thickBot="1" x14ac:dyDescent="0.4">
      <c r="N35" s="374" t="s">
        <v>88</v>
      </c>
      <c r="O35" s="375"/>
      <c r="P35" s="297">
        <f>+P33+P34</f>
        <v>2688.4511257690679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0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81</v>
      </c>
      <c r="I25" s="114">
        <f t="shared" si="7"/>
        <v>4547.4400000000005</v>
      </c>
      <c r="J25" s="274">
        <f>SUM(J16:J24)</f>
        <v>316.7192</v>
      </c>
      <c r="K25" s="275">
        <f t="shared" si="7"/>
        <v>159.16040000000004</v>
      </c>
      <c r="L25" s="276">
        <f t="shared" si="7"/>
        <v>80.029200000000003</v>
      </c>
      <c r="M25" s="232">
        <f t="shared" si="7"/>
        <v>3991.5312000000004</v>
      </c>
      <c r="N25" s="233">
        <f>SUM(N16:N24)</f>
        <v>867.9661016949151</v>
      </c>
      <c r="O25" s="101">
        <f>SUM(O16:O24)</f>
        <v>24.297486508474577</v>
      </c>
      <c r="P25" s="234">
        <f>SUM(P16:P24)</f>
        <v>4883.7947882033895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4547.4400000000005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316.7192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239.18960000000004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3991.5312000000008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867.9661016949151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4859.4973016949161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24.297486508474581</v>
      </c>
    </row>
    <row r="35" spans="2:16" ht="15.75" customHeight="1" thickBot="1" x14ac:dyDescent="0.4">
      <c r="N35" s="374" t="s">
        <v>88</v>
      </c>
      <c r="O35" s="375"/>
      <c r="P35" s="297">
        <f>+P33+P34</f>
        <v>4883.7947882033905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522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470.76000000000005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23.538000000000004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40.485360000000007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406.73664000000002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498.26206372881353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4" t="s">
        <v>88</v>
      </c>
      <c r="O35" s="375"/>
      <c r="P35" s="297">
        <f>+P33+P34</f>
        <v>500.75337404745761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Umair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2026-09-15T11:00:36Z</dcterms:modified>
</cp:coreProperties>
</file>